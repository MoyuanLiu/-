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<sst xmlns="http://schemas.openxmlformats.org/spreadsheetml/2006/main" count="1353">
  <si>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</si>
  <si>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</si>
  <si>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</si>
  <si>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</si>
  <si>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</si>
  <si>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</si>
  <si>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</si>
  <si>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</si>
  <si>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</si>
  <si>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</si>
  <si>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</si>
  <si>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</si>
  <si>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</si>
  <si>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</si>
  <si>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</si>
  <si>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</si>
  <si>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</si>
  <si>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</si>
  <si>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</si>
  <si>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</si>
  <si>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</si>
  <si>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</si>
  <si>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</si>
  <si>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</si>
  <si>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</si>
  <si>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</si>
  <si>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</si>
  <si>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</si>
  <si>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</si>
  <si>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</si>
  <si>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</si>
  <si>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</si>
  <si>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</si>
  <si>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</si>
  <si>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</si>
  <si>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</si>
  <si>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</si>
  <si>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</si>
  <si>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</si>
  <si>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</si>
  <si>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</si>
  <si>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</si>
  <si>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</si>
  <si>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</si>
  <si>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</si>
  <si>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</si>
  <si>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</si>
  <si>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</si>
  <si>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</si>
  <si>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</si>
  <si>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</si>
  <si>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</si>
  <si>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B07BLQFM2G</t>
  </si>
  <si>
    <t>AQD-IUYL330</t>
  </si>
  <si>
    <t/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</si>
  <si>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</si>
  <si>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</si>
  <si>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</si>
  <si>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</si>
  <si>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</si>
  <si>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</si>
  <si>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</si>
  <si>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</si>
  <si>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</si>
  <si>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</si>
  <si>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</si>
  <si>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</si>
  <si>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</si>
  <si>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</si>
  <si>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</si>
  <si>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</si>
  <si>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</si>
  <si>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</si>
  <si>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</si>
  <si>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</si>
  <si>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</si>
  <si>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</si>
  <si>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</si>
  <si>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</si>
  <si>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</si>
  <si>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</si>
  <si>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</si>
  <si>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</si>
  <si>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</si>
  <si>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BBBD-1605A-BL</t>
  </si>
  <si>
    <t>B07D8S8R3B</t>
  </si>
  <si>
    <t>BBBD-1605A</t>
  </si>
  <si>
    <t>BBBD-1605A-RD</t>
  </si>
  <si>
    <t>B07C178M2R</t>
  </si>
  <si>
    <t>BBBD-BUSB1605A-BL</t>
  </si>
  <si>
    <t>B07C1KW5X1</t>
  </si>
  <si>
    <t>BBBD-BUSB1605</t>
  </si>
  <si>
    <t>BBBD-BUSB1605A-CF</t>
  </si>
  <si>
    <t>B07C1LYHW7</t>
  </si>
  <si>
    <t>BBBD-BUSB1605A-PK</t>
  </si>
  <si>
    <t>B07CBNM1H4</t>
  </si>
  <si>
    <t>BBBD-BUSB1605A-RD</t>
  </si>
  <si>
    <t>BBBD-BUSB1605B-BL</t>
  </si>
  <si>
    <t>B07C178LY1</t>
  </si>
  <si>
    <t>BBBD-BUSB1605B-PK</t>
  </si>
  <si>
    <t>B07C1KX15Z</t>
  </si>
  <si>
    <t>BBBD-BUSB1605B-RD</t>
  </si>
  <si>
    <t>B07CBPY63R</t>
  </si>
  <si>
    <t>BD-LUHM010</t>
  </si>
  <si>
    <t>B07DJ8MH2Q</t>
  </si>
  <si>
    <t>BD-PUHM101-B0-L</t>
  </si>
  <si>
    <t>B077P3W5CY</t>
  </si>
  <si>
    <t>BD-PUHM101</t>
  </si>
  <si>
    <t>BD-PUHM101-B0-M</t>
  </si>
  <si>
    <t>B077PGPW9C</t>
  </si>
  <si>
    <t>BD-PUHM101-B0-S</t>
  </si>
  <si>
    <t>B077P4NDQF</t>
  </si>
  <si>
    <t>BD-PUHM101-B0-XL</t>
  </si>
  <si>
    <t>B077PGPQKQ</t>
  </si>
  <si>
    <t>BD-PUHM101-G0-L</t>
  </si>
  <si>
    <t>B077PBYWZS</t>
  </si>
  <si>
    <t>BD-PUHM101-G0-M</t>
  </si>
  <si>
    <t>B077PC5BGR</t>
  </si>
  <si>
    <t>BD-PUHM101-G0-S</t>
  </si>
  <si>
    <t>B077P4BJ4R</t>
  </si>
  <si>
    <t>BD-PUHM101-G0-XL</t>
  </si>
  <si>
    <t>B077PGDGHH</t>
  </si>
  <si>
    <t>BD-PUHM101-K0-L</t>
  </si>
  <si>
    <t>B077PGJY38</t>
  </si>
  <si>
    <t>BD-PUHM101-K0-M</t>
  </si>
  <si>
    <t>B077P832FW</t>
  </si>
  <si>
    <t>BD-PUHM101-K0-S</t>
  </si>
  <si>
    <t>B07846LZTV</t>
  </si>
  <si>
    <t>BD-PUHM101-K0-XL</t>
  </si>
  <si>
    <t>B077P4DY6N</t>
  </si>
  <si>
    <t>BD-PUHM101-R0-L</t>
  </si>
  <si>
    <t>B077P98RR5</t>
  </si>
  <si>
    <t>BD-PUHM101-R0-M</t>
  </si>
  <si>
    <t>B077PBWY75</t>
  </si>
  <si>
    <t>BD-PUHM101-R0-S</t>
  </si>
  <si>
    <t>B077PC5F9V</t>
  </si>
  <si>
    <t>BD-PUHM101-R0-XL</t>
  </si>
  <si>
    <t>B07844VFWQ</t>
  </si>
  <si>
    <t>BX-PUHM000-G0-2XL</t>
  </si>
  <si>
    <t>B077GTSZMW</t>
  </si>
  <si>
    <t>BX-PUHM000</t>
  </si>
  <si>
    <t>BX-PUHM000-G0-3XL</t>
  </si>
  <si>
    <t>B077GSM1VR</t>
  </si>
  <si>
    <t>BX-PUHM000-G0-4XL</t>
  </si>
  <si>
    <t>B077GTC3DD</t>
  </si>
  <si>
    <t>BX-PUHM000-G0-5XL</t>
  </si>
  <si>
    <t>B077GVPYG5</t>
  </si>
  <si>
    <t>BX-PUHM000-G0-L</t>
  </si>
  <si>
    <t>B077GVL6JJ</t>
  </si>
  <si>
    <t>BX-PUHM000-G0-M</t>
  </si>
  <si>
    <t>B077GSWBSF</t>
  </si>
  <si>
    <t>BX-PUHM000-G0-S</t>
  </si>
  <si>
    <t>B077GTG3DN</t>
  </si>
  <si>
    <t>BX-PUHM000-G0-XL</t>
  </si>
  <si>
    <t>B077GV12XZ</t>
  </si>
  <si>
    <t>BX-PUHM000-OR-2XL</t>
  </si>
  <si>
    <t>B077GTTW6F</t>
  </si>
  <si>
    <t>BX-PUHM000-OR-3XL</t>
  </si>
  <si>
    <t>B077GVFQ2V</t>
  </si>
  <si>
    <t>BX-PUHM000-OR-4XL</t>
  </si>
  <si>
    <t>B077GTT4DB</t>
  </si>
  <si>
    <t>BX-PUHM000-OR-5XL</t>
  </si>
  <si>
    <t>B077GTB515</t>
  </si>
  <si>
    <t>BX-PUHM000-OR-L</t>
  </si>
  <si>
    <t>B077GSTK1N</t>
  </si>
  <si>
    <t>BX-PUHM000-OR-M</t>
  </si>
  <si>
    <t>B077GTHYN3</t>
  </si>
  <si>
    <t>BX-PUHM000-OR-S</t>
  </si>
  <si>
    <t>B077GTPRNJ</t>
  </si>
  <si>
    <t>BX-PUHM000-OR-XL</t>
  </si>
  <si>
    <t>B077GWG4J3</t>
  </si>
  <si>
    <t>BX-PUHM000-P0-2XL</t>
  </si>
  <si>
    <t>B077GTQ56H</t>
  </si>
  <si>
    <t>BX-PUHM000-P0-3XL</t>
  </si>
  <si>
    <t>B077GVTVC3</t>
  </si>
  <si>
    <t>BX-PUHM000-P0-4XL</t>
  </si>
  <si>
    <t>B077GTDGCX</t>
  </si>
  <si>
    <t>BX-PUHM000-P0-5XL</t>
  </si>
  <si>
    <t>B077GT9Y32</t>
  </si>
  <si>
    <t>BX-PUHM000-P0-L</t>
  </si>
  <si>
    <t>B077GV55BL</t>
  </si>
  <si>
    <t>BX-PUHM000-P0-M</t>
  </si>
  <si>
    <t>B077GTMLLQ</t>
  </si>
  <si>
    <t>BX-PUHM000-P0-S</t>
  </si>
  <si>
    <t>B077GVH6DL</t>
  </si>
  <si>
    <t>BX-PUHM000-P0-XL</t>
  </si>
  <si>
    <t>B077GV5S1X</t>
  </si>
  <si>
    <t>BX-PUHM000-PI-2XL</t>
  </si>
  <si>
    <t>B077GTR5GP</t>
  </si>
  <si>
    <t>BX-PUHM000-PI-3XL</t>
  </si>
  <si>
    <t>B077GVB9QZ</t>
  </si>
  <si>
    <t>BX-PUHM000-PI-4XL</t>
  </si>
  <si>
    <t>B077GVDKL1</t>
  </si>
  <si>
    <t>BX-PUHM000-PI-5XL</t>
  </si>
  <si>
    <t>B077GVKJ5G</t>
  </si>
  <si>
    <t>BX-PUHM000-PI-L</t>
  </si>
  <si>
    <t>B077GVHM6C</t>
  </si>
  <si>
    <t>BX-PUHM000-PI-M</t>
  </si>
  <si>
    <t>B077GSRQ2X</t>
  </si>
  <si>
    <t>BX-PUHM000-PI-S</t>
  </si>
  <si>
    <t>B077GVG5Y9</t>
  </si>
  <si>
    <t>BX-PUHM000-PI-XL</t>
  </si>
  <si>
    <t>B077GTSW3V</t>
  </si>
  <si>
    <t>BX-PUHM000-R0-2XL</t>
  </si>
  <si>
    <t>B077GT5NM7</t>
  </si>
  <si>
    <t>BX-PUHM000-R0-3XL</t>
  </si>
  <si>
    <t>B077GW6SRH</t>
  </si>
  <si>
    <t>BX-PUHM000-R0-4XL</t>
  </si>
  <si>
    <t>B077GTCV4D</t>
  </si>
  <si>
    <t>BX-PUHM000-R0-5XL</t>
  </si>
  <si>
    <t>B077GVRC8H</t>
  </si>
  <si>
    <t>BX-PUHM000-R0-L</t>
  </si>
  <si>
    <t>B077GSNNT7</t>
  </si>
  <si>
    <t>BX-PUHM000-R0-M</t>
  </si>
  <si>
    <t>B077GVTBNL</t>
  </si>
  <si>
    <t>BX-PUHM000-R0-S</t>
  </si>
  <si>
    <t>B077GVHXJF</t>
  </si>
  <si>
    <t>BX-PUHM000-R0-XL</t>
  </si>
  <si>
    <t>B077GWKKJ5</t>
  </si>
  <si>
    <t>BX-PUHM001-B0-L</t>
  </si>
  <si>
    <t>B077YZQ4GF</t>
  </si>
  <si>
    <t>BX-PUHM001</t>
  </si>
  <si>
    <t>BX-PUHM001-B0-M</t>
  </si>
  <si>
    <t>B077YZMM76</t>
  </si>
  <si>
    <t>BX-PUHM001-B0-S</t>
  </si>
  <si>
    <t>B077YTW39Y</t>
  </si>
  <si>
    <t>BX-PUHM001-B0-XL</t>
  </si>
  <si>
    <t>B077Z2SC65</t>
  </si>
  <si>
    <t>BX-PUHM001-B0-XS</t>
  </si>
  <si>
    <t>B077Z4BQV3</t>
  </si>
  <si>
    <t>BX-PUHM001-OR-L</t>
  </si>
  <si>
    <t>B077Z3273G</t>
  </si>
  <si>
    <t>BX-PUHM001-OR-M</t>
  </si>
  <si>
    <t>B077YTVL49</t>
  </si>
  <si>
    <t>BX-PUHM001-OR-S</t>
  </si>
  <si>
    <t>B077YZQ6PF</t>
  </si>
  <si>
    <t>BX-PUHM001-OR-XL</t>
  </si>
  <si>
    <t>B0785NGDM9</t>
  </si>
  <si>
    <t>BX-PUHM001-OR-XS</t>
  </si>
  <si>
    <t>B077YZQ53K</t>
  </si>
  <si>
    <t>BX-PUHM001-R0-L</t>
  </si>
  <si>
    <t>B077Z5XVCP</t>
  </si>
  <si>
    <t>BX-PUHM001-R0-M</t>
  </si>
  <si>
    <t>B077YZQDR4</t>
  </si>
  <si>
    <t>BX-PUHM001-R0-S</t>
  </si>
  <si>
    <t>B077Z32JMZ</t>
  </si>
  <si>
    <t>BX-PUHM001-R0-XL</t>
  </si>
  <si>
    <t>B077YZMR5R</t>
  </si>
  <si>
    <t>BX-PUHM001-R0-XS</t>
  </si>
  <si>
    <t>B077YZMH2D</t>
  </si>
  <si>
    <t>CWB-PUHM021-CH-L</t>
  </si>
  <si>
    <t>B077B51CYY</t>
  </si>
  <si>
    <t>CWB-PUHM021-CH-M</t>
  </si>
  <si>
    <t>B0779ZRTZ3</t>
  </si>
  <si>
    <t>CWB-PUHM021-CH-S</t>
  </si>
  <si>
    <t>B0779RQHWK</t>
  </si>
  <si>
    <t>CWB-PUHM021-CH-XL</t>
  </si>
  <si>
    <t>B0779Z2TS6</t>
  </si>
  <si>
    <t>CWB-PUHM021-MC-L</t>
  </si>
  <si>
    <t>B0779QX5JV</t>
  </si>
  <si>
    <t>CWB-PUHM021-MC-M</t>
  </si>
  <si>
    <t>B0779W8MFG</t>
  </si>
  <si>
    <t>CWB-PUHM021-MC-S</t>
  </si>
  <si>
    <t>B0779W68GS</t>
  </si>
  <si>
    <t>CWB-PUHM021-MC-XL</t>
  </si>
  <si>
    <t>B0779YRGR1</t>
  </si>
  <si>
    <t>CWB-PUHM021-TW-L</t>
  </si>
  <si>
    <t>B0779RFXY2</t>
  </si>
  <si>
    <t>CWB-PUHM021-TW-M</t>
  </si>
  <si>
    <t>B0779RT3RQ</t>
  </si>
  <si>
    <t>CWB-PUHM021-TW-S</t>
  </si>
  <si>
    <t>B0779V1KQL</t>
  </si>
  <si>
    <t>CWB-PUHM021-TW-XL</t>
  </si>
  <si>
    <t>B0779RQ56M</t>
  </si>
  <si>
    <t>DZ-IUYL200-BK</t>
  </si>
  <si>
    <t>B079JD7ZJ2</t>
  </si>
  <si>
    <t>DZ-IUYL200</t>
  </si>
  <si>
    <t>DZ-IUYL200-GR</t>
  </si>
  <si>
    <t>B079J99WVX</t>
  </si>
  <si>
    <t>DZ-IUYL210-BK</t>
  </si>
  <si>
    <t>B079JGMFTB</t>
  </si>
  <si>
    <t>DZ-IUYL210</t>
  </si>
  <si>
    <t>DZ-IUYL210-GR</t>
  </si>
  <si>
    <t>B079JD1T5B</t>
  </si>
  <si>
    <t>DZ-IUYL220-BK</t>
  </si>
  <si>
    <t>B079JNPCJ1</t>
  </si>
  <si>
    <t>DZ-IUYL220</t>
  </si>
  <si>
    <t>DZ-IUYL220-GR</t>
  </si>
  <si>
    <t>B079JLS34D</t>
  </si>
  <si>
    <t>GS-IUYL270</t>
  </si>
  <si>
    <t>B079MDCK5Y</t>
  </si>
  <si>
    <t>GS-IUYL280-1</t>
  </si>
  <si>
    <t>B079M2W31H</t>
  </si>
  <si>
    <t>GS-IUYL280</t>
  </si>
  <si>
    <t>GS-IUYL280-2</t>
  </si>
  <si>
    <t>B079M1Y4YS</t>
  </si>
  <si>
    <t>GS-IUYL280-3</t>
  </si>
  <si>
    <t>B079M4C6DT</t>
  </si>
  <si>
    <t>GS-PUHM019-B0-L</t>
  </si>
  <si>
    <t>B077PFD9LP</t>
  </si>
  <si>
    <t>GS-PUHM019</t>
  </si>
  <si>
    <t>GS-PUHM019-B0-M</t>
  </si>
  <si>
    <t>B07843RDHP</t>
  </si>
  <si>
    <t>GS-PUHM019-B0-S</t>
  </si>
  <si>
    <t>B077PD7WHY</t>
  </si>
  <si>
    <t>GS-PUHM019-B0-XL</t>
  </si>
  <si>
    <t>B077PFB21G</t>
  </si>
  <si>
    <t>GS-PUHM019-K0-L</t>
  </si>
  <si>
    <t>B077P7YNWM</t>
  </si>
  <si>
    <t>GS-PUHM019-K0-M</t>
  </si>
  <si>
    <t>B077PFB14D</t>
  </si>
  <si>
    <t>GS-PUHM019-K0-S</t>
  </si>
  <si>
    <t>B077P7CQF7</t>
  </si>
  <si>
    <t>GS-PUHM019-K0-XL</t>
  </si>
  <si>
    <t>B07845W65M</t>
  </si>
  <si>
    <t>GS-PUHM019-R0-L</t>
  </si>
  <si>
    <t>B077PFB34T</t>
  </si>
  <si>
    <t>GS-PUHM019-R0-M</t>
  </si>
  <si>
    <t>B077P822BJ</t>
  </si>
  <si>
    <t>GS-PUHM019-R0-S</t>
  </si>
  <si>
    <t>B077P3P1K6</t>
  </si>
  <si>
    <t>GS-PUHM019-R0-XL</t>
  </si>
  <si>
    <t>B07843R3WG</t>
  </si>
  <si>
    <t>GW-IUHM-BONE-BK-L</t>
  </si>
  <si>
    <t>B07FM7ZNYH</t>
  </si>
  <si>
    <t>GW-IUHM-BONE-BK-M</t>
  </si>
  <si>
    <t>B07FM5RG53</t>
  </si>
  <si>
    <t>GW-IUHM-BONE-BK-S</t>
  </si>
  <si>
    <t>B07FM9Z4WW</t>
  </si>
  <si>
    <t>GW-IUHM-BONE-BK-XL</t>
  </si>
  <si>
    <t>B07FM6X6DD</t>
  </si>
  <si>
    <t>GW-IUHM-BONE-CF-L</t>
  </si>
  <si>
    <t>B07FM6XD9K</t>
  </si>
  <si>
    <t>GW-IUHM-BONE-CF-M</t>
  </si>
  <si>
    <t>B07FMJZCZ9</t>
  </si>
  <si>
    <t>GW-IUHM-BONE-CF-S</t>
  </si>
  <si>
    <t>B07FM6XK1D</t>
  </si>
  <si>
    <t>GW-IUHM-BONE-CF-XL</t>
  </si>
  <si>
    <t>B07FMM4Q16</t>
  </si>
  <si>
    <t>GW-IUHM-BONE-GR-L</t>
  </si>
  <si>
    <t>B07FM5RQDQ</t>
  </si>
  <si>
    <t>GW-IUHM-BONE-GR-M</t>
  </si>
  <si>
    <t>B07FMLX98P</t>
  </si>
  <si>
    <t>GW-IUHM-BONE-GR-S</t>
  </si>
  <si>
    <t>B07FM6MGV9</t>
  </si>
  <si>
    <t>GW-IUHM-BONE-GR-XL</t>
  </si>
  <si>
    <t>B07FM6XTK8</t>
  </si>
  <si>
    <t>GW-IUHM-BONE-LB-L</t>
  </si>
  <si>
    <t>B07FM6LVGV</t>
  </si>
  <si>
    <t>GW-IUHM-BONE-LB-M</t>
  </si>
  <si>
    <t>B07FMJ7PGR</t>
  </si>
  <si>
    <t>GW-IUHM-BONE-LB-S</t>
  </si>
  <si>
    <t>B07FM5RNMG</t>
  </si>
  <si>
    <t>GW-IUHM-BONE-LB-XL</t>
  </si>
  <si>
    <t>B07FMBYQDN</t>
  </si>
  <si>
    <t>GW-IUHM-BONE-PK-L</t>
  </si>
  <si>
    <t>B07FM8ZD2W</t>
  </si>
  <si>
    <t>GW-IUHM-BONE-PK-M</t>
  </si>
  <si>
    <t>B07FM6X9XD</t>
  </si>
  <si>
    <t>GW-IUHM-BONE-PK-S</t>
  </si>
  <si>
    <t>B07FM6X922</t>
  </si>
  <si>
    <t>GW-IUHM-BONE-PK-XL</t>
  </si>
  <si>
    <t>B07FM7ZB3H</t>
  </si>
  <si>
    <t>GW-IUHM-PAW-CF-L</t>
  </si>
  <si>
    <t>B07FMF521W</t>
  </si>
  <si>
    <t>GW-IUHM-PAW-CF-M</t>
  </si>
  <si>
    <t>B07FM6XPBL</t>
  </si>
  <si>
    <t>GW-IUHM-PAW-CF-S</t>
  </si>
  <si>
    <t>B07FM6XH9K</t>
  </si>
  <si>
    <t>GW-IUHM-PAW-CF-XL</t>
  </si>
  <si>
    <t>B07FM5R5JH</t>
  </si>
  <si>
    <t>GW-IUHM-PAW-GN-L</t>
  </si>
  <si>
    <t>B07FM6WPSH</t>
  </si>
  <si>
    <t>GW-IUHM-PAW-GN-M</t>
  </si>
  <si>
    <t>B07FM5RP8F</t>
  </si>
  <si>
    <t>GW-IUHM-PAW-GN-S</t>
  </si>
  <si>
    <t>B07FM6Y6QN</t>
  </si>
  <si>
    <t>GW-IUHM-PAW-GN-XL</t>
  </si>
  <si>
    <t>B07FMBSW8Q</t>
  </si>
  <si>
    <t>GW-IUHM-PAW-LB-L</t>
  </si>
  <si>
    <t>B07FMBSRLC</t>
  </si>
  <si>
    <t>GW-IUHM-PAW-LB-M</t>
  </si>
  <si>
    <t>B07FM6WZNK</t>
  </si>
  <si>
    <t>GW-IUHM-PAW-LB-S</t>
  </si>
  <si>
    <t>B07FM1B31D</t>
  </si>
  <si>
    <t>GW-IUHM-PAW-LB-XL</t>
  </si>
  <si>
    <t>B07FM1PWXY</t>
  </si>
  <si>
    <t>GW-IUHM-PAW-OR-L</t>
  </si>
  <si>
    <t>B07FM1N386</t>
  </si>
  <si>
    <t>GW-IUHM-PAW-OR-M</t>
  </si>
  <si>
    <t>B07FM1N358</t>
  </si>
  <si>
    <t>GW-IUHM-PAW-OR-S</t>
  </si>
  <si>
    <t>B07FMJ852H</t>
  </si>
  <si>
    <t>GW-IUHM-PAW-OR-XL</t>
  </si>
  <si>
    <t>B07FMD84PY</t>
  </si>
  <si>
    <t>GW-IUHM-PAW-PK-L</t>
  </si>
  <si>
    <t>B07FM7Z6C9</t>
  </si>
  <si>
    <t>GW-IUHM-PAW-PK-M</t>
  </si>
  <si>
    <t>B07FMJ672F</t>
  </si>
  <si>
    <t>GW-IUHM-PAW-PK-S</t>
  </si>
  <si>
    <t>B07FMC5GL6</t>
  </si>
  <si>
    <t>GW-IUHM-PAW-PK-XL</t>
  </si>
  <si>
    <t>B07FM7ZXWX</t>
  </si>
  <si>
    <t>GW-LULHY-10</t>
  </si>
  <si>
    <t>B01M3R3CVA</t>
  </si>
  <si>
    <t>GW-LULHY</t>
  </si>
  <si>
    <t>GW-LULHY-4.5</t>
  </si>
  <si>
    <t>B078HNLGWS</t>
  </si>
  <si>
    <t>GW-LULHY-5.1</t>
  </si>
  <si>
    <t>B078H79DCY</t>
  </si>
  <si>
    <t>GW-LULHY-6.2</t>
  </si>
  <si>
    <t>B078HD4M37</t>
  </si>
  <si>
    <t>GW-LULHY-7.6</t>
  </si>
  <si>
    <t>B019V6RKPQ</t>
  </si>
  <si>
    <t>GW-LULHY-8.8</t>
  </si>
  <si>
    <t>B019V6P53K</t>
  </si>
  <si>
    <t>HZB-QJTZ-IUYL300310</t>
  </si>
  <si>
    <t>B07B9WYZG3</t>
  </si>
  <si>
    <t>KZ-LY021-BK-32</t>
  </si>
  <si>
    <t>B077Z3FG6P</t>
  </si>
  <si>
    <t>KZ-LY021</t>
  </si>
  <si>
    <t>KZ-LY021-BK-34</t>
  </si>
  <si>
    <t>B077YWH21S</t>
  </si>
  <si>
    <t>KZ-LY021-BK-36</t>
  </si>
  <si>
    <t>B077Z7RY9J</t>
  </si>
  <si>
    <t>KZ-LY021-BK-38</t>
  </si>
  <si>
    <t>B077Z7RP45</t>
  </si>
  <si>
    <t>KZ-LY021-BK-40</t>
  </si>
  <si>
    <t>B077Z1TXX5</t>
  </si>
  <si>
    <t>KZ-LY021-BL-32</t>
  </si>
  <si>
    <t>B077YWH5DT</t>
  </si>
  <si>
    <t>KZ-LY021-BL-34</t>
  </si>
  <si>
    <t>B0785Q5CB9</t>
  </si>
  <si>
    <t>KZ-LY021-BL-36</t>
  </si>
  <si>
    <t>B077Z629JV</t>
  </si>
  <si>
    <t>KZ-LY021-BL-38</t>
  </si>
  <si>
    <t>B077Z5M1T9</t>
  </si>
  <si>
    <t>KZ-LY021-BL-40</t>
  </si>
  <si>
    <t>B077Z1SBLC</t>
  </si>
  <si>
    <t>KZ-LY021-GY-32</t>
  </si>
  <si>
    <t>B0785PHFJC</t>
  </si>
  <si>
    <t>KZ-LY021-GY-34</t>
  </si>
  <si>
    <t>B077Z1SFPY</t>
  </si>
  <si>
    <t>KZ-LY021-GY-36</t>
  </si>
  <si>
    <t>B077YWGZ93</t>
  </si>
  <si>
    <t>KZ-LY021-GY-38</t>
  </si>
  <si>
    <t>B077Z1QNCD</t>
  </si>
  <si>
    <t>KZ-LY021-GY-40</t>
  </si>
  <si>
    <t>B077YWGW7H</t>
  </si>
  <si>
    <t>KZ-LY021-KK-32</t>
  </si>
  <si>
    <t>B0785PS8WV</t>
  </si>
  <si>
    <t>KZ-LY021-KK-34</t>
  </si>
  <si>
    <t>B0785SC1FB</t>
  </si>
  <si>
    <t>KZ-LY021-KK-38</t>
  </si>
  <si>
    <t>B077Z5LR3B</t>
  </si>
  <si>
    <t>KZ-LY021-KK-40</t>
  </si>
  <si>
    <t>B077YWGXBQ</t>
  </si>
  <si>
    <t>KZ-LY021-NY-32</t>
  </si>
  <si>
    <t>B077Z7RK81</t>
  </si>
  <si>
    <t>KZ-LY021-NY-34</t>
  </si>
  <si>
    <t>B077Z617BX</t>
  </si>
  <si>
    <t>KZ-LY021-NY-36</t>
  </si>
  <si>
    <t>B0785RM358</t>
  </si>
  <si>
    <t>KZ-LY021-NY-38</t>
  </si>
  <si>
    <t>B077Z1QPRQ</t>
  </si>
  <si>
    <t>KZ-LY021-NY-40</t>
  </si>
  <si>
    <t>B077Z3FG6V</t>
  </si>
  <si>
    <t>KZ-LY021-WR-32</t>
  </si>
  <si>
    <t>B077Z7R3DQ</t>
  </si>
  <si>
    <t>KZ-LY021-WR-34</t>
  </si>
  <si>
    <t>B0785PV9GH</t>
  </si>
  <si>
    <t>KZ-LY021-WR-36</t>
  </si>
  <si>
    <t>B0785P964M</t>
  </si>
  <si>
    <t>KZ-LY021-WR-38</t>
  </si>
  <si>
    <t>B077Z7QZZY</t>
  </si>
  <si>
    <t>KZ-LY021-WR-40</t>
  </si>
  <si>
    <t>B077YWGR1B</t>
  </si>
  <si>
    <t>LGQ-IUYL100-BL</t>
  </si>
  <si>
    <t>B0798PCSXB</t>
  </si>
  <si>
    <t>LGQ-IUYL100</t>
  </si>
  <si>
    <t>LGQ-IUYL100-GN</t>
  </si>
  <si>
    <t>B0798NZCMN</t>
  </si>
  <si>
    <t>LGQ-IUYL100-PK</t>
  </si>
  <si>
    <t>B0798PX336</t>
  </si>
  <si>
    <t>LGQ-IUYL100-RD</t>
  </si>
  <si>
    <t>B0798PY6XT</t>
  </si>
  <si>
    <t>LGQ-IUYL100-WT</t>
  </si>
  <si>
    <t>B0798P1DCX</t>
  </si>
  <si>
    <t>LGQ-IUYL100-YL</t>
  </si>
  <si>
    <t>B0798NZTJD</t>
  </si>
  <si>
    <t>LYQ-WF7125-BO-2X</t>
  </si>
  <si>
    <t>B077XTXJ7Q</t>
  </si>
  <si>
    <t>WF7125</t>
  </si>
  <si>
    <t>LYQ-WF7125-BO-L</t>
  </si>
  <si>
    <t>B077XX3FN9</t>
  </si>
  <si>
    <t>LYQ-WF7125-BO-M</t>
  </si>
  <si>
    <t>B077XX612Q</t>
  </si>
  <si>
    <t>LYQ-WF7125-BO-S</t>
  </si>
  <si>
    <t>B077XRHLYX</t>
  </si>
  <si>
    <t>LYQ-WF7125-BO-XL</t>
  </si>
  <si>
    <t>B077XQDLK8</t>
  </si>
  <si>
    <t>LYQ-WF7125-K0-2L</t>
  </si>
  <si>
    <t>B077XX5X7K</t>
  </si>
  <si>
    <t>LYQ-WF7125-KO-L</t>
  </si>
  <si>
    <t>B077XVSQHX</t>
  </si>
  <si>
    <t>LYQ-WF7125-KO-M</t>
  </si>
  <si>
    <t>B077XTZVP8</t>
  </si>
  <si>
    <t>LYQ-WF7125-KO-S</t>
  </si>
  <si>
    <t>B077XQBJQ8</t>
  </si>
  <si>
    <t>LYQ-WF7125-KO-XL</t>
  </si>
  <si>
    <t>B077XVV8MB</t>
  </si>
  <si>
    <t>LYQ-WF7125-NO-2L</t>
  </si>
  <si>
    <t>B0785HZPS2</t>
  </si>
  <si>
    <t>LYQ-WF7125-NO-L</t>
  </si>
  <si>
    <t>B077XRZBGV</t>
  </si>
  <si>
    <t>LYQ-WF7125-NO-S</t>
  </si>
  <si>
    <t>B0785L1H91</t>
  </si>
  <si>
    <t>LYQ-WF7125-NO-XL</t>
  </si>
  <si>
    <t>B077XV3LFS</t>
  </si>
  <si>
    <t>LYQ-WF7125-NO-XS</t>
  </si>
  <si>
    <t>B077XX5QDF</t>
  </si>
  <si>
    <t>LYQ-WF7125-PO-2L</t>
  </si>
  <si>
    <t>B077XVSW32</t>
  </si>
  <si>
    <t>LYQ-WF7125-PO-L</t>
  </si>
  <si>
    <t>B077XQBVHJ</t>
  </si>
  <si>
    <t>LYQ-WF7125-PO-M</t>
  </si>
  <si>
    <t>B077XTXHVH</t>
  </si>
  <si>
    <t>LYQ-WF7125-PO-S</t>
  </si>
  <si>
    <t>B0785K545N</t>
  </si>
  <si>
    <t>LYQ-WF7125-PO-XL</t>
  </si>
  <si>
    <t>B0785L1RRG</t>
  </si>
  <si>
    <t>LYQ-WF7125-PO-XS</t>
  </si>
  <si>
    <t>B0785JC4N5</t>
  </si>
  <si>
    <t>LYQ-WF7125-WO-2L</t>
  </si>
  <si>
    <t>B077XQDLK1</t>
  </si>
  <si>
    <t>LYQ-WF7125-WO-M</t>
  </si>
  <si>
    <t>B077XRYWSK</t>
  </si>
  <si>
    <t>LYQ-WF7125-WO-XL</t>
  </si>
  <si>
    <t>B077XTXG7X</t>
  </si>
  <si>
    <t>LYQ-WF7125-WO-XS</t>
  </si>
  <si>
    <t>B077XRZ4P9</t>
  </si>
  <si>
    <t>MJ-IUYL230-BL-L</t>
  </si>
  <si>
    <t>B079GNVPFC</t>
  </si>
  <si>
    <t>MJ-IUYL230</t>
  </si>
  <si>
    <t>MJ-IUYL230-BL-S</t>
  </si>
  <si>
    <t>B079GN5DSL</t>
  </si>
  <si>
    <t>MJ-IUYL230-CF-L</t>
  </si>
  <si>
    <t>B079GTFGYN</t>
  </si>
  <si>
    <t>MJ-IUYL230-CF-S</t>
  </si>
  <si>
    <t>B079GQWL9S</t>
  </si>
  <si>
    <t>MJ-IUYL230-PK-L</t>
  </si>
  <si>
    <t>B079GQ7X19</t>
  </si>
  <si>
    <t>MJ-IUYL230-PK-S</t>
  </si>
  <si>
    <t>B079GS1ZJR</t>
  </si>
  <si>
    <t>MMDC-IUHM100-BK</t>
  </si>
  <si>
    <t>B07FMJ852L</t>
  </si>
  <si>
    <t>MMDC-IUHM100</t>
  </si>
  <si>
    <t>MMDC-IUHM100-BL</t>
  </si>
  <si>
    <t>B07FM7ZQJJ</t>
  </si>
  <si>
    <t>MMDC-IUHM100-PK</t>
  </si>
  <si>
    <t>B07FMJW6W8</t>
  </si>
  <si>
    <t>MY-PUHM001-OR-10</t>
  </si>
  <si>
    <t>B077N24PG2</t>
  </si>
  <si>
    <t>MY-PUHM001</t>
  </si>
  <si>
    <t>MY-PUHM001-OR-12</t>
  </si>
  <si>
    <t>B077N3LV33</t>
  </si>
  <si>
    <t>MY-PUHM001-OR-14</t>
  </si>
  <si>
    <t>B077MXMG77</t>
  </si>
  <si>
    <t>MY-PUHM001-OR-16</t>
  </si>
  <si>
    <t>B07841ZNJ5</t>
  </si>
  <si>
    <t>MY-PUHM001-OR-20</t>
  </si>
  <si>
    <t>B077NBCRDS</t>
  </si>
  <si>
    <t>MY-PUHM001-OR-24</t>
  </si>
  <si>
    <t>B077N7P2RN</t>
  </si>
  <si>
    <t>MY-PUHM001-OR-28</t>
  </si>
  <si>
    <t>B077NBQKPK</t>
  </si>
  <si>
    <t>MY-PUHM001-OR-8</t>
  </si>
  <si>
    <t>B077N1QGPK</t>
  </si>
  <si>
    <t>MY-PUHM001-R0-10</t>
  </si>
  <si>
    <t>B077MTV31P</t>
  </si>
  <si>
    <t>MY-PUHM001-R0-12</t>
  </si>
  <si>
    <t>B077N58RS3</t>
  </si>
  <si>
    <t>MY-PUHM001-R0-14</t>
  </si>
  <si>
    <t>B077N3KY6X</t>
  </si>
  <si>
    <t>MY-PUHM001-R0-16</t>
  </si>
  <si>
    <t>B077MYVL7W</t>
  </si>
  <si>
    <t>MY-PUHM001-R0-20</t>
  </si>
  <si>
    <t>B077N9TKMC</t>
  </si>
  <si>
    <t>MY-PUHM001-R0-24</t>
  </si>
  <si>
    <t>B07842C2Q3</t>
  </si>
  <si>
    <t>MY-PUHM001-R0-28</t>
  </si>
  <si>
    <t>B077N47MTG</t>
  </si>
  <si>
    <t>MY-PUHM001-R0-8</t>
  </si>
  <si>
    <t>B077ND3YXB</t>
  </si>
  <si>
    <t>MY-PUHM001-ZL-10</t>
  </si>
  <si>
    <t>B077MWVFXR</t>
  </si>
  <si>
    <t>MY-PUHM001-ZL-12</t>
  </si>
  <si>
    <t>B077N4VS3G</t>
  </si>
  <si>
    <t>MY-PUHM001-ZL-14</t>
  </si>
  <si>
    <t>B077N3LV38</t>
  </si>
  <si>
    <t>MY-PUHM001-ZL-16</t>
  </si>
  <si>
    <t>B077N845BF</t>
  </si>
  <si>
    <t>MY-PUHM001-ZL-20</t>
  </si>
  <si>
    <t>B077MXBX5H</t>
  </si>
  <si>
    <t>MY-PUHM001-ZL-24</t>
  </si>
  <si>
    <t>B077N685Q4</t>
  </si>
  <si>
    <t>MY-PUHM001-ZL-28</t>
  </si>
  <si>
    <t>B077NBB2XS</t>
  </si>
  <si>
    <t>MY-PUHM001-ZL-8</t>
  </si>
  <si>
    <t>B077NB45R7</t>
  </si>
  <si>
    <t>MY-PUHM035-R0-L</t>
  </si>
  <si>
    <t>B077SPDT2V</t>
  </si>
  <si>
    <t>MY-PUHM035</t>
  </si>
  <si>
    <t>MY-PUHM035-R0-M</t>
  </si>
  <si>
    <t>B077SNBTYK</t>
  </si>
  <si>
    <t>MY-PUHM035-R0-S</t>
  </si>
  <si>
    <t>B077SSQ158</t>
  </si>
  <si>
    <t>MY-PUHM035-R0-XL</t>
  </si>
  <si>
    <t>B0784RRGDD</t>
  </si>
  <si>
    <t>MY-PUHM035-R0-XXL</t>
  </si>
  <si>
    <t>B077SDYYKL</t>
  </si>
  <si>
    <t>MY-PUHM036-B0-L</t>
  </si>
  <si>
    <t>B077SPDQMX</t>
  </si>
  <si>
    <t>MY-PUHM036</t>
  </si>
  <si>
    <t>MY-PUHM036-B0-M</t>
  </si>
  <si>
    <t>B0784T4MYY</t>
  </si>
  <si>
    <t>MY-PUHM036-B0-S</t>
  </si>
  <si>
    <t>B077SDZ32V</t>
  </si>
  <si>
    <t>MY-PUHM036-B0-XL</t>
  </si>
  <si>
    <t>B078C5JLZV</t>
  </si>
  <si>
    <t>MY-PUHM036-B0-XXL</t>
  </si>
  <si>
    <t>B077SSQFMX</t>
  </si>
  <si>
    <t>MY-PUHM582-B0-L</t>
  </si>
  <si>
    <t>B07843N7TB</t>
  </si>
  <si>
    <t>MY-PUHM582</t>
  </si>
  <si>
    <t>MY-PUHM582-B0-M</t>
  </si>
  <si>
    <t>B077P3Q2LJ</t>
  </si>
  <si>
    <t>MY-PUHM582-B0-S</t>
  </si>
  <si>
    <t>B077P6GQ66</t>
  </si>
  <si>
    <t>MY-PUHM582-B0-XL</t>
  </si>
  <si>
    <t>B077P1HZH5</t>
  </si>
  <si>
    <t>MY-PUHM582-B0-XS</t>
  </si>
  <si>
    <t>B07843WRKL</t>
  </si>
  <si>
    <t>MY-PUHM582-R0-L</t>
  </si>
  <si>
    <t>B077P25L34</t>
  </si>
  <si>
    <t>MY-PUHM582-R0-M</t>
  </si>
  <si>
    <t>B07844WCH2</t>
  </si>
  <si>
    <t>MY-PUHM582-R0-S</t>
  </si>
  <si>
    <t>B077P76342</t>
  </si>
  <si>
    <t>MY-PUHM582-R0-XL</t>
  </si>
  <si>
    <t>B077P6GSLS</t>
  </si>
  <si>
    <t>MY-PUHM582-R0-XS</t>
  </si>
  <si>
    <t>B077P6DN7F</t>
  </si>
  <si>
    <t>Pajamas-sb001-GR-L</t>
  </si>
  <si>
    <t>B0747L9WY7</t>
  </si>
  <si>
    <t>Pajamas-sb001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</si>
  <si>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</si>
  <si>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</si>
  <si>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</si>
  <si>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</si>
  <si>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</si>
  <si>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</si>
  <si>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</si>
  <si>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</si>
  <si>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</si>
  <si>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</si>
  <si>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Pajamas-sb001-NY-M</t>
  </si>
  <si>
    <t>B0747QGRJ7</t>
  </si>
  <si>
    <t>Pajamas-sb001-WT-M</t>
  </si>
  <si>
    <t>B0747P1RP8</t>
  </si>
  <si>
    <t>Pajamas-sb001-WT-XL</t>
  </si>
  <si>
    <t>B0747MN5MG</t>
  </si>
  <si>
    <t>RY-PUHM716-B0-L</t>
  </si>
  <si>
    <t>B077MXLJYR</t>
  </si>
  <si>
    <t>RY-PUHM716</t>
  </si>
  <si>
    <t>RY-PUHM716-B0-M</t>
  </si>
  <si>
    <t>B077N5HSXR</t>
  </si>
  <si>
    <t>RY-PUHM716-B0-S</t>
  </si>
  <si>
    <t>B0784285GH</t>
  </si>
  <si>
    <t>RY-PUHM716-B0-XL</t>
  </si>
  <si>
    <t>B077N6RL2N</t>
  </si>
  <si>
    <t>RY-PUHM716-B0-XXL</t>
  </si>
  <si>
    <t>B077NNVQ58</t>
  </si>
  <si>
    <t>RY-PUHM716-KQ-L</t>
  </si>
  <si>
    <t>B077N91KX8</t>
  </si>
  <si>
    <t>RY-PUHM716-KQ-M</t>
  </si>
  <si>
    <t>B077N641W6</t>
  </si>
  <si>
    <t>RY-PUHM716-KQ-S</t>
  </si>
  <si>
    <t>B077N28DGY</t>
  </si>
  <si>
    <t>RY-PUHM716-KQ-XL</t>
  </si>
  <si>
    <t>B077MZVCLY</t>
  </si>
  <si>
    <t>RY-PUHM716-KQ-XXL</t>
  </si>
  <si>
    <t>B077N1HRR8</t>
  </si>
  <si>
    <t>RY-PUHM716-PI-L</t>
  </si>
  <si>
    <t>B077MWZHRH</t>
  </si>
  <si>
    <t>RY-PUHM716-PI-M</t>
  </si>
  <si>
    <t>B077N2B7N1</t>
  </si>
  <si>
    <t>RY-PUHM716-PI-S</t>
  </si>
  <si>
    <t>B077NGZSN7</t>
  </si>
  <si>
    <t>RY-PUHM716-PI-XL</t>
  </si>
  <si>
    <t>B077MXLJYL</t>
  </si>
  <si>
    <t>RY-PUHM716-PI-XXL</t>
  </si>
  <si>
    <t>B07842CPN5</t>
  </si>
  <si>
    <t>SCF-A01-007</t>
  </si>
  <si>
    <t>B075XH7C42</t>
  </si>
  <si>
    <t>SCF-A01</t>
  </si>
  <si>
    <t>SCF-A01-008</t>
  </si>
  <si>
    <t>B075XCHJXX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</si>
  <si>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</si>
  <si>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</si>
  <si>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</si>
  <si>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</si>
  <si>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</si>
  <si>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</si>
  <si>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</si>
  <si>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</si>
  <si>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</si>
  <si>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</si>
  <si>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</si>
  <si>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</si>
  <si>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</t>
  </si>
  <si>
    <t>SCF-B01-002</t>
  </si>
  <si>
    <t>B075XFH141</t>
  </si>
  <si>
    <t>SCF-B01-003</t>
  </si>
  <si>
    <t>B075XHVZNY</t>
  </si>
  <si>
    <t>SCF-B01-004</t>
  </si>
  <si>
    <t>B075XH1TBD</t>
  </si>
  <si>
    <t>SCF-B01-005</t>
  </si>
  <si>
    <t>B075XGCNH2</t>
  </si>
  <si>
    <t>SCF-B01-006</t>
  </si>
  <si>
    <t>B075XG5JVY</t>
  </si>
  <si>
    <t>SCF-B01-007</t>
  </si>
  <si>
    <t>B075XCJ63F</t>
  </si>
  <si>
    <t>SCF-B01-008</t>
  </si>
  <si>
    <t>B075XH35SF</t>
  </si>
  <si>
    <t>SCF-B01-009</t>
  </si>
  <si>
    <t>B075XF8TFV</t>
  </si>
  <si>
    <t>SCF-B01-011</t>
  </si>
  <si>
    <t>B075XDTMSM</t>
  </si>
  <si>
    <t>SCF-B01-012</t>
  </si>
  <si>
    <t>B075XHCCFQ</t>
  </si>
  <si>
    <t>SCF-B01-013</t>
  </si>
  <si>
    <t>B075XCS3QN</t>
  </si>
  <si>
    <t>SCF-B01-014</t>
  </si>
  <si>
    <t>B075X9JZX3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</si>
  <si>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</si>
  <si>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</si>
  <si>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</si>
  <si>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</si>
  <si>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</si>
  <si>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</si>
  <si>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</si>
  <si>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</si>
  <si>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</si>
  <si>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</si>
  <si>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SCF-B01-020</t>
  </si>
  <si>
    <t>B075XFQC8B</t>
  </si>
  <si>
    <t>SCF-B01-021</t>
  </si>
  <si>
    <t>B075XJBNCS</t>
  </si>
  <si>
    <t>SCF-B01-022</t>
  </si>
  <si>
    <t>B075XG6Z6C</t>
  </si>
  <si>
    <t>SCF-C01-003</t>
  </si>
  <si>
    <t>B075WQNT6B</t>
  </si>
  <si>
    <t>SCF-C01</t>
  </si>
  <si>
    <t>SCF-C01-005</t>
  </si>
  <si>
    <t>B075WR57PJ</t>
  </si>
  <si>
    <t>SCF-C01-006</t>
  </si>
  <si>
    <t>B075WS87MQ</t>
  </si>
  <si>
    <t>SCF-C01-007</t>
  </si>
  <si>
    <t>B075WSXH1N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</si>
  <si>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</si>
  <si>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</si>
  <si>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</si>
  <si>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</si>
  <si>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</si>
  <si>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</si>
  <si>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</si>
  <si>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</si>
  <si>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SCF-C01-012</t>
  </si>
  <si>
    <t>B075WQJ859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</si>
  <si>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</si>
  <si>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</si>
  <si>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</si>
  <si>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</si>
  <si>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</si>
  <si>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</si>
  <si>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</si>
  <si>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</si>
  <si>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</si>
  <si>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</si>
  <si>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</si>
  <si>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</si>
  <si>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SCF-D01-004</t>
  </si>
  <si>
    <t>B075WT8RQN</t>
  </si>
  <si>
    <t>SCF-D01</t>
  </si>
  <si>
    <t>SCF-D01-006</t>
  </si>
  <si>
    <t>B075WRWK44</t>
  </si>
  <si>
    <t>SCF-D01-007</t>
  </si>
  <si>
    <t>B075WPHHKW</t>
  </si>
  <si>
    <t>SCF-D01-009</t>
  </si>
  <si>
    <t>B075WPX32B</t>
  </si>
  <si>
    <t>SCF-D01-011</t>
  </si>
  <si>
    <t>B075WSLZ5G</t>
  </si>
  <si>
    <t>SCF-D01-012</t>
  </si>
  <si>
    <t>B075WPSRD1</t>
  </si>
  <si>
    <t>SCF-D01-015</t>
  </si>
  <si>
    <t>B075WRTSV9</t>
  </si>
  <si>
    <t>SCF-D01-017</t>
  </si>
  <si>
    <t>B075WSD44L</t>
  </si>
  <si>
    <t>SCF-SJ006-Puzzle-OS</t>
  </si>
  <si>
    <t>B073V1XLYJ</t>
  </si>
  <si>
    <t>SCF-SJ006</t>
  </si>
  <si>
    <t>ST-K157-B0-32</t>
  </si>
  <si>
    <t>B073Q1437J</t>
  </si>
  <si>
    <t>ST-K157</t>
  </si>
  <si>
    <t>ST-K157-KQ-32</t>
  </si>
  <si>
    <t>B073PZDYM9</t>
  </si>
  <si>
    <t>ST-K559-KQ-34</t>
  </si>
  <si>
    <t>B073QHBYV3</t>
  </si>
  <si>
    <t>ST-K559</t>
  </si>
  <si>
    <t>ST-K559-KQ-44</t>
  </si>
  <si>
    <t>B073QH2KWY</t>
  </si>
  <si>
    <t>ST-K559-OR-32</t>
  </si>
  <si>
    <t>B073QGK1FW</t>
  </si>
  <si>
    <t>ST005-BK-S</t>
  </si>
  <si>
    <t>B074P3WK1B</t>
  </si>
  <si>
    <t>ST005</t>
  </si>
  <si>
    <t>ST005-BL1-L</t>
  </si>
  <si>
    <t>B074NWD9JL</t>
  </si>
  <si>
    <t>ST005-BL2-S</t>
  </si>
  <si>
    <t>B074P5N47H</t>
  </si>
  <si>
    <t>ST005-GN-S</t>
  </si>
  <si>
    <t>B074NZHLJW</t>
  </si>
  <si>
    <t>ST005-RD-S</t>
  </si>
  <si>
    <t>B074P34K32</t>
  </si>
  <si>
    <t>ST005-RD1-M</t>
  </si>
  <si>
    <t>B074NRHJQL</t>
  </si>
  <si>
    <t>ST005-RD1-S</t>
  </si>
  <si>
    <t>B074NWPZS3</t>
  </si>
  <si>
    <t>ST006-BK-XL</t>
  </si>
  <si>
    <t>B074NVHR58</t>
  </si>
  <si>
    <t>ST006</t>
  </si>
  <si>
    <t>ST006-BL-S</t>
  </si>
  <si>
    <t>B074P2B6M8</t>
  </si>
  <si>
    <t>ST006-BL2-S</t>
  </si>
  <si>
    <t>B074NVH8G2</t>
  </si>
  <si>
    <t>ST006-CF-M</t>
  </si>
  <si>
    <t>B074P1DYRF</t>
  </si>
  <si>
    <t>ST006-CF-S</t>
  </si>
  <si>
    <t>B074NQZMVQ</t>
  </si>
  <si>
    <t>ST006-GN-M</t>
  </si>
  <si>
    <t>B074NZX79C</t>
  </si>
  <si>
    <t>ST006-GN-S</t>
  </si>
  <si>
    <t>B074P1LKV2</t>
  </si>
  <si>
    <t>ST006-RD1-S</t>
  </si>
  <si>
    <t>B074P5J7Y8</t>
  </si>
  <si>
    <t>ST006-RD2-XL</t>
  </si>
  <si>
    <t>B074P6BFX9</t>
  </si>
  <si>
    <t>ST084-H15-S</t>
  </si>
  <si>
    <t>B06XPWLNQP</t>
  </si>
  <si>
    <t>ST084</t>
  </si>
  <si>
    <t>ST084-H15-XXL</t>
  </si>
  <si>
    <t>B06XPWWWTB</t>
  </si>
  <si>
    <t>ST085-LB916-M</t>
  </si>
  <si>
    <t>B06XYZHW8G</t>
  </si>
  <si>
    <t>ST085</t>
  </si>
  <si>
    <t>ST085-LB916-S</t>
  </si>
  <si>
    <t>B06XYZF3QP</t>
  </si>
  <si>
    <t>ST122-N0-2XL</t>
  </si>
  <si>
    <t>B06Y2NBHKP</t>
  </si>
  <si>
    <t>ST122</t>
  </si>
  <si>
    <t>ST122-WR-S</t>
  </si>
  <si>
    <t>B06Y2SFW95</t>
  </si>
  <si>
    <t>ST155-AG-30</t>
  </si>
  <si>
    <t>B071JY11V7</t>
  </si>
  <si>
    <t>ST155</t>
  </si>
  <si>
    <t>ST155-AG-32</t>
  </si>
  <si>
    <t>B071JXZVZV</t>
  </si>
  <si>
    <t>ST155-AG-38</t>
  </si>
  <si>
    <t>B0721B4X7S</t>
  </si>
  <si>
    <t>ST166-B28-4-L</t>
  </si>
  <si>
    <t>B072PQ55W6</t>
  </si>
  <si>
    <t>ST166</t>
  </si>
  <si>
    <t>ST166-B28-4-S</t>
  </si>
  <si>
    <t>B072J7L6PX</t>
  </si>
  <si>
    <t>ST166-B28-4-XXL</t>
  </si>
  <si>
    <t>B0719P8LD3</t>
  </si>
  <si>
    <t>ST166-K33-1-S</t>
  </si>
  <si>
    <t>B0711XBBFZ</t>
  </si>
  <si>
    <t>ST166-K33-1-XL</t>
  </si>
  <si>
    <t>B072PQ6GGL</t>
  </si>
  <si>
    <t>ST166-K33-1-XXL</t>
  </si>
  <si>
    <t>B072J7L582</t>
  </si>
  <si>
    <t>ST166-K33-4-M</t>
  </si>
  <si>
    <t>B0711XBC78</t>
  </si>
  <si>
    <t>ST166-K33-4-S</t>
  </si>
  <si>
    <t>B07173Q2FN</t>
  </si>
  <si>
    <t>ST167-BK-XXL</t>
  </si>
  <si>
    <t>B07173XFVT</t>
  </si>
  <si>
    <t>ST167</t>
  </si>
  <si>
    <t>ST167-K0-XXL</t>
  </si>
  <si>
    <t>ST170-LB-L</t>
  </si>
  <si>
    <t>B073PPTS8L</t>
  </si>
  <si>
    <t>ST170</t>
  </si>
  <si>
    <t>ST170-LB-M</t>
  </si>
  <si>
    <t>B073PQ752P</t>
  </si>
  <si>
    <t>ST170-LB-S</t>
  </si>
  <si>
    <t>B073PPS7FM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</si>
  <si>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</si>
  <si>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</si>
  <si>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</si>
  <si>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</si>
  <si>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</si>
  <si>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</si>
  <si>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</si>
  <si>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</si>
  <si>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</si>
  <si>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</si>
  <si>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ST170-LG-XXL</t>
  </si>
  <si>
    <t>B073PQFZ61</t>
  </si>
  <si>
    <t>ST170-PK-M</t>
  </si>
  <si>
    <t>B073PQ115V</t>
  </si>
  <si>
    <t>ST170-PK-XL</t>
  </si>
  <si>
    <t>B073PPHGFF</t>
  </si>
  <si>
    <t>ST170-PK-XXL</t>
  </si>
  <si>
    <t>B073PPMWTH</t>
  </si>
  <si>
    <t>ST170-SA-M</t>
  </si>
  <si>
    <t>B073PPT2TW</t>
  </si>
  <si>
    <t>ST170-SA-S</t>
  </si>
  <si>
    <t>B073PPY7H7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</si>
  <si>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</si>
  <si>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</si>
  <si>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</si>
  <si>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</si>
  <si>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</si>
  <si>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</si>
  <si>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</si>
  <si>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</si>
  <si>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ST170-WT-M</t>
  </si>
  <si>
    <t>B073PQ4WFY</t>
  </si>
  <si>
    <t>ST170-ZL-L</t>
  </si>
  <si>
    <t>B073PQ7KG6</t>
  </si>
  <si>
    <t>ST170-ZL-M</t>
  </si>
  <si>
    <t>B073PPP5ZQ</t>
  </si>
  <si>
    <t>ST170-ZL-S</t>
  </si>
  <si>
    <t>B073PPTRXC</t>
  </si>
  <si>
    <t>ST170-ZL-XL</t>
  </si>
  <si>
    <t>B073PQRR85</t>
  </si>
  <si>
    <t>ST171-LB916-M</t>
  </si>
  <si>
    <t>B073PPWDT7</t>
  </si>
  <si>
    <t>ST171</t>
  </si>
  <si>
    <t>ST171-LB916-S</t>
  </si>
  <si>
    <t>B073PQ6BZ4</t>
  </si>
  <si>
    <t>ST171-LB916-XXL</t>
  </si>
  <si>
    <t>B073PPFLNM</t>
  </si>
  <si>
    <t>ST171-Sa911-L</t>
  </si>
  <si>
    <t>B073PQLFVZ</t>
  </si>
  <si>
    <t>ST171-Sa911-M</t>
  </si>
  <si>
    <t>B073PQD5PP</t>
  </si>
  <si>
    <t>ST171-Sa911-S</t>
  </si>
  <si>
    <t>B073PQXDQX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</si>
  <si>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</si>
  <si>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</si>
  <si>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</si>
  <si>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</si>
  <si>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</si>
  <si>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</si>
  <si>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</si>
  <si>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</si>
  <si>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ST172</t>
  </si>
  <si>
    <t>ST172-BK-M</t>
  </si>
  <si>
    <t>B074T24DYN</t>
  </si>
  <si>
    <t>ST172-BK-S</t>
  </si>
  <si>
    <t>B074SNMHQJ</t>
  </si>
  <si>
    <t>ST172-BK-XL</t>
  </si>
  <si>
    <t>B074SXT551</t>
  </si>
  <si>
    <t>ST172-BL-L</t>
  </si>
  <si>
    <t>B074SZ6CL6</t>
  </si>
  <si>
    <t>ST172-BL-M</t>
  </si>
  <si>
    <t>B074SZ4SDW</t>
  </si>
  <si>
    <t>ST172-BL-S</t>
  </si>
  <si>
    <t>B074SZCMCP</t>
  </si>
  <si>
    <t>ST172-BL-XL</t>
  </si>
  <si>
    <t>B074SNP44C</t>
  </si>
  <si>
    <t>ST172-BL-XXL</t>
  </si>
  <si>
    <t>B074SQ5PJS</t>
  </si>
  <si>
    <t>ST172-GR-L</t>
  </si>
  <si>
    <t>B074SLPFD9</t>
  </si>
  <si>
    <t>ST172-GR-M</t>
  </si>
  <si>
    <t>B074T17WTF</t>
  </si>
  <si>
    <t>ST172-GR-S</t>
  </si>
  <si>
    <t>B074SL7P58</t>
  </si>
  <si>
    <t>ST172-GR-XL</t>
  </si>
  <si>
    <t>B074SLTLS9</t>
  </si>
  <si>
    <t>ST172-GR-XXL</t>
  </si>
  <si>
    <t>B074SXQ5MY</t>
  </si>
  <si>
    <t>ST172-NY-L</t>
  </si>
  <si>
    <t>B074SQ1FJK</t>
  </si>
  <si>
    <t>ST172-NY-M</t>
  </si>
  <si>
    <t>B074SPWGPS</t>
  </si>
  <si>
    <t>ST172-NY-S</t>
  </si>
  <si>
    <t>B074SYY7Q7</t>
  </si>
  <si>
    <t>ST172-NY-XL</t>
  </si>
  <si>
    <t>B074SMS5NT</t>
  </si>
  <si>
    <t>ST172-NY-XXL</t>
  </si>
  <si>
    <t>B074SLZVWD</t>
  </si>
  <si>
    <t>ST172-PK-L</t>
  </si>
  <si>
    <t>B074SQ5R3F</t>
  </si>
  <si>
    <t>ST172-PK-M</t>
  </si>
  <si>
    <t>B074SZKQMT</t>
  </si>
  <si>
    <t>ST172-PK-S</t>
  </si>
  <si>
    <t>B074SZQ1LP</t>
  </si>
  <si>
    <t>ST172-PK-XL</t>
  </si>
  <si>
    <t>B074SXQT5Z</t>
  </si>
  <si>
    <t>ST172-PK-XXL</t>
  </si>
  <si>
    <t>B074SYXBT8</t>
  </si>
  <si>
    <t>ST172-PP-L</t>
  </si>
  <si>
    <t>B074T25JWG</t>
  </si>
  <si>
    <t>ST172-PP-M</t>
  </si>
  <si>
    <t>B074SMT9CV</t>
  </si>
  <si>
    <t>ST172-PP-S</t>
  </si>
  <si>
    <t>B074SN4V6M</t>
  </si>
  <si>
    <t>ST172-PP-XL</t>
  </si>
  <si>
    <t>B074SM144J</t>
  </si>
  <si>
    <t>ST172-WR-L</t>
  </si>
  <si>
    <t>B074SM3B1W</t>
  </si>
  <si>
    <t>ST172-WR-M</t>
  </si>
  <si>
    <t>B074SXT999</t>
  </si>
  <si>
    <t>ST172-WR-S</t>
  </si>
  <si>
    <t>B074SYX9RW</t>
  </si>
  <si>
    <t>ST172-WR-XL</t>
  </si>
  <si>
    <t>B074SY2NWC</t>
  </si>
  <si>
    <t>ST172-WR-XXL</t>
  </si>
  <si>
    <t>B074SQ5NX1</t>
  </si>
  <si>
    <t>ST172-WT1-L</t>
  </si>
  <si>
    <t>B074SWPTKB</t>
  </si>
  <si>
    <t>ST172-WT1-M</t>
  </si>
  <si>
    <t>B074SNMJJ9</t>
  </si>
  <si>
    <t>ST172-WT1-S</t>
  </si>
  <si>
    <t>B074SZCXH9</t>
  </si>
  <si>
    <t>ST172-WT1-XL</t>
  </si>
  <si>
    <t>B074SZJPSD</t>
  </si>
  <si>
    <t>ST172-WT1-XXL</t>
  </si>
  <si>
    <t>B074SKM7WZ</t>
  </si>
  <si>
    <t>ST172-WT2-L</t>
  </si>
  <si>
    <t>B074SWFPBG</t>
  </si>
  <si>
    <t>ST172-WT2-M</t>
  </si>
  <si>
    <t>B074SKGP6T</t>
  </si>
  <si>
    <t>ST172-WT2-S</t>
  </si>
  <si>
    <t>B074SNVWHH</t>
  </si>
  <si>
    <t>ST172-WT2-XL</t>
  </si>
  <si>
    <t>B074SL2P7T</t>
  </si>
  <si>
    <t>ST172-WT2-XXL</t>
  </si>
  <si>
    <t>B074SZQ5DF</t>
  </si>
  <si>
    <t>ST173-BK-L</t>
  </si>
  <si>
    <t>B074SM144F</t>
  </si>
  <si>
    <t>ST173</t>
  </si>
  <si>
    <t>ST173-BK-S</t>
  </si>
  <si>
    <t>B074SM5RZS</t>
  </si>
  <si>
    <t>ST173-BK-XL</t>
  </si>
  <si>
    <t>B074T17WT8</t>
  </si>
  <si>
    <t>ST173-BK-XXL</t>
  </si>
  <si>
    <t>B074SPJFZZ</t>
  </si>
  <si>
    <t>ST173-BL-L</t>
  </si>
  <si>
    <t>B074SWQY9F</t>
  </si>
  <si>
    <t>ST173-BL-M</t>
  </si>
  <si>
    <t>B074SXT27T</t>
  </si>
  <si>
    <t>ST173-BL-S</t>
  </si>
  <si>
    <t>B074SZJYJJ</t>
  </si>
  <si>
    <t>ST173-BL-XXL</t>
  </si>
  <si>
    <t>B074ST3T2H</t>
  </si>
  <si>
    <t>ST173-GR-L</t>
  </si>
  <si>
    <t>B074SL2W76</t>
  </si>
  <si>
    <t>ST173-GR-M</t>
  </si>
  <si>
    <t>B074SMCKFY</t>
  </si>
  <si>
    <t>ST173-GR-S</t>
  </si>
  <si>
    <t>B074SVYFJC</t>
  </si>
  <si>
    <t>ST173-GR-XL</t>
  </si>
  <si>
    <t>B074SMTJC1</t>
  </si>
  <si>
    <t>ST173-GR-XXL</t>
  </si>
  <si>
    <t>B074SL2XHK</t>
  </si>
  <si>
    <t>ST173-NY-L</t>
  </si>
  <si>
    <t>B074SLG3XL</t>
  </si>
  <si>
    <t>ST173-NY-M</t>
  </si>
  <si>
    <t>B074SN3YQP</t>
  </si>
  <si>
    <t>ST173-NY-S</t>
  </si>
  <si>
    <t>B074SNF6PC</t>
  </si>
  <si>
    <t>ST173-NY-XL</t>
  </si>
  <si>
    <t>B074SMGT88</t>
  </si>
  <si>
    <t>ST173-NY-XXL</t>
  </si>
  <si>
    <t>B074SXC7GW</t>
  </si>
  <si>
    <t>ST173-PK-L</t>
  </si>
  <si>
    <t>B074SLMBT9</t>
  </si>
  <si>
    <t>ST173-PK-M</t>
  </si>
  <si>
    <t>B074SKGH3S</t>
  </si>
  <si>
    <t>ST173-PK-S</t>
  </si>
  <si>
    <t>B074SL9T1Y</t>
  </si>
  <si>
    <t>ST173-PK-XL</t>
  </si>
  <si>
    <t>B074SZD1GM</t>
  </si>
  <si>
    <t>ST173-PK-XXL</t>
  </si>
  <si>
    <t>B074SVP22M</t>
  </si>
  <si>
    <t>ST173-PP-L</t>
  </si>
  <si>
    <t>B074SL2ZGP</t>
  </si>
  <si>
    <t>ST173-PP-S</t>
  </si>
  <si>
    <t>B074SL9Y3C</t>
  </si>
  <si>
    <t>ST173-WR-L</t>
  </si>
  <si>
    <t>B074SPF7P1</t>
  </si>
  <si>
    <t>ST173-WR-M</t>
  </si>
  <si>
    <t>B074SN3YQT</t>
  </si>
  <si>
    <t>ST173-WR-S</t>
  </si>
  <si>
    <t>B074SK47ZJ</t>
  </si>
  <si>
    <t>ST173-WR-XL</t>
  </si>
  <si>
    <t>B074SZC8W1</t>
  </si>
  <si>
    <t>ST173-WR-XXL</t>
  </si>
  <si>
    <t>B074SWV9C3</t>
  </si>
  <si>
    <t>ST173-WT1-L</t>
  </si>
  <si>
    <t>B074SZJ4QG</t>
  </si>
  <si>
    <t>ST173-WT1-M</t>
  </si>
  <si>
    <t>B074SLG7RS</t>
  </si>
  <si>
    <t>ST173-WT1-S</t>
  </si>
  <si>
    <t>B074SXT853</t>
  </si>
  <si>
    <t>ST173-WT1-XXL</t>
  </si>
  <si>
    <t>B074SLSTCC</t>
  </si>
  <si>
    <t>ST173-WT2-S</t>
  </si>
  <si>
    <t>B074SZQ3FG</t>
  </si>
  <si>
    <t>ST173-WT2-XL</t>
  </si>
  <si>
    <t>B074SXSPPD</t>
  </si>
  <si>
    <t>SZ-IUYL002</t>
  </si>
  <si>
    <t>B079JF8TQM</t>
  </si>
  <si>
    <t>TZ-IUYL240-BEAR-L</t>
  </si>
  <si>
    <t>B07DFBHNBF</t>
  </si>
  <si>
    <t>TZ-IUYL240</t>
  </si>
  <si>
    <t>TZ-IUYL240-BEAR-M</t>
  </si>
  <si>
    <t>B07DFC3CFS</t>
  </si>
  <si>
    <t>TZ-IUYL240-BEAR-S</t>
  </si>
  <si>
    <t>B07DF6DDNM</t>
  </si>
  <si>
    <t>TZ-IUYL240-BONE-L</t>
  </si>
  <si>
    <t>B079HRST93</t>
  </si>
  <si>
    <t>TZ-IUYL240-BONE-M</t>
  </si>
  <si>
    <t>B079HPCGB9</t>
  </si>
  <si>
    <t>TZ-IUYL240-BONE-S</t>
  </si>
  <si>
    <t>B079HQW62H</t>
  </si>
  <si>
    <t>TZ-IUYL240-CHRISMAS-L</t>
  </si>
  <si>
    <t>B07FPF48R8</t>
  </si>
  <si>
    <t>TZ-IUYL240-CHRISMAS-M</t>
  </si>
  <si>
    <t>B07FPDR28G</t>
  </si>
  <si>
    <t>TZ-IUYL240-CHRISMAS-S</t>
  </si>
  <si>
    <t>B07FPGNFXV</t>
  </si>
  <si>
    <t>TZ-IUYL240-DOT-L</t>
  </si>
  <si>
    <t>B07C16NFVZ</t>
  </si>
  <si>
    <t>TZ-IUYL240-DOT-M</t>
  </si>
  <si>
    <t>B07CBPJCK5</t>
  </si>
  <si>
    <t>TZ-IUYL240-DOT-S</t>
  </si>
  <si>
    <t>B07CBPWQZT</t>
  </si>
  <si>
    <t>TZ-IUYL240-DOT2-L</t>
  </si>
  <si>
    <t>B07DFBKQ2D</t>
  </si>
  <si>
    <t>TZ-IUYL240-DOT2-M</t>
  </si>
  <si>
    <t>B07DF81JBH</t>
  </si>
  <si>
    <t>TZ-IUYL240-DOT2-S</t>
  </si>
  <si>
    <t>B07DF9YBBV</t>
  </si>
  <si>
    <t>TZ-IUYL240-ELPH-L</t>
  </si>
  <si>
    <t>B07BGW4LWX</t>
  </si>
  <si>
    <t>TZ-IUYL240-ELPH-M</t>
  </si>
  <si>
    <t>B07BGSSQLV</t>
  </si>
  <si>
    <t>TZ-IUYL240-ELPH-S</t>
  </si>
  <si>
    <t>B07BGWTSX6</t>
  </si>
  <si>
    <t>TZ-IUYL240-LOVE-L</t>
  </si>
  <si>
    <t>B07DL5W2R6</t>
  </si>
  <si>
    <t>TZ-IUYL240-LOVE-M</t>
  </si>
  <si>
    <t>B07DL53SBF</t>
  </si>
  <si>
    <t>TZ-IUYL240-LOVE-S</t>
  </si>
  <si>
    <t>B07DL5G8KV</t>
  </si>
  <si>
    <t>TZ-IUYL240-PAW-L</t>
  </si>
  <si>
    <t>B079HP2RFZ</t>
  </si>
  <si>
    <t>TZ-IUYL240-PAW-M</t>
  </si>
  <si>
    <t>B079HPLTVC</t>
  </si>
  <si>
    <t>TZ-IUYL240-PAW-S</t>
  </si>
  <si>
    <t>B079HQPJP2</t>
  </si>
  <si>
    <t>TZ-IUYL240-RABBIT-L</t>
  </si>
  <si>
    <t>B07DFBM9N3</t>
  </si>
  <si>
    <t>TZ-IUYL240-RABBIT-M</t>
  </si>
  <si>
    <t>B07DF6XZQC</t>
  </si>
  <si>
    <t>TZ-IUYL240-RABBIT-S</t>
  </si>
  <si>
    <t>B07DFCKR8T</t>
  </si>
  <si>
    <t>TZ-IUYL240-STAR-L</t>
  </si>
  <si>
    <t>B079HRYZ8F</t>
  </si>
  <si>
    <t>TZ-IUYL240-STAR-M</t>
  </si>
  <si>
    <t>B079HQGKS9</t>
  </si>
  <si>
    <t>TZ-IUYL240-STAR-S</t>
  </si>
  <si>
    <t>B079HS8H93</t>
  </si>
  <si>
    <t>TZ-IUYL240-STRAWBERRY-L</t>
  </si>
  <si>
    <t>B07C1P3Z1B</t>
  </si>
  <si>
    <t>TZ-IUYL240-STRAWBERRY-M</t>
  </si>
  <si>
    <t>B07CBR7LCS</t>
  </si>
  <si>
    <t>TZ-IUYL240-STRAWBERRY-S</t>
  </si>
  <si>
    <t>B07CBPP52D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</si>
  <si>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</si>
  <si>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</si>
  <si>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</si>
  <si>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</si>
  <si>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</si>
  <si>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</si>
  <si>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</si>
  <si>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</si>
  <si>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</si>
  <si>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</si>
  <si>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</si>
  <si>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</si>
  <si>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</si>
  <si>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</si>
  <si>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</si>
  <si>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</si>
  <si>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</si>
  <si>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</si>
  <si>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</si>
  <si>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B079G3D72G</t>
  </si>
  <si>
    <t>TZ-SY240</t>
  </si>
  <si>
    <t>TZ-SY240-ELPH-S</t>
  </si>
  <si>
    <t>B07BGYNNNN</t>
  </si>
  <si>
    <t>TZ-SY240-STRAWBERRY-S</t>
  </si>
  <si>
    <t>B07C8B4SK9</t>
  </si>
  <si>
    <t>XQ-IUYL260-BK-M</t>
  </si>
  <si>
    <t>B079GQ697Z</t>
  </si>
  <si>
    <t>XQ-IUYL260</t>
  </si>
  <si>
    <t>XQ-IUYL260-BK-S</t>
  </si>
  <si>
    <t>B079GPRVHY</t>
  </si>
  <si>
    <t>XQ-IUYL260-BL1-M</t>
  </si>
  <si>
    <t>B079GQ99MR</t>
  </si>
  <si>
    <t>XQ-IUYL260-BL1-S</t>
  </si>
  <si>
    <t>B079GQZMQ2</t>
  </si>
  <si>
    <t>XQ-IUYL260-BL2-M</t>
  </si>
  <si>
    <t>B079GR91JK</t>
  </si>
  <si>
    <t>XQ-IUYL260-BL2-S</t>
  </si>
  <si>
    <t>B079GLZ6K8</t>
  </si>
  <si>
    <t>XQ-IUYL260-GN-M</t>
  </si>
  <si>
    <t>B079GML28B</t>
  </si>
  <si>
    <t>XQ-IUYL260-GN-S</t>
  </si>
  <si>
    <t>B079GQ2C5K</t>
  </si>
  <si>
    <t>XQ-IUYL260-PK-M</t>
  </si>
  <si>
    <t>B079GRXYH8</t>
  </si>
  <si>
    <t>XQ-IUYL260-PK-S</t>
  </si>
  <si>
    <t>B079GMMWG2</t>
  </si>
  <si>
    <t>XQ-IUYL260-PP-M</t>
  </si>
  <si>
    <t>B079GQB66Z</t>
  </si>
  <si>
    <t>XQ-IUYL260-PP-S</t>
  </si>
  <si>
    <t>B079GNL7BD</t>
  </si>
  <si>
    <t>XQ-IUYL260-RD-M</t>
  </si>
  <si>
    <t>B079GS81P9</t>
  </si>
  <si>
    <t>XQ-IUYL260-RD-S</t>
  </si>
  <si>
    <t>B079GM3BXL</t>
  </si>
  <si>
    <t>XQ-IUYL260-YL-M</t>
  </si>
  <si>
    <t>B079GPD2NN</t>
  </si>
  <si>
    <t>XQ-IUYL260-YL-S</t>
  </si>
  <si>
    <t>B079GQYYYF</t>
  </si>
  <si>
    <t>XQ-IUYL320-BK-L</t>
  </si>
  <si>
    <t>B07C8GM23V</t>
  </si>
  <si>
    <t>XQ-IUYL320</t>
  </si>
  <si>
    <t>XQ-IUYL320-BK-M</t>
  </si>
  <si>
    <t>B07BLV8M7G</t>
  </si>
  <si>
    <t>XQ-IUYL320-BK-S</t>
  </si>
  <si>
    <t>B07BLZDS36</t>
  </si>
  <si>
    <t>XQ-IUYL320-BK-XL</t>
  </si>
  <si>
    <t>B07BLXSN84</t>
  </si>
  <si>
    <t>XQ-IUYL320-BL-L</t>
  </si>
  <si>
    <t>B07BLR3VDW</t>
  </si>
  <si>
    <t>XQ-IUYL320-BL-M</t>
  </si>
  <si>
    <t>B07BLTCKF4</t>
  </si>
  <si>
    <t>XQ-IUYL320-BL-S</t>
  </si>
  <si>
    <t>B07BLXLBHX</t>
  </si>
  <si>
    <t>XQ-IUYL320-BL-XL</t>
  </si>
  <si>
    <t>B07BLRNMV5</t>
  </si>
  <si>
    <t>XQ-IUYL320-CF-L</t>
  </si>
  <si>
    <t>B07BLT6QLH</t>
  </si>
  <si>
    <t>XQ-IUYL320-CF-M</t>
  </si>
  <si>
    <t>B07BLV5B1Y</t>
  </si>
  <si>
    <t>XQ-IUYL320-CF-S</t>
  </si>
  <si>
    <t>B07BLV93M6</t>
  </si>
  <si>
    <t>XQ-IUYL320-CF-XL</t>
  </si>
  <si>
    <t>B07BLRWWB9</t>
  </si>
  <si>
    <t>XQ-IUYL320-DB-L</t>
  </si>
  <si>
    <t>B07BLT8Z76</t>
  </si>
  <si>
    <t>XQ-IUYL320-DB-M</t>
  </si>
  <si>
    <t>B07BLS3RH4</t>
  </si>
  <si>
    <t>XQ-IUYL320-DB-S</t>
  </si>
  <si>
    <t>B07BLZ5PS4</t>
  </si>
  <si>
    <t>XQ-IUYL320-DB-XL</t>
  </si>
  <si>
    <t>B07BLRTLGM</t>
  </si>
  <si>
    <t>XQ-IUYL320-GN-L</t>
  </si>
  <si>
    <t>B07BLRDXJK</t>
  </si>
  <si>
    <t>XQ-IUYL320-GN-M</t>
  </si>
  <si>
    <t>B07C8GHD9F</t>
  </si>
  <si>
    <t>XQ-IUYL320-GN-S</t>
  </si>
  <si>
    <t>B07BLXYK2X</t>
  </si>
  <si>
    <t>XQ-IUYL320-GN-XL</t>
  </si>
  <si>
    <t>B07BLXHTK7</t>
  </si>
  <si>
    <t>XQ-IUYL320-PK-L</t>
  </si>
  <si>
    <t>B07BLV93M3</t>
  </si>
  <si>
    <t>XQ-IUYL320-PK-M</t>
  </si>
  <si>
    <t>B07BLT9556</t>
  </si>
  <si>
    <t>XQ-IUYL320-PK-S</t>
  </si>
  <si>
    <t>B07BLWPJFH</t>
  </si>
  <si>
    <t>XQ-IUYL320-PK-XL</t>
  </si>
  <si>
    <t>B07BLZ8QQW</t>
  </si>
  <si>
    <t>XQ-IUYL320-PP-L</t>
  </si>
  <si>
    <t>B07BLVMB53</t>
  </si>
  <si>
    <t>XQ-IUYL320-PP-M</t>
  </si>
  <si>
    <t>B07BLWQZKS</t>
  </si>
  <si>
    <t>XQ-IUYL320-PP-S</t>
  </si>
  <si>
    <t>B07BLSR168</t>
  </si>
  <si>
    <t>XQ-IUYL320-PP-XL</t>
  </si>
  <si>
    <t>B07BLRLRW6</t>
  </si>
  <si>
    <t>XQ-IUYL320-RD-L</t>
  </si>
  <si>
    <t>B07BLXBP85</t>
  </si>
  <si>
    <t>XQ-IUYL320-RD-M</t>
  </si>
  <si>
    <t>B07BLRWPX4</t>
  </si>
  <si>
    <t>XQ-IUYL320-RD-S</t>
  </si>
  <si>
    <t>B07BLYK979</t>
  </si>
  <si>
    <t>XQ-IUYL320-RD-XL</t>
  </si>
  <si>
    <t>B07BLX976V</t>
  </si>
  <si>
    <t>XQ-IUYL320-YL-L</t>
  </si>
  <si>
    <t>B07BLTGHH9</t>
  </si>
  <si>
    <t>XQ-IUYL320-YL-M</t>
  </si>
  <si>
    <t>B07BLSNYZP</t>
  </si>
  <si>
    <t>XQ-IUYL320-YL-S</t>
  </si>
  <si>
    <t>B07BLSLVNQ</t>
  </si>
  <si>
    <t>XQ-IUYL320-YL-XL</t>
  </si>
  <si>
    <t>B07BLVSWRJ</t>
  </si>
  <si>
    <t>scarf-0001-Blue</t>
  </si>
  <si>
    <t>B073GY4FL6</t>
  </si>
  <si>
    <t>scarf-0001</t>
  </si>
  <si>
    <t>scarf-0001-Peony</t>
  </si>
  <si>
    <t>B073GX87XH</t>
  </si>
  <si>
    <t>scarf-001-blueheart</t>
  </si>
  <si>
    <t>B073GXT1YF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</si>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</sst>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8" fillId="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0" borderId="1" applyNumberFormat="0" applyFill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23" fillId="9" borderId="7" applyNumberFormat="0" applyAlignment="0" applyProtection="0">
      <alignment vertical="center"/>
    </xf>
    <xf numFmtId="0" fontId="10" fillId="9" borderId="2" applyNumberFormat="0" applyAlignment="0" applyProtection="0">
      <alignment vertical="center"/>
    </xf>
    <xf numFmtId="0" fontId="15" fillId="15" borderId="5" applyNumberFormat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CX-TW401-blue-L</v>
          </cell>
          <cell r="B997" t="str">
            <v>CX-TW401</v>
          </cell>
        </row>
        <row r="998">
          <cell r="A998" t="str">
            <v>CX-TW401-blue-M</v>
          </cell>
          <cell r="B998" t="str">
            <v>CX-TW401</v>
          </cell>
        </row>
        <row r="999">
          <cell r="A999" t="str">
            <v>CX-TW401-blue-S</v>
          </cell>
          <cell r="B999" t="str">
            <v>CX-TW401</v>
          </cell>
        </row>
        <row r="1000">
          <cell r="A1000" t="str">
            <v>CX-TW401-blue-XL</v>
          </cell>
          <cell r="B1000" t="str">
            <v>CX-TW401</v>
          </cell>
        </row>
        <row r="1001">
          <cell r="A1001" t="str">
            <v>CX-TW401-coffee-L</v>
          </cell>
          <cell r="B1001" t="str">
            <v>CX-TW401</v>
          </cell>
        </row>
        <row r="1002">
          <cell r="A1002" t="str">
            <v>CX-TW401-coffee-L-MX</v>
          </cell>
          <cell r="B1002" t="str">
            <v>CX-TW401</v>
          </cell>
        </row>
        <row r="1003">
          <cell r="A1003" t="str">
            <v>CX-TW401-coffee-M</v>
          </cell>
          <cell r="B1003" t="str">
            <v>CX-TW401</v>
          </cell>
        </row>
        <row r="1004">
          <cell r="A1004" t="str">
            <v>CX-TW401-coffee-M-MX</v>
          </cell>
          <cell r="B1004" t="str">
            <v>CX-TW401</v>
          </cell>
        </row>
        <row r="1005">
          <cell r="A1005" t="str">
            <v>CX-TW401-coffee-S</v>
          </cell>
          <cell r="B1005" t="str">
            <v>CX-TW401</v>
          </cell>
        </row>
        <row r="1006">
          <cell r="A1006" t="str">
            <v>CX-TW401-coffee-S-MX</v>
          </cell>
          <cell r="B1006" t="str">
            <v>CX-TW401</v>
          </cell>
        </row>
        <row r="1007">
          <cell r="A1007" t="str">
            <v>CX-TW401-coffee-XL</v>
          </cell>
          <cell r="B1007" t="str">
            <v>CX-TW401</v>
          </cell>
        </row>
        <row r="1008">
          <cell r="A1008" t="str">
            <v>CX-TW401-coffee-XL-MX</v>
          </cell>
          <cell r="B1008" t="str">
            <v>CX-TW401</v>
          </cell>
        </row>
        <row r="1009">
          <cell r="A1009" t="str">
            <v>CX-TW401-green-L</v>
          </cell>
          <cell r="B1009" t="str">
            <v>CX-TW401</v>
          </cell>
        </row>
        <row r="1010">
          <cell r="A1010" t="str">
            <v>CX-TW401-green-L-MX</v>
          </cell>
          <cell r="B1010" t="str">
            <v>CX-TW401</v>
          </cell>
        </row>
        <row r="1011">
          <cell r="A1011" t="str">
            <v>CX-TW401-green-M</v>
          </cell>
          <cell r="B1011" t="str">
            <v>CX-TW401</v>
          </cell>
        </row>
        <row r="1012">
          <cell r="A1012" t="str">
            <v>CX-TW401-green-M-MX</v>
          </cell>
          <cell r="B1012" t="str">
            <v>CX-TW401</v>
          </cell>
        </row>
        <row r="1013">
          <cell r="A1013" t="str">
            <v>CX-TW401-green-S</v>
          </cell>
          <cell r="B1013" t="str">
            <v>CX-TW401</v>
          </cell>
        </row>
        <row r="1014">
          <cell r="A1014" t="str">
            <v>CX-TW401-green-S-MX</v>
          </cell>
          <cell r="B1014" t="str">
            <v>CX-TW401</v>
          </cell>
        </row>
        <row r="1015">
          <cell r="A1015" t="str">
            <v>CX-TW401-green-XL</v>
          </cell>
          <cell r="B1015" t="str">
            <v>CX-TW401</v>
          </cell>
        </row>
        <row r="1016">
          <cell r="A1016" t="str">
            <v>CX-TW401-green-XL-MX</v>
          </cell>
          <cell r="B1016" t="str">
            <v>CX-TW401</v>
          </cell>
        </row>
        <row r="1017">
          <cell r="A1017" t="str">
            <v>CX-TW401-grey-L</v>
          </cell>
          <cell r="B1017" t="str">
            <v>CX-TW401</v>
          </cell>
        </row>
        <row r="1018">
          <cell r="A1018" t="str">
            <v>CX-TW401-grey-L-MX</v>
          </cell>
          <cell r="B1018" t="str">
            <v>CX-TW401</v>
          </cell>
        </row>
        <row r="1019">
          <cell r="A1019" t="str">
            <v>CX-TW401-grey-M</v>
          </cell>
          <cell r="B1019" t="str">
            <v>CX-TW401</v>
          </cell>
        </row>
        <row r="1020">
          <cell r="A1020" t="str">
            <v>CX-TW401-grey-S</v>
          </cell>
          <cell r="B1020" t="str">
            <v>CX-TW401</v>
          </cell>
        </row>
        <row r="1021">
          <cell r="A1021" t="str">
            <v>CX-TW401-grey-XL</v>
          </cell>
          <cell r="B1021" t="str">
            <v>CX-TW401</v>
          </cell>
        </row>
        <row r="1022">
          <cell r="A1022" t="str">
            <v>CX-TW4600-blue-M</v>
          </cell>
          <cell r="B1022" t="str">
            <v>CX-TW4600</v>
          </cell>
        </row>
        <row r="1023">
          <cell r="A1023" t="str">
            <v>CX-TW4600-coffee-L</v>
          </cell>
          <cell r="B1023" t="str">
            <v>CX-TW4600</v>
          </cell>
        </row>
        <row r="1024">
          <cell r="A1024" t="str">
            <v>CX-TW4600-coffee-XL</v>
          </cell>
          <cell r="B1024" t="str">
            <v>CX-TW4600</v>
          </cell>
        </row>
        <row r="1025">
          <cell r="A1025" t="str">
            <v>CX-TW4600-green-XL</v>
          </cell>
          <cell r="B1025" t="str">
            <v>CX-TW4600</v>
          </cell>
        </row>
        <row r="1026">
          <cell r="A1026" t="str">
            <v>CX-TW4600-grey-L</v>
          </cell>
          <cell r="B1026" t="str">
            <v>CX-TW4600</v>
          </cell>
        </row>
        <row r="1027">
          <cell r="A1027" t="str">
            <v>CX-TW4600-grey-XL</v>
          </cell>
          <cell r="B1027" t="str">
            <v>CX-TW4600</v>
          </cell>
        </row>
        <row r="1028">
          <cell r="A1028" t="str">
            <v>DK-HM0280-OR-L</v>
          </cell>
          <cell r="B1028" t="str">
            <v>DK-HM0280</v>
          </cell>
        </row>
        <row r="1029">
          <cell r="A1029" t="str">
            <v>DK-HM0280-R0-L</v>
          </cell>
          <cell r="B1029" t="str">
            <v>DK-HM0280</v>
          </cell>
        </row>
        <row r="1030">
          <cell r="A1030" t="str">
            <v>DK-HM0280-R0-M</v>
          </cell>
          <cell r="B1030" t="str">
            <v>DK-HM0280</v>
          </cell>
        </row>
        <row r="1031">
          <cell r="A1031" t="str">
            <v>DK-HM0280-YH-L</v>
          </cell>
          <cell r="B1031" t="str">
            <v>DK-HM0280</v>
          </cell>
        </row>
        <row r="1032">
          <cell r="A1032" t="str">
            <v>DK-HM0280-YH-M</v>
          </cell>
          <cell r="B1032" t="str">
            <v>DK-HM0280</v>
          </cell>
        </row>
        <row r="1033">
          <cell r="A1033" t="str">
            <v>DK-HM1789</v>
          </cell>
          <cell r="B1033" t="str">
            <v>DK-HM1789</v>
          </cell>
        </row>
        <row r="1034">
          <cell r="A1034" t="str">
            <v>DK-HM1789-B0TW-2XL</v>
          </cell>
          <cell r="B1034" t="str">
            <v>DK-HM1789</v>
          </cell>
        </row>
        <row r="1035">
          <cell r="A1035" t="str">
            <v>DK-HM1789-B0TW-L</v>
          </cell>
          <cell r="B1035" t="str">
            <v>DK-HM1789</v>
          </cell>
        </row>
        <row r="1036">
          <cell r="A1036" t="str">
            <v>DK-HM1789-B0TW-M</v>
          </cell>
          <cell r="B1036" t="str">
            <v>DK-HM1789</v>
          </cell>
        </row>
        <row r="1037">
          <cell r="A1037" t="str">
            <v>DK-HM1789-B0TW-S</v>
          </cell>
          <cell r="B1037" t="str">
            <v>DK-HM1789</v>
          </cell>
        </row>
        <row r="1038">
          <cell r="A1038" t="str">
            <v>DK-HM1789-B0TW-XL</v>
          </cell>
          <cell r="B1038" t="str">
            <v>DK-HM1789</v>
          </cell>
        </row>
        <row r="1039">
          <cell r="A1039" t="str">
            <v>DK-HM1789-B2-2XL</v>
          </cell>
          <cell r="B1039" t="str">
            <v>DK-HM1789</v>
          </cell>
        </row>
        <row r="1040">
          <cell r="A1040" t="str">
            <v>DK-HM1789-B2-L</v>
          </cell>
          <cell r="B1040" t="str">
            <v>DK-HM1789</v>
          </cell>
        </row>
        <row r="1041">
          <cell r="A1041" t="str">
            <v>DK-HM1789-B2-M</v>
          </cell>
          <cell r="B1041" t="str">
            <v>DK-HM1789</v>
          </cell>
        </row>
        <row r="1042">
          <cell r="A1042" t="str">
            <v>DK-HM1789-B2-S</v>
          </cell>
          <cell r="B1042" t="str">
            <v>DK-HM1789</v>
          </cell>
        </row>
        <row r="1043">
          <cell r="A1043" t="str">
            <v>DK-HM1789-B2-XL</v>
          </cell>
          <cell r="B1043" t="str">
            <v>DK-HM1789</v>
          </cell>
        </row>
        <row r="1044">
          <cell r="A1044" t="str">
            <v>DK-HM1789-BD-2XL</v>
          </cell>
          <cell r="B1044" t="str">
            <v>DK-HM1789</v>
          </cell>
        </row>
        <row r="1045">
          <cell r="A1045" t="str">
            <v>DK-HM1789-BD-L</v>
          </cell>
          <cell r="B1045" t="str">
            <v>DK-HM1789</v>
          </cell>
        </row>
        <row r="1046">
          <cell r="A1046" t="str">
            <v>DK-HM1789-BD-M</v>
          </cell>
          <cell r="B1046" t="str">
            <v>DK-HM1789</v>
          </cell>
        </row>
        <row r="1047">
          <cell r="A1047" t="str">
            <v>DK-HM1789-BD-S</v>
          </cell>
          <cell r="B1047" t="str">
            <v>DK-HM1789</v>
          </cell>
        </row>
        <row r="1048">
          <cell r="A1048" t="str">
            <v>DK-HM1789-BD-XL</v>
          </cell>
          <cell r="B1048" t="str">
            <v>DK-HM1789</v>
          </cell>
        </row>
        <row r="1049">
          <cell r="A1049" t="str">
            <v>DK-HM1789-FL-2XL</v>
          </cell>
          <cell r="B1049" t="str">
            <v>DK-HM1789</v>
          </cell>
        </row>
        <row r="1050">
          <cell r="A1050" t="str">
            <v>DK-HM1789-FL-L</v>
          </cell>
          <cell r="B1050" t="str">
            <v>DK-HM1789</v>
          </cell>
        </row>
        <row r="1051">
          <cell r="A1051" t="str">
            <v>DK-HM1789-FL-M</v>
          </cell>
          <cell r="B1051" t="str">
            <v>DK-HM1789</v>
          </cell>
        </row>
        <row r="1052">
          <cell r="A1052" t="str">
            <v>DK-HM1789-FL-S</v>
          </cell>
          <cell r="B1052" t="str">
            <v>DK-HM1789</v>
          </cell>
        </row>
        <row r="1053">
          <cell r="A1053" t="str">
            <v>DK-HM1789-FL-XL</v>
          </cell>
          <cell r="B1053" t="str">
            <v>DK-HM1789</v>
          </cell>
        </row>
        <row r="1054">
          <cell r="A1054" t="str">
            <v>DK-HM1789-GrTW-2XL</v>
          </cell>
          <cell r="B1054" t="str">
            <v>DK-HM1789</v>
          </cell>
        </row>
        <row r="1055">
          <cell r="A1055" t="str">
            <v>DK-HM1789-GrTW-L</v>
          </cell>
          <cell r="B1055" t="str">
            <v>DK-HM1789</v>
          </cell>
        </row>
        <row r="1056">
          <cell r="A1056" t="str">
            <v>DK-HM1789-GrTW-M</v>
          </cell>
          <cell r="B1056" t="str">
            <v>DK-HM1789</v>
          </cell>
        </row>
        <row r="1057">
          <cell r="A1057" t="str">
            <v>DK-HM1789-GrTW-S</v>
          </cell>
          <cell r="B1057" t="str">
            <v>DK-HM1789</v>
          </cell>
        </row>
        <row r="1058">
          <cell r="A1058" t="str">
            <v>DK-HM1789-GrTW-XL</v>
          </cell>
          <cell r="B1058" t="str">
            <v>DK-HM1789</v>
          </cell>
        </row>
        <row r="1059">
          <cell r="A1059" t="str">
            <v>DK-HM1789-GZ-2XL</v>
          </cell>
          <cell r="B1059" t="str">
            <v>DK-HM1789</v>
          </cell>
        </row>
        <row r="1060">
          <cell r="A1060" t="str">
            <v>DK-HM1789-GZ-L</v>
          </cell>
          <cell r="B1060" t="str">
            <v>DK-HM1789</v>
          </cell>
        </row>
        <row r="1061">
          <cell r="A1061" t="str">
            <v>DK-HM1789-GZ-M</v>
          </cell>
          <cell r="B1061" t="str">
            <v>DK-HM1789</v>
          </cell>
        </row>
        <row r="1062">
          <cell r="A1062" t="str">
            <v>DK-HM1789-GZ-S</v>
          </cell>
          <cell r="B1062" t="str">
            <v>DK-HM1789</v>
          </cell>
        </row>
        <row r="1063">
          <cell r="A1063" t="str">
            <v>DK-HM1789-GZ-XL</v>
          </cell>
          <cell r="B1063" t="str">
            <v>DK-HM1789</v>
          </cell>
        </row>
        <row r="1064">
          <cell r="A1064" t="str">
            <v>DK-HM1789-K0-2XL</v>
          </cell>
          <cell r="B1064" t="str">
            <v>DK-HM1789</v>
          </cell>
        </row>
        <row r="1065">
          <cell r="A1065" t="str">
            <v>DK-HM1789-K0-L</v>
          </cell>
          <cell r="B1065" t="str">
            <v>DK-HM1789</v>
          </cell>
        </row>
        <row r="1066">
          <cell r="A1066" t="str">
            <v>DK-HM1789-K0-M</v>
          </cell>
          <cell r="B1066" t="str">
            <v>DK-HM1789</v>
          </cell>
        </row>
        <row r="1067">
          <cell r="A1067" t="str">
            <v>DK-HM1789-K0-S</v>
          </cell>
          <cell r="B1067" t="str">
            <v>DK-HM1789</v>
          </cell>
        </row>
        <row r="1068">
          <cell r="A1068" t="str">
            <v>DK-HM1789-K0-XL</v>
          </cell>
          <cell r="B1068" t="str">
            <v>DK-HM1789</v>
          </cell>
        </row>
        <row r="1069">
          <cell r="A1069" t="str">
            <v>DK-HM1789-PI-2XL</v>
          </cell>
          <cell r="B1069" t="str">
            <v>DK-HM1789</v>
          </cell>
        </row>
        <row r="1070">
          <cell r="A1070" t="str">
            <v>DK-HM1789-PI-L</v>
          </cell>
          <cell r="B1070" t="str">
            <v>DK-HM1789</v>
          </cell>
        </row>
        <row r="1071">
          <cell r="A1071" t="str">
            <v>DK-HM1789-PI-M</v>
          </cell>
          <cell r="B1071" t="str">
            <v>DK-HM1789</v>
          </cell>
        </row>
        <row r="1072">
          <cell r="A1072" t="str">
            <v>DK-HM1789-PI-S</v>
          </cell>
          <cell r="B1072" t="str">
            <v>DK-HM1789</v>
          </cell>
        </row>
        <row r="1073">
          <cell r="A1073" t="str">
            <v>DK-HM1789-PiTW-2XL</v>
          </cell>
          <cell r="B1073" t="str">
            <v>DK-HM1789</v>
          </cell>
        </row>
        <row r="1074">
          <cell r="A1074" t="str">
            <v>DK-HM1789-PiTW-L</v>
          </cell>
          <cell r="B1074" t="str">
            <v>DK-HM1789</v>
          </cell>
        </row>
        <row r="1075">
          <cell r="A1075" t="str">
            <v>DK-HM1789-PiTW-M</v>
          </cell>
          <cell r="B1075" t="str">
            <v>DK-HM1789</v>
          </cell>
        </row>
        <row r="1076">
          <cell r="A1076" t="str">
            <v>DK-HM1789-PiTW-S</v>
          </cell>
          <cell r="B1076" t="str">
            <v>DK-HM1789</v>
          </cell>
        </row>
        <row r="1077">
          <cell r="A1077" t="str">
            <v>DK-HM1789-PiTW-XL</v>
          </cell>
          <cell r="B1077" t="str">
            <v>DK-HM1789</v>
          </cell>
        </row>
        <row r="1078">
          <cell r="A1078" t="str">
            <v>DK-HM1789-PI-XL</v>
          </cell>
          <cell r="B1078" t="str">
            <v>DK-HM1789</v>
          </cell>
        </row>
        <row r="1079">
          <cell r="A1079" t="str">
            <v>DK-HM1789-PP-2XL</v>
          </cell>
          <cell r="B1079" t="str">
            <v>DK-HM1789</v>
          </cell>
        </row>
        <row r="1080">
          <cell r="A1080" t="str">
            <v>DK-HM1789-PP-L</v>
          </cell>
          <cell r="B1080" t="str">
            <v>DK-HM1789</v>
          </cell>
        </row>
        <row r="1081">
          <cell r="A1081" t="str">
            <v>DK-HM1789-PP-M</v>
          </cell>
          <cell r="B1081" t="str">
            <v>DK-HM1789</v>
          </cell>
        </row>
        <row r="1082">
          <cell r="A1082" t="str">
            <v>DK-HM1789-PP-S</v>
          </cell>
          <cell r="B1082" t="str">
            <v>DK-HM1789</v>
          </cell>
        </row>
        <row r="1083">
          <cell r="A1083" t="str">
            <v>DK-HM1789-PP-XL</v>
          </cell>
          <cell r="B1083" t="str">
            <v>DK-HM1789</v>
          </cell>
        </row>
        <row r="1084">
          <cell r="A1084" t="str">
            <v>DK-HM1789-R2-2XL</v>
          </cell>
          <cell r="B1084" t="str">
            <v>DK-HM1789</v>
          </cell>
        </row>
        <row r="1085">
          <cell r="A1085" t="str">
            <v>DK-HM1789-R2-L</v>
          </cell>
          <cell r="B1085" t="str">
            <v>DK-HM1789</v>
          </cell>
        </row>
        <row r="1086">
          <cell r="A1086" t="str">
            <v>DK-HM1789-R2-M</v>
          </cell>
          <cell r="B1086" t="str">
            <v>DK-HM1789</v>
          </cell>
        </row>
        <row r="1087">
          <cell r="A1087" t="str">
            <v>DK-HM1789-R2-S</v>
          </cell>
          <cell r="B1087" t="str">
            <v>DK-HM1789</v>
          </cell>
        </row>
        <row r="1088">
          <cell r="A1088" t="str">
            <v>DK-HM1789-R2-XL</v>
          </cell>
          <cell r="B1088" t="str">
            <v>DK-HM1789</v>
          </cell>
        </row>
        <row r="1089">
          <cell r="A1089" t="str">
            <v>DK-HM1789-W0-2XL</v>
          </cell>
          <cell r="B1089" t="str">
            <v>DK-HM1789</v>
          </cell>
        </row>
        <row r="1090">
          <cell r="A1090" t="str">
            <v>DK-HM1789-W0-L</v>
          </cell>
          <cell r="B1090" t="str">
            <v>DK-HM1789</v>
          </cell>
        </row>
        <row r="1091">
          <cell r="A1091" t="str">
            <v>DK-HM1789-W0-M</v>
          </cell>
          <cell r="B1091" t="str">
            <v>DK-HM1789</v>
          </cell>
        </row>
        <row r="1092">
          <cell r="A1092" t="str">
            <v>DK-HM1789-W0-S</v>
          </cell>
          <cell r="B1092" t="str">
            <v>DK-HM1789</v>
          </cell>
        </row>
        <row r="1093">
          <cell r="A1093" t="str">
            <v>DK-HM1789-W0-XL</v>
          </cell>
          <cell r="B1093" t="str">
            <v>DK-HM1789</v>
          </cell>
        </row>
        <row r="1094">
          <cell r="A1094" t="str">
            <v>DK-HM1789-Y0-L</v>
          </cell>
          <cell r="B1094" t="str">
            <v>DK-HM1789</v>
          </cell>
        </row>
        <row r="1095">
          <cell r="A1095" t="str">
            <v>DK-HM1789-Y0-M</v>
          </cell>
          <cell r="B1095" t="str">
            <v>DK-HM1789</v>
          </cell>
        </row>
        <row r="1096">
          <cell r="A1096" t="str">
            <v>DK-HM1789-Y0-S</v>
          </cell>
          <cell r="B1096" t="str">
            <v>DK-HM1789</v>
          </cell>
        </row>
        <row r="1097">
          <cell r="A1097" t="str">
            <v>DK-HM1789-Y0-XL</v>
          </cell>
          <cell r="B1097" t="str">
            <v>DK-HM1789</v>
          </cell>
        </row>
        <row r="1098">
          <cell r="A1098" t="str">
            <v>DK-HM1789-ZL-2XL</v>
          </cell>
          <cell r="B1098" t="str">
            <v>DK-HM1789</v>
          </cell>
        </row>
        <row r="1099">
          <cell r="A1099" t="str">
            <v>DK-HM1789-ZL-2XL-GM</v>
          </cell>
          <cell r="B1099" t="str">
            <v>DK-HM1789</v>
          </cell>
        </row>
        <row r="1100">
          <cell r="A1100" t="str">
            <v>DK-HM1789-ZL-L</v>
          </cell>
          <cell r="B1100" t="str">
            <v>DK-HM1789</v>
          </cell>
        </row>
        <row r="1101">
          <cell r="A1101" t="str">
            <v>DK-HM1789-ZL-M</v>
          </cell>
          <cell r="B1101" t="str">
            <v>DK-HM1789</v>
          </cell>
        </row>
        <row r="1102">
          <cell r="A1102" t="str">
            <v>DK-HM1789-ZL-S</v>
          </cell>
          <cell r="B1102" t="str">
            <v>DK-HM1789</v>
          </cell>
        </row>
        <row r="1103">
          <cell r="A1103" t="str">
            <v>DK-HM1789-ZL-XL</v>
          </cell>
          <cell r="B1103" t="str">
            <v>DK-HM1789</v>
          </cell>
        </row>
        <row r="1104">
          <cell r="A1104" t="str">
            <v>DK-LY110-KQ-29-GM</v>
          </cell>
          <cell r="B1104" t="str">
            <v>DK-LY110</v>
          </cell>
        </row>
        <row r="1105">
          <cell r="A1105" t="str">
            <v>DK-LY110-KQ-30-GM</v>
          </cell>
          <cell r="B1105" t="str">
            <v>DK-LY110</v>
          </cell>
        </row>
        <row r="1106">
          <cell r="A1106" t="str">
            <v>DK-LY110-KQ-31-GM</v>
          </cell>
          <cell r="B1106" t="str">
            <v>DK-LY110</v>
          </cell>
        </row>
        <row r="1107">
          <cell r="A1107" t="str">
            <v>DK-LY110-KQ-32-GM</v>
          </cell>
          <cell r="B1107" t="str">
            <v>DK-LY110</v>
          </cell>
        </row>
        <row r="1108">
          <cell r="A1108" t="str">
            <v>DK-LY110-KQ-33-GM</v>
          </cell>
          <cell r="B1108" t="str">
            <v>DK-LY110</v>
          </cell>
        </row>
        <row r="1109">
          <cell r="A1109" t="str">
            <v>DK-LY110-KQ-34-GM</v>
          </cell>
          <cell r="B1109" t="str">
            <v>DK-LY110</v>
          </cell>
        </row>
        <row r="1110">
          <cell r="A1110" t="str">
            <v>DK-LY110-KQ-38-GM</v>
          </cell>
          <cell r="B1110" t="str">
            <v>DK-LY110</v>
          </cell>
        </row>
        <row r="1111">
          <cell r="A1111" t="str">
            <v>DK-LY110-KQ-38-GM-1</v>
          </cell>
          <cell r="B1111" t="str">
            <v>DK-LY110</v>
          </cell>
        </row>
        <row r="1112">
          <cell r="A1112" t="str">
            <v>DK-LY110-KQ-42-GM</v>
          </cell>
          <cell r="B1112" t="str">
            <v>DK-LY110</v>
          </cell>
        </row>
        <row r="1113">
          <cell r="A1113" t="str">
            <v>DK-LY110-KQ-44-GM</v>
          </cell>
          <cell r="B1113" t="str">
            <v>DK-LY110</v>
          </cell>
        </row>
        <row r="1114">
          <cell r="A1114" t="str">
            <v>DK-LY110-OR-29-GM</v>
          </cell>
          <cell r="B1114" t="str">
            <v>DK-LY110</v>
          </cell>
        </row>
        <row r="1115">
          <cell r="A1115" t="str">
            <v>DK-LY110-OR-30-GM</v>
          </cell>
          <cell r="B1115" t="str">
            <v>DK-LY110</v>
          </cell>
        </row>
        <row r="1116">
          <cell r="A1116" t="str">
            <v>DK-LY110-OR-31-GM</v>
          </cell>
          <cell r="B1116" t="str">
            <v>DK-LY110</v>
          </cell>
        </row>
        <row r="1117">
          <cell r="A1117" t="str">
            <v>DK-LY110-OR-32-GM</v>
          </cell>
          <cell r="B1117" t="str">
            <v>DK-LY110</v>
          </cell>
        </row>
        <row r="1118">
          <cell r="A1118" t="str">
            <v>DK-LY110-OR-33-GM</v>
          </cell>
          <cell r="B1118" t="str">
            <v>DK-LY110</v>
          </cell>
        </row>
        <row r="1119">
          <cell r="A1119" t="str">
            <v>DK-LY110-OR-34-GM</v>
          </cell>
          <cell r="B1119" t="str">
            <v>DK-LY110</v>
          </cell>
        </row>
        <row r="1120">
          <cell r="A1120" t="str">
            <v>DK-LY110-OR-36-GM</v>
          </cell>
          <cell r="B1120" t="str">
            <v>DK-LY110</v>
          </cell>
        </row>
        <row r="1121">
          <cell r="A1121" t="str">
            <v>DK-LY110-OR-38-GM</v>
          </cell>
          <cell r="B1121" t="str">
            <v>DK-LY110</v>
          </cell>
        </row>
        <row r="1122">
          <cell r="A1122" t="str">
            <v>DK-LY110-OR-40-GM</v>
          </cell>
          <cell r="B1122" t="str">
            <v>DK-LY110</v>
          </cell>
        </row>
        <row r="1123">
          <cell r="A1123" t="str">
            <v>DK-LY110-OR-42-GM</v>
          </cell>
          <cell r="B1123" t="str">
            <v>DK-LY110</v>
          </cell>
        </row>
        <row r="1124">
          <cell r="A1124" t="str">
            <v>DK-LY110-OR-44-GM</v>
          </cell>
          <cell r="B1124" t="str">
            <v>DK-LY110</v>
          </cell>
        </row>
        <row r="1125">
          <cell r="A1125" t="str">
            <v>DK-LY155-K0-30</v>
          </cell>
          <cell r="B1125" t="str">
            <v>DK-LY155</v>
          </cell>
        </row>
        <row r="1126">
          <cell r="A1126" t="str">
            <v>DK-LY155-K0-32</v>
          </cell>
          <cell r="B1126" t="str">
            <v>DK-LY155</v>
          </cell>
        </row>
        <row r="1127">
          <cell r="A1127" t="str">
            <v>DK-LY155-K0-34</v>
          </cell>
          <cell r="B1127" t="str">
            <v>DK-LY155</v>
          </cell>
        </row>
        <row r="1128">
          <cell r="A1128" t="str">
            <v>DK-LY155-K0-36</v>
          </cell>
          <cell r="B1128" t="str">
            <v>DK-LY155</v>
          </cell>
        </row>
        <row r="1129">
          <cell r="A1129" t="str">
            <v>DK-LY155-K0-38</v>
          </cell>
          <cell r="B1129" t="str">
            <v>DK-LY155</v>
          </cell>
        </row>
        <row r="1130">
          <cell r="A1130" t="str">
            <v>DK-LY155-K0-40</v>
          </cell>
          <cell r="B1130" t="str">
            <v>DK-LY155</v>
          </cell>
        </row>
        <row r="1131">
          <cell r="A1131" t="str">
            <v>DK-LY155-K0-42</v>
          </cell>
          <cell r="B1131" t="str">
            <v>DK-LY155</v>
          </cell>
        </row>
        <row r="1132">
          <cell r="A1132" t="str">
            <v>DK-LY155-KQ-30</v>
          </cell>
          <cell r="B1132" t="str">
            <v>DK-LY155</v>
          </cell>
        </row>
        <row r="1133">
          <cell r="A1133" t="str">
            <v>DK-LY155-KQ-32</v>
          </cell>
          <cell r="B1133" t="str">
            <v>DK-LY155</v>
          </cell>
        </row>
        <row r="1134">
          <cell r="A1134" t="str">
            <v>DK-LY155-KQ-34</v>
          </cell>
          <cell r="B1134" t="str">
            <v>DK-LY155</v>
          </cell>
        </row>
        <row r="1135">
          <cell r="A1135" t="str">
            <v>DK-LY155-KQ-36</v>
          </cell>
          <cell r="B1135" t="str">
            <v>DK-LY155</v>
          </cell>
        </row>
        <row r="1136">
          <cell r="A1136" t="str">
            <v>DK-LY155-KQ-38</v>
          </cell>
          <cell r="B1136" t="str">
            <v>DK-LY155</v>
          </cell>
        </row>
        <row r="1137">
          <cell r="A1137" t="str">
            <v>DK-LY155-KQ-40</v>
          </cell>
          <cell r="B1137" t="str">
            <v>DK-LY155</v>
          </cell>
        </row>
        <row r="1138">
          <cell r="A1138" t="str">
            <v>DK-LY155-KQ-42</v>
          </cell>
          <cell r="B1138" t="str">
            <v>DK-LY155</v>
          </cell>
        </row>
        <row r="1139">
          <cell r="A1139" t="str">
            <v>DK-LY155-N0-30</v>
          </cell>
          <cell r="B1139" t="str">
            <v>DK-LY155</v>
          </cell>
        </row>
        <row r="1140">
          <cell r="A1140" t="str">
            <v>DK-LY155-N0-32</v>
          </cell>
          <cell r="B1140" t="str">
            <v>DK-LY155</v>
          </cell>
        </row>
        <row r="1141">
          <cell r="A1141" t="str">
            <v>DK-LY155-N0-34</v>
          </cell>
          <cell r="B1141" t="str">
            <v>DK-LY155</v>
          </cell>
        </row>
        <row r="1142">
          <cell r="A1142" t="str">
            <v>DK-LY155-N0-38</v>
          </cell>
          <cell r="B1142" t="str">
            <v>DK-LY155</v>
          </cell>
        </row>
        <row r="1143">
          <cell r="A1143" t="str">
            <v>DK-LY155-N0-40</v>
          </cell>
          <cell r="B1143" t="str">
            <v>DK-LY155</v>
          </cell>
        </row>
        <row r="1144">
          <cell r="A1144" t="str">
            <v>DK-LY155-N0-42</v>
          </cell>
          <cell r="B1144" t="str">
            <v>DK-LY155</v>
          </cell>
        </row>
        <row r="1145">
          <cell r="A1145" t="str">
            <v>DK-LY-K157-AG-32</v>
          </cell>
          <cell r="B1145" t="str">
            <v>DK-LY-K157</v>
          </cell>
        </row>
        <row r="1146">
          <cell r="A1146" t="str">
            <v>DK-LY-K157-AG-34</v>
          </cell>
          <cell r="B1146" t="str">
            <v>DK-LY-K157</v>
          </cell>
        </row>
        <row r="1147">
          <cell r="A1147" t="str">
            <v>DK-LY-K157-AG-36</v>
          </cell>
          <cell r="B1147" t="str">
            <v>DK-LY-K157</v>
          </cell>
        </row>
        <row r="1148">
          <cell r="A1148" t="str">
            <v>DK-LY-K157-AG-38</v>
          </cell>
          <cell r="B1148" t="str">
            <v>DK-LY-K157</v>
          </cell>
        </row>
        <row r="1149">
          <cell r="A1149" t="str">
            <v>DK-LY-K157-AG-40</v>
          </cell>
          <cell r="B1149" t="str">
            <v>DK-LY-K157</v>
          </cell>
        </row>
        <row r="1150">
          <cell r="A1150" t="str">
            <v>DK-LY-K157-AG-42</v>
          </cell>
          <cell r="B1150" t="str">
            <v>DK-LY-K157</v>
          </cell>
        </row>
        <row r="1151">
          <cell r="A1151" t="str">
            <v>DK-LY-K157-AG-44</v>
          </cell>
          <cell r="B1151" t="str">
            <v>DK-LY-K157</v>
          </cell>
        </row>
        <row r="1152">
          <cell r="A1152" t="str">
            <v>DK-LY-K157-B0-32</v>
          </cell>
          <cell r="B1152" t="str">
            <v>DK-LY-K157</v>
          </cell>
        </row>
        <row r="1153">
          <cell r="A1153" t="str">
            <v>DK-LY-K157-B0-34</v>
          </cell>
          <cell r="B1153" t="str">
            <v>DK-LY-K157</v>
          </cell>
        </row>
        <row r="1154">
          <cell r="A1154" t="str">
            <v>DK-LY-K157-B0-36</v>
          </cell>
          <cell r="B1154" t="str">
            <v>DK-LY-K157</v>
          </cell>
        </row>
        <row r="1155">
          <cell r="A1155" t="str">
            <v>DK-LY-K157-B0-38</v>
          </cell>
          <cell r="B1155" t="str">
            <v>DK-LY-K157</v>
          </cell>
        </row>
        <row r="1156">
          <cell r="A1156" t="str">
            <v>DK-LY-K157-B0-40</v>
          </cell>
          <cell r="B1156" t="str">
            <v>DK-LY-K157</v>
          </cell>
        </row>
        <row r="1157">
          <cell r="A1157" t="str">
            <v>DK-LY-K157-B0-42</v>
          </cell>
          <cell r="B1157" t="str">
            <v>DK-LY-K157</v>
          </cell>
        </row>
        <row r="1158">
          <cell r="A1158" t="str">
            <v>DK-LY-K157-B0-44</v>
          </cell>
          <cell r="B1158" t="str">
            <v>DK-LY-K157</v>
          </cell>
        </row>
        <row r="1159">
          <cell r="A1159" t="str">
            <v>DK-LY-K157-K0-32</v>
          </cell>
          <cell r="B1159" t="str">
            <v>DK-LY-K157</v>
          </cell>
        </row>
        <row r="1160">
          <cell r="A1160" t="str">
            <v>DK-LY-K157-K0-34</v>
          </cell>
          <cell r="B1160" t="str">
            <v>DK-LY-K157</v>
          </cell>
        </row>
        <row r="1161">
          <cell r="A1161" t="str">
            <v>DK-LY-K157-K0-36</v>
          </cell>
          <cell r="B1161" t="str">
            <v>DK-LY-K157</v>
          </cell>
        </row>
        <row r="1162">
          <cell r="A1162" t="str">
            <v>DK-LY-K157-K0-38</v>
          </cell>
          <cell r="B1162" t="str">
            <v>DK-LY-K157</v>
          </cell>
        </row>
        <row r="1163">
          <cell r="A1163" t="str">
            <v>DK-LY-K157-K0-40</v>
          </cell>
          <cell r="B1163" t="str">
            <v>DK-LY-K157</v>
          </cell>
        </row>
        <row r="1164">
          <cell r="A1164" t="str">
            <v>DK-LY-K157-K0-42</v>
          </cell>
          <cell r="B1164" t="str">
            <v>DK-LY-K157</v>
          </cell>
        </row>
        <row r="1165">
          <cell r="A1165" t="str">
            <v>DK-LY-K157-K0-44</v>
          </cell>
          <cell r="B1165" t="str">
            <v>DK-LY-K157</v>
          </cell>
        </row>
        <row r="1166">
          <cell r="A1166" t="str">
            <v>DK-LY-K157-KQ-32</v>
          </cell>
          <cell r="B1166" t="str">
            <v>DK-LY-K157</v>
          </cell>
        </row>
        <row r="1167">
          <cell r="A1167" t="str">
            <v>DK-LY-K157-KQ-34</v>
          </cell>
          <cell r="B1167" t="str">
            <v>DK-LY-K157</v>
          </cell>
        </row>
        <row r="1168">
          <cell r="A1168" t="str">
            <v>DK-LY-K157-KQ-36</v>
          </cell>
          <cell r="B1168" t="str">
            <v>DK-LY-K157</v>
          </cell>
        </row>
        <row r="1169">
          <cell r="A1169" t="str">
            <v>DK-LY-K157-KQ-38</v>
          </cell>
          <cell r="B1169" t="str">
            <v>DK-LY-K157</v>
          </cell>
        </row>
        <row r="1170">
          <cell r="A1170" t="str">
            <v>DK-LY-K157-KQ-40</v>
          </cell>
          <cell r="B1170" t="str">
            <v>DK-LY-K157</v>
          </cell>
        </row>
        <row r="1171">
          <cell r="A1171" t="str">
            <v>DK-LY-K157-KQ-42</v>
          </cell>
          <cell r="B1171" t="str">
            <v>DK-LY-K157</v>
          </cell>
        </row>
        <row r="1172">
          <cell r="A1172" t="str">
            <v>DK-LY-K157-KQ-44</v>
          </cell>
          <cell r="B1172" t="str">
            <v>DK-LY-K157</v>
          </cell>
        </row>
        <row r="1173">
          <cell r="A1173" t="str">
            <v>DK-LY-K157-OR-32</v>
          </cell>
          <cell r="B1173" t="str">
            <v>DK-LY-K157</v>
          </cell>
        </row>
        <row r="1174">
          <cell r="A1174" t="str">
            <v>DK-LY-K157-OR-34</v>
          </cell>
          <cell r="B1174" t="str">
            <v>DK-LY-K157</v>
          </cell>
        </row>
        <row r="1175">
          <cell r="A1175" t="str">
            <v>DK-LY-K157-OR-36</v>
          </cell>
          <cell r="B1175" t="str">
            <v>DK-LY-K157</v>
          </cell>
        </row>
        <row r="1176">
          <cell r="A1176" t="str">
            <v>DK-LY-K157-OR-38</v>
          </cell>
          <cell r="B1176" t="str">
            <v>DK-LY-K157</v>
          </cell>
        </row>
        <row r="1177">
          <cell r="A1177" t="str">
            <v>DK-LY-K157-OR-40</v>
          </cell>
          <cell r="B1177" t="str">
            <v>DK-LY-K157</v>
          </cell>
        </row>
        <row r="1178">
          <cell r="A1178" t="str">
            <v>DK-LY-K157-OR-42</v>
          </cell>
          <cell r="B1178" t="str">
            <v>DK-LY-K157</v>
          </cell>
        </row>
        <row r="1179">
          <cell r="A1179" t="str">
            <v>DK-LY-K157-OR-44</v>
          </cell>
          <cell r="B1179" t="str">
            <v>DK-LY-K157</v>
          </cell>
        </row>
        <row r="1180">
          <cell r="A1180" t="str">
            <v>DK-LY-K518-B0-32</v>
          </cell>
          <cell r="B1180" t="str">
            <v>DK-LY-K518</v>
          </cell>
        </row>
        <row r="1181">
          <cell r="A1181" t="str">
            <v>DK-LY-K518-B0-34</v>
          </cell>
          <cell r="B1181" t="str">
            <v>DK-LY-K518</v>
          </cell>
        </row>
        <row r="1182">
          <cell r="A1182" t="str">
            <v>DK-LY-K518-B0-36</v>
          </cell>
          <cell r="B1182" t="str">
            <v>DK-LY-K518</v>
          </cell>
        </row>
        <row r="1183">
          <cell r="A1183" t="str">
            <v>DK-LY-K518-B0-38</v>
          </cell>
          <cell r="B1183" t="str">
            <v>DK-LY-K518</v>
          </cell>
        </row>
        <row r="1184">
          <cell r="A1184" t="str">
            <v>DK-LY-K518-B0-40</v>
          </cell>
          <cell r="B1184" t="str">
            <v>DK-LY-K518</v>
          </cell>
        </row>
        <row r="1185">
          <cell r="A1185" t="str">
            <v>DK-LY-K518-B0-42</v>
          </cell>
          <cell r="B1185" t="str">
            <v>DK-LY-K518</v>
          </cell>
        </row>
        <row r="1186">
          <cell r="A1186" t="str">
            <v>DK-LY-K518-B0-44</v>
          </cell>
          <cell r="B1186" t="str">
            <v>DK-LY-K518</v>
          </cell>
        </row>
        <row r="1187">
          <cell r="A1187" t="str">
            <v>DK-LY-K518-G0-32</v>
          </cell>
          <cell r="B1187" t="str">
            <v>DK-LY-K518</v>
          </cell>
        </row>
        <row r="1188">
          <cell r="A1188" t="str">
            <v>DK-LY-K518-G0-34</v>
          </cell>
          <cell r="B1188" t="str">
            <v>DK-LY-K518</v>
          </cell>
        </row>
        <row r="1189">
          <cell r="A1189" t="str">
            <v>DK-LY-K518-G0-36</v>
          </cell>
          <cell r="B1189" t="str">
            <v>DK-LY-K518</v>
          </cell>
        </row>
        <row r="1190">
          <cell r="A1190" t="str">
            <v>DK-LY-K518-G0-38</v>
          </cell>
          <cell r="B1190" t="str">
            <v>DK-LY-K518</v>
          </cell>
        </row>
        <row r="1191">
          <cell r="A1191" t="str">
            <v>DK-LY-K518-G0-40</v>
          </cell>
          <cell r="B1191" t="str">
            <v>DK-LY-K518</v>
          </cell>
        </row>
        <row r="1192">
          <cell r="A1192" t="str">
            <v>DK-LY-K518-G0-42</v>
          </cell>
          <cell r="B1192" t="str">
            <v>DK-LY-K518</v>
          </cell>
        </row>
        <row r="1193">
          <cell r="A1193" t="str">
            <v>DK-LY-K518-G0-44</v>
          </cell>
          <cell r="B1193" t="str">
            <v>DK-LY-K518</v>
          </cell>
        </row>
        <row r="1194">
          <cell r="A1194" t="str">
            <v>DK-LY-K518-K0-32</v>
          </cell>
          <cell r="B1194" t="str">
            <v>DK-LY-K518</v>
          </cell>
        </row>
        <row r="1195">
          <cell r="A1195" t="str">
            <v>DK-LY-K518-K0-34</v>
          </cell>
          <cell r="B1195" t="str">
            <v>DK-LY-K518</v>
          </cell>
        </row>
        <row r="1196">
          <cell r="A1196" t="str">
            <v>DK-LY-K518-K0-36</v>
          </cell>
          <cell r="B1196" t="str">
            <v>DK-LY-K518</v>
          </cell>
        </row>
        <row r="1197">
          <cell r="A1197" t="str">
            <v>DK-LY-K518-K0-38</v>
          </cell>
          <cell r="B1197" t="str">
            <v>DK-LY-K518</v>
          </cell>
        </row>
        <row r="1198">
          <cell r="A1198" t="str">
            <v>DK-LY-K518-K0-40</v>
          </cell>
          <cell r="B1198" t="str">
            <v>DK-LY-K518</v>
          </cell>
        </row>
        <row r="1199">
          <cell r="A1199" t="str">
            <v>DK-LY-K518-K0-42</v>
          </cell>
          <cell r="B1199" t="str">
            <v>DK-LY-K518</v>
          </cell>
        </row>
        <row r="1200">
          <cell r="A1200" t="str">
            <v>DK-LY-K518-K0-44</v>
          </cell>
          <cell r="B1200" t="str">
            <v>DK-LY-K518</v>
          </cell>
        </row>
        <row r="1201">
          <cell r="A1201" t="str">
            <v>DK-LY-K518-KQ-32</v>
          </cell>
          <cell r="B1201" t="str">
            <v>DK-LY-K518</v>
          </cell>
        </row>
        <row r="1202">
          <cell r="A1202" t="str">
            <v>DK-LY-K518-KQ-34</v>
          </cell>
          <cell r="B1202" t="str">
            <v>DK-LY-K518</v>
          </cell>
        </row>
        <row r="1203">
          <cell r="A1203" t="str">
            <v>DK-LY-K518-KQ-36</v>
          </cell>
          <cell r="B1203" t="str">
            <v>DK-LY-K518</v>
          </cell>
        </row>
        <row r="1204">
          <cell r="A1204" t="str">
            <v>DK-LY-K518-KQ-38</v>
          </cell>
          <cell r="B1204" t="str">
            <v>DK-LY-K518</v>
          </cell>
        </row>
        <row r="1205">
          <cell r="A1205" t="str">
            <v>DK-LY-K518-KQ-40</v>
          </cell>
          <cell r="B1205" t="str">
            <v>DK-LY-K518</v>
          </cell>
        </row>
        <row r="1206">
          <cell r="A1206" t="str">
            <v>DK-LY-K518-KQ-42</v>
          </cell>
          <cell r="B1206" t="str">
            <v>DK-LY-K518</v>
          </cell>
        </row>
        <row r="1207">
          <cell r="A1207" t="str">
            <v>DK-LY-K518-KQ-44</v>
          </cell>
          <cell r="B1207" t="str">
            <v>DK-LY-K518</v>
          </cell>
        </row>
        <row r="1208">
          <cell r="A1208" t="str">
            <v>DK-LY-K518-OR-32</v>
          </cell>
          <cell r="B1208" t="str">
            <v>DK-LY-K518</v>
          </cell>
        </row>
        <row r="1209">
          <cell r="A1209" t="str">
            <v>DK-LY-K518-OR-34</v>
          </cell>
          <cell r="B1209" t="str">
            <v>DK-LY-K518</v>
          </cell>
        </row>
        <row r="1210">
          <cell r="A1210" t="str">
            <v>DK-LY-K518-OR-36</v>
          </cell>
          <cell r="B1210" t="str">
            <v>DK-LY-K518</v>
          </cell>
        </row>
        <row r="1211">
          <cell r="A1211" t="str">
            <v>DK-LY-K518-OR-38</v>
          </cell>
          <cell r="B1211" t="str">
            <v>DK-LY-K518</v>
          </cell>
        </row>
        <row r="1212">
          <cell r="A1212" t="str">
            <v>DK-LY-K518-OR-40</v>
          </cell>
          <cell r="B1212" t="str">
            <v>DK-LY-K518</v>
          </cell>
        </row>
        <row r="1213">
          <cell r="A1213" t="str">
            <v>DK-LY-K518-OR-42</v>
          </cell>
          <cell r="B1213" t="str">
            <v>DK-LY-K518</v>
          </cell>
        </row>
        <row r="1214">
          <cell r="A1214" t="str">
            <v>DK-LY-K518-OR-44</v>
          </cell>
          <cell r="B1214" t="str">
            <v>DK-LY-K518</v>
          </cell>
        </row>
        <row r="1215">
          <cell r="A1215" t="str">
            <v>DK-LY-K559-K0-32</v>
          </cell>
          <cell r="B1215" t="str">
            <v>DK-LY-K559</v>
          </cell>
        </row>
        <row r="1216">
          <cell r="A1216" t="str">
            <v>DK-LY-K559-K0-34</v>
          </cell>
          <cell r="B1216" t="str">
            <v>DK-LY-K559</v>
          </cell>
        </row>
        <row r="1217">
          <cell r="A1217" t="str">
            <v>DK-LY-K559-K0-36</v>
          </cell>
          <cell r="B1217" t="str">
            <v>DK-LY-K559</v>
          </cell>
        </row>
        <row r="1218">
          <cell r="A1218" t="str">
            <v>DK-LY-K559-K0-38</v>
          </cell>
          <cell r="B1218" t="str">
            <v>DK-LY-K559</v>
          </cell>
        </row>
        <row r="1219">
          <cell r="A1219" t="str">
            <v>DK-LY-K559-K0-40</v>
          </cell>
          <cell r="B1219" t="str">
            <v>DK-LY-K559</v>
          </cell>
        </row>
        <row r="1220">
          <cell r="A1220" t="str">
            <v>DK-LY-K559-K0-42</v>
          </cell>
          <cell r="B1220" t="str">
            <v>DK-LY-K559</v>
          </cell>
        </row>
        <row r="1221">
          <cell r="A1221" t="str">
            <v>DK-LY-K559-K0-44</v>
          </cell>
          <cell r="B1221" t="str">
            <v>DK-LY-K559</v>
          </cell>
        </row>
        <row r="1222">
          <cell r="A1222" t="str">
            <v>DK-LY-K559-KQ-32</v>
          </cell>
          <cell r="B1222" t="str">
            <v>DK-LY-K559</v>
          </cell>
        </row>
        <row r="1223">
          <cell r="A1223" t="str">
            <v>DK-LY-K559-KQ-34</v>
          </cell>
          <cell r="B1223" t="str">
            <v>DK-LY-K559</v>
          </cell>
        </row>
        <row r="1224">
          <cell r="A1224" t="str">
            <v>DK-LY-K559-KQ-36</v>
          </cell>
          <cell r="B1224" t="str">
            <v>DK-LY-K559</v>
          </cell>
        </row>
        <row r="1225">
          <cell r="A1225" t="str">
            <v>DK-LY-K559-KQ-38</v>
          </cell>
          <cell r="B1225" t="str">
            <v>DK-LY-K559</v>
          </cell>
        </row>
        <row r="1226">
          <cell r="A1226" t="str">
            <v>DK-LY-K559-KQ-40</v>
          </cell>
          <cell r="B1226" t="str">
            <v>DK-LY-K559</v>
          </cell>
        </row>
        <row r="1227">
          <cell r="A1227" t="str">
            <v>DK-LY-K559-KQ-42</v>
          </cell>
          <cell r="B1227" t="str">
            <v>DK-LY-K559</v>
          </cell>
        </row>
        <row r="1228">
          <cell r="A1228" t="str">
            <v>DK-LY-K559-KQ-44</v>
          </cell>
          <cell r="B1228" t="str">
            <v>DK-LY-K559</v>
          </cell>
        </row>
        <row r="1229">
          <cell r="A1229" t="str">
            <v>DK-LY-K559-LB-32</v>
          </cell>
          <cell r="B1229" t="str">
            <v>DK-LY-K559</v>
          </cell>
        </row>
        <row r="1230">
          <cell r="A1230" t="str">
            <v>DK-LY-K559-LB-34</v>
          </cell>
          <cell r="B1230" t="str">
            <v>DK-LY-K559</v>
          </cell>
        </row>
        <row r="1231">
          <cell r="A1231" t="str">
            <v>DK-LY-K559-LB-36</v>
          </cell>
          <cell r="B1231" t="str">
            <v>DK-LY-K559</v>
          </cell>
        </row>
        <row r="1232">
          <cell r="A1232" t="str">
            <v>DK-LY-K559-LB-38</v>
          </cell>
          <cell r="B1232" t="str">
            <v>DK-LY-K559</v>
          </cell>
        </row>
        <row r="1233">
          <cell r="A1233" t="str">
            <v>DK-LY-K559-LB-40</v>
          </cell>
          <cell r="B1233" t="str">
            <v>DK-LY-K559</v>
          </cell>
        </row>
        <row r="1234">
          <cell r="A1234" t="str">
            <v>DK-LY-K559-LB-42</v>
          </cell>
          <cell r="B1234" t="str">
            <v>DK-LY-K559</v>
          </cell>
        </row>
        <row r="1235">
          <cell r="A1235" t="str">
            <v>DK-LY-K559-LB-44</v>
          </cell>
          <cell r="B1235" t="str">
            <v>DK-LY-K559</v>
          </cell>
        </row>
        <row r="1236">
          <cell r="A1236" t="str">
            <v>DK-LY-K559-OR-32</v>
          </cell>
          <cell r="B1236" t="str">
            <v>DK-LY-K559</v>
          </cell>
        </row>
        <row r="1237">
          <cell r="A1237" t="str">
            <v>DK-LY-K559-OR-34</v>
          </cell>
          <cell r="B1237" t="str">
            <v>DK-LY-K559</v>
          </cell>
        </row>
        <row r="1238">
          <cell r="A1238" t="str">
            <v>DK-LY-K559-OR-36</v>
          </cell>
          <cell r="B1238" t="str">
            <v>DK-LY-K559</v>
          </cell>
        </row>
        <row r="1239">
          <cell r="A1239" t="str">
            <v>DK-LY-K559-OR-38</v>
          </cell>
          <cell r="B1239" t="str">
            <v>DK-LY-K559</v>
          </cell>
        </row>
        <row r="1240">
          <cell r="A1240" t="str">
            <v>DK-LY-K559-OR-40</v>
          </cell>
          <cell r="B1240" t="str">
            <v>DK-LY-K559</v>
          </cell>
        </row>
        <row r="1241">
          <cell r="A1241" t="str">
            <v>DK-LY-K559-OR-42</v>
          </cell>
          <cell r="B1241" t="str">
            <v>DK-LY-K559</v>
          </cell>
        </row>
        <row r="1242">
          <cell r="A1242" t="str">
            <v>DK-LY-K559-OR-44</v>
          </cell>
          <cell r="B1242" t="str">
            <v>DK-LY-K559</v>
          </cell>
        </row>
        <row r="1243">
          <cell r="A1243" t="str">
            <v>DK-LY-K559-R0-32</v>
          </cell>
          <cell r="B1243" t="str">
            <v>DK-LY-K559</v>
          </cell>
        </row>
        <row r="1244">
          <cell r="A1244" t="str">
            <v>DK-LY-K559-R0-34</v>
          </cell>
          <cell r="B1244" t="str">
            <v>DK-LY-K559</v>
          </cell>
        </row>
        <row r="1245">
          <cell r="A1245" t="str">
            <v>DK-LY-K559-R0-36</v>
          </cell>
          <cell r="B1245" t="str">
            <v>DK-LY-K559</v>
          </cell>
        </row>
        <row r="1246">
          <cell r="A1246" t="str">
            <v>DK-LY-K559-R0-38</v>
          </cell>
          <cell r="B1246" t="str">
            <v>DK-LY-K559</v>
          </cell>
        </row>
        <row r="1247">
          <cell r="A1247" t="str">
            <v>DK-LY-K559-R0-40</v>
          </cell>
          <cell r="B1247" t="str">
            <v>DK-LY-K559</v>
          </cell>
        </row>
        <row r="1248">
          <cell r="A1248" t="str">
            <v>DK-LY-K559-R0-42</v>
          </cell>
          <cell r="B1248" t="str">
            <v>DK-LY-K559</v>
          </cell>
        </row>
        <row r="1249">
          <cell r="A1249" t="str">
            <v>DK-LY-K559-R0-44</v>
          </cell>
          <cell r="B1249" t="str">
            <v>DK-LY-K559</v>
          </cell>
        </row>
        <row r="1250">
          <cell r="A1250" t="str">
            <v>DS002</v>
          </cell>
          <cell r="B1250" t="str">
            <v>DS002</v>
          </cell>
        </row>
        <row r="1251">
          <cell r="A1251" t="str">
            <v>DX-TW410</v>
          </cell>
          <cell r="B1251" t="str">
            <v>DX-TW410</v>
          </cell>
        </row>
        <row r="1252">
          <cell r="A1252" t="str">
            <v>DX-TW410-K0-2X</v>
          </cell>
          <cell r="B1252" t="str">
            <v>DX-TW410</v>
          </cell>
        </row>
        <row r="1253">
          <cell r="A1253" t="str">
            <v>DX-TW410-K0-L</v>
          </cell>
          <cell r="B1253" t="str">
            <v>DX-TW410</v>
          </cell>
        </row>
        <row r="1254">
          <cell r="A1254" t="str">
            <v>DX-TW410-K0-M</v>
          </cell>
          <cell r="B1254" t="str">
            <v>DX-TW410</v>
          </cell>
        </row>
        <row r="1255">
          <cell r="A1255" t="str">
            <v>DX-TW410-K0-S</v>
          </cell>
          <cell r="B1255" t="str">
            <v>DX-TW410</v>
          </cell>
        </row>
        <row r="1256">
          <cell r="A1256" t="str">
            <v>DX-TW410-K0-XL</v>
          </cell>
          <cell r="B1256" t="str">
            <v>DX-TW410</v>
          </cell>
        </row>
        <row r="1257">
          <cell r="A1257" t="str">
            <v>DX-TW410-K0-XS</v>
          </cell>
          <cell r="B1257" t="str">
            <v>DX-TW410</v>
          </cell>
        </row>
        <row r="1258">
          <cell r="A1258" t="str">
            <v>DZ-IUYL200-BK</v>
          </cell>
          <cell r="B1258" t="str">
            <v>DZ-IUYL200</v>
          </cell>
        </row>
        <row r="1259">
          <cell r="A1259" t="str">
            <v>DZ-IUYL200-GR</v>
          </cell>
          <cell r="B1259" t="str">
            <v>DZ-IUYL200</v>
          </cell>
        </row>
        <row r="1260">
          <cell r="A1260" t="str">
            <v>DZ-IUYL210-BK</v>
          </cell>
          <cell r="B1260" t="str">
            <v>DZ-IUYL210</v>
          </cell>
        </row>
        <row r="1261">
          <cell r="A1261" t="str">
            <v>DZ-IUYL210-CF</v>
          </cell>
          <cell r="B1261" t="str">
            <v>DZ-IUYL210</v>
          </cell>
        </row>
        <row r="1262">
          <cell r="A1262" t="str">
            <v>DZ-IUYL210-GR</v>
          </cell>
          <cell r="B1262" t="str">
            <v>DZ-IUYL210</v>
          </cell>
        </row>
        <row r="1263">
          <cell r="A1263" t="str">
            <v>DZ-IUYL210-KK</v>
          </cell>
          <cell r="B1263" t="str">
            <v>DZ-IUYL210</v>
          </cell>
        </row>
        <row r="1264">
          <cell r="A1264" t="str">
            <v>DZ-IUYL220-BK</v>
          </cell>
          <cell r="B1264" t="str">
            <v>DZ-IUYL220</v>
          </cell>
        </row>
        <row r="1265">
          <cell r="A1265" t="str">
            <v>DZ-IUYL220-GR</v>
          </cell>
          <cell r="B1265" t="str">
            <v>DZ-IUYL220</v>
          </cell>
        </row>
        <row r="1266">
          <cell r="A1266" t="str">
            <v>FBA-YZ5505Da0L</v>
          </cell>
          <cell r="B1266" t="str">
            <v>YZ5505</v>
          </cell>
        </row>
        <row r="1267">
          <cell r="A1267" t="str">
            <v>FBA-YZ5505Da2L</v>
          </cell>
          <cell r="B1267" t="str">
            <v>YZ5505</v>
          </cell>
        </row>
        <row r="1268">
          <cell r="A1268" t="str">
            <v>FBA-YZ5505DaM</v>
          </cell>
          <cell r="B1268" t="str">
            <v>YZ5505</v>
          </cell>
        </row>
        <row r="1269">
          <cell r="A1269" t="str">
            <v>FBA-YZ5505DaS</v>
          </cell>
          <cell r="B1269" t="str">
            <v>YZ5505</v>
          </cell>
        </row>
        <row r="1270">
          <cell r="A1270" t="str">
            <v>FBA-YZ5505DaXL</v>
          </cell>
          <cell r="B1270" t="str">
            <v>YZ5505</v>
          </cell>
        </row>
        <row r="1271">
          <cell r="A1271" t="str">
            <v>FBA-YZ5505DaXS</v>
          </cell>
          <cell r="B1271" t="str">
            <v>YZ5505</v>
          </cell>
        </row>
        <row r="1272">
          <cell r="A1272" t="str">
            <v>FT5505</v>
          </cell>
          <cell r="B1272" t="str">
            <v>FT5505</v>
          </cell>
        </row>
        <row r="1273">
          <cell r="A1273" t="str">
            <v>GM-0012L-ZJ</v>
          </cell>
          <cell r="B1273" t="str">
            <v>GM-001</v>
          </cell>
        </row>
        <row r="1274">
          <cell r="A1274" t="str">
            <v>GM-0013L</v>
          </cell>
          <cell r="B1274" t="str">
            <v>GM-001</v>
          </cell>
        </row>
        <row r="1275">
          <cell r="A1275" t="str">
            <v>GM-0014L-C</v>
          </cell>
          <cell r="B1275" t="str">
            <v>GM-001</v>
          </cell>
        </row>
        <row r="1276">
          <cell r="A1276" t="str">
            <v>GM-001L</v>
          </cell>
          <cell r="B1276" t="str">
            <v>GM-001</v>
          </cell>
        </row>
        <row r="1277">
          <cell r="A1277" t="str">
            <v>GM-001L-ZJ</v>
          </cell>
          <cell r="B1277" t="str">
            <v>GM-001</v>
          </cell>
        </row>
        <row r="1278">
          <cell r="A1278" t="str">
            <v>GM-001M-ZJ</v>
          </cell>
          <cell r="B1278" t="str">
            <v>GM-001</v>
          </cell>
        </row>
        <row r="1279">
          <cell r="A1279" t="str">
            <v>GM-001XL-ZJ</v>
          </cell>
          <cell r="B1279" t="str">
            <v>GM-001</v>
          </cell>
        </row>
        <row r="1280">
          <cell r="A1280" t="str">
            <v>GM-AC</v>
          </cell>
          <cell r="B1280" t="str">
            <v>GM-AC</v>
          </cell>
        </row>
        <row r="1281">
          <cell r="A1281" t="str">
            <v>GM-SJ002</v>
          </cell>
          <cell r="B1281" t="str">
            <v>GM-SJ002</v>
          </cell>
        </row>
        <row r="1282">
          <cell r="A1282" t="str">
            <v>GM-SJ002B0</v>
          </cell>
          <cell r="B1282" t="str">
            <v>GM-SJ002</v>
          </cell>
        </row>
        <row r="1283">
          <cell r="A1283" t="str">
            <v>GM-SJ002B0-GM</v>
          </cell>
          <cell r="B1283" t="str">
            <v>GM-SJ002</v>
          </cell>
        </row>
        <row r="1284">
          <cell r="A1284" t="str">
            <v>GM-SJ002BW</v>
          </cell>
          <cell r="B1284" t="str">
            <v>GM-SJ002</v>
          </cell>
        </row>
        <row r="1285">
          <cell r="A1285" t="str">
            <v>GM-SJ002G0</v>
          </cell>
          <cell r="B1285" t="str">
            <v>GM-SJ002</v>
          </cell>
        </row>
        <row r="1286">
          <cell r="A1286" t="str">
            <v>GM-SJ002-Pi</v>
          </cell>
          <cell r="B1286" t="str">
            <v>GM-SJ002</v>
          </cell>
        </row>
        <row r="1287">
          <cell r="A1287" t="str">
            <v>GM-SJ002W0</v>
          </cell>
          <cell r="B1287" t="str">
            <v>GM-SJ002</v>
          </cell>
        </row>
        <row r="1288">
          <cell r="A1288" t="str">
            <v>GM-SJ002W0-GM</v>
          </cell>
          <cell r="B1288" t="str">
            <v>GM-SJ002</v>
          </cell>
        </row>
        <row r="1289">
          <cell r="A1289" t="str">
            <v>GS-IUYL270</v>
          </cell>
          <cell r="B1289" t="str">
            <v>GS-IUYL270</v>
          </cell>
        </row>
        <row r="1290">
          <cell r="A1290" t="str">
            <v>GS-IUYL280-1</v>
          </cell>
          <cell r="B1290" t="str">
            <v>GS-IUYL280</v>
          </cell>
        </row>
        <row r="1291">
          <cell r="A1291" t="str">
            <v>GS-IUYL280-2</v>
          </cell>
          <cell r="B1291" t="str">
            <v>GS-IUYL280</v>
          </cell>
        </row>
        <row r="1292">
          <cell r="A1292" t="str">
            <v>GS-IUYL280-3</v>
          </cell>
          <cell r="B1292" t="str">
            <v>GS-IUYL280</v>
          </cell>
        </row>
        <row r="1293">
          <cell r="A1293" t="str">
            <v>GS-PUHM019-B0-L</v>
          </cell>
          <cell r="B1293" t="str">
            <v>GS-PUHM019</v>
          </cell>
        </row>
        <row r="1294">
          <cell r="A1294" t="str">
            <v>GS-PUHM019-B0-M</v>
          </cell>
          <cell r="B1294" t="str">
            <v>GS-PUHM019</v>
          </cell>
        </row>
        <row r="1295">
          <cell r="A1295" t="str">
            <v>GS-PUHM019-B0-S</v>
          </cell>
          <cell r="B1295" t="str">
            <v>GS-PUHM019</v>
          </cell>
        </row>
        <row r="1296">
          <cell r="A1296" t="str">
            <v>GS-PUHM019-B0-XL</v>
          </cell>
          <cell r="B1296" t="str">
            <v>GS-PUHM019</v>
          </cell>
        </row>
        <row r="1297">
          <cell r="A1297" t="str">
            <v>GS-PUHM019-K0-L</v>
          </cell>
          <cell r="B1297" t="str">
            <v>GS-PUHM019</v>
          </cell>
        </row>
        <row r="1298">
          <cell r="A1298" t="str">
            <v>GS-PUHM019-K0-M</v>
          </cell>
          <cell r="B1298" t="str">
            <v>GS-PUHM019</v>
          </cell>
        </row>
        <row r="1299">
          <cell r="A1299" t="str">
            <v>GS-PUHM019-K0-S</v>
          </cell>
          <cell r="B1299" t="str">
            <v>GS-PUHM019</v>
          </cell>
        </row>
        <row r="1300">
          <cell r="A1300" t="str">
            <v>GS-PUHM019-K0-XL</v>
          </cell>
          <cell r="B1300" t="str">
            <v>GS-PUHM019</v>
          </cell>
        </row>
        <row r="1301">
          <cell r="A1301" t="str">
            <v>GS-PUHM019-R0-L</v>
          </cell>
          <cell r="B1301" t="str">
            <v>GS-PUHM019</v>
          </cell>
        </row>
        <row r="1302">
          <cell r="A1302" t="str">
            <v>GS-PUHM019-R0-M</v>
          </cell>
          <cell r="B1302" t="str">
            <v>GS-PUHM019</v>
          </cell>
        </row>
        <row r="1303">
          <cell r="A1303" t="str">
            <v>GS-PUHM019-R0-S</v>
          </cell>
          <cell r="B1303" t="str">
            <v>GS-PUHM019</v>
          </cell>
        </row>
        <row r="1304">
          <cell r="A1304" t="str">
            <v>GS-PUHM019-R0-XL</v>
          </cell>
          <cell r="B1304" t="str">
            <v>GS-PUHM019</v>
          </cell>
        </row>
        <row r="1305">
          <cell r="A1305" t="str">
            <v>GW-LULHY-10</v>
          </cell>
          <cell r="B1305" t="str">
            <v>GW-LULHY</v>
          </cell>
        </row>
        <row r="1306">
          <cell r="A1306" t="str">
            <v>GW-LULHY-4.5</v>
          </cell>
          <cell r="B1306" t="str">
            <v>GW-LULHY</v>
          </cell>
        </row>
        <row r="1307">
          <cell r="A1307" t="str">
            <v>GW-LULHY-5.1</v>
          </cell>
          <cell r="B1307" t="str">
            <v>GW-LULHY</v>
          </cell>
        </row>
        <row r="1308">
          <cell r="A1308" t="str">
            <v>GW-LULHY-6.2</v>
          </cell>
          <cell r="B1308" t="str">
            <v>GW-LULHY</v>
          </cell>
        </row>
        <row r="1309">
          <cell r="A1309" t="str">
            <v>GW-LULHY-7.6</v>
          </cell>
          <cell r="B1309" t="str">
            <v>GW-LULHY</v>
          </cell>
        </row>
        <row r="1310">
          <cell r="A1310" t="str">
            <v>GW-LULHY-8.8</v>
          </cell>
          <cell r="B1310" t="str">
            <v>GW-LULHY</v>
          </cell>
        </row>
        <row r="1311">
          <cell r="A1311" t="str">
            <v>HZB-QJTZ-IUYL300310</v>
          </cell>
          <cell r="B1311" t="str">
            <v>HZB-QJTZ-IUYL300310</v>
          </cell>
        </row>
        <row r="1312">
          <cell r="A1312" t="str">
            <v>JK-CL0137</v>
          </cell>
          <cell r="B1312" t="str">
            <v>JK-CL0137</v>
          </cell>
        </row>
        <row r="1313">
          <cell r="A1313" t="str">
            <v>JK-CL0137-BD-2XL</v>
          </cell>
          <cell r="B1313" t="str">
            <v>JK-CL0137</v>
          </cell>
        </row>
        <row r="1314">
          <cell r="A1314" t="str">
            <v>JK-CL0137-BD-3XL</v>
          </cell>
          <cell r="B1314" t="str">
            <v>JK-CL0137</v>
          </cell>
        </row>
        <row r="1315">
          <cell r="A1315" t="str">
            <v>JK-CL0137-BD-L</v>
          </cell>
          <cell r="B1315" t="str">
            <v>JK-CL0137</v>
          </cell>
        </row>
        <row r="1316">
          <cell r="A1316" t="str">
            <v>JK-CL0137-BD-M</v>
          </cell>
          <cell r="B1316" t="str">
            <v>JK-CL0137</v>
          </cell>
        </row>
        <row r="1317">
          <cell r="A1317" t="str">
            <v>JK-CL0137-BD-S</v>
          </cell>
          <cell r="B1317" t="str">
            <v>JK-CL0137</v>
          </cell>
        </row>
        <row r="1318">
          <cell r="A1318" t="str">
            <v>JK-CL0137-BD-XL</v>
          </cell>
          <cell r="B1318" t="str">
            <v>JK-CL0137</v>
          </cell>
        </row>
        <row r="1319">
          <cell r="A1319" t="str">
            <v>JK-CL0137-G7-2XL</v>
          </cell>
          <cell r="B1319" t="str">
            <v>JK-CL0137</v>
          </cell>
        </row>
        <row r="1320">
          <cell r="A1320" t="str">
            <v>JK-CL0137-G7-3XL</v>
          </cell>
          <cell r="B1320" t="str">
            <v>JK-CL0137</v>
          </cell>
        </row>
        <row r="1321">
          <cell r="A1321" t="str">
            <v>JK-CL0137-G7-L</v>
          </cell>
          <cell r="B1321" t="str">
            <v>JK-CL0137</v>
          </cell>
        </row>
        <row r="1322">
          <cell r="A1322" t="str">
            <v>JK-CL0137-G7-M</v>
          </cell>
          <cell r="B1322" t="str">
            <v>JK-CL0137</v>
          </cell>
        </row>
        <row r="1323">
          <cell r="A1323" t="str">
            <v>JK-CL0137-G7-S</v>
          </cell>
          <cell r="B1323" t="str">
            <v>JK-CL0137</v>
          </cell>
        </row>
        <row r="1324">
          <cell r="A1324" t="str">
            <v>JK-CL0137-G7-XL</v>
          </cell>
          <cell r="B1324" t="str">
            <v>JK-CL0137</v>
          </cell>
        </row>
        <row r="1325">
          <cell r="A1325" t="str">
            <v>JK-CL0137-K0-2XL</v>
          </cell>
          <cell r="B1325" t="str">
            <v>JK-CL0137</v>
          </cell>
        </row>
        <row r="1326">
          <cell r="A1326" t="str">
            <v>JK-CL0137-K0-3XL</v>
          </cell>
          <cell r="B1326" t="str">
            <v>JK-CL0137</v>
          </cell>
        </row>
        <row r="1327">
          <cell r="A1327" t="str">
            <v>JK-CL0137-K0-L</v>
          </cell>
          <cell r="B1327" t="str">
            <v>JK-CL0137</v>
          </cell>
        </row>
        <row r="1328">
          <cell r="A1328" t="str">
            <v>JK-CL0137-K0-M</v>
          </cell>
          <cell r="B1328" t="str">
            <v>JK-CL0137</v>
          </cell>
        </row>
        <row r="1329">
          <cell r="A1329" t="str">
            <v>JK-CL0137-K0-S</v>
          </cell>
          <cell r="B1329" t="str">
            <v>JK-CL0137</v>
          </cell>
        </row>
        <row r="1330">
          <cell r="A1330" t="str">
            <v>JK-CL0137-K0-XL</v>
          </cell>
          <cell r="B1330" t="str">
            <v>JK-CL0137</v>
          </cell>
        </row>
        <row r="1331">
          <cell r="A1331" t="str">
            <v>JK-CL0137-ZL-2XL</v>
          </cell>
          <cell r="B1331" t="str">
            <v>JK-CL0137</v>
          </cell>
        </row>
        <row r="1332">
          <cell r="A1332" t="str">
            <v>JK-CL0137-ZL-3XL</v>
          </cell>
          <cell r="B1332" t="str">
            <v>JK-CL0137</v>
          </cell>
        </row>
        <row r="1333">
          <cell r="A1333" t="str">
            <v>JK-CL0137-ZL-L</v>
          </cell>
          <cell r="B1333" t="str">
            <v>JK-CL0137</v>
          </cell>
        </row>
        <row r="1334">
          <cell r="A1334" t="str">
            <v>JK-CL0137-ZL-M</v>
          </cell>
          <cell r="B1334" t="str">
            <v>JK-CL0137</v>
          </cell>
        </row>
        <row r="1335">
          <cell r="A1335" t="str">
            <v>JK-CL0137-ZL-S</v>
          </cell>
          <cell r="B1335" t="str">
            <v>JK-CL0137</v>
          </cell>
        </row>
        <row r="1336">
          <cell r="A1336" t="str">
            <v>JK-CL0137-ZL-XL</v>
          </cell>
          <cell r="B1336" t="str">
            <v>JK-CL0137</v>
          </cell>
        </row>
        <row r="1337">
          <cell r="A1337" t="str">
            <v>JK-SB015-DG-L</v>
          </cell>
          <cell r="B1337" t="str">
            <v>JK-SB015</v>
          </cell>
        </row>
        <row r="1338">
          <cell r="A1338" t="str">
            <v>JK-SB015-DG-M</v>
          </cell>
          <cell r="B1338" t="str">
            <v>JK-SB015</v>
          </cell>
        </row>
        <row r="1339">
          <cell r="A1339" t="str">
            <v>JK-SB015-DG-S</v>
          </cell>
          <cell r="B1339" t="str">
            <v>JK-SB015</v>
          </cell>
        </row>
        <row r="1340">
          <cell r="A1340" t="str">
            <v>JK-SB015-DG-XL</v>
          </cell>
          <cell r="B1340" t="str">
            <v>JK-SB015</v>
          </cell>
        </row>
        <row r="1341">
          <cell r="A1341" t="str">
            <v>JK-SB015-DG-XXL</v>
          </cell>
          <cell r="B1341" t="str">
            <v>JK-SB015</v>
          </cell>
        </row>
        <row r="1342">
          <cell r="A1342" t="str">
            <v>JK-SB015-KK-L</v>
          </cell>
          <cell r="B1342" t="str">
            <v>JK-SB015</v>
          </cell>
        </row>
        <row r="1343">
          <cell r="A1343" t="str">
            <v>JK-SB015-KK-M</v>
          </cell>
          <cell r="B1343" t="str">
            <v>JK-SB015</v>
          </cell>
        </row>
        <row r="1344">
          <cell r="A1344" t="str">
            <v>JK-SB015-KK-S</v>
          </cell>
          <cell r="B1344" t="str">
            <v>JK-SB015</v>
          </cell>
        </row>
        <row r="1345">
          <cell r="A1345" t="str">
            <v>JK-SB015-KK-XL</v>
          </cell>
          <cell r="B1345" t="str">
            <v>JK-SB015</v>
          </cell>
        </row>
        <row r="1346">
          <cell r="A1346" t="str">
            <v>JK-SB015-KK-XXL</v>
          </cell>
          <cell r="B1346" t="str">
            <v>JK-SB015</v>
          </cell>
        </row>
        <row r="1347">
          <cell r="A1347" t="str">
            <v>JK-SB015-LG-L</v>
          </cell>
          <cell r="B1347" t="str">
            <v>JK-SB015</v>
          </cell>
        </row>
        <row r="1348">
          <cell r="A1348" t="str">
            <v>JK-SB015-LG-M</v>
          </cell>
          <cell r="B1348" t="str">
            <v>JK-SB015</v>
          </cell>
        </row>
        <row r="1349">
          <cell r="A1349" t="str">
            <v>JK-SB015-LG-S</v>
          </cell>
          <cell r="B1349" t="str">
            <v>JK-SB015</v>
          </cell>
        </row>
        <row r="1350">
          <cell r="A1350" t="str">
            <v>JK-SB015-LG-XL</v>
          </cell>
          <cell r="B1350" t="str">
            <v>JK-SB015</v>
          </cell>
        </row>
        <row r="1351">
          <cell r="A1351" t="str">
            <v>JK-SB015-LG-XXL</v>
          </cell>
          <cell r="B1351" t="str">
            <v>JK-SB015</v>
          </cell>
        </row>
        <row r="1352">
          <cell r="A1352" t="str">
            <v>JK-SB016-BK-L</v>
          </cell>
          <cell r="B1352" t="str">
            <v>JK-SB016</v>
          </cell>
        </row>
        <row r="1353">
          <cell r="A1353" t="str">
            <v>JK-SB016-BK-M</v>
          </cell>
          <cell r="B1353" t="str">
            <v>JK-SB016</v>
          </cell>
        </row>
        <row r="1354">
          <cell r="A1354" t="str">
            <v>JK-SB016-BK-S</v>
          </cell>
          <cell r="B1354" t="str">
            <v>JK-SB016</v>
          </cell>
        </row>
        <row r="1355">
          <cell r="A1355" t="str">
            <v>JK-SB016-BK-XL</v>
          </cell>
          <cell r="B1355" t="str">
            <v>JK-SB016</v>
          </cell>
        </row>
        <row r="1356">
          <cell r="A1356" t="str">
            <v>JK-SB016-BK-XXL</v>
          </cell>
          <cell r="B1356" t="str">
            <v>JK-SB016</v>
          </cell>
        </row>
        <row r="1357">
          <cell r="A1357" t="str">
            <v>JK-SB016-CF-L</v>
          </cell>
          <cell r="B1357" t="str">
            <v>JK-SB016</v>
          </cell>
        </row>
        <row r="1358">
          <cell r="A1358" t="str">
            <v>JK-SB016-CF-M</v>
          </cell>
          <cell r="B1358" t="str">
            <v>JK-SB016</v>
          </cell>
        </row>
        <row r="1359">
          <cell r="A1359" t="str">
            <v>JK-SB016-CF-S</v>
          </cell>
          <cell r="B1359" t="str">
            <v>JK-SB016</v>
          </cell>
        </row>
        <row r="1360">
          <cell r="A1360" t="str">
            <v>JK-SB016-CF-XL</v>
          </cell>
          <cell r="B1360" t="str">
            <v>JK-SB016</v>
          </cell>
        </row>
        <row r="1361">
          <cell r="A1361" t="str">
            <v>JK-SB016-CF-XXL</v>
          </cell>
          <cell r="B1361" t="str">
            <v>JK-SB016</v>
          </cell>
        </row>
        <row r="1362">
          <cell r="A1362" t="str">
            <v>JK-SB016-GR-L</v>
          </cell>
          <cell r="B1362" t="str">
            <v>JK-SB016</v>
          </cell>
        </row>
        <row r="1363">
          <cell r="A1363" t="str">
            <v>JK-SB016-GR-M</v>
          </cell>
          <cell r="B1363" t="str">
            <v>JK-SB016</v>
          </cell>
        </row>
        <row r="1364">
          <cell r="A1364" t="str">
            <v>JK-SB016-GR-S</v>
          </cell>
          <cell r="B1364" t="str">
            <v>JK-SB016</v>
          </cell>
        </row>
        <row r="1365">
          <cell r="A1365" t="str">
            <v>JK-SB016-GR-XL</v>
          </cell>
          <cell r="B1365" t="str">
            <v>JK-SB016</v>
          </cell>
        </row>
        <row r="1366">
          <cell r="A1366" t="str">
            <v>JK-SB016-GR-XXL</v>
          </cell>
          <cell r="B1366" t="str">
            <v>JK-SB016</v>
          </cell>
        </row>
        <row r="1367">
          <cell r="A1367" t="str">
            <v>KZ-LY021-BK-32</v>
          </cell>
          <cell r="B1367" t="str">
            <v>KZ-LY021</v>
          </cell>
        </row>
        <row r="1368">
          <cell r="A1368" t="str">
            <v>KZ-LY021-BK-34</v>
          </cell>
          <cell r="B1368" t="str">
            <v>KZ-LY021</v>
          </cell>
        </row>
        <row r="1369">
          <cell r="A1369" t="str">
            <v>KZ-LY021-BK-36</v>
          </cell>
          <cell r="B1369" t="str">
            <v>KZ-LY021</v>
          </cell>
        </row>
        <row r="1370">
          <cell r="A1370" t="str">
            <v>KZ-LY021-BK-38</v>
          </cell>
          <cell r="B1370" t="str">
            <v>KZ-LY021</v>
          </cell>
        </row>
        <row r="1371">
          <cell r="A1371" t="str">
            <v>KZ-LY021-BK-40</v>
          </cell>
          <cell r="B1371" t="str">
            <v>KZ-LY021</v>
          </cell>
        </row>
        <row r="1372">
          <cell r="A1372" t="str">
            <v>KZ-LY021-BL-32</v>
          </cell>
          <cell r="B1372" t="str">
            <v>KZ-LY021</v>
          </cell>
        </row>
        <row r="1373">
          <cell r="A1373" t="str">
            <v>KZ-LY021-BL-34</v>
          </cell>
          <cell r="B1373" t="str">
            <v>KZ-LY021</v>
          </cell>
        </row>
        <row r="1374">
          <cell r="A1374" t="str">
            <v>KZ-LY021-BL-36</v>
          </cell>
          <cell r="B1374" t="str">
            <v>KZ-LY021</v>
          </cell>
        </row>
        <row r="1375">
          <cell r="A1375" t="str">
            <v>KZ-LY021-BL-38</v>
          </cell>
          <cell r="B1375" t="str">
            <v>KZ-LY021</v>
          </cell>
        </row>
        <row r="1376">
          <cell r="A1376" t="str">
            <v>KZ-LY021-BL-40</v>
          </cell>
          <cell r="B1376" t="str">
            <v>KZ-LY021</v>
          </cell>
        </row>
        <row r="1377">
          <cell r="A1377" t="str">
            <v>KZ-LY021-GY-32</v>
          </cell>
          <cell r="B1377" t="str">
            <v>KZ-LY021</v>
          </cell>
        </row>
        <row r="1378">
          <cell r="A1378" t="str">
            <v>KZ-LY021-GY-34</v>
          </cell>
          <cell r="B1378" t="str">
            <v>KZ-LY021</v>
          </cell>
        </row>
        <row r="1379">
          <cell r="A1379" t="str">
            <v>KZ-LY021-GY-36</v>
          </cell>
          <cell r="B1379" t="str">
            <v>KZ-LY021</v>
          </cell>
        </row>
        <row r="1380">
          <cell r="A1380" t="str">
            <v>KZ-LY021-GY-38</v>
          </cell>
          <cell r="B1380" t="str">
            <v>KZ-LY021</v>
          </cell>
        </row>
        <row r="1381">
          <cell r="A1381" t="str">
            <v>KZ-LY021-GY-40</v>
          </cell>
          <cell r="B1381" t="str">
            <v>KZ-LY021</v>
          </cell>
        </row>
        <row r="1382">
          <cell r="A1382" t="str">
            <v>KZ-LY021-KK-32</v>
          </cell>
          <cell r="B1382" t="str">
            <v>KZ-LY021</v>
          </cell>
        </row>
        <row r="1383">
          <cell r="A1383" t="str">
            <v>KZ-LY021-KK-34</v>
          </cell>
          <cell r="B1383" t="str">
            <v>KZ-LY021</v>
          </cell>
        </row>
        <row r="1384">
          <cell r="A1384" t="str">
            <v>KZ-LY021-KK-36</v>
          </cell>
          <cell r="B1384" t="str">
            <v>KZ-LY021</v>
          </cell>
        </row>
        <row r="1385">
          <cell r="A1385" t="str">
            <v>KZ-LY021-KK-38</v>
          </cell>
          <cell r="B1385" t="str">
            <v>KZ-LY021</v>
          </cell>
        </row>
        <row r="1386">
          <cell r="A1386" t="str">
            <v>KZ-LY021-KK-40</v>
          </cell>
          <cell r="B1386" t="str">
            <v>KZ-LY021</v>
          </cell>
        </row>
        <row r="1387">
          <cell r="A1387" t="str">
            <v>KZ-LY021-NY-32</v>
          </cell>
          <cell r="B1387" t="str">
            <v>KZ-LY021</v>
          </cell>
        </row>
        <row r="1388">
          <cell r="A1388" t="str">
            <v>KZ-LY021-NY-34</v>
          </cell>
          <cell r="B1388" t="str">
            <v>KZ-LY021</v>
          </cell>
        </row>
        <row r="1389">
          <cell r="A1389" t="str">
            <v>KZ-LY021-NY-36</v>
          </cell>
          <cell r="B1389" t="str">
            <v>KZ-LY021</v>
          </cell>
        </row>
        <row r="1390">
          <cell r="A1390" t="str">
            <v>KZ-LY021-NY-38</v>
          </cell>
          <cell r="B1390" t="str">
            <v>KZ-LY021</v>
          </cell>
        </row>
        <row r="1391">
          <cell r="A1391" t="str">
            <v>KZ-LY021-NY-40</v>
          </cell>
          <cell r="B1391" t="str">
            <v>KZ-LY021</v>
          </cell>
        </row>
        <row r="1392">
          <cell r="A1392" t="str">
            <v>KZ-LY021-WR-32</v>
          </cell>
          <cell r="B1392" t="str">
            <v>KZ-LY021</v>
          </cell>
        </row>
        <row r="1393">
          <cell r="A1393" t="str">
            <v>KZ-LY021-WR-34</v>
          </cell>
          <cell r="B1393" t="str">
            <v>KZ-LY021</v>
          </cell>
        </row>
        <row r="1394">
          <cell r="A1394" t="str">
            <v>KZ-LY021-WR-36</v>
          </cell>
          <cell r="B1394" t="str">
            <v>KZ-LY021</v>
          </cell>
        </row>
        <row r="1395">
          <cell r="A1395" t="str">
            <v>KZ-LY021-WR-38</v>
          </cell>
          <cell r="B1395" t="str">
            <v>KZ-LY021</v>
          </cell>
        </row>
        <row r="1396">
          <cell r="A1396" t="str">
            <v>KZ-LY021-WR-40</v>
          </cell>
          <cell r="B1396" t="str">
            <v>KZ-LY021</v>
          </cell>
        </row>
        <row r="1397">
          <cell r="A1397" t="str">
            <v>LGQ-IUYL100-BL</v>
          </cell>
          <cell r="B1397" t="str">
            <v>LGQ-IUYL100</v>
          </cell>
        </row>
        <row r="1398">
          <cell r="A1398" t="str">
            <v>LGQ-IUYL100-GN</v>
          </cell>
          <cell r="B1398" t="str">
            <v>LGQ-IUYL100</v>
          </cell>
        </row>
        <row r="1399">
          <cell r="A1399" t="str">
            <v>LGQ-IUYL100-PK</v>
          </cell>
          <cell r="B1399" t="str">
            <v>LGQ-IUYL100</v>
          </cell>
        </row>
        <row r="1400">
          <cell r="A1400" t="str">
            <v>LGQ-IUYL100-RD</v>
          </cell>
          <cell r="B1400" t="str">
            <v>LGQ-IUYL100</v>
          </cell>
        </row>
        <row r="1401">
          <cell r="A1401" t="str">
            <v>LGQ-IUYL100-WT</v>
          </cell>
          <cell r="B1401" t="str">
            <v>LGQ-IUYL100</v>
          </cell>
        </row>
        <row r="1402">
          <cell r="A1402" t="str">
            <v>LGQ-IUYL100-YL</v>
          </cell>
          <cell r="B1402" t="str">
            <v>LGQ-IUYL100</v>
          </cell>
        </row>
        <row r="1403">
          <cell r="A1403" t="str">
            <v>LYQ-1010</v>
          </cell>
          <cell r="B1403" t="str">
            <v>LYQ-1010</v>
          </cell>
        </row>
        <row r="1404">
          <cell r="A1404" t="str">
            <v>LYQ-1010K02L</v>
          </cell>
          <cell r="B1404" t="str">
            <v>LYQ-1010</v>
          </cell>
        </row>
        <row r="1405">
          <cell r="A1405" t="str">
            <v>LYQ-1010K02L-MX</v>
          </cell>
          <cell r="B1405" t="str">
            <v>LYQ-1010</v>
          </cell>
        </row>
        <row r="1406">
          <cell r="A1406" t="str">
            <v>LYQ-1010K03L</v>
          </cell>
          <cell r="B1406" t="str">
            <v>LYQ-1010</v>
          </cell>
        </row>
        <row r="1407">
          <cell r="A1407" t="str">
            <v>LYQ-1010K03L-MX</v>
          </cell>
          <cell r="B1407" t="str">
            <v>LYQ-1010</v>
          </cell>
        </row>
        <row r="1408">
          <cell r="A1408" t="str">
            <v>LYQ-1010K0L</v>
          </cell>
          <cell r="B1408" t="str">
            <v>LYQ-1010</v>
          </cell>
        </row>
        <row r="1409">
          <cell r="A1409" t="str">
            <v>LYQ-1010K0L-MX</v>
          </cell>
          <cell r="B1409" t="str">
            <v>LYQ-1010</v>
          </cell>
        </row>
        <row r="1410">
          <cell r="A1410" t="str">
            <v>LYQ-1010K0M</v>
          </cell>
          <cell r="B1410" t="str">
            <v>LYQ-1010</v>
          </cell>
        </row>
        <row r="1411">
          <cell r="A1411" t="str">
            <v>LYQ-1010K0M-MX</v>
          </cell>
          <cell r="B1411" t="str">
            <v>LYQ-1010</v>
          </cell>
        </row>
        <row r="1412">
          <cell r="A1412" t="str">
            <v>LYQ-1010K0S</v>
          </cell>
          <cell r="B1412" t="str">
            <v>LYQ-1010</v>
          </cell>
        </row>
        <row r="1413">
          <cell r="A1413" t="str">
            <v>LYQ-1010K0S-MX</v>
          </cell>
          <cell r="B1413" t="str">
            <v>LYQ-1010</v>
          </cell>
        </row>
        <row r="1414">
          <cell r="A1414" t="str">
            <v>LYQ-1010K0XL</v>
          </cell>
          <cell r="B1414" t="str">
            <v>LYQ-1010</v>
          </cell>
        </row>
        <row r="1415">
          <cell r="A1415" t="str">
            <v>LYQ-1010K0XL-MX</v>
          </cell>
          <cell r="B1415" t="str">
            <v>LYQ-1010</v>
          </cell>
        </row>
        <row r="1416">
          <cell r="A1416" t="str">
            <v>LYQ-1010N02L</v>
          </cell>
          <cell r="B1416" t="str">
            <v>LYQ-1010</v>
          </cell>
        </row>
        <row r="1417">
          <cell r="A1417" t="str">
            <v>LYQ-1010N03L</v>
          </cell>
          <cell r="B1417" t="str">
            <v>LYQ-1010</v>
          </cell>
        </row>
        <row r="1418">
          <cell r="A1418" t="str">
            <v>LYQ-1010N0L</v>
          </cell>
          <cell r="B1418" t="str">
            <v>LYQ-1010</v>
          </cell>
        </row>
        <row r="1419">
          <cell r="A1419" t="str">
            <v>LYQ-1010N0M</v>
          </cell>
          <cell r="B1419" t="str">
            <v>LYQ-1010</v>
          </cell>
        </row>
        <row r="1420">
          <cell r="A1420" t="str">
            <v>LYQ-1010N0S</v>
          </cell>
          <cell r="B1420" t="str">
            <v>LYQ-1010</v>
          </cell>
        </row>
        <row r="1421">
          <cell r="A1421" t="str">
            <v>LYQ-1010N0S-New</v>
          </cell>
          <cell r="B1421" t="str">
            <v>LYQ-1010</v>
          </cell>
        </row>
        <row r="1422">
          <cell r="A1422" t="str">
            <v>LYQ-1010N0XL</v>
          </cell>
          <cell r="B1422" t="str">
            <v>LYQ-1010</v>
          </cell>
        </row>
        <row r="1423">
          <cell r="A1423" t="str">
            <v>LYQ-1010P02L</v>
          </cell>
          <cell r="B1423" t="str">
            <v>LYQ-1010</v>
          </cell>
        </row>
        <row r="1424">
          <cell r="A1424" t="str">
            <v>LYQ-1010P02L-MX</v>
          </cell>
          <cell r="B1424" t="str">
            <v>LYQ-1010</v>
          </cell>
        </row>
        <row r="1425">
          <cell r="A1425" t="str">
            <v>LYQ-1010P03L</v>
          </cell>
          <cell r="B1425" t="str">
            <v>LYQ-1010</v>
          </cell>
        </row>
        <row r="1426">
          <cell r="A1426" t="str">
            <v>LYQ-1010P03L-MX</v>
          </cell>
          <cell r="B1426" t="str">
            <v>LYQ-1010</v>
          </cell>
        </row>
        <row r="1427">
          <cell r="A1427" t="str">
            <v>LYQ-1010P0L</v>
          </cell>
          <cell r="B1427" t="str">
            <v>LYQ-1010</v>
          </cell>
        </row>
        <row r="1428">
          <cell r="A1428" t="str">
            <v>LYQ-1010P0L-MX</v>
          </cell>
          <cell r="B1428" t="str">
            <v>LYQ-1010</v>
          </cell>
        </row>
        <row r="1429">
          <cell r="A1429" t="str">
            <v>LYQ-1010P0M</v>
          </cell>
          <cell r="B1429" t="str">
            <v>LYQ-1010</v>
          </cell>
        </row>
        <row r="1430">
          <cell r="A1430" t="str">
            <v>LYQ-1010P0M-MX</v>
          </cell>
          <cell r="B1430" t="str">
            <v>LYQ-1010</v>
          </cell>
        </row>
        <row r="1431">
          <cell r="A1431" t="str">
            <v>LYQ-1010P0S</v>
          </cell>
          <cell r="B1431" t="str">
            <v>LYQ-1010</v>
          </cell>
        </row>
        <row r="1432">
          <cell r="A1432" t="str">
            <v>LYQ-1010P0S-MX</v>
          </cell>
          <cell r="B1432" t="str">
            <v>LYQ-1010</v>
          </cell>
        </row>
        <row r="1433">
          <cell r="A1433" t="str">
            <v>LYQ-1010P0XL</v>
          </cell>
          <cell r="B1433" t="str">
            <v>LYQ-1010</v>
          </cell>
        </row>
        <row r="1434">
          <cell r="A1434" t="str">
            <v>LYQ-1010P0XL-MX</v>
          </cell>
          <cell r="B1434" t="str">
            <v>LYQ-1010</v>
          </cell>
        </row>
        <row r="1435">
          <cell r="A1435" t="str">
            <v>LYQ-1010W02L</v>
          </cell>
          <cell r="B1435" t="str">
            <v>LYQ-1010</v>
          </cell>
        </row>
        <row r="1436">
          <cell r="A1436" t="str">
            <v>LYQ-1010W03L</v>
          </cell>
          <cell r="B1436" t="str">
            <v>LYQ-1010</v>
          </cell>
        </row>
        <row r="1437">
          <cell r="A1437" t="str">
            <v>LYQ-1010W0L</v>
          </cell>
          <cell r="B1437" t="str">
            <v>LYQ-1010</v>
          </cell>
        </row>
        <row r="1438">
          <cell r="A1438" t="str">
            <v>LYQ-1010W0M</v>
          </cell>
          <cell r="B1438" t="str">
            <v>LYQ-1010</v>
          </cell>
        </row>
        <row r="1439">
          <cell r="A1439" t="str">
            <v>LYQ-1010W0M-GM</v>
          </cell>
          <cell r="B1439" t="str">
            <v>LYQ-1010</v>
          </cell>
        </row>
        <row r="1440">
          <cell r="A1440" t="str">
            <v>LYQ-1010W0S</v>
          </cell>
          <cell r="B1440" t="str">
            <v>LYQ-1010</v>
          </cell>
        </row>
        <row r="1441">
          <cell r="A1441" t="str">
            <v>LYQ-1010W0XL</v>
          </cell>
          <cell r="B1441" t="str">
            <v>LYQ-1010</v>
          </cell>
        </row>
        <row r="1442">
          <cell r="A1442" t="str">
            <v>LYQ2015B0</v>
          </cell>
          <cell r="B1442" t="str">
            <v>LYQ2015</v>
          </cell>
        </row>
        <row r="1443">
          <cell r="A1443" t="str">
            <v>LYQ2015FB</v>
          </cell>
          <cell r="B1443" t="str">
            <v>LYQ2015</v>
          </cell>
        </row>
        <row r="1444">
          <cell r="A1444" t="str">
            <v>LYQ2015G0</v>
          </cell>
          <cell r="B1444" t="str">
            <v>LYQ2015</v>
          </cell>
        </row>
        <row r="1445">
          <cell r="A1445" t="str">
            <v>LYQ2015K0</v>
          </cell>
          <cell r="B1445" t="str">
            <v>LYQ2015</v>
          </cell>
        </row>
        <row r="1446">
          <cell r="A1446" t="str">
            <v>LYQ2015P0</v>
          </cell>
          <cell r="B1446" t="str">
            <v>LYQ2015</v>
          </cell>
        </row>
        <row r="1447">
          <cell r="A1447" t="str">
            <v>LYQ2015R0</v>
          </cell>
          <cell r="B1447" t="str">
            <v>LYQ2015</v>
          </cell>
        </row>
        <row r="1448">
          <cell r="A1448" t="str">
            <v>LYQ2015W0</v>
          </cell>
          <cell r="B1448" t="str">
            <v>LYQ2015</v>
          </cell>
        </row>
        <row r="1449">
          <cell r="A1449" t="str">
            <v>LYQ2015W0-GM</v>
          </cell>
          <cell r="B1449" t="str">
            <v>LYQ2015</v>
          </cell>
        </row>
        <row r="1450">
          <cell r="A1450" t="str">
            <v>LYQ-29CA-BD-L</v>
          </cell>
          <cell r="B1450" t="str">
            <v>LYQ-29CA</v>
          </cell>
        </row>
        <row r="1451">
          <cell r="A1451" t="str">
            <v>LYQ-29CA-BD-S</v>
          </cell>
          <cell r="B1451" t="str">
            <v>LYQ-29CA</v>
          </cell>
        </row>
        <row r="1452">
          <cell r="A1452" t="str">
            <v>LYQ-29CA-BD-XL</v>
          </cell>
          <cell r="B1452" t="str">
            <v>LYQ-29CA</v>
          </cell>
        </row>
        <row r="1453">
          <cell r="A1453" t="str">
            <v>LYQ-29CA-G7-L</v>
          </cell>
          <cell r="B1453" t="str">
            <v>LYQ-29CA</v>
          </cell>
        </row>
        <row r="1454">
          <cell r="A1454" t="str">
            <v>LYQ-29CA-G7-M</v>
          </cell>
          <cell r="B1454" t="str">
            <v>LYQ-29CA</v>
          </cell>
        </row>
        <row r="1455">
          <cell r="A1455" t="str">
            <v>LYQ-29CA-G7-S</v>
          </cell>
          <cell r="B1455" t="str">
            <v>LYQ-29CA</v>
          </cell>
        </row>
        <row r="1456">
          <cell r="A1456" t="str">
            <v>LYQ-29CA-G7-XL</v>
          </cell>
          <cell r="B1456" t="str">
            <v>LYQ-29CA</v>
          </cell>
        </row>
        <row r="1457">
          <cell r="A1457" t="str">
            <v>LYQ-29CA-K0-L</v>
          </cell>
          <cell r="B1457" t="str">
            <v>LYQ-29CA</v>
          </cell>
        </row>
        <row r="1458">
          <cell r="A1458" t="str">
            <v>LYQ-29CA-K0-M</v>
          </cell>
          <cell r="B1458" t="str">
            <v>LYQ-29CA</v>
          </cell>
        </row>
        <row r="1459">
          <cell r="A1459" t="str">
            <v>LYQ-29CA-K0-S</v>
          </cell>
          <cell r="B1459" t="str">
            <v>LYQ-29CA</v>
          </cell>
        </row>
        <row r="1460">
          <cell r="A1460" t="str">
            <v>LYQ-29CA-K0-XL</v>
          </cell>
          <cell r="B1460" t="str">
            <v>LYQ-29CA</v>
          </cell>
        </row>
        <row r="1461">
          <cell r="A1461" t="str">
            <v>LYQ-29PHJ-BD-L</v>
          </cell>
          <cell r="B1461" t="str">
            <v>LYQ-29PHJ</v>
          </cell>
        </row>
        <row r="1462">
          <cell r="A1462" t="str">
            <v>LYQ-29PHJ-BD-L-MX</v>
          </cell>
          <cell r="B1462" t="str">
            <v>LYQ-29PHJ</v>
          </cell>
        </row>
        <row r="1463">
          <cell r="A1463" t="str">
            <v>LYQ-29PHJ-BD-M</v>
          </cell>
          <cell r="B1463" t="str">
            <v>LYQ-29PHJ</v>
          </cell>
        </row>
        <row r="1464">
          <cell r="A1464" t="str">
            <v>LYQ-29PHJ-BD-M-MX</v>
          </cell>
          <cell r="B1464" t="str">
            <v>LYQ-29PHJ</v>
          </cell>
        </row>
        <row r="1465">
          <cell r="A1465" t="str">
            <v>LYQ-29PHJ-BD-S</v>
          </cell>
          <cell r="B1465" t="str">
            <v>LYQ-29PHJ</v>
          </cell>
        </row>
        <row r="1466">
          <cell r="A1466" t="str">
            <v>LYQ-29PHJ-BD-XL</v>
          </cell>
          <cell r="B1466" t="str">
            <v>LYQ-29PHJ</v>
          </cell>
        </row>
        <row r="1467">
          <cell r="A1467" t="str">
            <v>LYQ-29PHJ-BD-XL-MX</v>
          </cell>
          <cell r="B1467" t="str">
            <v>LYQ-29PHJ</v>
          </cell>
        </row>
        <row r="1468">
          <cell r="A1468" t="str">
            <v>LYQ-29PHJ-C0-L</v>
          </cell>
          <cell r="B1468" t="str">
            <v>LYQ-29PHJ</v>
          </cell>
        </row>
        <row r="1469">
          <cell r="A1469" t="str">
            <v>LYQ-29PHJ-C0-M</v>
          </cell>
          <cell r="B1469" t="str">
            <v>LYQ-29PHJ</v>
          </cell>
        </row>
        <row r="1470">
          <cell r="A1470" t="str">
            <v>LYQ-29PHJ-C0-S</v>
          </cell>
          <cell r="B1470" t="str">
            <v>LYQ-29PHJ</v>
          </cell>
        </row>
        <row r="1471">
          <cell r="A1471" t="str">
            <v>LYQ-29PHJ-C0-XL</v>
          </cell>
          <cell r="B1471" t="str">
            <v>LYQ-29PHJ</v>
          </cell>
        </row>
        <row r="1472">
          <cell r="A1472" t="str">
            <v>LYQ-29PHJ-G7-L</v>
          </cell>
          <cell r="B1472" t="str">
            <v>LYQ-29PHJ</v>
          </cell>
        </row>
        <row r="1473">
          <cell r="A1473" t="str">
            <v>LYQ-29PHJ-G7-L-MX</v>
          </cell>
          <cell r="B1473" t="str">
            <v>LYQ-29PHJ</v>
          </cell>
        </row>
        <row r="1474">
          <cell r="A1474" t="str">
            <v>LYQ-29PHJ-G7-M</v>
          </cell>
          <cell r="B1474" t="str">
            <v>LYQ-29PHJ</v>
          </cell>
        </row>
        <row r="1475">
          <cell r="A1475" t="str">
            <v>LYQ-29PHJ-G7-M-MX</v>
          </cell>
          <cell r="B1475" t="str">
            <v>LYQ-29PHJ</v>
          </cell>
        </row>
        <row r="1476">
          <cell r="A1476" t="str">
            <v>LYQ-29PHJ-G7-S</v>
          </cell>
          <cell r="B1476" t="str">
            <v>LYQ-29PHJ</v>
          </cell>
        </row>
        <row r="1477">
          <cell r="A1477" t="str">
            <v>LYQ-29PHJ-G7-S-MX</v>
          </cell>
          <cell r="B1477" t="str">
            <v>LYQ-29PHJ</v>
          </cell>
        </row>
        <row r="1478">
          <cell r="A1478" t="str">
            <v>LYQ-29PHJ-G7-XL</v>
          </cell>
          <cell r="B1478" t="str">
            <v>LYQ-29PHJ</v>
          </cell>
        </row>
        <row r="1479">
          <cell r="A1479" t="str">
            <v>LYQ-29PHJ-G7-XL-MX</v>
          </cell>
          <cell r="B1479" t="str">
            <v>LYQ-29PHJ</v>
          </cell>
        </row>
        <row r="1480">
          <cell r="A1480" t="str">
            <v>LYQ-29PHJ-K0-L</v>
          </cell>
          <cell r="B1480" t="str">
            <v>LYQ-29PHJ</v>
          </cell>
        </row>
        <row r="1481">
          <cell r="A1481" t="str">
            <v>LYQ-29PHJ-K0-L-MX</v>
          </cell>
          <cell r="B1481" t="str">
            <v>LYQ-29PHJ</v>
          </cell>
        </row>
        <row r="1482">
          <cell r="A1482" t="str">
            <v>LYQ-29PHJ-K0-M</v>
          </cell>
          <cell r="B1482" t="str">
            <v>LYQ-29PHJ</v>
          </cell>
        </row>
        <row r="1483">
          <cell r="A1483" t="str">
            <v>LYQ-29PHJ-K0-S</v>
          </cell>
          <cell r="B1483" t="str">
            <v>LYQ-29PHJ</v>
          </cell>
        </row>
        <row r="1484">
          <cell r="A1484" t="str">
            <v>LYQ-29PHJ-K0-XL</v>
          </cell>
          <cell r="B1484" t="str">
            <v>LYQ-29PHJ</v>
          </cell>
        </row>
        <row r="1485">
          <cell r="A1485" t="str">
            <v>LYQ-29PHJ-X0-L</v>
          </cell>
          <cell r="B1485" t="str">
            <v>LYQ-29PHJ</v>
          </cell>
        </row>
        <row r="1486">
          <cell r="A1486" t="str">
            <v>LYQ-29PHJ-X0-L-MX</v>
          </cell>
          <cell r="B1486" t="str">
            <v>LYQ-29PHJ</v>
          </cell>
        </row>
        <row r="1487">
          <cell r="A1487" t="str">
            <v>LYQ-29PHJ-X0-M</v>
          </cell>
          <cell r="B1487" t="str">
            <v>LYQ-29PHJ</v>
          </cell>
        </row>
        <row r="1488">
          <cell r="A1488" t="str">
            <v>LYQ-29PHJ-X0-S</v>
          </cell>
          <cell r="B1488" t="str">
            <v>LYQ-29PHJ</v>
          </cell>
        </row>
        <row r="1489">
          <cell r="A1489" t="str">
            <v>LYQ-29PHJ-X0-XL</v>
          </cell>
          <cell r="B1489" t="str">
            <v>LYQ-29PHJ</v>
          </cell>
        </row>
        <row r="1490">
          <cell r="A1490" t="str">
            <v>LYQ-29PHJ-ZL-L</v>
          </cell>
          <cell r="B1490" t="str">
            <v>LYQ-29PHJ</v>
          </cell>
        </row>
        <row r="1491">
          <cell r="A1491" t="str">
            <v>LYQ-29PHJ-ZL-M</v>
          </cell>
          <cell r="B1491" t="str">
            <v>LYQ-29PHJ</v>
          </cell>
        </row>
        <row r="1492">
          <cell r="A1492" t="str">
            <v>LYQ-29PHJ-ZL-S</v>
          </cell>
          <cell r="B1492" t="str">
            <v>LYQ-29PHJ</v>
          </cell>
        </row>
        <row r="1493">
          <cell r="A1493" t="str">
            <v>LYQ-29PHJ-ZL-XL</v>
          </cell>
          <cell r="B1493" t="str">
            <v>LYQ-29PHJ</v>
          </cell>
        </row>
        <row r="1494">
          <cell r="A1494" t="str">
            <v>LYQ-CA1377-blue-L</v>
          </cell>
          <cell r="B1494" t="str">
            <v>LYQ-CA1377</v>
          </cell>
        </row>
        <row r="1495">
          <cell r="A1495" t="str">
            <v>LYQ-CA1377-blue-M</v>
          </cell>
          <cell r="B1495" t="str">
            <v>LYQ-CA1377</v>
          </cell>
        </row>
        <row r="1496">
          <cell r="A1496" t="str">
            <v>LYQ-CA1377-blue-S</v>
          </cell>
          <cell r="B1496" t="str">
            <v>LYQ-CA1377</v>
          </cell>
        </row>
        <row r="1497">
          <cell r="A1497" t="str">
            <v>LYQ-CA1377-blue-XL</v>
          </cell>
          <cell r="B1497" t="str">
            <v>LYQ-CA1377</v>
          </cell>
        </row>
        <row r="1498">
          <cell r="A1498" t="str">
            <v>LYQ-CA1377-grey0-L</v>
          </cell>
          <cell r="B1498" t="str">
            <v>LYQ-CA1377</v>
          </cell>
        </row>
        <row r="1499">
          <cell r="A1499" t="str">
            <v>LYQ-CA1377-grey0-M</v>
          </cell>
          <cell r="B1499" t="str">
            <v>LYQ-CA1377</v>
          </cell>
        </row>
        <row r="1500">
          <cell r="A1500" t="str">
            <v>LYQ-CA1377-grey0-S</v>
          </cell>
          <cell r="B1500" t="str">
            <v>LYQ-CA1377</v>
          </cell>
        </row>
        <row r="1501">
          <cell r="A1501" t="str">
            <v>LYQ-CA1377-grey0-XL</v>
          </cell>
          <cell r="B1501" t="str">
            <v>LYQ-CA1377</v>
          </cell>
        </row>
        <row r="1502">
          <cell r="A1502" t="str">
            <v>LYQ-CA1377-grey1-L</v>
          </cell>
          <cell r="B1502" t="str">
            <v>LYQ-CA1377</v>
          </cell>
        </row>
        <row r="1503">
          <cell r="A1503" t="str">
            <v>LYQ-CA1377-grey1-M</v>
          </cell>
          <cell r="B1503" t="str">
            <v>LYQ-CA1377</v>
          </cell>
        </row>
        <row r="1504">
          <cell r="A1504" t="str">
            <v>LYQ-CA1377-grey1-S</v>
          </cell>
          <cell r="B1504" t="str">
            <v>LYQ-CA1377</v>
          </cell>
        </row>
        <row r="1505">
          <cell r="A1505" t="str">
            <v>LYQ-CA1377-grey1-XL</v>
          </cell>
          <cell r="B1505" t="str">
            <v>LYQ-CA1377</v>
          </cell>
        </row>
        <row r="1506">
          <cell r="A1506" t="str">
            <v>LYQ-CA1377-purple-L</v>
          </cell>
          <cell r="B1506" t="str">
            <v>LYQ-CA1377</v>
          </cell>
        </row>
        <row r="1507">
          <cell r="A1507" t="str">
            <v>LYQ-CA1377-purple-M</v>
          </cell>
          <cell r="B1507" t="str">
            <v>LYQ-CA1377</v>
          </cell>
        </row>
        <row r="1508">
          <cell r="A1508" t="str">
            <v>LYQ-CA1377-purple-S</v>
          </cell>
          <cell r="B1508" t="str">
            <v>LYQ-CA1377</v>
          </cell>
        </row>
        <row r="1509">
          <cell r="A1509" t="str">
            <v>LYQ-CA1377-rose-L</v>
          </cell>
          <cell r="B1509" t="str">
            <v>LYQ-CA1377</v>
          </cell>
        </row>
        <row r="1510">
          <cell r="A1510" t="str">
            <v>LYQ-CA1377-rose-M</v>
          </cell>
          <cell r="B1510" t="str">
            <v>LYQ-CA1377</v>
          </cell>
        </row>
        <row r="1511">
          <cell r="A1511" t="str">
            <v>LYQ-CA1377-rose-S</v>
          </cell>
          <cell r="B1511" t="str">
            <v>LYQ-CA1377</v>
          </cell>
        </row>
        <row r="1512">
          <cell r="A1512" t="str">
            <v>LYQ-CA1377-rose-XL</v>
          </cell>
          <cell r="B1512" t="str">
            <v>LYQ-CA1377</v>
          </cell>
        </row>
        <row r="1513">
          <cell r="A1513" t="str">
            <v>LYQ-CF0481-BK-2XL</v>
          </cell>
          <cell r="B1513" t="str">
            <v>LYQ-CF0481</v>
          </cell>
        </row>
        <row r="1514">
          <cell r="A1514" t="str">
            <v>LYQ-CF0481-BK-L</v>
          </cell>
          <cell r="B1514" t="str">
            <v>LYQ-CF0481</v>
          </cell>
        </row>
        <row r="1515">
          <cell r="A1515" t="str">
            <v>LYQ-CF0481-BK-M</v>
          </cell>
          <cell r="B1515" t="str">
            <v>LYQ-CF0481</v>
          </cell>
        </row>
        <row r="1516">
          <cell r="A1516" t="str">
            <v>LYQ-CF0481-BK-S</v>
          </cell>
          <cell r="B1516" t="str">
            <v>LYQ-CF0481</v>
          </cell>
        </row>
        <row r="1517">
          <cell r="A1517" t="str">
            <v>LYQ-CF0481-BK-XL</v>
          </cell>
          <cell r="B1517" t="str">
            <v>LYQ-CF0481</v>
          </cell>
        </row>
        <row r="1518">
          <cell r="A1518" t="str">
            <v>LYQ-CF352-LTBU-L</v>
          </cell>
          <cell r="B1518" t="str">
            <v>LYQ-CF352</v>
          </cell>
        </row>
        <row r="1519">
          <cell r="A1519" t="str">
            <v>LYQ-CF352-LTBU-M</v>
          </cell>
          <cell r="B1519" t="str">
            <v>LYQ-CF352</v>
          </cell>
        </row>
        <row r="1520">
          <cell r="A1520" t="str">
            <v>LYQ-CF352-LTBU-S</v>
          </cell>
          <cell r="B1520" t="str">
            <v>LYQ-CF352</v>
          </cell>
        </row>
        <row r="1521">
          <cell r="A1521" t="str">
            <v>LYQ-CF352-LTBU-XL</v>
          </cell>
          <cell r="B1521" t="str">
            <v>LYQ-CF352</v>
          </cell>
        </row>
        <row r="1522">
          <cell r="A1522" t="str">
            <v>LYQ-CF352-OR-L</v>
          </cell>
          <cell r="B1522" t="str">
            <v>LYQ-CF352</v>
          </cell>
        </row>
        <row r="1523">
          <cell r="A1523" t="str">
            <v>LYQ-CF352-OR-M</v>
          </cell>
          <cell r="B1523" t="str">
            <v>LYQ-CF352</v>
          </cell>
        </row>
        <row r="1524">
          <cell r="A1524" t="str">
            <v>LYQ-CF352-OR-S</v>
          </cell>
          <cell r="B1524" t="str">
            <v>LYQ-CF352</v>
          </cell>
        </row>
        <row r="1525">
          <cell r="A1525" t="str">
            <v>LYQ-CF352-OR-XL</v>
          </cell>
          <cell r="B1525" t="str">
            <v>LYQ-CF352</v>
          </cell>
        </row>
        <row r="1526">
          <cell r="A1526" t="str">
            <v>LYQ-CF352-PU-L</v>
          </cell>
          <cell r="B1526" t="str">
            <v>LYQ-CF352</v>
          </cell>
        </row>
        <row r="1527">
          <cell r="A1527" t="str">
            <v>LYQ-CF352-PU-M</v>
          </cell>
          <cell r="B1527" t="str">
            <v>LYQ-CF352</v>
          </cell>
        </row>
        <row r="1528">
          <cell r="A1528" t="str">
            <v>LYQ-CF352-PU-S</v>
          </cell>
          <cell r="B1528" t="str">
            <v>LYQ-CF352</v>
          </cell>
        </row>
        <row r="1529">
          <cell r="A1529" t="str">
            <v>LYQ-CF352-PU-XL</v>
          </cell>
          <cell r="B1529" t="str">
            <v>LYQ-CF352</v>
          </cell>
        </row>
        <row r="1530">
          <cell r="A1530" t="str">
            <v>LYQ-CF352-RD-L</v>
          </cell>
          <cell r="B1530" t="str">
            <v>LYQ-CF352</v>
          </cell>
        </row>
        <row r="1531">
          <cell r="A1531" t="str">
            <v>LYQ-CF352-RD-M</v>
          </cell>
          <cell r="B1531" t="str">
            <v>LYQ-CF352</v>
          </cell>
        </row>
        <row r="1532">
          <cell r="A1532" t="str">
            <v>LYQ-CF352-RD-XL</v>
          </cell>
          <cell r="B1532" t="str">
            <v>LYQ-CF352</v>
          </cell>
        </row>
        <row r="1533">
          <cell r="A1533" t="str">
            <v>LYQ-CF8215-BK-3XL</v>
          </cell>
          <cell r="B1533" t="str">
            <v>LYQ-CF8215</v>
          </cell>
        </row>
        <row r="1534">
          <cell r="A1534" t="str">
            <v>LYQ-CF8215-BK-L</v>
          </cell>
          <cell r="B1534" t="str">
            <v>LYQ-CF8215</v>
          </cell>
        </row>
        <row r="1535">
          <cell r="A1535" t="str">
            <v>LYQ-CF8215-BK-M</v>
          </cell>
          <cell r="B1535" t="str">
            <v>LYQ-CF8215</v>
          </cell>
        </row>
        <row r="1536">
          <cell r="A1536" t="str">
            <v>LYQ-CF8215-BK-XL</v>
          </cell>
          <cell r="B1536" t="str">
            <v>LYQ-CF8215</v>
          </cell>
        </row>
        <row r="1537">
          <cell r="A1537" t="str">
            <v>LYQ-CF8215-ZL-L</v>
          </cell>
          <cell r="B1537" t="str">
            <v>LYQ-CF8215</v>
          </cell>
        </row>
        <row r="1538">
          <cell r="A1538" t="str">
            <v>LYQ-CF8215-ZL-M</v>
          </cell>
          <cell r="B1538" t="str">
            <v>LYQ-CF8215</v>
          </cell>
        </row>
        <row r="1539">
          <cell r="A1539" t="str">
            <v>LYQ-CF8215-ZL-S</v>
          </cell>
          <cell r="B1539" t="str">
            <v>LYQ-CF8215</v>
          </cell>
        </row>
        <row r="1540">
          <cell r="A1540" t="str">
            <v>LYQ-CF8215-ZL-XL</v>
          </cell>
          <cell r="B1540" t="str">
            <v>LYQ-CF8215</v>
          </cell>
        </row>
        <row r="1541">
          <cell r="A1541" t="str">
            <v>LYQ-CF8501-AMGR-L</v>
          </cell>
          <cell r="B1541" t="str">
            <v>LYQ-CF8501</v>
          </cell>
        </row>
        <row r="1542">
          <cell r="A1542" t="str">
            <v>LYQ-CF8501-AMGR-M</v>
          </cell>
          <cell r="B1542" t="str">
            <v>LYQ-CF8501</v>
          </cell>
        </row>
        <row r="1543">
          <cell r="A1543" t="str">
            <v>LYQ-CF8501-AMGR-S</v>
          </cell>
          <cell r="B1543" t="str">
            <v>LYQ-CF8501</v>
          </cell>
        </row>
        <row r="1544">
          <cell r="A1544" t="str">
            <v>LYQ-CF8501-BK-2XL</v>
          </cell>
          <cell r="B1544" t="str">
            <v>LYQ-CF8501</v>
          </cell>
        </row>
        <row r="1545">
          <cell r="A1545" t="str">
            <v>LYQ-CF8501-BK-3XL</v>
          </cell>
          <cell r="B1545" t="str">
            <v>LYQ-CF8501</v>
          </cell>
        </row>
        <row r="1546">
          <cell r="A1546" t="str">
            <v>LYQ-CF8501-BK-L</v>
          </cell>
          <cell r="B1546" t="str">
            <v>LYQ-CF8501</v>
          </cell>
        </row>
        <row r="1547">
          <cell r="A1547" t="str">
            <v>LYQ-CF8501-BK-M</v>
          </cell>
          <cell r="B1547" t="str">
            <v>LYQ-CF8501</v>
          </cell>
        </row>
        <row r="1548">
          <cell r="A1548" t="str">
            <v>LYQ-CF8501-BK-S</v>
          </cell>
          <cell r="B1548" t="str">
            <v>LYQ-CF8501</v>
          </cell>
        </row>
        <row r="1549">
          <cell r="A1549" t="str">
            <v>LYQ-CF8501-BK-XL</v>
          </cell>
          <cell r="B1549" t="str">
            <v>LYQ-CF8501</v>
          </cell>
        </row>
        <row r="1550">
          <cell r="A1550" t="str">
            <v>LYQ-CF8501-DKGY-4XL</v>
          </cell>
          <cell r="B1550" t="str">
            <v>LYQ-CF8501</v>
          </cell>
        </row>
        <row r="1551">
          <cell r="A1551" t="str">
            <v>LYQ-CF8501-WI-2XL</v>
          </cell>
          <cell r="B1551" t="str">
            <v>LYQ-CF8501</v>
          </cell>
        </row>
        <row r="1552">
          <cell r="A1552" t="str">
            <v>LYQ-CF8501-WI-3XL</v>
          </cell>
          <cell r="B1552" t="str">
            <v>LYQ-CF8501</v>
          </cell>
        </row>
        <row r="1553">
          <cell r="A1553" t="str">
            <v>LYQ-CF8501-WI-L</v>
          </cell>
          <cell r="B1553" t="str">
            <v>LYQ-CF8501</v>
          </cell>
        </row>
        <row r="1554">
          <cell r="A1554" t="str">
            <v>LYQ-CF8501-WI-M</v>
          </cell>
          <cell r="B1554" t="str">
            <v>LYQ-CF8501</v>
          </cell>
        </row>
        <row r="1555">
          <cell r="A1555" t="str">
            <v>LYQ-CF8501-WI-S</v>
          </cell>
          <cell r="B1555" t="str">
            <v>LYQ-CF8501</v>
          </cell>
        </row>
        <row r="1556">
          <cell r="A1556" t="str">
            <v>LYQ-CF8501-WI-XL</v>
          </cell>
          <cell r="B1556" t="str">
            <v>LYQ-CF8501</v>
          </cell>
        </row>
        <row r="1557">
          <cell r="A1557" t="str">
            <v>LYQ-CF8512-BK-L</v>
          </cell>
          <cell r="B1557" t="str">
            <v>LYQ-CF8512</v>
          </cell>
        </row>
        <row r="1558">
          <cell r="A1558" t="str">
            <v>LYQ-CF8512-BK-M</v>
          </cell>
          <cell r="B1558" t="str">
            <v>LYQ-CF8512</v>
          </cell>
        </row>
        <row r="1559">
          <cell r="A1559" t="str">
            <v>LYQ-CF8512-BK-S</v>
          </cell>
          <cell r="B1559" t="str">
            <v>LYQ-CF8512</v>
          </cell>
        </row>
        <row r="1560">
          <cell r="A1560" t="str">
            <v>LYQ-CF8512-BK-XL</v>
          </cell>
          <cell r="B1560" t="str">
            <v>LYQ-CF8512</v>
          </cell>
        </row>
        <row r="1561">
          <cell r="A1561" t="str">
            <v>LYQ-CF8512-BK-XXL</v>
          </cell>
          <cell r="B1561" t="str">
            <v>LYQ-CF8512</v>
          </cell>
        </row>
        <row r="1562">
          <cell r="A1562" t="str">
            <v>LYQ-CF8512-BU-L</v>
          </cell>
          <cell r="B1562" t="str">
            <v>LYQ-CF8512</v>
          </cell>
        </row>
        <row r="1563">
          <cell r="A1563" t="str">
            <v>LYQ-CF8512-BU-M</v>
          </cell>
          <cell r="B1563" t="str">
            <v>LYQ-CF8512</v>
          </cell>
        </row>
        <row r="1564">
          <cell r="A1564" t="str">
            <v>LYQ-CF8512-BU-S</v>
          </cell>
          <cell r="B1564" t="str">
            <v>LYQ-CF8512</v>
          </cell>
        </row>
        <row r="1565">
          <cell r="A1565" t="str">
            <v>LYQ-CF8512-BU-XL</v>
          </cell>
          <cell r="B1565" t="str">
            <v>LYQ-CF8512</v>
          </cell>
        </row>
        <row r="1566">
          <cell r="A1566" t="str">
            <v>LYQ-CF8512-BU-XXL</v>
          </cell>
          <cell r="B1566" t="str">
            <v>LYQ-CF8512</v>
          </cell>
        </row>
        <row r="1567">
          <cell r="A1567" t="str">
            <v>LYQ-CF8512-DKGR-L</v>
          </cell>
          <cell r="B1567" t="str">
            <v>LYQ-CF8512</v>
          </cell>
        </row>
        <row r="1568">
          <cell r="A1568" t="str">
            <v>LYQ-CF8512-DKGR-M</v>
          </cell>
          <cell r="B1568" t="str">
            <v>LYQ-CF8512</v>
          </cell>
        </row>
        <row r="1569">
          <cell r="A1569" t="str">
            <v>LYQ-CF8512-DKGR-S</v>
          </cell>
          <cell r="B1569" t="str">
            <v>LYQ-CF8512</v>
          </cell>
        </row>
        <row r="1570">
          <cell r="A1570" t="str">
            <v>LYQ-CF8512-DKGR-XL</v>
          </cell>
          <cell r="B1570" t="str">
            <v>LYQ-CF8512</v>
          </cell>
        </row>
        <row r="1571">
          <cell r="A1571" t="str">
            <v>LYQ-CF8512-DKGR-XXL</v>
          </cell>
          <cell r="B1571" t="str">
            <v>LYQ-CF8512</v>
          </cell>
        </row>
        <row r="1572">
          <cell r="A1572" t="str">
            <v>LYQ-CF8512-GR-L</v>
          </cell>
          <cell r="B1572" t="str">
            <v>LYQ-CF8512</v>
          </cell>
        </row>
        <row r="1573">
          <cell r="A1573" t="str">
            <v>LYQ-CF8512-GR-M</v>
          </cell>
          <cell r="B1573" t="str">
            <v>LYQ-CF8512</v>
          </cell>
        </row>
        <row r="1574">
          <cell r="A1574" t="str">
            <v>LYQ-CF8512-GR-S</v>
          </cell>
          <cell r="B1574" t="str">
            <v>LYQ-CF8512</v>
          </cell>
        </row>
        <row r="1575">
          <cell r="A1575" t="str">
            <v>LYQ-CF8512-GR-XL</v>
          </cell>
          <cell r="B1575" t="str">
            <v>LYQ-CF8512</v>
          </cell>
        </row>
        <row r="1576">
          <cell r="A1576" t="str">
            <v>LYQ-CF8512-GR-XXL</v>
          </cell>
          <cell r="B1576" t="str">
            <v>LYQ-CF8512</v>
          </cell>
        </row>
        <row r="1577">
          <cell r="A1577" t="str">
            <v>LYQ-CF8512-NAVY-L</v>
          </cell>
          <cell r="B1577" t="str">
            <v>LYQ-CF8512</v>
          </cell>
        </row>
        <row r="1578">
          <cell r="A1578" t="str">
            <v>LYQ-CF8512-NAVY-M</v>
          </cell>
          <cell r="B1578" t="str">
            <v>LYQ-CF8512</v>
          </cell>
        </row>
        <row r="1579">
          <cell r="A1579" t="str">
            <v>LYQ-CF8512-NAVY-S</v>
          </cell>
          <cell r="B1579" t="str">
            <v>LYQ-CF8512</v>
          </cell>
        </row>
        <row r="1580">
          <cell r="A1580" t="str">
            <v>LYQ-CF8512-NAVY-XL</v>
          </cell>
          <cell r="B1580" t="str">
            <v>LYQ-CF8512</v>
          </cell>
        </row>
        <row r="1581">
          <cell r="A1581" t="str">
            <v>LYQ-CF8512-NAVY-XXL</v>
          </cell>
          <cell r="B1581" t="str">
            <v>LYQ-CF8512</v>
          </cell>
        </row>
        <row r="1582">
          <cell r="A1582" t="str">
            <v>LYQ-CF8512-WI-L</v>
          </cell>
          <cell r="B1582" t="str">
            <v>LYQ-CF8512</v>
          </cell>
        </row>
        <row r="1583">
          <cell r="A1583" t="str">
            <v>LYQ-CF8512-WI-M</v>
          </cell>
          <cell r="B1583" t="str">
            <v>LYQ-CF8512</v>
          </cell>
        </row>
        <row r="1584">
          <cell r="A1584" t="str">
            <v>LYQ-CF8512-WI-S</v>
          </cell>
          <cell r="B1584" t="str">
            <v>LYQ-CF8512</v>
          </cell>
        </row>
        <row r="1585">
          <cell r="A1585" t="str">
            <v>LYQ-CF8512-WI-XL</v>
          </cell>
          <cell r="B1585" t="str">
            <v>LYQ-CF8512</v>
          </cell>
        </row>
        <row r="1586">
          <cell r="A1586" t="str">
            <v>LYQ-CF8512-WI-XXL</v>
          </cell>
          <cell r="B1586" t="str">
            <v>LYQ-CF8512</v>
          </cell>
        </row>
        <row r="1587">
          <cell r="A1587" t="str">
            <v>LYQ-CFB0516-RDPO-S</v>
          </cell>
          <cell r="B1587" t="str">
            <v>LYQ-CFB0516</v>
          </cell>
        </row>
        <row r="1588">
          <cell r="A1588" t="str">
            <v>LYQ-CFL02-BK-2XL</v>
          </cell>
          <cell r="B1588" t="str">
            <v>LYQ-CFL02</v>
          </cell>
        </row>
        <row r="1589">
          <cell r="A1589" t="str">
            <v>LYQ-CFL02-BK-L</v>
          </cell>
          <cell r="B1589" t="str">
            <v>LYQ-CFL02</v>
          </cell>
        </row>
        <row r="1590">
          <cell r="A1590" t="str">
            <v>LYQ-CFL02-BK-M</v>
          </cell>
          <cell r="B1590" t="str">
            <v>LYQ-CFL02</v>
          </cell>
        </row>
        <row r="1591">
          <cell r="A1591" t="str">
            <v>LYQ-CFL02-BK-S</v>
          </cell>
          <cell r="B1591" t="str">
            <v>LYQ-CFL02</v>
          </cell>
        </row>
        <row r="1592">
          <cell r="A1592" t="str">
            <v>LYQ-CFL02-BK-XL</v>
          </cell>
          <cell r="B1592" t="str">
            <v>LYQ-CFL02</v>
          </cell>
        </row>
        <row r="1593">
          <cell r="A1593" t="str">
            <v>LYQ-CL0045-K0-L</v>
          </cell>
          <cell r="B1593" t="str">
            <v>LYQ-CL0045</v>
          </cell>
        </row>
        <row r="1594">
          <cell r="A1594" t="str">
            <v>LYQ-CL0045-K0-M</v>
          </cell>
          <cell r="B1594" t="str">
            <v>LYQ-CL0045</v>
          </cell>
        </row>
        <row r="1595">
          <cell r="A1595" t="str">
            <v>LYQ-CL0045-K0-S</v>
          </cell>
          <cell r="B1595" t="str">
            <v>LYQ-CL0045</v>
          </cell>
        </row>
        <row r="1596">
          <cell r="A1596" t="str">
            <v>LYQ-CL0045-K0-XL</v>
          </cell>
          <cell r="B1596" t="str">
            <v>LYQ-CL0045</v>
          </cell>
        </row>
        <row r="1597">
          <cell r="A1597" t="str">
            <v>LYQ-CL0045-Y0-L</v>
          </cell>
          <cell r="B1597" t="str">
            <v>LYQ-CL0045</v>
          </cell>
        </row>
        <row r="1598">
          <cell r="A1598" t="str">
            <v>LYQ-CL0045-Y0-M</v>
          </cell>
          <cell r="B1598" t="str">
            <v>LYQ-CL0045</v>
          </cell>
        </row>
        <row r="1599">
          <cell r="A1599" t="str">
            <v>LYQ-CL0045-Y0-S</v>
          </cell>
          <cell r="B1599" t="str">
            <v>LYQ-CL0045</v>
          </cell>
        </row>
        <row r="1600">
          <cell r="A1600" t="str">
            <v>LYQ-CL0045-Y0-XL</v>
          </cell>
          <cell r="B1600" t="str">
            <v>LYQ-CL0045</v>
          </cell>
        </row>
        <row r="1601">
          <cell r="A1601" t="str">
            <v>LYQ-CL0127</v>
          </cell>
          <cell r="B1601" t="str">
            <v>LYQ-CL0127</v>
          </cell>
        </row>
        <row r="1602">
          <cell r="A1602" t="str">
            <v>LYQ-CL0127-B0-2XL</v>
          </cell>
          <cell r="B1602" t="str">
            <v>LYQ-CL0127</v>
          </cell>
        </row>
        <row r="1603">
          <cell r="A1603" t="str">
            <v>LYQ-CL0127-B0-3XL</v>
          </cell>
          <cell r="B1603" t="str">
            <v>LYQ-CL0127</v>
          </cell>
        </row>
        <row r="1604">
          <cell r="A1604" t="str">
            <v>LYQ-CL0127-B0-XL</v>
          </cell>
          <cell r="B1604" t="str">
            <v>LYQ-CL0127</v>
          </cell>
        </row>
        <row r="1605">
          <cell r="A1605" t="str">
            <v>LYQ-CL0127-KQ-2XL</v>
          </cell>
          <cell r="B1605" t="str">
            <v>LYQ-CL0127</v>
          </cell>
        </row>
        <row r="1606">
          <cell r="A1606" t="str">
            <v>LYQ-CL0127-KQ-3XL</v>
          </cell>
          <cell r="B1606" t="str">
            <v>LYQ-CL0127</v>
          </cell>
        </row>
        <row r="1607">
          <cell r="A1607" t="str">
            <v>LYQ-CL0127-KQ-XL</v>
          </cell>
          <cell r="B1607" t="str">
            <v>LYQ-CL0127</v>
          </cell>
        </row>
        <row r="1608">
          <cell r="A1608" t="str">
            <v>LYQ-CL0127-R2-2XL</v>
          </cell>
          <cell r="B1608" t="str">
            <v>LYQ-CL0127</v>
          </cell>
        </row>
        <row r="1609">
          <cell r="A1609" t="str">
            <v>LYQ-CL0127-R2-3XL</v>
          </cell>
          <cell r="B1609" t="str">
            <v>LYQ-CL0127</v>
          </cell>
        </row>
        <row r="1610">
          <cell r="A1610" t="str">
            <v>LYQ-CL0127-R2-XL</v>
          </cell>
          <cell r="B1610" t="str">
            <v>LYQ-CL0127</v>
          </cell>
        </row>
        <row r="1611">
          <cell r="A1611" t="str">
            <v>LYQ-CL430-K0-M</v>
          </cell>
          <cell r="B1611" t="str">
            <v>LYQ-CL430</v>
          </cell>
        </row>
        <row r="1612">
          <cell r="A1612" t="str">
            <v>LYQ-CL435-W0-XL</v>
          </cell>
          <cell r="B1612" t="str">
            <v>LYQ-CL435</v>
          </cell>
        </row>
        <row r="1613">
          <cell r="A1613" t="str">
            <v>LYQ-CL61652-R6-L</v>
          </cell>
          <cell r="B1613" t="str">
            <v>LYQ-CL61652</v>
          </cell>
        </row>
        <row r="1614">
          <cell r="A1614" t="str">
            <v>LYQ-CL61652-R6-M</v>
          </cell>
          <cell r="B1614" t="str">
            <v>LYQ-CL61652</v>
          </cell>
        </row>
        <row r="1615">
          <cell r="A1615" t="str">
            <v>LYQ-CL61652-R6-S</v>
          </cell>
          <cell r="B1615" t="str">
            <v>LYQ-CL61652</v>
          </cell>
        </row>
        <row r="1616">
          <cell r="A1616" t="str">
            <v>LYQ-CL61652-R6-XL</v>
          </cell>
          <cell r="B1616" t="str">
            <v>LYQ-CL61652</v>
          </cell>
        </row>
        <row r="1617">
          <cell r="A1617" t="str">
            <v>LYQ-CL6287-B0-L</v>
          </cell>
          <cell r="B1617" t="str">
            <v>LYQ-CL6287</v>
          </cell>
        </row>
        <row r="1618">
          <cell r="A1618" t="str">
            <v>LYQ-CL6287-FB-L</v>
          </cell>
          <cell r="B1618" t="str">
            <v>LYQ-CL6287</v>
          </cell>
        </row>
        <row r="1619">
          <cell r="A1619" t="str">
            <v>LYQ-CL6287-FB-XL</v>
          </cell>
          <cell r="B1619" t="str">
            <v>LYQ-CL6287</v>
          </cell>
        </row>
        <row r="1620">
          <cell r="A1620" t="str">
            <v>LYQ-CL6287-G7-L</v>
          </cell>
          <cell r="B1620" t="str">
            <v>LYQ-CL6287</v>
          </cell>
        </row>
        <row r="1621">
          <cell r="A1621" t="str">
            <v>LYQ-CL6287-G7-M</v>
          </cell>
          <cell r="B1621" t="str">
            <v>LYQ-CL6287</v>
          </cell>
        </row>
        <row r="1622">
          <cell r="A1622" t="str">
            <v>LYQ-CL6287-K0-L</v>
          </cell>
          <cell r="B1622" t="str">
            <v>LYQ-CL6287</v>
          </cell>
        </row>
        <row r="1623">
          <cell r="A1623" t="str">
            <v>LYQ-CL6287-K0-M</v>
          </cell>
          <cell r="B1623" t="str">
            <v>LYQ-CL6287</v>
          </cell>
        </row>
        <row r="1624">
          <cell r="A1624" t="str">
            <v>LYQ-CL6287-K0-XL</v>
          </cell>
          <cell r="B1624" t="str">
            <v>LYQ-CL6287</v>
          </cell>
        </row>
        <row r="1625">
          <cell r="A1625" t="str">
            <v>LYQ-CL6408NO-G0-L</v>
          </cell>
          <cell r="B1625" t="str">
            <v>LYQ-CL6408</v>
          </cell>
        </row>
        <row r="1626">
          <cell r="A1626" t="str">
            <v>LYQ-CL6408NO-K0-L</v>
          </cell>
          <cell r="B1626" t="str">
            <v>LYQ-CL6408</v>
          </cell>
        </row>
        <row r="1627">
          <cell r="A1627" t="str">
            <v>LYQ-CL6408SL-G0XL</v>
          </cell>
          <cell r="B1627" t="str">
            <v>LYQ-CL6408</v>
          </cell>
        </row>
        <row r="1628">
          <cell r="A1628" t="str">
            <v>LYQ-CL6408SL-K0XL</v>
          </cell>
          <cell r="B1628" t="str">
            <v>LYQ-CL6408</v>
          </cell>
        </row>
        <row r="1629">
          <cell r="A1629" t="str">
            <v>LYQ-CL7232M</v>
          </cell>
          <cell r="B1629" t="str">
            <v>LYQ-CL7232M</v>
          </cell>
        </row>
        <row r="1630">
          <cell r="A1630" t="str">
            <v>LYQ-CL90501</v>
          </cell>
          <cell r="B1630" t="str">
            <v>LYQ-CL90501</v>
          </cell>
        </row>
        <row r="1631">
          <cell r="A1631" t="str">
            <v>LYQ-CL90501-G7-2XL</v>
          </cell>
          <cell r="B1631" t="str">
            <v>LYQ-CL90501</v>
          </cell>
        </row>
        <row r="1632">
          <cell r="A1632" t="str">
            <v>LYQ-CL90501-G7-L</v>
          </cell>
          <cell r="B1632" t="str">
            <v>LYQ-CL90501</v>
          </cell>
        </row>
        <row r="1633">
          <cell r="A1633" t="str">
            <v>LYQ-CL90501-G7-M</v>
          </cell>
          <cell r="B1633" t="str">
            <v>LYQ-CL90501</v>
          </cell>
        </row>
        <row r="1634">
          <cell r="A1634" t="str">
            <v>LYQ-CL90501-G7-S</v>
          </cell>
          <cell r="B1634" t="str">
            <v>LYQ-CL90501</v>
          </cell>
        </row>
        <row r="1635">
          <cell r="A1635" t="str">
            <v>LYQ-CL90501-G7-XL</v>
          </cell>
          <cell r="B1635" t="str">
            <v>LYQ-CL90501</v>
          </cell>
        </row>
        <row r="1636">
          <cell r="A1636" t="str">
            <v>LYQ-CLA6005-BD-XL</v>
          </cell>
          <cell r="B1636" t="str">
            <v>LYQ-CLA6005</v>
          </cell>
        </row>
        <row r="1637">
          <cell r="A1637" t="str">
            <v>LYQ-CLAM035-FL-S</v>
          </cell>
          <cell r="B1637" t="str">
            <v>LYQ-CLAM035</v>
          </cell>
        </row>
        <row r="1638">
          <cell r="A1638" t="str">
            <v>LYQ-CLBAH002-L</v>
          </cell>
          <cell r="B1638" t="str">
            <v>LYQ-CLBAH002</v>
          </cell>
        </row>
        <row r="1639">
          <cell r="A1639" t="str">
            <v>LYQ-CLBAH002-M</v>
          </cell>
          <cell r="B1639" t="str">
            <v>LYQ-CLBAH002</v>
          </cell>
        </row>
        <row r="1640">
          <cell r="A1640" t="str">
            <v>LYQ-CLBAH002-S</v>
          </cell>
          <cell r="B1640" t="str">
            <v>LYQ-CLBAH002</v>
          </cell>
        </row>
        <row r="1641">
          <cell r="A1641" t="str">
            <v>LYQ-CLBAH002-XL</v>
          </cell>
          <cell r="B1641" t="str">
            <v>LYQ-CLBAH002</v>
          </cell>
        </row>
        <row r="1642">
          <cell r="A1642" t="str">
            <v>LYQ-CLZ095E02L</v>
          </cell>
          <cell r="B1642" t="str">
            <v>LYQ-CLZ095</v>
          </cell>
        </row>
        <row r="1643">
          <cell r="A1643" t="str">
            <v>LYQ-CLZ095E0L</v>
          </cell>
          <cell r="B1643" t="str">
            <v>LYQ-CLZ095</v>
          </cell>
        </row>
        <row r="1644">
          <cell r="A1644" t="str">
            <v>LYQ-CLZ095E0M</v>
          </cell>
          <cell r="B1644" t="str">
            <v>LYQ-CLZ095</v>
          </cell>
        </row>
        <row r="1645">
          <cell r="A1645" t="str">
            <v>LYQ-CLZ095E0S</v>
          </cell>
          <cell r="B1645" t="str">
            <v>LYQ-CLZ095</v>
          </cell>
        </row>
        <row r="1646">
          <cell r="A1646" t="str">
            <v>LYQ-CLZ095E0XL</v>
          </cell>
          <cell r="B1646" t="str">
            <v>LYQ-CLZ095</v>
          </cell>
        </row>
        <row r="1647">
          <cell r="A1647" t="str">
            <v>LYQ-CLZ095K02L</v>
          </cell>
          <cell r="B1647" t="str">
            <v>LYQ-CLZ095</v>
          </cell>
        </row>
        <row r="1648">
          <cell r="A1648" t="str">
            <v>LYQ-CLZ095K0L</v>
          </cell>
          <cell r="B1648" t="str">
            <v>LYQ-CLZ095</v>
          </cell>
        </row>
        <row r="1649">
          <cell r="A1649" t="str">
            <v>LYQ-CLZ095K0M</v>
          </cell>
          <cell r="B1649" t="str">
            <v>LYQ-CLZ095</v>
          </cell>
        </row>
        <row r="1650">
          <cell r="A1650" t="str">
            <v>LYQ-CLZ095R22L</v>
          </cell>
          <cell r="B1650" t="str">
            <v>LYQ-CLZ095</v>
          </cell>
        </row>
        <row r="1651">
          <cell r="A1651" t="str">
            <v>LYQ-CLZ095R2L</v>
          </cell>
          <cell r="B1651" t="str">
            <v>LYQ-CLZ095</v>
          </cell>
        </row>
        <row r="1652">
          <cell r="A1652" t="str">
            <v>LYQ-CLZ095R2M</v>
          </cell>
          <cell r="B1652" t="str">
            <v>LYQ-CLZ095</v>
          </cell>
        </row>
        <row r="1653">
          <cell r="A1653" t="str">
            <v>LYQ-CLZ095R2S</v>
          </cell>
          <cell r="B1653" t="str">
            <v>LYQ-CLZ095</v>
          </cell>
        </row>
        <row r="1654">
          <cell r="A1654" t="str">
            <v>LYQ-CLZ095R2XL</v>
          </cell>
          <cell r="B1654" t="str">
            <v>LYQ-CLZ095</v>
          </cell>
        </row>
        <row r="1655">
          <cell r="A1655" t="str">
            <v>LYQ-CS04</v>
          </cell>
          <cell r="B1655" t="str">
            <v>LYQ-CS04</v>
          </cell>
        </row>
        <row r="1656">
          <cell r="A1656" t="str">
            <v>LYQ-CS04-CO-2XL</v>
          </cell>
          <cell r="B1656" t="str">
            <v>LYQ-CS04</v>
          </cell>
        </row>
        <row r="1657">
          <cell r="A1657" t="str">
            <v>LYQ-CS04-CO-L</v>
          </cell>
          <cell r="B1657" t="str">
            <v>LYQ-CS04</v>
          </cell>
        </row>
        <row r="1658">
          <cell r="A1658" t="str">
            <v>LYQ-CS04-CO-M</v>
          </cell>
          <cell r="B1658" t="str">
            <v>LYQ-CS04</v>
          </cell>
        </row>
        <row r="1659">
          <cell r="A1659" t="str">
            <v>LYQ-CS04-CO-S</v>
          </cell>
          <cell r="B1659" t="str">
            <v>LYQ-CS04</v>
          </cell>
        </row>
        <row r="1660">
          <cell r="A1660" t="str">
            <v>LYQ-CS04-CO-XL</v>
          </cell>
          <cell r="B1660" t="str">
            <v>LYQ-CS04</v>
          </cell>
        </row>
        <row r="1661">
          <cell r="A1661" t="str">
            <v>LYQ-CS04-G0-2XL</v>
          </cell>
          <cell r="B1661" t="str">
            <v>LYQ-CS04</v>
          </cell>
        </row>
        <row r="1662">
          <cell r="A1662" t="str">
            <v>LYQ-CS04-G0-L</v>
          </cell>
          <cell r="B1662" t="str">
            <v>LYQ-CS04</v>
          </cell>
        </row>
        <row r="1663">
          <cell r="A1663" t="str">
            <v>LYQ-CS04-G0-M</v>
          </cell>
          <cell r="B1663" t="str">
            <v>LYQ-CS04</v>
          </cell>
        </row>
        <row r="1664">
          <cell r="A1664" t="str">
            <v>LYQ-CS04-G0-S</v>
          </cell>
          <cell r="B1664" t="str">
            <v>LYQ-CS04</v>
          </cell>
        </row>
        <row r="1665">
          <cell r="A1665" t="str">
            <v>LYQ-CS04-G0-XL</v>
          </cell>
          <cell r="B1665" t="str">
            <v>LYQ-CS04</v>
          </cell>
        </row>
        <row r="1666">
          <cell r="A1666" t="str">
            <v>LYQ-CS04-GR-2XL</v>
          </cell>
          <cell r="B1666" t="str">
            <v>LYQ-CS04</v>
          </cell>
        </row>
        <row r="1667">
          <cell r="A1667" t="str">
            <v>LYQ-CS04-GR-L</v>
          </cell>
          <cell r="B1667" t="str">
            <v>LYQ-CS04</v>
          </cell>
        </row>
        <row r="1668">
          <cell r="A1668" t="str">
            <v>LYQ-CS04-GR-M</v>
          </cell>
          <cell r="B1668" t="str">
            <v>LYQ-CS04</v>
          </cell>
        </row>
        <row r="1669">
          <cell r="A1669" t="str">
            <v>LYQ-CS04-GR-S</v>
          </cell>
          <cell r="B1669" t="str">
            <v>LYQ-CS04</v>
          </cell>
        </row>
        <row r="1670">
          <cell r="A1670" t="str">
            <v>LYQ-CS04-GR-XL</v>
          </cell>
          <cell r="B1670" t="str">
            <v>LYQ-CS04</v>
          </cell>
        </row>
        <row r="1671">
          <cell r="A1671" t="str">
            <v>LYQ-CS04-K0-2XL</v>
          </cell>
          <cell r="B1671" t="str">
            <v>LYQ-CS04</v>
          </cell>
        </row>
        <row r="1672">
          <cell r="A1672" t="str">
            <v>LYQ-CS04-K0-L</v>
          </cell>
          <cell r="B1672" t="str">
            <v>LYQ-CS04</v>
          </cell>
        </row>
        <row r="1673">
          <cell r="A1673" t="str">
            <v>LYQ-CS04-K0-M</v>
          </cell>
          <cell r="B1673" t="str">
            <v>LYQ-CS04</v>
          </cell>
        </row>
        <row r="1674">
          <cell r="A1674" t="str">
            <v>LYQ-CS04-K0-S</v>
          </cell>
          <cell r="B1674" t="str">
            <v>LYQ-CS04</v>
          </cell>
        </row>
        <row r="1675">
          <cell r="A1675" t="str">
            <v>LYQ-CS04-K0-XL</v>
          </cell>
          <cell r="B1675" t="str">
            <v>LYQ-CS04</v>
          </cell>
        </row>
        <row r="1676">
          <cell r="A1676" t="str">
            <v>LYQ-CS04-Wi-2XL</v>
          </cell>
          <cell r="B1676" t="str">
            <v>LYQ-CS04</v>
          </cell>
        </row>
        <row r="1677">
          <cell r="A1677" t="str">
            <v>LYQ-CS04-Wi-L</v>
          </cell>
          <cell r="B1677" t="str">
            <v>LYQ-CS04</v>
          </cell>
        </row>
        <row r="1678">
          <cell r="A1678" t="str">
            <v>LYQ-CS04-Wi-M</v>
          </cell>
          <cell r="B1678" t="str">
            <v>LYQ-CS04</v>
          </cell>
        </row>
        <row r="1679">
          <cell r="A1679" t="str">
            <v>LYQ-CS04-Wi-S</v>
          </cell>
          <cell r="B1679" t="str">
            <v>LYQ-CS04</v>
          </cell>
        </row>
        <row r="1680">
          <cell r="A1680" t="str">
            <v>LYQ-CS04-Wi-XL</v>
          </cell>
          <cell r="B1680" t="str">
            <v>LYQ-CS04</v>
          </cell>
        </row>
        <row r="1681">
          <cell r="A1681" t="str">
            <v>LYQ-CSM048-G0-L</v>
          </cell>
          <cell r="B1681" t="str">
            <v>LYQ-CSM048</v>
          </cell>
        </row>
        <row r="1682">
          <cell r="A1682" t="str">
            <v>LYQ-CSM048-G0-M</v>
          </cell>
          <cell r="B1682" t="str">
            <v>LYQ-CSM048</v>
          </cell>
        </row>
        <row r="1683">
          <cell r="A1683" t="str">
            <v>LYQ-CSM048-G0-S</v>
          </cell>
          <cell r="B1683" t="str">
            <v>LYQ-CSM048</v>
          </cell>
        </row>
        <row r="1684">
          <cell r="A1684" t="str">
            <v>LYQ-CSM048-G0-XL</v>
          </cell>
          <cell r="B1684" t="str">
            <v>LYQ-CSM048</v>
          </cell>
        </row>
        <row r="1685">
          <cell r="A1685" t="str">
            <v>LYQ-CSM048-GR0-L</v>
          </cell>
          <cell r="B1685" t="str">
            <v>LYQ-CSM048</v>
          </cell>
        </row>
        <row r="1686">
          <cell r="A1686" t="str">
            <v>LYQ-CSM048-GR0-M</v>
          </cell>
          <cell r="B1686" t="str">
            <v>LYQ-CSM048</v>
          </cell>
        </row>
        <row r="1687">
          <cell r="A1687" t="str">
            <v>LYQ-CSM048-GR0-S</v>
          </cell>
          <cell r="B1687" t="str">
            <v>LYQ-CSM048</v>
          </cell>
        </row>
        <row r="1688">
          <cell r="A1688" t="str">
            <v>LYQ-CSM048-GR0-XL</v>
          </cell>
          <cell r="B1688" t="str">
            <v>LYQ-CSM048</v>
          </cell>
        </row>
        <row r="1689">
          <cell r="A1689" t="str">
            <v>LYQ-CSM048-GR1-L</v>
          </cell>
          <cell r="B1689" t="str">
            <v>LYQ-CSM048</v>
          </cell>
        </row>
        <row r="1690">
          <cell r="A1690" t="str">
            <v>LYQ-CSM048-GR1-M</v>
          </cell>
          <cell r="B1690" t="str">
            <v>LYQ-CSM048</v>
          </cell>
        </row>
        <row r="1691">
          <cell r="A1691" t="str">
            <v>LYQ-CSM048-GR1-S</v>
          </cell>
          <cell r="B1691" t="str">
            <v>LYQ-CSM048</v>
          </cell>
        </row>
        <row r="1692">
          <cell r="A1692" t="str">
            <v>LYQ-CSM048-GR1-XL</v>
          </cell>
          <cell r="B1692" t="str">
            <v>LYQ-CSM048</v>
          </cell>
        </row>
        <row r="1693">
          <cell r="A1693" t="str">
            <v>LYQ-CSM048-K0-L</v>
          </cell>
          <cell r="B1693" t="str">
            <v>LYQ-CSM048</v>
          </cell>
        </row>
        <row r="1694">
          <cell r="A1694" t="str">
            <v>LYQ-CSM048-K0-M</v>
          </cell>
          <cell r="B1694" t="str">
            <v>LYQ-CSM048</v>
          </cell>
        </row>
        <row r="1695">
          <cell r="A1695" t="str">
            <v>LYQ-CSM048-K0-S</v>
          </cell>
          <cell r="B1695" t="str">
            <v>LYQ-CSM048</v>
          </cell>
        </row>
        <row r="1696">
          <cell r="A1696" t="str">
            <v>LYQ-CSM048-K0-XL</v>
          </cell>
          <cell r="B1696" t="str">
            <v>LYQ-CSM048</v>
          </cell>
        </row>
        <row r="1697">
          <cell r="A1697" t="str">
            <v>LYQ-CSM048-R0-L</v>
          </cell>
          <cell r="B1697" t="str">
            <v>LYQ-CSM048</v>
          </cell>
        </row>
        <row r="1698">
          <cell r="A1698" t="str">
            <v>LYQ-CSM048-R0-M</v>
          </cell>
          <cell r="B1698" t="str">
            <v>LYQ-CSM048</v>
          </cell>
        </row>
        <row r="1699">
          <cell r="A1699" t="str">
            <v>LYQ-CSM048-R0-S</v>
          </cell>
          <cell r="B1699" t="str">
            <v>LYQ-CSM048</v>
          </cell>
        </row>
        <row r="1700">
          <cell r="A1700" t="str">
            <v>LYQ-CSM048-R0-XL</v>
          </cell>
          <cell r="B1700" t="str">
            <v>LYQ-CSM048</v>
          </cell>
        </row>
        <row r="1701">
          <cell r="A1701" t="str">
            <v>LYQ-CSM048-ZL-L</v>
          </cell>
          <cell r="B1701" t="str">
            <v>LYQ-CSM048</v>
          </cell>
        </row>
        <row r="1702">
          <cell r="A1702" t="str">
            <v>LYQ-CSM048-ZL-M</v>
          </cell>
          <cell r="B1702" t="str">
            <v>LYQ-CSM048</v>
          </cell>
        </row>
        <row r="1703">
          <cell r="A1703" t="str">
            <v>LYQ-CSM048-ZL-S</v>
          </cell>
          <cell r="B1703" t="str">
            <v>LYQ-CSM048</v>
          </cell>
        </row>
        <row r="1704">
          <cell r="A1704" t="str">
            <v>LYQ-CSM048-ZL-XL</v>
          </cell>
          <cell r="B1704" t="str">
            <v>LYQ-CSM048</v>
          </cell>
        </row>
        <row r="1705">
          <cell r="A1705" t="str">
            <v>LYQ-G003B02L</v>
          </cell>
          <cell r="B1705" t="str">
            <v>LYQ-G003</v>
          </cell>
        </row>
        <row r="1706">
          <cell r="A1706" t="str">
            <v>LYQ-G003B0L</v>
          </cell>
          <cell r="B1706" t="str">
            <v>LYQ-G003</v>
          </cell>
        </row>
        <row r="1707">
          <cell r="A1707" t="str">
            <v>LYQ-G003B0M</v>
          </cell>
          <cell r="B1707" t="str">
            <v>LYQ-G003</v>
          </cell>
        </row>
        <row r="1708">
          <cell r="A1708" t="str">
            <v>LYQ-G003B0S</v>
          </cell>
          <cell r="B1708" t="str">
            <v>LYQ-G003</v>
          </cell>
        </row>
        <row r="1709">
          <cell r="A1709" t="str">
            <v>LYQ-G003B0XL</v>
          </cell>
          <cell r="B1709" t="str">
            <v>LYQ-G003</v>
          </cell>
        </row>
        <row r="1710">
          <cell r="A1710" t="str">
            <v>LYQ-G003W12L</v>
          </cell>
          <cell r="B1710" t="str">
            <v>LYQ-G003</v>
          </cell>
        </row>
        <row r="1711">
          <cell r="A1711" t="str">
            <v>LYQ-G003W1L</v>
          </cell>
          <cell r="B1711" t="str">
            <v>LYQ-G003</v>
          </cell>
        </row>
        <row r="1712">
          <cell r="A1712" t="str">
            <v>LYQ-G003W1M</v>
          </cell>
          <cell r="B1712" t="str">
            <v>LYQ-G003</v>
          </cell>
        </row>
        <row r="1713">
          <cell r="A1713" t="str">
            <v>LYQ-G003W1S</v>
          </cell>
          <cell r="B1713" t="str">
            <v>LYQ-G003</v>
          </cell>
        </row>
        <row r="1714">
          <cell r="A1714" t="str">
            <v>LYQ-G003W1XL</v>
          </cell>
          <cell r="B1714" t="str">
            <v>LYQ-G003</v>
          </cell>
        </row>
        <row r="1715">
          <cell r="A1715" t="str">
            <v>LYQ-G003ZL2L</v>
          </cell>
          <cell r="B1715" t="str">
            <v>LYQ-G003</v>
          </cell>
        </row>
        <row r="1716">
          <cell r="A1716" t="str">
            <v>LYQ-G003ZLL</v>
          </cell>
          <cell r="B1716" t="str">
            <v>LYQ-G003</v>
          </cell>
        </row>
        <row r="1717">
          <cell r="A1717" t="str">
            <v>LYQ-G003ZLM</v>
          </cell>
          <cell r="B1717" t="str">
            <v>LYQ-G003</v>
          </cell>
        </row>
        <row r="1718">
          <cell r="A1718" t="str">
            <v>LYQ-G003ZLS</v>
          </cell>
          <cell r="B1718" t="str">
            <v>LYQ-G003</v>
          </cell>
        </row>
        <row r="1719">
          <cell r="A1719" t="str">
            <v>LYQ-G003ZLXL</v>
          </cell>
          <cell r="B1719" t="str">
            <v>LYQ-G003</v>
          </cell>
        </row>
        <row r="1720">
          <cell r="A1720" t="str">
            <v>LYQ-HB1377-blue-L</v>
          </cell>
          <cell r="B1720" t="str">
            <v>LYQ-HB1377</v>
          </cell>
        </row>
        <row r="1721">
          <cell r="A1721" t="str">
            <v>LYQ-HB1377-blue-M</v>
          </cell>
          <cell r="B1721" t="str">
            <v>LYQ-HB1377</v>
          </cell>
        </row>
        <row r="1722">
          <cell r="A1722" t="str">
            <v>LYQ-HB1377-blue-S</v>
          </cell>
          <cell r="B1722" t="str">
            <v>LYQ-HB1377</v>
          </cell>
        </row>
        <row r="1723">
          <cell r="A1723" t="str">
            <v>LYQ-HB1377-blue-XL</v>
          </cell>
          <cell r="B1723" t="str">
            <v>LYQ-HB1377</v>
          </cell>
        </row>
        <row r="1724">
          <cell r="A1724" t="str">
            <v>LYQ-HB1377-grey0-L</v>
          </cell>
          <cell r="B1724" t="str">
            <v>LYQ-HB1377</v>
          </cell>
        </row>
        <row r="1725">
          <cell r="A1725" t="str">
            <v>LYQ-HB1377-grey0-M</v>
          </cell>
          <cell r="B1725" t="str">
            <v>LYQ-HB1377</v>
          </cell>
        </row>
        <row r="1726">
          <cell r="A1726" t="str">
            <v>LYQ-HB1377-grey0-S</v>
          </cell>
          <cell r="B1726" t="str">
            <v>LYQ-HB1377</v>
          </cell>
        </row>
        <row r="1727">
          <cell r="A1727" t="str">
            <v>LYQ-HB1377-grey0-XL</v>
          </cell>
          <cell r="B1727" t="str">
            <v>LYQ-HB1377</v>
          </cell>
        </row>
        <row r="1728">
          <cell r="A1728" t="str">
            <v>LYQ-HB1377-grey1-L</v>
          </cell>
          <cell r="B1728" t="str">
            <v>LYQ-HB1377</v>
          </cell>
        </row>
        <row r="1729">
          <cell r="A1729" t="str">
            <v>LYQ-HB1377-grey1-M</v>
          </cell>
          <cell r="B1729" t="str">
            <v>LYQ-HB1377</v>
          </cell>
        </row>
        <row r="1730">
          <cell r="A1730" t="str">
            <v>LYQ-HB1377-grey1-S</v>
          </cell>
          <cell r="B1730" t="str">
            <v>LYQ-HB1377</v>
          </cell>
        </row>
        <row r="1731">
          <cell r="A1731" t="str">
            <v>LYQ-HB1377-grey1-XL</v>
          </cell>
          <cell r="B1731" t="str">
            <v>LYQ-HB1377</v>
          </cell>
        </row>
        <row r="1732">
          <cell r="A1732" t="str">
            <v>LYQ-HB1377-purple-L</v>
          </cell>
          <cell r="B1732" t="str">
            <v>LYQ-HB1377</v>
          </cell>
        </row>
        <row r="1733">
          <cell r="A1733" t="str">
            <v>LYQ-HB1377-purple-M</v>
          </cell>
          <cell r="B1733" t="str">
            <v>LYQ-HB1377</v>
          </cell>
        </row>
        <row r="1734">
          <cell r="A1734" t="str">
            <v>LYQ-HB1377-purple-S</v>
          </cell>
          <cell r="B1734" t="str">
            <v>LYQ-HB1377</v>
          </cell>
        </row>
        <row r="1735">
          <cell r="A1735" t="str">
            <v>LYQ-HB1377-purple-XL</v>
          </cell>
          <cell r="B1735" t="str">
            <v>LYQ-HB1377</v>
          </cell>
        </row>
        <row r="1736">
          <cell r="A1736" t="str">
            <v>LYQ-HB1377-rose-L</v>
          </cell>
          <cell r="B1736" t="str">
            <v>LYQ-HB1377</v>
          </cell>
        </row>
        <row r="1737">
          <cell r="A1737" t="str">
            <v>LYQ-HB1377-rose-M</v>
          </cell>
          <cell r="B1737" t="str">
            <v>LYQ-HB1377</v>
          </cell>
        </row>
        <row r="1738">
          <cell r="A1738" t="str">
            <v>LYQ-HB1377-rose-S</v>
          </cell>
          <cell r="B1738" t="str">
            <v>LYQ-HB1377</v>
          </cell>
        </row>
        <row r="1739">
          <cell r="A1739" t="str">
            <v>LYQ-HB1377-rose-XL</v>
          </cell>
          <cell r="B1739" t="str">
            <v>LYQ-HB1377</v>
          </cell>
        </row>
        <row r="1740">
          <cell r="A1740" t="str">
            <v>LYQ-HM010</v>
          </cell>
          <cell r="B1740" t="str">
            <v>LYQ-HM010</v>
          </cell>
        </row>
        <row r="1741">
          <cell r="A1741" t="str">
            <v>LYQ-HM010-B0YH-L</v>
          </cell>
          <cell r="B1741" t="str">
            <v>LYQ-HM010</v>
          </cell>
        </row>
        <row r="1742">
          <cell r="A1742" t="str">
            <v>LYQ-HM010-B0YH-M</v>
          </cell>
          <cell r="B1742" t="str">
            <v>LYQ-HM010</v>
          </cell>
        </row>
        <row r="1743">
          <cell r="A1743" t="str">
            <v>LYQ-HM010-K0-M</v>
          </cell>
          <cell r="B1743" t="str">
            <v>LYQ-HM010</v>
          </cell>
        </row>
        <row r="1744">
          <cell r="A1744" t="str">
            <v>LYQ-HM049</v>
          </cell>
          <cell r="B1744" t="str">
            <v>LYQ-HM049</v>
          </cell>
        </row>
        <row r="1745">
          <cell r="A1745" t="str">
            <v>LYQ-HM049-G0-XL</v>
          </cell>
          <cell r="B1745" t="str">
            <v>LYQ-HM049</v>
          </cell>
        </row>
        <row r="1746">
          <cell r="A1746" t="str">
            <v>LYQ-HM049-K0-L</v>
          </cell>
          <cell r="B1746" t="str">
            <v>LYQ-HM049</v>
          </cell>
        </row>
        <row r="1747">
          <cell r="A1747" t="str">
            <v>LYQ-HM049-K0-M</v>
          </cell>
          <cell r="B1747" t="str">
            <v>LYQ-HM049</v>
          </cell>
        </row>
        <row r="1748">
          <cell r="A1748" t="str">
            <v>LYQ-HM049-K0-XL</v>
          </cell>
          <cell r="B1748" t="str">
            <v>LYQ-HM049</v>
          </cell>
        </row>
        <row r="1749">
          <cell r="A1749" t="str">
            <v>LYQ-HM049-ZL-L</v>
          </cell>
          <cell r="B1749" t="str">
            <v>LYQ-HM049</v>
          </cell>
        </row>
        <row r="1750">
          <cell r="A1750" t="str">
            <v>LYQ-HM049-ZL-S</v>
          </cell>
          <cell r="B1750" t="str">
            <v>LYQ-HM049</v>
          </cell>
        </row>
        <row r="1751">
          <cell r="A1751" t="str">
            <v>LYQ-HM049-ZL-XL</v>
          </cell>
          <cell r="B1751" t="str">
            <v>LYQ-HM049</v>
          </cell>
        </row>
        <row r="1752">
          <cell r="A1752" t="str">
            <v>LYQ-HM0505-W0-2XL</v>
          </cell>
          <cell r="B1752" t="str">
            <v>LYQ-HM0505</v>
          </cell>
        </row>
        <row r="1753">
          <cell r="A1753" t="str">
            <v>LYQ-HM0505-W0-3XL</v>
          </cell>
          <cell r="B1753" t="str">
            <v>LYQ-HM0505</v>
          </cell>
        </row>
        <row r="1754">
          <cell r="A1754" t="str">
            <v>LYQ-HM0831-R0-L</v>
          </cell>
          <cell r="B1754" t="str">
            <v>LYQ-HM0831</v>
          </cell>
        </row>
        <row r="1755">
          <cell r="A1755" t="str">
            <v>LYQ-HM0831-R0-M</v>
          </cell>
          <cell r="B1755" t="str">
            <v>LYQ-HM0831</v>
          </cell>
        </row>
        <row r="1756">
          <cell r="A1756" t="str">
            <v>LYQ-HM1205-BR-L</v>
          </cell>
          <cell r="B1756" t="str">
            <v>LYQ-HM1205</v>
          </cell>
        </row>
        <row r="1757">
          <cell r="A1757" t="str">
            <v>LYQ-HM1205-BR-L-CA</v>
          </cell>
          <cell r="B1757" t="str">
            <v>LYQ-HM1205</v>
          </cell>
        </row>
        <row r="1758">
          <cell r="A1758" t="str">
            <v>LYQ-HM1205-BR-M</v>
          </cell>
          <cell r="B1758" t="str">
            <v>LYQ-HM1205</v>
          </cell>
        </row>
        <row r="1759">
          <cell r="A1759" t="str">
            <v>LYQ-HM1205-BR-M-CA</v>
          </cell>
          <cell r="B1759" t="str">
            <v>LYQ-HM1205</v>
          </cell>
        </row>
        <row r="1760">
          <cell r="A1760" t="str">
            <v>LYQ-HM1205-BR-S</v>
          </cell>
          <cell r="B1760" t="str">
            <v>LYQ-HM1205</v>
          </cell>
        </row>
        <row r="1761">
          <cell r="A1761" t="str">
            <v>LYQ-HM1205-BR-S-CA</v>
          </cell>
          <cell r="B1761" t="str">
            <v>LYQ-HM1205</v>
          </cell>
        </row>
        <row r="1762">
          <cell r="A1762" t="str">
            <v>LYQ-HM1205-BR-XL</v>
          </cell>
          <cell r="B1762" t="str">
            <v>LYQ-HM1205</v>
          </cell>
        </row>
        <row r="1763">
          <cell r="A1763" t="str">
            <v>LYQ-HM1205-BR-XL-CA</v>
          </cell>
          <cell r="B1763" t="str">
            <v>LYQ-HM1205</v>
          </cell>
        </row>
        <row r="1764">
          <cell r="A1764" t="str">
            <v>LYQ-HM1205-K0-L</v>
          </cell>
          <cell r="B1764" t="str">
            <v>LYQ-HM1205</v>
          </cell>
        </row>
        <row r="1765">
          <cell r="A1765" t="str">
            <v>LYQ-HM1205-K0-L-CA</v>
          </cell>
          <cell r="B1765" t="str">
            <v>LYQ-HM1205</v>
          </cell>
        </row>
        <row r="1766">
          <cell r="A1766" t="str">
            <v>LYQ-HM1205-K0-M</v>
          </cell>
          <cell r="B1766" t="str">
            <v>LYQ-HM1205</v>
          </cell>
        </row>
        <row r="1767">
          <cell r="A1767" t="str">
            <v>LYQ-HM1205-K0-M-CA</v>
          </cell>
          <cell r="B1767" t="str">
            <v>LYQ-HM1205</v>
          </cell>
        </row>
        <row r="1768">
          <cell r="A1768" t="str">
            <v>LYQ-HM1205-K0-S</v>
          </cell>
          <cell r="B1768" t="str">
            <v>LYQ-HM1205</v>
          </cell>
        </row>
        <row r="1769">
          <cell r="A1769" t="str">
            <v>LYQ-HM1205-K0-S-CA</v>
          </cell>
          <cell r="B1769" t="str">
            <v>LYQ-HM1205</v>
          </cell>
        </row>
        <row r="1770">
          <cell r="A1770" t="str">
            <v>LYQ-HM1205-K0-XL</v>
          </cell>
          <cell r="B1770" t="str">
            <v>LYQ-HM1205</v>
          </cell>
        </row>
        <row r="1771">
          <cell r="A1771" t="str">
            <v>LYQ-HM1205-K0-XL-CA</v>
          </cell>
          <cell r="B1771" t="str">
            <v>LYQ-HM1205</v>
          </cell>
        </row>
        <row r="1772">
          <cell r="A1772" t="str">
            <v>LYQ-HM1205-KH-L</v>
          </cell>
          <cell r="B1772" t="str">
            <v>LYQ-HM1205</v>
          </cell>
        </row>
        <row r="1773">
          <cell r="A1773" t="str">
            <v>LYQ-HM1205-KH-L-CA</v>
          </cell>
          <cell r="B1773" t="str">
            <v>LYQ-HM1205</v>
          </cell>
        </row>
        <row r="1774">
          <cell r="A1774" t="str">
            <v>LYQ-HM1205-KH-M</v>
          </cell>
          <cell r="B1774" t="str">
            <v>LYQ-HM1205</v>
          </cell>
        </row>
        <row r="1775">
          <cell r="A1775" t="str">
            <v>LYQ-HM1205-KH-M-CA</v>
          </cell>
          <cell r="B1775" t="str">
            <v>LYQ-HM1205</v>
          </cell>
        </row>
        <row r="1776">
          <cell r="A1776" t="str">
            <v>LYQ-HM1205-KH-S</v>
          </cell>
          <cell r="B1776" t="str">
            <v>LYQ-HM1205</v>
          </cell>
        </row>
        <row r="1777">
          <cell r="A1777" t="str">
            <v>LYQ-HM1205-KH-S-CA</v>
          </cell>
          <cell r="B1777" t="str">
            <v>LYQ-HM1205</v>
          </cell>
        </row>
        <row r="1778">
          <cell r="A1778" t="str">
            <v>LYQ-HM1205-KH-XL</v>
          </cell>
          <cell r="B1778" t="str">
            <v>LYQ-HM1205</v>
          </cell>
        </row>
        <row r="1779">
          <cell r="A1779" t="str">
            <v>LYQ-HM1205-KH-XL-CA</v>
          </cell>
          <cell r="B1779" t="str">
            <v>LYQ-HM1205</v>
          </cell>
        </row>
        <row r="1780">
          <cell r="A1780" t="str">
            <v>LYQ-HM1205-OR-L</v>
          </cell>
          <cell r="B1780" t="str">
            <v>LYQ-HM1205</v>
          </cell>
        </row>
        <row r="1781">
          <cell r="A1781" t="str">
            <v>LYQ-HM1205-OR-L-CA</v>
          </cell>
          <cell r="B1781" t="str">
            <v>LYQ-HM1205</v>
          </cell>
        </row>
        <row r="1782">
          <cell r="A1782" t="str">
            <v>LYQ-HM1205-OR-M</v>
          </cell>
          <cell r="B1782" t="str">
            <v>LYQ-HM1205</v>
          </cell>
        </row>
        <row r="1783">
          <cell r="A1783" t="str">
            <v>LYQ-HM1205-OR-M-CA</v>
          </cell>
          <cell r="B1783" t="str">
            <v>LYQ-HM1205</v>
          </cell>
        </row>
        <row r="1784">
          <cell r="A1784" t="str">
            <v>LYQ-HM1205-OR-S</v>
          </cell>
          <cell r="B1784" t="str">
            <v>LYQ-HM1205</v>
          </cell>
        </row>
        <row r="1785">
          <cell r="A1785" t="str">
            <v>LYQ-HM1205-OR-S-CA</v>
          </cell>
          <cell r="B1785" t="str">
            <v>LYQ-HM1205</v>
          </cell>
        </row>
        <row r="1786">
          <cell r="A1786" t="str">
            <v>LYQ-HM1205-OR-XL</v>
          </cell>
          <cell r="B1786" t="str">
            <v>LYQ-HM1205</v>
          </cell>
        </row>
        <row r="1787">
          <cell r="A1787" t="str">
            <v>LYQ-HM1205-OR-XL-CA</v>
          </cell>
          <cell r="B1787" t="str">
            <v>LYQ-HM1205</v>
          </cell>
        </row>
        <row r="1788">
          <cell r="A1788" t="str">
            <v>LYQ-HM1205-W0-L</v>
          </cell>
          <cell r="B1788" t="str">
            <v>LYQ-HM1205</v>
          </cell>
        </row>
        <row r="1789">
          <cell r="A1789" t="str">
            <v>LYQ-HM1205-W0-L-CA</v>
          </cell>
          <cell r="B1789" t="str">
            <v>LYQ-HM1205</v>
          </cell>
        </row>
        <row r="1790">
          <cell r="A1790" t="str">
            <v>LYQ-HM1205-W0-M</v>
          </cell>
          <cell r="B1790" t="str">
            <v>LYQ-HM1205</v>
          </cell>
        </row>
        <row r="1791">
          <cell r="A1791" t="str">
            <v>LYQ-HM1205-W0-M-CA</v>
          </cell>
          <cell r="B1791" t="str">
            <v>LYQ-HM1205</v>
          </cell>
        </row>
        <row r="1792">
          <cell r="A1792" t="str">
            <v>LYQ-HM1205-W0-S</v>
          </cell>
          <cell r="B1792" t="str">
            <v>LYQ-HM1205</v>
          </cell>
        </row>
        <row r="1793">
          <cell r="A1793" t="str">
            <v>LYQ-HM1205-W0-S-CA</v>
          </cell>
          <cell r="B1793" t="str">
            <v>LYQ-HM1205</v>
          </cell>
        </row>
        <row r="1794">
          <cell r="A1794" t="str">
            <v>LYQ-HM1205-W0-XL</v>
          </cell>
          <cell r="B1794" t="str">
            <v>LYQ-HM1205</v>
          </cell>
        </row>
        <row r="1795">
          <cell r="A1795" t="str">
            <v>LYQ-HM1205-W0-XL-CA</v>
          </cell>
          <cell r="B1795" t="str">
            <v>LYQ-HM1205</v>
          </cell>
        </row>
        <row r="1796">
          <cell r="A1796" t="str">
            <v>LYQ-HM155-PU-L</v>
          </cell>
          <cell r="B1796" t="str">
            <v>LYQ-HM155</v>
          </cell>
        </row>
        <row r="1797">
          <cell r="A1797" t="str">
            <v>LYQ-HMAM002</v>
          </cell>
          <cell r="B1797" t="str">
            <v>LYQ-HMAM002</v>
          </cell>
        </row>
        <row r="1798">
          <cell r="A1798" t="str">
            <v>LYQ-HMAM002-ZL-L</v>
          </cell>
          <cell r="B1798" t="str">
            <v>LYQ-HMAM002</v>
          </cell>
        </row>
        <row r="1799">
          <cell r="A1799" t="str">
            <v>LYQ-HMAM002-ZL-M</v>
          </cell>
          <cell r="B1799" t="str">
            <v>LYQ-HMAM002</v>
          </cell>
        </row>
        <row r="1800">
          <cell r="A1800" t="str">
            <v>LYQ-HMAM002-ZL-S</v>
          </cell>
          <cell r="B1800" t="str">
            <v>LYQ-HMAM002</v>
          </cell>
        </row>
        <row r="1801">
          <cell r="A1801" t="str">
            <v>LYQ-HMAM002-ZL-XL</v>
          </cell>
          <cell r="B1801" t="str">
            <v>LYQ-HMAM002</v>
          </cell>
        </row>
        <row r="1802">
          <cell r="A1802" t="str">
            <v>LYQ-HMBX46</v>
          </cell>
          <cell r="B1802" t="str">
            <v>LYQ-HMBX46</v>
          </cell>
        </row>
        <row r="1803">
          <cell r="A1803" t="str">
            <v>LYQ-HMBX46-DXK0-L</v>
          </cell>
          <cell r="B1803" t="str">
            <v>LYQ-HMBX46</v>
          </cell>
        </row>
        <row r="1804">
          <cell r="A1804" t="str">
            <v>LYQ-HMBX46-DXK0-M</v>
          </cell>
          <cell r="B1804" t="str">
            <v>LYQ-HMBX46</v>
          </cell>
        </row>
        <row r="1805">
          <cell r="A1805" t="str">
            <v>LYQ-HMBX46-DXK0-S</v>
          </cell>
          <cell r="B1805" t="str">
            <v>LYQ-HMBX46</v>
          </cell>
        </row>
        <row r="1806">
          <cell r="A1806" t="str">
            <v>LYQ-HMBX46-DXK0-XL</v>
          </cell>
          <cell r="B1806" t="str">
            <v>LYQ-HMBX46</v>
          </cell>
        </row>
        <row r="1807">
          <cell r="A1807" t="str">
            <v>LYQ-HMBX46-DXZL-L</v>
          </cell>
          <cell r="B1807" t="str">
            <v>LYQ-HMBX46</v>
          </cell>
        </row>
        <row r="1808">
          <cell r="A1808" t="str">
            <v>LYQ-HMBX46-DXZL-M</v>
          </cell>
          <cell r="B1808" t="str">
            <v>LYQ-HMBX46</v>
          </cell>
        </row>
        <row r="1809">
          <cell r="A1809" t="str">
            <v>LYQ-HMBX46-DXZL-S</v>
          </cell>
          <cell r="B1809" t="str">
            <v>LYQ-HMBX46</v>
          </cell>
        </row>
        <row r="1810">
          <cell r="A1810" t="str">
            <v>LYQ-HMBX46-DXZL-XL</v>
          </cell>
          <cell r="B1810" t="str">
            <v>LYQ-HMBX46</v>
          </cell>
        </row>
        <row r="1811">
          <cell r="A1811" t="str">
            <v>LYQ-HMBX46-W0-L</v>
          </cell>
          <cell r="B1811" t="str">
            <v>LYQ-HMBX46</v>
          </cell>
        </row>
        <row r="1812">
          <cell r="A1812" t="str">
            <v>LYQ-HMBX46-W0-M</v>
          </cell>
          <cell r="B1812" t="str">
            <v>LYQ-HMBX46</v>
          </cell>
        </row>
        <row r="1813">
          <cell r="A1813" t="str">
            <v>LYQ-HMBX46-W0-S</v>
          </cell>
          <cell r="B1813" t="str">
            <v>LYQ-HMBX46</v>
          </cell>
        </row>
        <row r="1814">
          <cell r="A1814" t="str">
            <v>LYQ-HMBX46-W0-XL</v>
          </cell>
          <cell r="B1814" t="str">
            <v>LYQ-HMBX46</v>
          </cell>
        </row>
        <row r="1815">
          <cell r="A1815" t="str">
            <v>LYQ-HMBX46-ZXBE-L</v>
          </cell>
          <cell r="B1815" t="str">
            <v>LYQ-HMBX46</v>
          </cell>
        </row>
        <row r="1816">
          <cell r="A1816" t="str">
            <v>LYQ-HMBX46-ZXBE-M</v>
          </cell>
          <cell r="B1816" t="str">
            <v>LYQ-HMBX46</v>
          </cell>
        </row>
        <row r="1817">
          <cell r="A1817" t="str">
            <v>LYQ-HMBX46-ZXBE-S</v>
          </cell>
          <cell r="B1817" t="str">
            <v>LYQ-HMBX46</v>
          </cell>
        </row>
        <row r="1818">
          <cell r="A1818" t="str">
            <v>LYQ-HMBX46-ZXBE-XL</v>
          </cell>
          <cell r="B1818" t="str">
            <v>LYQ-HMBX46</v>
          </cell>
        </row>
        <row r="1819">
          <cell r="A1819" t="str">
            <v>LYQ-HMBX46-ZXK0-L</v>
          </cell>
          <cell r="B1819" t="str">
            <v>LYQ-HMBX46</v>
          </cell>
        </row>
        <row r="1820">
          <cell r="A1820" t="str">
            <v>LYQ-HMBX46-ZXK0-M</v>
          </cell>
          <cell r="B1820" t="str">
            <v>LYQ-HMBX46</v>
          </cell>
        </row>
        <row r="1821">
          <cell r="A1821" t="str">
            <v>LYQ-HMBX46-ZXK0-S</v>
          </cell>
          <cell r="B1821" t="str">
            <v>LYQ-HMBX46</v>
          </cell>
        </row>
        <row r="1822">
          <cell r="A1822" t="str">
            <v>LYQ-HMBX46-ZXK0-XL</v>
          </cell>
          <cell r="B1822" t="str">
            <v>LYQ-HMBX46</v>
          </cell>
        </row>
        <row r="1823">
          <cell r="A1823" t="str">
            <v>LYQ-HMBX46-ZXW0-L</v>
          </cell>
          <cell r="B1823" t="str">
            <v>LYQ-HMBX46</v>
          </cell>
        </row>
        <row r="1824">
          <cell r="A1824" t="str">
            <v>LYQ-HMBX46-ZXW0-M</v>
          </cell>
          <cell r="B1824" t="str">
            <v>LYQ-HMBX46</v>
          </cell>
        </row>
        <row r="1825">
          <cell r="A1825" t="str">
            <v>LYQ-HMBX46-ZXW0-S</v>
          </cell>
          <cell r="B1825" t="str">
            <v>LYQ-HMBX46</v>
          </cell>
        </row>
        <row r="1826">
          <cell r="A1826" t="str">
            <v>LYQ-HMBX46-ZXW0-XL</v>
          </cell>
          <cell r="B1826" t="str">
            <v>LYQ-HMBX46</v>
          </cell>
        </row>
        <row r="1827">
          <cell r="A1827" t="str">
            <v>LYQ-HMCX22</v>
          </cell>
          <cell r="B1827" t="str">
            <v>LYQ-HMCX22</v>
          </cell>
        </row>
        <row r="1828">
          <cell r="A1828" t="str">
            <v>LYQ-HMCX22-K0-L</v>
          </cell>
          <cell r="B1828" t="str">
            <v>LYQ-HMCX22</v>
          </cell>
        </row>
        <row r="1829">
          <cell r="A1829" t="str">
            <v>LYQ-HMCX22-K0-M</v>
          </cell>
          <cell r="B1829" t="str">
            <v>LYQ-HMCX22</v>
          </cell>
        </row>
        <row r="1830">
          <cell r="A1830" t="str">
            <v>LYQ-HMCX22-K0-S</v>
          </cell>
          <cell r="B1830" t="str">
            <v>LYQ-HMCX22</v>
          </cell>
        </row>
        <row r="1831">
          <cell r="A1831" t="str">
            <v>LYQ-HMCX22-K0-XS</v>
          </cell>
          <cell r="B1831" t="str">
            <v>LYQ-HMCX22</v>
          </cell>
        </row>
        <row r="1832">
          <cell r="A1832" t="str">
            <v>LYQ-HMCX22-W0-L</v>
          </cell>
          <cell r="B1832" t="str">
            <v>LYQ-HMCX22</v>
          </cell>
        </row>
        <row r="1833">
          <cell r="A1833" t="str">
            <v>LYQ-HMCX22-W0-M</v>
          </cell>
          <cell r="B1833" t="str">
            <v>LYQ-HMCX22</v>
          </cell>
        </row>
        <row r="1834">
          <cell r="A1834" t="str">
            <v>LYQ-HMCX22-W0-S</v>
          </cell>
          <cell r="B1834" t="str">
            <v>LYQ-HMCX22</v>
          </cell>
        </row>
        <row r="1835">
          <cell r="A1835" t="str">
            <v>LYQ-HMCX22-W0-XS</v>
          </cell>
          <cell r="B1835" t="str">
            <v>LYQ-HMCX22</v>
          </cell>
        </row>
        <row r="1836">
          <cell r="A1836" t="str">
            <v>LYQ-HMCX22-ZL-L</v>
          </cell>
          <cell r="B1836" t="str">
            <v>LYQ-HMCX22</v>
          </cell>
        </row>
        <row r="1837">
          <cell r="A1837" t="str">
            <v>LYQ-HMCX22-ZL-M</v>
          </cell>
          <cell r="B1837" t="str">
            <v>LYQ-HMCX22</v>
          </cell>
        </row>
        <row r="1838">
          <cell r="A1838" t="str">
            <v>LYQ-HMCX22-ZL-S</v>
          </cell>
          <cell r="B1838" t="str">
            <v>LYQ-HMCX22</v>
          </cell>
        </row>
        <row r="1839">
          <cell r="A1839" t="str">
            <v>LYQ-HMCX22-ZL-XS</v>
          </cell>
          <cell r="B1839" t="str">
            <v>LYQ-HMCX22</v>
          </cell>
        </row>
        <row r="1840">
          <cell r="A1840" t="str">
            <v>LYQ-HMQZZ-MOM-2XL</v>
          </cell>
          <cell r="B1840" t="str">
            <v>LYQ-HMQZZ</v>
          </cell>
        </row>
        <row r="1841">
          <cell r="A1841" t="str">
            <v>LYQ-HMQZZ-MOM-L</v>
          </cell>
          <cell r="B1841" t="str">
            <v>LYQ-HMQZZ</v>
          </cell>
        </row>
        <row r="1842">
          <cell r="A1842" t="str">
            <v>LYQ-HMQZZ-MOM-M</v>
          </cell>
          <cell r="B1842" t="str">
            <v>LYQ-HMQZZ</v>
          </cell>
        </row>
        <row r="1843">
          <cell r="A1843" t="str">
            <v>LYQ-HMQZZ-MOM-S</v>
          </cell>
          <cell r="B1843" t="str">
            <v>LYQ-HMQZZ</v>
          </cell>
        </row>
        <row r="1844">
          <cell r="A1844" t="str">
            <v>LYQ-HMQZZ-MOM-XL</v>
          </cell>
          <cell r="B1844" t="str">
            <v>LYQ-HMQZZ</v>
          </cell>
        </row>
        <row r="1845">
          <cell r="A1845" t="str">
            <v>LYQ-HMQZZ-R0-L(7/8)T</v>
          </cell>
          <cell r="B1845" t="str">
            <v>LYQ-HMQZZ</v>
          </cell>
        </row>
        <row r="1846">
          <cell r="A1846" t="str">
            <v>LYQ-HMQZZ-R0-M(5/6)T</v>
          </cell>
          <cell r="B1846" t="str">
            <v>LYQ-HMQZZ</v>
          </cell>
        </row>
        <row r="1847">
          <cell r="A1847" t="str">
            <v>LYQ-HMQZZ-R0-XL(9/10)T</v>
          </cell>
          <cell r="B1847" t="str">
            <v>LYQ-HMQZZ</v>
          </cell>
        </row>
        <row r="1848">
          <cell r="A1848" t="str">
            <v>LYQ-JY1586-W0-L</v>
          </cell>
          <cell r="B1848" t="str">
            <v>LYQ-JY1586</v>
          </cell>
        </row>
        <row r="1849">
          <cell r="A1849" t="str">
            <v>LYQ-JY1586-W0-M</v>
          </cell>
          <cell r="B1849" t="str">
            <v>LYQ-JY1586</v>
          </cell>
        </row>
        <row r="1850">
          <cell r="A1850" t="str">
            <v>LYQ-JY1586-W0-S</v>
          </cell>
          <cell r="B1850" t="str">
            <v>LYQ-JY1586</v>
          </cell>
        </row>
        <row r="1851">
          <cell r="A1851" t="str">
            <v>LYQ-JY1586-W0-XL</v>
          </cell>
          <cell r="B1851" t="str">
            <v>LYQ-JY1586</v>
          </cell>
        </row>
        <row r="1852">
          <cell r="A1852" t="str">
            <v>LYQ-K1010-B0-2X</v>
          </cell>
          <cell r="B1852" t="str">
            <v>LYQ-1010</v>
          </cell>
        </row>
        <row r="1853">
          <cell r="A1853" t="str">
            <v>LYQ-K1010-B0-L</v>
          </cell>
          <cell r="B1853" t="str">
            <v>LYQ-1010</v>
          </cell>
        </row>
        <row r="1854">
          <cell r="A1854" t="str">
            <v>LYQ-K1010-B0-M</v>
          </cell>
          <cell r="B1854" t="str">
            <v>LYQ-1010</v>
          </cell>
        </row>
        <row r="1855">
          <cell r="A1855" t="str">
            <v>LYQ-K1010-B0-M-GM</v>
          </cell>
          <cell r="B1855" t="str">
            <v>LYQ-1010</v>
          </cell>
        </row>
        <row r="1856">
          <cell r="A1856" t="str">
            <v>LYQ-K1010-B0-S</v>
          </cell>
          <cell r="B1856" t="str">
            <v>LYQ-1010</v>
          </cell>
        </row>
        <row r="1857">
          <cell r="A1857" t="str">
            <v>LYQ-K1010-B0-XL</v>
          </cell>
          <cell r="B1857" t="str">
            <v>LYQ-1010</v>
          </cell>
        </row>
        <row r="1858">
          <cell r="A1858" t="str">
            <v>LYQ-K1010-B0-XS</v>
          </cell>
          <cell r="B1858" t="str">
            <v>LYQ-1010</v>
          </cell>
        </row>
        <row r="1859">
          <cell r="A1859" t="str">
            <v>LYQ-K1010-G0-2X</v>
          </cell>
          <cell r="B1859" t="str">
            <v>LYQ-1010</v>
          </cell>
        </row>
        <row r="1860">
          <cell r="A1860" t="str">
            <v>LYQ-K1010-G0-L</v>
          </cell>
          <cell r="B1860" t="str">
            <v>LYQ-1010</v>
          </cell>
        </row>
        <row r="1861">
          <cell r="A1861" t="str">
            <v>LYQ-K1010-G0-L-GM</v>
          </cell>
          <cell r="B1861" t="str">
            <v>LYQ-1010</v>
          </cell>
        </row>
        <row r="1862">
          <cell r="A1862" t="str">
            <v>LYQ-K1010-G0-M</v>
          </cell>
          <cell r="B1862" t="str">
            <v>LYQ-1010</v>
          </cell>
        </row>
        <row r="1863">
          <cell r="A1863" t="str">
            <v>LYQ-K1010-G0-S</v>
          </cell>
          <cell r="B1863" t="str">
            <v>LYQ-1010</v>
          </cell>
        </row>
        <row r="1864">
          <cell r="A1864" t="str">
            <v>LYQ-K1010-G0-XL</v>
          </cell>
          <cell r="B1864" t="str">
            <v>LYQ-1010</v>
          </cell>
        </row>
        <row r="1865">
          <cell r="A1865" t="str">
            <v>LYQ-K1010-G0-XS</v>
          </cell>
          <cell r="B1865" t="str">
            <v>LYQ-1010</v>
          </cell>
        </row>
        <row r="1866">
          <cell r="A1866" t="str">
            <v>LYQ-K1010-G7-2X</v>
          </cell>
          <cell r="B1866" t="str">
            <v>LYQ-1010</v>
          </cell>
        </row>
        <row r="1867">
          <cell r="A1867" t="str">
            <v>LYQ-K1010-G7-L</v>
          </cell>
          <cell r="B1867" t="str">
            <v>LYQ-1010</v>
          </cell>
        </row>
        <row r="1868">
          <cell r="A1868" t="str">
            <v>LYQ-K1010-G7-M</v>
          </cell>
          <cell r="B1868" t="str">
            <v>LYQ-1010</v>
          </cell>
        </row>
        <row r="1869">
          <cell r="A1869" t="str">
            <v>LYQ-K1010-G7-S</v>
          </cell>
          <cell r="B1869" t="str">
            <v>LYQ-1010</v>
          </cell>
        </row>
        <row r="1870">
          <cell r="A1870" t="str">
            <v>LYQ-K1010-G7-XL</v>
          </cell>
          <cell r="B1870" t="str">
            <v>LYQ-1010</v>
          </cell>
        </row>
        <row r="1871">
          <cell r="A1871" t="str">
            <v>LYQ-K1010-G7-XL-GM</v>
          </cell>
          <cell r="B1871" t="str">
            <v>LYQ-1010</v>
          </cell>
        </row>
        <row r="1872">
          <cell r="A1872" t="str">
            <v>LYQ-K1010-G7-XS</v>
          </cell>
          <cell r="B1872" t="str">
            <v>LYQ-1010</v>
          </cell>
        </row>
        <row r="1873">
          <cell r="A1873" t="str">
            <v>LYQ-K1010-K0-2X</v>
          </cell>
          <cell r="B1873" t="str">
            <v>LYQ-1010</v>
          </cell>
        </row>
        <row r="1874">
          <cell r="A1874" t="str">
            <v>LYQ-K1010-K0-M</v>
          </cell>
          <cell r="B1874" t="str">
            <v>LYQ-1010</v>
          </cell>
        </row>
        <row r="1875">
          <cell r="A1875" t="str">
            <v>LYQ-K1010-KQ-2X</v>
          </cell>
          <cell r="B1875" t="str">
            <v>LYQ-1010</v>
          </cell>
        </row>
        <row r="1876">
          <cell r="A1876" t="str">
            <v>LYQ-K1010-KQ-L</v>
          </cell>
          <cell r="B1876" t="str">
            <v>LYQ-1010</v>
          </cell>
        </row>
        <row r="1877">
          <cell r="A1877" t="str">
            <v>LYQ-K1010-KQ-L-GM</v>
          </cell>
          <cell r="B1877" t="str">
            <v>LYQ-1010</v>
          </cell>
        </row>
        <row r="1878">
          <cell r="A1878" t="str">
            <v>LYQ-K1010-KQ-M</v>
          </cell>
          <cell r="B1878" t="str">
            <v>LYQ-1010</v>
          </cell>
        </row>
        <row r="1879">
          <cell r="A1879" t="str">
            <v>LYQ-K1010-KQ-S</v>
          </cell>
          <cell r="B1879" t="str">
            <v>LYQ-1010</v>
          </cell>
        </row>
        <row r="1880">
          <cell r="A1880" t="str">
            <v>LYQ-K1010-KQ-S-GM</v>
          </cell>
          <cell r="B1880" t="str">
            <v>LYQ-1010</v>
          </cell>
        </row>
        <row r="1881">
          <cell r="A1881" t="str">
            <v>LYQ-K1010-KQ-S-MX</v>
          </cell>
          <cell r="B1881" t="str">
            <v>LYQ-1010</v>
          </cell>
        </row>
        <row r="1882">
          <cell r="A1882" t="str">
            <v>LYQ-K1010-KQ-XL</v>
          </cell>
          <cell r="B1882" t="str">
            <v>LYQ-1010</v>
          </cell>
        </row>
        <row r="1883">
          <cell r="A1883" t="str">
            <v>LYQ-K1010-KQ-XS</v>
          </cell>
          <cell r="B1883" t="str">
            <v>LYQ-1010</v>
          </cell>
        </row>
        <row r="1884">
          <cell r="A1884" t="str">
            <v>LYQ-K1010-N0-L</v>
          </cell>
          <cell r="B1884" t="str">
            <v>LYQ-1010</v>
          </cell>
        </row>
        <row r="1885">
          <cell r="A1885" t="str">
            <v>LYQ-K1010-N0-M</v>
          </cell>
          <cell r="B1885" t="str">
            <v>LYQ-1010</v>
          </cell>
        </row>
        <row r="1886">
          <cell r="A1886" t="str">
            <v>LYQ-K1010-R0-2X</v>
          </cell>
          <cell r="B1886" t="str">
            <v>LYQ-1010</v>
          </cell>
        </row>
        <row r="1887">
          <cell r="A1887" t="str">
            <v>LYQ-K1010-R0-L</v>
          </cell>
          <cell r="B1887" t="str">
            <v>LYQ-1010</v>
          </cell>
        </row>
        <row r="1888">
          <cell r="A1888" t="str">
            <v>LYQ-K1010-R0-M</v>
          </cell>
          <cell r="B1888" t="str">
            <v>LYQ-1010</v>
          </cell>
        </row>
        <row r="1889">
          <cell r="A1889" t="str">
            <v>LYQ-K1010-R0-M-GM</v>
          </cell>
          <cell r="B1889" t="str">
            <v>LYQ-1010</v>
          </cell>
        </row>
        <row r="1890">
          <cell r="A1890" t="str">
            <v>LYQ-K1010-R0-M-MX</v>
          </cell>
          <cell r="B1890" t="str">
            <v>LYQ-1010</v>
          </cell>
        </row>
        <row r="1891">
          <cell r="A1891" t="str">
            <v>LYQ-K1010-R0-S</v>
          </cell>
          <cell r="B1891" t="str">
            <v>LYQ-1010</v>
          </cell>
        </row>
        <row r="1892">
          <cell r="A1892" t="str">
            <v>LYQ-K1010-R0-S-GM</v>
          </cell>
          <cell r="B1892" t="str">
            <v>LYQ-1010</v>
          </cell>
        </row>
        <row r="1893">
          <cell r="A1893" t="str">
            <v>LYQ-K1010-R0-XL</v>
          </cell>
          <cell r="B1893" t="str">
            <v>LYQ-1010</v>
          </cell>
        </row>
        <row r="1894">
          <cell r="A1894" t="str">
            <v>LYQ-K1010-R0-XL-GM</v>
          </cell>
          <cell r="B1894" t="str">
            <v>LYQ-1010</v>
          </cell>
        </row>
        <row r="1895">
          <cell r="A1895" t="str">
            <v>LYQ-K1010-R0-XS</v>
          </cell>
          <cell r="B1895" t="str">
            <v>LYQ-1010</v>
          </cell>
        </row>
        <row r="1896">
          <cell r="A1896" t="str">
            <v>LYQ-K1010-R0-XS-GM</v>
          </cell>
          <cell r="B1896" t="str">
            <v>LYQ-1010</v>
          </cell>
        </row>
        <row r="1897">
          <cell r="A1897" t="str">
            <v>LYQ-K1010-W0-2X</v>
          </cell>
          <cell r="B1897" t="str">
            <v>LYQ-1010</v>
          </cell>
        </row>
        <row r="1898">
          <cell r="A1898" t="str">
            <v>LYQ-K1010-W0-L</v>
          </cell>
          <cell r="B1898" t="str">
            <v>LYQ-1010</v>
          </cell>
        </row>
        <row r="1899">
          <cell r="A1899" t="str">
            <v>LYQ-K1010-W0-M</v>
          </cell>
          <cell r="B1899" t="str">
            <v>LYQ-1010</v>
          </cell>
        </row>
        <row r="1900">
          <cell r="A1900" t="str">
            <v>LYQ-K1010-W0-XS</v>
          </cell>
          <cell r="B1900" t="str">
            <v>LYQ-1010</v>
          </cell>
        </row>
        <row r="1901">
          <cell r="A1901" t="str">
            <v>LYQ-K1010-Z0-2X</v>
          </cell>
          <cell r="B1901" t="str">
            <v>LYQ-1010</v>
          </cell>
        </row>
        <row r="1902">
          <cell r="A1902" t="str">
            <v>LYQ-K1010-Z0-L</v>
          </cell>
          <cell r="B1902" t="str">
            <v>LYQ-1010</v>
          </cell>
        </row>
        <row r="1903">
          <cell r="A1903" t="str">
            <v>LYQ-K1010-Z0-M</v>
          </cell>
          <cell r="B1903" t="str">
            <v>LYQ-1010</v>
          </cell>
        </row>
        <row r="1904">
          <cell r="A1904" t="str">
            <v>LYQ-K1010-Z0-S</v>
          </cell>
          <cell r="B1904" t="str">
            <v>LYQ-1010</v>
          </cell>
        </row>
        <row r="1905">
          <cell r="A1905" t="str">
            <v>LYQ-K1010-Z0-XL</v>
          </cell>
          <cell r="B1905" t="str">
            <v>LYQ-1010</v>
          </cell>
        </row>
        <row r="1906">
          <cell r="A1906" t="str">
            <v>LYQ-K1010-Z0-XS</v>
          </cell>
          <cell r="B1906" t="str">
            <v>LYQ-1010</v>
          </cell>
        </row>
        <row r="1907">
          <cell r="A1907" t="str">
            <v>LYQ-LB01</v>
          </cell>
          <cell r="B1907" t="str">
            <v>LYQ-LB01</v>
          </cell>
        </row>
        <row r="1908">
          <cell r="A1908" t="str">
            <v>LYQ-LB01-G0-L</v>
          </cell>
          <cell r="B1908" t="str">
            <v>LYQ-LB01</v>
          </cell>
        </row>
        <row r="1909">
          <cell r="A1909" t="str">
            <v>LYQ-LB01-G0-M</v>
          </cell>
          <cell r="B1909" t="str">
            <v>LYQ-LB01</v>
          </cell>
        </row>
        <row r="1910">
          <cell r="A1910" t="str">
            <v>LYQ-LB01-G0-S</v>
          </cell>
          <cell r="B1910" t="str">
            <v>LYQ-LB01</v>
          </cell>
        </row>
        <row r="1911">
          <cell r="A1911" t="str">
            <v>LYQ-LB01-G0-XL</v>
          </cell>
          <cell r="B1911" t="str">
            <v>LYQ-LB01</v>
          </cell>
        </row>
        <row r="1912">
          <cell r="A1912" t="str">
            <v>LYQ-LB01-K0-L</v>
          </cell>
          <cell r="B1912" t="str">
            <v>LYQ-LB01</v>
          </cell>
        </row>
        <row r="1913">
          <cell r="A1913" t="str">
            <v>LYQ-LB01-K0-L-GM</v>
          </cell>
          <cell r="B1913" t="str">
            <v>LYQ-LB01</v>
          </cell>
        </row>
        <row r="1914">
          <cell r="A1914" t="str">
            <v>LYQ-LB01-K0-M</v>
          </cell>
          <cell r="B1914" t="str">
            <v>LYQ-LB01</v>
          </cell>
        </row>
        <row r="1915">
          <cell r="A1915" t="str">
            <v>LYQ-LB01-K0-S</v>
          </cell>
          <cell r="B1915" t="str">
            <v>LYQ-LB01</v>
          </cell>
        </row>
        <row r="1916">
          <cell r="A1916" t="str">
            <v>LYQ-LB01-K0-XL</v>
          </cell>
          <cell r="B1916" t="str">
            <v>LYQ-LB01</v>
          </cell>
        </row>
        <row r="1917">
          <cell r="A1917" t="str">
            <v>LYQ-LB01-K0-XL-GM</v>
          </cell>
          <cell r="B1917" t="str">
            <v>LYQ-LB01</v>
          </cell>
        </row>
        <row r="1918">
          <cell r="A1918" t="str">
            <v>LYQ-LB01-R0-L</v>
          </cell>
          <cell r="B1918" t="str">
            <v>LYQ-LB01</v>
          </cell>
        </row>
        <row r="1919">
          <cell r="A1919" t="str">
            <v>LYQ-LB01-R0-M</v>
          </cell>
          <cell r="B1919" t="str">
            <v>LYQ-LB01</v>
          </cell>
        </row>
        <row r="1920">
          <cell r="A1920" t="str">
            <v>LYQ-LB01-R0-S</v>
          </cell>
          <cell r="B1920" t="str">
            <v>LYQ-LB01</v>
          </cell>
        </row>
        <row r="1921">
          <cell r="A1921" t="str">
            <v>LYQ-LB01-R0-XL</v>
          </cell>
          <cell r="B1921" t="str">
            <v>LYQ-LB01</v>
          </cell>
        </row>
        <row r="1922">
          <cell r="A1922" t="str">
            <v>LYQ-LB01-Wi-L</v>
          </cell>
          <cell r="B1922" t="str">
            <v>LYQ-LB01</v>
          </cell>
        </row>
        <row r="1923">
          <cell r="A1923" t="str">
            <v>LYQ-LB01-Wi-M</v>
          </cell>
          <cell r="B1923" t="str">
            <v>LYQ-LB01</v>
          </cell>
        </row>
        <row r="1924">
          <cell r="A1924" t="str">
            <v>LYQ-LB01-Wi-S</v>
          </cell>
          <cell r="B1924" t="str">
            <v>LYQ-LB01</v>
          </cell>
        </row>
        <row r="1925">
          <cell r="A1925" t="str">
            <v>LYQ-LB01-Wi-XL</v>
          </cell>
          <cell r="B1925" t="str">
            <v>LYQ-LB01</v>
          </cell>
        </row>
        <row r="1926">
          <cell r="A1926" t="str">
            <v>LYQ-LS06</v>
          </cell>
          <cell r="B1926" t="str">
            <v>LYQ-LS06</v>
          </cell>
        </row>
        <row r="1927">
          <cell r="A1927" t="str">
            <v>LYQ-LS06-E0-L</v>
          </cell>
          <cell r="B1927" t="str">
            <v>LYQ-LS06</v>
          </cell>
        </row>
        <row r="1928">
          <cell r="A1928" t="str">
            <v>LYQ-LS06-E0-M</v>
          </cell>
          <cell r="B1928" t="str">
            <v>LYQ-LS06</v>
          </cell>
        </row>
        <row r="1929">
          <cell r="A1929" t="str">
            <v>LYQ-LS06-E0-S</v>
          </cell>
          <cell r="B1929" t="str">
            <v>LYQ-LS06</v>
          </cell>
        </row>
        <row r="1930">
          <cell r="A1930" t="str">
            <v>LYQ-LS06-E0-XL</v>
          </cell>
          <cell r="B1930" t="str">
            <v>LYQ-LS06</v>
          </cell>
        </row>
        <row r="1931">
          <cell r="A1931" t="str">
            <v>LYQ-LS06-K0-L</v>
          </cell>
          <cell r="B1931" t="str">
            <v>LYQ-LS06</v>
          </cell>
        </row>
        <row r="1932">
          <cell r="A1932" t="str">
            <v>LYQ-LS06-K0-M</v>
          </cell>
          <cell r="B1932" t="str">
            <v>LYQ-LS06</v>
          </cell>
        </row>
        <row r="1933">
          <cell r="A1933" t="str">
            <v>LYQ-LS06-K0-S</v>
          </cell>
          <cell r="B1933" t="str">
            <v>LYQ-LS06</v>
          </cell>
        </row>
        <row r="1934">
          <cell r="A1934" t="str">
            <v>LYQ-LS06-K0-XL</v>
          </cell>
          <cell r="B1934" t="str">
            <v>LYQ-LS06</v>
          </cell>
        </row>
        <row r="1935">
          <cell r="A1935" t="str">
            <v>LYQ-LS06-N5-L</v>
          </cell>
          <cell r="B1935" t="str">
            <v>LYQ-LS06</v>
          </cell>
        </row>
        <row r="1936">
          <cell r="A1936" t="str">
            <v>LYQ-LS06-N5-M</v>
          </cell>
          <cell r="B1936" t="str">
            <v>LYQ-LS06</v>
          </cell>
        </row>
        <row r="1937">
          <cell r="A1937" t="str">
            <v>LYQ-LS06-N5-S</v>
          </cell>
          <cell r="B1937" t="str">
            <v>LYQ-LS06</v>
          </cell>
        </row>
        <row r="1938">
          <cell r="A1938" t="str">
            <v>LYQ-LS06-N5-XL</v>
          </cell>
          <cell r="B1938" t="str">
            <v>LYQ-LS06</v>
          </cell>
        </row>
        <row r="1939">
          <cell r="A1939" t="str">
            <v>LYQ-LY014-K0-XL</v>
          </cell>
          <cell r="B1939" t="str">
            <v>LYQ-LY014</v>
          </cell>
        </row>
        <row r="1940">
          <cell r="A1940" t="str">
            <v>LYQ-LY064-B0-3XL</v>
          </cell>
          <cell r="B1940" t="str">
            <v>LYQ-LY064</v>
          </cell>
        </row>
        <row r="1941">
          <cell r="A1941" t="str">
            <v>LYQ-LY064-B0-4XL</v>
          </cell>
          <cell r="B1941" t="str">
            <v>LYQ-LY064</v>
          </cell>
        </row>
        <row r="1942">
          <cell r="A1942" t="str">
            <v>LYQ-LY064-B0-5XL</v>
          </cell>
          <cell r="B1942" t="str">
            <v>LYQ-LY064</v>
          </cell>
        </row>
        <row r="1943">
          <cell r="A1943" t="str">
            <v>LYQ-LY064-B0-L</v>
          </cell>
          <cell r="B1943" t="str">
            <v>LYQ-LY064</v>
          </cell>
        </row>
        <row r="1944">
          <cell r="A1944" t="str">
            <v>LYQ-LY064-B0-M</v>
          </cell>
          <cell r="B1944" t="str">
            <v>LYQ-LY064</v>
          </cell>
        </row>
        <row r="1945">
          <cell r="A1945" t="str">
            <v>LYQ-LY064-G0-3XL</v>
          </cell>
          <cell r="B1945" t="str">
            <v>LYQ-LY064</v>
          </cell>
        </row>
        <row r="1946">
          <cell r="A1946" t="str">
            <v>LYQ-LY064-G0-L</v>
          </cell>
          <cell r="B1946" t="str">
            <v>LYQ-LY064</v>
          </cell>
        </row>
        <row r="1947">
          <cell r="A1947" t="str">
            <v>LYQ-LY064-G0-M</v>
          </cell>
          <cell r="B1947" t="str">
            <v>LYQ-LY064</v>
          </cell>
        </row>
        <row r="1948">
          <cell r="A1948" t="str">
            <v>LYQ-LY064-K0-2XL</v>
          </cell>
          <cell r="B1948" t="str">
            <v>LYQ-LY064</v>
          </cell>
        </row>
        <row r="1949">
          <cell r="A1949" t="str">
            <v>LYQ-LY064-K0-3XL</v>
          </cell>
          <cell r="B1949" t="str">
            <v>LYQ-LY064</v>
          </cell>
        </row>
        <row r="1950">
          <cell r="A1950" t="str">
            <v>LYQ-LY064-K0-4XL</v>
          </cell>
          <cell r="B1950" t="str">
            <v>LYQ-LY064</v>
          </cell>
        </row>
        <row r="1951">
          <cell r="A1951" t="str">
            <v>LYQ-LY064-K0-L</v>
          </cell>
          <cell r="B1951" t="str">
            <v>LYQ-LY064</v>
          </cell>
        </row>
        <row r="1952">
          <cell r="A1952" t="str">
            <v>LYQ-LY064-K0-M</v>
          </cell>
          <cell r="B1952" t="str">
            <v>LYQ-LY064</v>
          </cell>
        </row>
        <row r="1953">
          <cell r="A1953" t="str">
            <v>LYQ-LY064-K0-S</v>
          </cell>
          <cell r="B1953" t="str">
            <v>LYQ-LY064</v>
          </cell>
        </row>
        <row r="1954">
          <cell r="A1954" t="str">
            <v>LYQ-LY064-OR-4XL</v>
          </cell>
          <cell r="B1954" t="str">
            <v>LYQ-LY064</v>
          </cell>
        </row>
        <row r="1955">
          <cell r="A1955" t="str">
            <v>LYQ-LY064-OR-5XL</v>
          </cell>
          <cell r="B1955" t="str">
            <v>LYQ-LY064</v>
          </cell>
        </row>
        <row r="1956">
          <cell r="A1956" t="str">
            <v>LYQ-LY064-OR-M</v>
          </cell>
          <cell r="B1956" t="str">
            <v>LYQ-LY064</v>
          </cell>
        </row>
        <row r="1957">
          <cell r="A1957" t="str">
            <v>LYQ-LY064-OR-S</v>
          </cell>
          <cell r="B1957" t="str">
            <v>LYQ-LY064</v>
          </cell>
        </row>
        <row r="1958">
          <cell r="A1958" t="str">
            <v>LYQ-MY4600-N0-L</v>
          </cell>
          <cell r="B1958" t="str">
            <v>LYQ-MY4600</v>
          </cell>
        </row>
        <row r="1959">
          <cell r="A1959" t="str">
            <v>LYQ-MY6287</v>
          </cell>
          <cell r="B1959" t="str">
            <v>LYQ-MY6287</v>
          </cell>
        </row>
        <row r="1960">
          <cell r="A1960" t="str">
            <v>LYQ-MY6287-00-L</v>
          </cell>
          <cell r="B1960" t="str">
            <v>LYQ-MY6287</v>
          </cell>
        </row>
        <row r="1961">
          <cell r="A1961" t="str">
            <v>LYQ-MY6287-00-M</v>
          </cell>
          <cell r="B1961" t="str">
            <v>LYQ-MY6287</v>
          </cell>
        </row>
        <row r="1962">
          <cell r="A1962" t="str">
            <v>LYQ-MY6287-00-S</v>
          </cell>
          <cell r="B1962" t="str">
            <v>LYQ-MY6287</v>
          </cell>
        </row>
        <row r="1963">
          <cell r="A1963" t="str">
            <v>LYQ-MY6287-00-XL</v>
          </cell>
          <cell r="B1963" t="str">
            <v>LYQ-MY6287</v>
          </cell>
        </row>
        <row r="1964">
          <cell r="A1964" t="str">
            <v>LYQ-MY6287-B0-L</v>
          </cell>
          <cell r="B1964" t="str">
            <v>LYQ-MY6287</v>
          </cell>
        </row>
        <row r="1965">
          <cell r="A1965" t="str">
            <v>LYQ-MY6287-B0-M</v>
          </cell>
          <cell r="B1965" t="str">
            <v>LYQ-MY6287</v>
          </cell>
        </row>
        <row r="1966">
          <cell r="A1966" t="str">
            <v>LYQ-MY6287-B0-S</v>
          </cell>
          <cell r="B1966" t="str">
            <v>LYQ-MY6287</v>
          </cell>
        </row>
        <row r="1967">
          <cell r="A1967" t="str">
            <v>LYQ-MY6287-B0-XL</v>
          </cell>
          <cell r="B1967" t="str">
            <v>LYQ-MY6287</v>
          </cell>
        </row>
        <row r="1968">
          <cell r="A1968" t="str">
            <v>LYQ-MY6287-BD-L</v>
          </cell>
          <cell r="B1968" t="str">
            <v>LYQ-MY6287</v>
          </cell>
        </row>
        <row r="1969">
          <cell r="A1969" t="str">
            <v>LYQ-MY6287-BD-M</v>
          </cell>
          <cell r="B1969" t="str">
            <v>LYQ-MY6287</v>
          </cell>
        </row>
        <row r="1970">
          <cell r="A1970" t="str">
            <v>LYQ-MY6287-BD-S</v>
          </cell>
          <cell r="B1970" t="str">
            <v>LYQ-MY6287</v>
          </cell>
        </row>
        <row r="1971">
          <cell r="A1971" t="str">
            <v>LYQ-MY6287-BD-XL</v>
          </cell>
          <cell r="B1971" t="str">
            <v>LYQ-MY6287</v>
          </cell>
        </row>
        <row r="1972">
          <cell r="A1972" t="str">
            <v>LYQ-MY6287-E0-L</v>
          </cell>
          <cell r="B1972" t="str">
            <v>LYQ-MY6287</v>
          </cell>
        </row>
        <row r="1973">
          <cell r="A1973" t="str">
            <v>LYQ-MY6287-E0-M</v>
          </cell>
          <cell r="B1973" t="str">
            <v>LYQ-MY6287</v>
          </cell>
        </row>
        <row r="1974">
          <cell r="A1974" t="str">
            <v>LYQ-MY6287-E0-S</v>
          </cell>
          <cell r="B1974" t="str">
            <v>LYQ-MY6287</v>
          </cell>
        </row>
        <row r="1975">
          <cell r="A1975" t="str">
            <v>LYQ-MY6287-E0-XL</v>
          </cell>
          <cell r="B1975" t="str">
            <v>LYQ-MY6287</v>
          </cell>
        </row>
        <row r="1976">
          <cell r="A1976" t="str">
            <v>LYQ-MY6287-FB-L</v>
          </cell>
          <cell r="B1976" t="str">
            <v>LYQ-MY6287</v>
          </cell>
        </row>
        <row r="1977">
          <cell r="A1977" t="str">
            <v>LYQ-MY6287-FB-M</v>
          </cell>
          <cell r="B1977" t="str">
            <v>LYQ-MY6287</v>
          </cell>
        </row>
        <row r="1978">
          <cell r="A1978" t="str">
            <v>LYQ-MY6287-FB-S</v>
          </cell>
          <cell r="B1978" t="str">
            <v>LYQ-MY6287</v>
          </cell>
        </row>
        <row r="1979">
          <cell r="A1979" t="str">
            <v>LYQ-MY6287-FB-XL</v>
          </cell>
          <cell r="B1979" t="str">
            <v>LYQ-MY6287</v>
          </cell>
        </row>
        <row r="1980">
          <cell r="A1980" t="str">
            <v>LYQ-MY6287-G0-L</v>
          </cell>
          <cell r="B1980" t="str">
            <v>LYQ-MY6287</v>
          </cell>
        </row>
        <row r="1981">
          <cell r="A1981" t="str">
            <v>LYQ-MY6287-G0-M</v>
          </cell>
          <cell r="B1981" t="str">
            <v>LYQ-MY6287</v>
          </cell>
        </row>
        <row r="1982">
          <cell r="A1982" t="str">
            <v>LYQ-MY6287-G0-S</v>
          </cell>
          <cell r="B1982" t="str">
            <v>LYQ-MY6287</v>
          </cell>
        </row>
        <row r="1983">
          <cell r="A1983" t="str">
            <v>LYQ-MY6287-G0-XL</v>
          </cell>
          <cell r="B1983" t="str">
            <v>LYQ-MY6287</v>
          </cell>
        </row>
        <row r="1984">
          <cell r="A1984" t="str">
            <v>LYQ-MY6287-G7-L</v>
          </cell>
          <cell r="B1984" t="str">
            <v>LYQ-MY6287</v>
          </cell>
        </row>
        <row r="1985">
          <cell r="A1985" t="str">
            <v>LYQ-MY6287-G7-M</v>
          </cell>
          <cell r="B1985" t="str">
            <v>LYQ-MY6287</v>
          </cell>
        </row>
        <row r="1986">
          <cell r="A1986" t="str">
            <v>LYQ-MY6287-G7-S</v>
          </cell>
          <cell r="B1986" t="str">
            <v>LYQ-MY6287</v>
          </cell>
        </row>
        <row r="1987">
          <cell r="A1987" t="str">
            <v>LYQ-MY6287-G7-XL</v>
          </cell>
          <cell r="B1987" t="str">
            <v>LYQ-MY6287</v>
          </cell>
        </row>
        <row r="1988">
          <cell r="A1988" t="str">
            <v>LYQ-MY6287-K0-L</v>
          </cell>
          <cell r="B1988" t="str">
            <v>LYQ-MY6287</v>
          </cell>
        </row>
        <row r="1989">
          <cell r="A1989" t="str">
            <v>LYQ-MY6287-K0-M</v>
          </cell>
          <cell r="B1989" t="str">
            <v>LYQ-MY6287</v>
          </cell>
        </row>
        <row r="1990">
          <cell r="A1990" t="str">
            <v>LYQ-MY6287-K0-S</v>
          </cell>
          <cell r="B1990" t="str">
            <v>LYQ-MY6287</v>
          </cell>
        </row>
        <row r="1991">
          <cell r="A1991" t="str">
            <v>LYQ-MY6287-K0-XL</v>
          </cell>
          <cell r="B1991" t="str">
            <v>LYQ-MY6287</v>
          </cell>
        </row>
        <row r="1992">
          <cell r="A1992" t="str">
            <v>LYQ-MY6287-N5-L</v>
          </cell>
          <cell r="B1992" t="str">
            <v>LYQ-MY6287</v>
          </cell>
        </row>
        <row r="1993">
          <cell r="A1993" t="str">
            <v>LYQ-MY6287-N5-M</v>
          </cell>
          <cell r="B1993" t="str">
            <v>LYQ-MY6287</v>
          </cell>
        </row>
        <row r="1994">
          <cell r="A1994" t="str">
            <v>LYQ-MY6287-N5-S</v>
          </cell>
          <cell r="B1994" t="str">
            <v>LYQ-MY6287</v>
          </cell>
        </row>
        <row r="1995">
          <cell r="A1995" t="str">
            <v>LYQ-MY6287-P0-L</v>
          </cell>
          <cell r="B1995" t="str">
            <v>LYQ-MY6287</v>
          </cell>
        </row>
        <row r="1996">
          <cell r="A1996" t="str">
            <v>LYQ-MY6287-P0-M</v>
          </cell>
          <cell r="B1996" t="str">
            <v>LYQ-MY6287</v>
          </cell>
        </row>
        <row r="1997">
          <cell r="A1997" t="str">
            <v>LYQ-MY6287-P0-S</v>
          </cell>
          <cell r="B1997" t="str">
            <v>LYQ-MY6287</v>
          </cell>
        </row>
        <row r="1998">
          <cell r="A1998" t="str">
            <v>LYQ-MY6287-P0-XL</v>
          </cell>
          <cell r="B1998" t="str">
            <v>LYQ-MY6287</v>
          </cell>
        </row>
        <row r="1999">
          <cell r="A1999" t="str">
            <v>LYQ-MY6287-R0-L</v>
          </cell>
          <cell r="B1999" t="str">
            <v>LYQ-MY6287</v>
          </cell>
        </row>
        <row r="2000">
          <cell r="A2000" t="str">
            <v>LYQ-MY6287-R0-M</v>
          </cell>
          <cell r="B2000" t="str">
            <v>LYQ-MY6287</v>
          </cell>
        </row>
        <row r="2001">
          <cell r="A2001" t="str">
            <v>LYQ-MY6287-R0-S</v>
          </cell>
          <cell r="B2001" t="str">
            <v>LYQ-MY6287</v>
          </cell>
        </row>
        <row r="2002">
          <cell r="A2002" t="str">
            <v>LYQ-MY6287-R0-XL</v>
          </cell>
          <cell r="B2002" t="str">
            <v>LYQ-MY6287</v>
          </cell>
        </row>
        <row r="2003">
          <cell r="A2003" t="str">
            <v>LYQ-MY6287-R2-L</v>
          </cell>
          <cell r="B2003" t="str">
            <v>LYQ-MY6287</v>
          </cell>
        </row>
        <row r="2004">
          <cell r="A2004" t="str">
            <v>LYQ-MY6287-R2-M</v>
          </cell>
          <cell r="B2004" t="str">
            <v>LYQ-MY6287</v>
          </cell>
        </row>
        <row r="2005">
          <cell r="A2005" t="str">
            <v>LYQ-MY6287-R2-S</v>
          </cell>
          <cell r="B2005" t="str">
            <v>LYQ-MY6287</v>
          </cell>
        </row>
        <row r="2006">
          <cell r="A2006" t="str">
            <v>LYQ-MY6287-R2-XL</v>
          </cell>
          <cell r="B2006" t="str">
            <v>LYQ-MY6287</v>
          </cell>
        </row>
        <row r="2007">
          <cell r="A2007" t="str">
            <v>LYQ-MY6287-R6-L</v>
          </cell>
          <cell r="B2007" t="str">
            <v>LYQ-MY6287</v>
          </cell>
        </row>
        <row r="2008">
          <cell r="A2008" t="str">
            <v>LYQ-MY6287-R6-M</v>
          </cell>
          <cell r="B2008" t="str">
            <v>LYQ-MY6287</v>
          </cell>
        </row>
        <row r="2009">
          <cell r="A2009" t="str">
            <v>LYQ-MY6287-W0-L</v>
          </cell>
          <cell r="B2009" t="str">
            <v>LYQ-MY6287</v>
          </cell>
        </row>
        <row r="2010">
          <cell r="A2010" t="str">
            <v>LYQ-MY6287-W0-M</v>
          </cell>
          <cell r="B2010" t="str">
            <v>LYQ-MY6287</v>
          </cell>
        </row>
        <row r="2011">
          <cell r="A2011" t="str">
            <v>LYQ-MY6287-W0-S</v>
          </cell>
          <cell r="B2011" t="str">
            <v>LYQ-MY6287</v>
          </cell>
        </row>
        <row r="2012">
          <cell r="A2012" t="str">
            <v>LYQ-MY6287-W0-XL</v>
          </cell>
          <cell r="B2012" t="str">
            <v>LYQ-MY6287</v>
          </cell>
        </row>
        <row r="2013">
          <cell r="A2013" t="str">
            <v>LYQ-MY6287-XS-L</v>
          </cell>
          <cell r="B2013" t="str">
            <v>LYQ-MY6287</v>
          </cell>
        </row>
        <row r="2014">
          <cell r="A2014" t="str">
            <v>LYQ-MY6287-XS-M</v>
          </cell>
          <cell r="B2014" t="str">
            <v>LYQ-MY6287</v>
          </cell>
        </row>
        <row r="2015">
          <cell r="A2015" t="str">
            <v>LYQ-MY6287-XS-S</v>
          </cell>
          <cell r="B2015" t="str">
            <v>LYQ-MY6287</v>
          </cell>
        </row>
        <row r="2016">
          <cell r="A2016" t="str">
            <v>LYQ-MY6287-Y0-L</v>
          </cell>
          <cell r="B2016" t="str">
            <v>LYQ-MY6287</v>
          </cell>
        </row>
        <row r="2017">
          <cell r="A2017" t="str">
            <v>LYQ--MY-MX02-K0-L</v>
          </cell>
          <cell r="B2017" t="str">
            <v>LYQ--MY-MX02</v>
          </cell>
        </row>
        <row r="2018">
          <cell r="A2018" t="str">
            <v>LYQ--MY-MX02-K0-M</v>
          </cell>
          <cell r="B2018" t="str">
            <v>LYQ--MY-MX02</v>
          </cell>
        </row>
        <row r="2019">
          <cell r="A2019" t="str">
            <v>LYQ--MY-MX02-K0-S</v>
          </cell>
          <cell r="B2019" t="str">
            <v>LYQ--MY-MX02</v>
          </cell>
        </row>
        <row r="2020">
          <cell r="A2020" t="str">
            <v>LYQ--MY-MX02-K0-XL</v>
          </cell>
          <cell r="B2020" t="str">
            <v>LYQ--MY-MX02</v>
          </cell>
        </row>
        <row r="2021">
          <cell r="A2021" t="str">
            <v>LYQ--MY-MX02-N0-L</v>
          </cell>
          <cell r="B2021" t="str">
            <v>LYQ--MY-MX02</v>
          </cell>
        </row>
        <row r="2022">
          <cell r="A2022" t="str">
            <v>LYQ--MY-MX02-N0-M</v>
          </cell>
          <cell r="B2022" t="str">
            <v>LYQ--MY-MX02</v>
          </cell>
        </row>
        <row r="2023">
          <cell r="A2023" t="str">
            <v>LYQ--MY-MX02-N0-S</v>
          </cell>
          <cell r="B2023" t="str">
            <v>LYQ--MY-MX02</v>
          </cell>
        </row>
        <row r="2024">
          <cell r="A2024" t="str">
            <v>LYQ--MY-MX02-N0-XL</v>
          </cell>
          <cell r="B2024" t="str">
            <v>LYQ--MY-MX02</v>
          </cell>
        </row>
        <row r="2025">
          <cell r="A2025" t="str">
            <v>LYQ--MY-MX02-P0-L</v>
          </cell>
          <cell r="B2025" t="str">
            <v>LYQ--MY-MX02</v>
          </cell>
        </row>
        <row r="2026">
          <cell r="A2026" t="str">
            <v>LYQ--MY-MX02-P0-M</v>
          </cell>
          <cell r="B2026" t="str">
            <v>LYQ--MY-MX02</v>
          </cell>
        </row>
        <row r="2027">
          <cell r="A2027" t="str">
            <v>LYQ--MY-MX02-P0-S</v>
          </cell>
          <cell r="B2027" t="str">
            <v>LYQ--MY-MX02</v>
          </cell>
        </row>
        <row r="2028">
          <cell r="A2028" t="str">
            <v>LYQ--MY-MX02-P0-XL</v>
          </cell>
          <cell r="B2028" t="str">
            <v>LYQ--MY-MX02</v>
          </cell>
        </row>
        <row r="2029">
          <cell r="A2029" t="str">
            <v>LYQ--MY-MX02-R0-L</v>
          </cell>
          <cell r="B2029" t="str">
            <v>LYQ--MY-MX02</v>
          </cell>
        </row>
        <row r="2030">
          <cell r="A2030" t="str">
            <v>LYQ--MY-MX02-R0-M</v>
          </cell>
          <cell r="B2030" t="str">
            <v>LYQ--MY-MX02</v>
          </cell>
        </row>
        <row r="2031">
          <cell r="A2031" t="str">
            <v>LYQ--MY-MX02-R0-S</v>
          </cell>
          <cell r="B2031" t="str">
            <v>LYQ--MY-MX02</v>
          </cell>
        </row>
        <row r="2032">
          <cell r="A2032" t="str">
            <v>LYQ--MY-MX02-R0-XL</v>
          </cell>
          <cell r="B2032" t="str">
            <v>LYQ--MY-MX02</v>
          </cell>
        </row>
        <row r="2033">
          <cell r="A2033" t="str">
            <v>LYQ-NA1010-B0-2X</v>
          </cell>
          <cell r="B2033" t="str">
            <v>LYQ-NA1010</v>
          </cell>
        </row>
        <row r="2034">
          <cell r="A2034" t="str">
            <v>LYQ-NA1010-B0-L</v>
          </cell>
          <cell r="B2034" t="str">
            <v>LYQ-NA1010</v>
          </cell>
        </row>
        <row r="2035">
          <cell r="A2035" t="str">
            <v>LYQ-NA1010-B0-M</v>
          </cell>
          <cell r="B2035" t="str">
            <v>LYQ-NA1010</v>
          </cell>
        </row>
        <row r="2036">
          <cell r="A2036" t="str">
            <v>LYQ-NA1010-B0-S</v>
          </cell>
          <cell r="B2036" t="str">
            <v>LYQ-NA1010</v>
          </cell>
        </row>
        <row r="2037">
          <cell r="A2037" t="str">
            <v>LYQ-NA1010-B0-XL</v>
          </cell>
          <cell r="B2037" t="str">
            <v>LYQ-NA1010</v>
          </cell>
        </row>
        <row r="2038">
          <cell r="A2038" t="str">
            <v>LYQ-NA1010-B0-XS</v>
          </cell>
          <cell r="B2038" t="str">
            <v>LYQ-NA1010</v>
          </cell>
        </row>
        <row r="2039">
          <cell r="A2039" t="str">
            <v>LYQ-NA1010-G0-2X</v>
          </cell>
          <cell r="B2039" t="str">
            <v>LYQ-NA1010</v>
          </cell>
        </row>
        <row r="2040">
          <cell r="A2040" t="str">
            <v>LYQ-NA1010-G0-L</v>
          </cell>
          <cell r="B2040" t="str">
            <v>LYQ-NA1010</v>
          </cell>
        </row>
        <row r="2041">
          <cell r="A2041" t="str">
            <v>LYQ-NA1010-G0-M</v>
          </cell>
          <cell r="B2041" t="str">
            <v>LYQ-NA1010</v>
          </cell>
        </row>
        <row r="2042">
          <cell r="A2042" t="str">
            <v>LYQ-NA1010-G0-S</v>
          </cell>
          <cell r="B2042" t="str">
            <v>LYQ-NA1010</v>
          </cell>
        </row>
        <row r="2043">
          <cell r="A2043" t="str">
            <v>LYQ-NA1010-G0-XL</v>
          </cell>
          <cell r="B2043" t="str">
            <v>LYQ-NA1010</v>
          </cell>
        </row>
        <row r="2044">
          <cell r="A2044" t="str">
            <v>LYQ-NA1010-G0-XS</v>
          </cell>
          <cell r="B2044" t="str">
            <v>LYQ-NA1010</v>
          </cell>
        </row>
        <row r="2045">
          <cell r="A2045" t="str">
            <v>LYQ-NA1010-G7-2X</v>
          </cell>
          <cell r="B2045" t="str">
            <v>LYQ-NA1010</v>
          </cell>
        </row>
        <row r="2046">
          <cell r="A2046" t="str">
            <v>LYQ-NA1010-G7-L</v>
          </cell>
          <cell r="B2046" t="str">
            <v>LYQ-NA1010</v>
          </cell>
        </row>
        <row r="2047">
          <cell r="A2047" t="str">
            <v>LYQ-NA1010-G7-M</v>
          </cell>
          <cell r="B2047" t="str">
            <v>LYQ-NA1010</v>
          </cell>
        </row>
        <row r="2048">
          <cell r="A2048" t="str">
            <v>LYQ-NA1010-G7-S</v>
          </cell>
          <cell r="B2048" t="str">
            <v>LYQ-NA1010</v>
          </cell>
        </row>
        <row r="2049">
          <cell r="A2049" t="str">
            <v>LYQ-NA1010-G7-XL</v>
          </cell>
          <cell r="B2049" t="str">
            <v>LYQ-NA1010</v>
          </cell>
        </row>
        <row r="2050">
          <cell r="A2050" t="str">
            <v>LYQ-NA1010-G7-XS</v>
          </cell>
          <cell r="B2050" t="str">
            <v>LYQ-NA1010</v>
          </cell>
        </row>
        <row r="2051">
          <cell r="A2051" t="str">
            <v>LYQ-NA1010-K0-2X</v>
          </cell>
          <cell r="B2051" t="str">
            <v>LYQ-NA1010</v>
          </cell>
        </row>
        <row r="2052">
          <cell r="A2052" t="str">
            <v>LYQ-NA1010-K0-L</v>
          </cell>
          <cell r="B2052" t="str">
            <v>LYQ-NA1010</v>
          </cell>
        </row>
        <row r="2053">
          <cell r="A2053" t="str">
            <v>LYQ-NA1010-K0-M</v>
          </cell>
          <cell r="B2053" t="str">
            <v>LYQ-NA1010</v>
          </cell>
        </row>
        <row r="2054">
          <cell r="A2054" t="str">
            <v>LYQ-NA1010-K0-S</v>
          </cell>
          <cell r="B2054" t="str">
            <v>LYQ-NA1010</v>
          </cell>
        </row>
        <row r="2055">
          <cell r="A2055" t="str">
            <v>LYQ-NA1010-K0-XL</v>
          </cell>
          <cell r="B2055" t="str">
            <v>LYQ-NA1010</v>
          </cell>
        </row>
        <row r="2056">
          <cell r="A2056" t="str">
            <v>LYQ-NA1010-K0-XS</v>
          </cell>
          <cell r="B2056" t="str">
            <v>LYQ-NA1010</v>
          </cell>
        </row>
        <row r="2057">
          <cell r="A2057" t="str">
            <v>LYQ-NA1010-KQ-2X</v>
          </cell>
          <cell r="B2057" t="str">
            <v>LYQ-NA1010</v>
          </cell>
        </row>
        <row r="2058">
          <cell r="A2058" t="str">
            <v>LYQ-NA1010-KQ-L</v>
          </cell>
          <cell r="B2058" t="str">
            <v>LYQ-NA1010</v>
          </cell>
        </row>
        <row r="2059">
          <cell r="A2059" t="str">
            <v>LYQ-NA1010-KQ-M</v>
          </cell>
          <cell r="B2059" t="str">
            <v>LYQ-NA1010</v>
          </cell>
        </row>
        <row r="2060">
          <cell r="A2060" t="str">
            <v>LYQ-NA1010-KQ-S</v>
          </cell>
          <cell r="B2060" t="str">
            <v>LYQ-NA1010</v>
          </cell>
        </row>
        <row r="2061">
          <cell r="A2061" t="str">
            <v>LYQ-NA1010-KQ-XL</v>
          </cell>
          <cell r="B2061" t="str">
            <v>LYQ-NA1010</v>
          </cell>
        </row>
        <row r="2062">
          <cell r="A2062" t="str">
            <v>LYQ-NA1010-KQ-XS</v>
          </cell>
          <cell r="B2062" t="str">
            <v>LYQ-NA1010</v>
          </cell>
        </row>
        <row r="2063">
          <cell r="A2063" t="str">
            <v>LYQ-NA1010-N0-2X</v>
          </cell>
          <cell r="B2063" t="str">
            <v>LYQ-NA1010</v>
          </cell>
        </row>
        <row r="2064">
          <cell r="A2064" t="str">
            <v>LYQ-NA1010-N0-L</v>
          </cell>
          <cell r="B2064" t="str">
            <v>LYQ-NA1010</v>
          </cell>
        </row>
        <row r="2065">
          <cell r="A2065" t="str">
            <v>LYQ-NA1010-N0-M</v>
          </cell>
          <cell r="B2065" t="str">
            <v>LYQ-NA1010</v>
          </cell>
        </row>
        <row r="2066">
          <cell r="A2066" t="str">
            <v>LYQ-NA1010-N0-S</v>
          </cell>
          <cell r="B2066" t="str">
            <v>LYQ-NA1010</v>
          </cell>
        </row>
        <row r="2067">
          <cell r="A2067" t="str">
            <v>LYQ-NA1010-N0-XL</v>
          </cell>
          <cell r="B2067" t="str">
            <v>LYQ-NA1010</v>
          </cell>
        </row>
        <row r="2068">
          <cell r="A2068" t="str">
            <v>LYQ-NA1010-N0-XS</v>
          </cell>
          <cell r="B2068" t="str">
            <v>LYQ-NA1010</v>
          </cell>
        </row>
        <row r="2069">
          <cell r="A2069" t="str">
            <v>LYQ-NA1010-P0-2X</v>
          </cell>
          <cell r="B2069" t="str">
            <v>LYQ-NA1010</v>
          </cell>
        </row>
        <row r="2070">
          <cell r="A2070" t="str">
            <v>LYQ-NA1010-P0-L</v>
          </cell>
          <cell r="B2070" t="str">
            <v>LYQ-NA1010</v>
          </cell>
        </row>
        <row r="2071">
          <cell r="A2071" t="str">
            <v>LYQ-NA1010-P0-M</v>
          </cell>
          <cell r="B2071" t="str">
            <v>LYQ-NA1010</v>
          </cell>
        </row>
        <row r="2072">
          <cell r="A2072" t="str">
            <v>LYQ-NA1010-P0-S</v>
          </cell>
          <cell r="B2072" t="str">
            <v>LYQ-NA1010</v>
          </cell>
        </row>
        <row r="2073">
          <cell r="A2073" t="str">
            <v>LYQ-NA1010-P0-XL</v>
          </cell>
          <cell r="B2073" t="str">
            <v>LYQ-NA1010</v>
          </cell>
        </row>
        <row r="2074">
          <cell r="A2074" t="str">
            <v>LYQ-NA1010-P0-XS</v>
          </cell>
          <cell r="B2074" t="str">
            <v>LYQ-NA1010</v>
          </cell>
        </row>
        <row r="2075">
          <cell r="A2075" t="str">
            <v>LYQ-NA1010-R0-2X</v>
          </cell>
          <cell r="B2075" t="str">
            <v>LYQ-NA1010</v>
          </cell>
        </row>
        <row r="2076">
          <cell r="A2076" t="str">
            <v>LYQ-NA1010-R0-L</v>
          </cell>
          <cell r="B2076" t="str">
            <v>LYQ-NA1010</v>
          </cell>
        </row>
        <row r="2077">
          <cell r="A2077" t="str">
            <v>LYQ-NA1010-R0-M</v>
          </cell>
          <cell r="B2077" t="str">
            <v>LYQ-NA1010</v>
          </cell>
        </row>
        <row r="2078">
          <cell r="A2078" t="str">
            <v>LYQ-NA1010-R0-S</v>
          </cell>
          <cell r="B2078" t="str">
            <v>LYQ-NA1010</v>
          </cell>
        </row>
        <row r="2079">
          <cell r="A2079" t="str">
            <v>LYQ-NA1010-R0-XL</v>
          </cell>
          <cell r="B2079" t="str">
            <v>LYQ-NA1010</v>
          </cell>
        </row>
        <row r="2080">
          <cell r="A2080" t="str">
            <v>LYQ-NA1010-R0-XS</v>
          </cell>
          <cell r="B2080" t="str">
            <v>LYQ-NA1010</v>
          </cell>
        </row>
        <row r="2081">
          <cell r="A2081" t="str">
            <v>LYQ-NA1010-W0-2X</v>
          </cell>
          <cell r="B2081" t="str">
            <v>LYQ-NA1010</v>
          </cell>
        </row>
        <row r="2082">
          <cell r="A2082" t="str">
            <v>LYQ-NA1010-W0-L</v>
          </cell>
          <cell r="B2082" t="str">
            <v>LYQ-NA1010</v>
          </cell>
        </row>
        <row r="2083">
          <cell r="A2083" t="str">
            <v>LYQ-NA1010-W0-M</v>
          </cell>
          <cell r="B2083" t="str">
            <v>LYQ-NA1010</v>
          </cell>
        </row>
        <row r="2084">
          <cell r="A2084" t="str">
            <v>LYQ-NA1010-W0-S</v>
          </cell>
          <cell r="B2084" t="str">
            <v>LYQ-NA1010</v>
          </cell>
        </row>
        <row r="2085">
          <cell r="A2085" t="str">
            <v>LYQ-NA1010-W0-XL</v>
          </cell>
          <cell r="B2085" t="str">
            <v>LYQ-NA1010</v>
          </cell>
        </row>
        <row r="2086">
          <cell r="A2086" t="str">
            <v>LYQ-NA1010-W0-XS</v>
          </cell>
          <cell r="B2086" t="str">
            <v>LYQ-NA1010</v>
          </cell>
        </row>
        <row r="2087">
          <cell r="A2087" t="str">
            <v>LYQ-NA1010-Z0-2X</v>
          </cell>
          <cell r="B2087" t="str">
            <v>LYQ-NA1010</v>
          </cell>
        </row>
        <row r="2088">
          <cell r="A2088" t="str">
            <v>LYQ-NA1010-Z0-L</v>
          </cell>
          <cell r="B2088" t="str">
            <v>LYQ-NA1010</v>
          </cell>
        </row>
        <row r="2089">
          <cell r="A2089" t="str">
            <v>LYQ-NA1010-Z0-M</v>
          </cell>
          <cell r="B2089" t="str">
            <v>LYQ-NA1010</v>
          </cell>
        </row>
        <row r="2090">
          <cell r="A2090" t="str">
            <v>LYQ-NA1010-Z0-S</v>
          </cell>
          <cell r="B2090" t="str">
            <v>LYQ-NA1010</v>
          </cell>
        </row>
        <row r="2091">
          <cell r="A2091" t="str">
            <v>LYQ-NA1010-Z0-XL</v>
          </cell>
          <cell r="B2091" t="str">
            <v>LYQ-NA1010</v>
          </cell>
        </row>
        <row r="2092">
          <cell r="A2092" t="str">
            <v>LYQ-NA1010-Z0-XS</v>
          </cell>
          <cell r="B2092" t="str">
            <v>LYQ-NA1010</v>
          </cell>
        </row>
        <row r="2093">
          <cell r="A2093" t="str">
            <v>LYQ-SD16-BD-L</v>
          </cell>
          <cell r="B2093" t="str">
            <v>LYQ-SD16</v>
          </cell>
        </row>
        <row r="2094">
          <cell r="A2094" t="str">
            <v>LYQ-SD16-BD-M</v>
          </cell>
          <cell r="B2094" t="str">
            <v>LYQ-SD16</v>
          </cell>
        </row>
        <row r="2095">
          <cell r="A2095" t="str">
            <v>LYQ-SD16-BD-S</v>
          </cell>
          <cell r="B2095" t="str">
            <v>LYQ-SD16</v>
          </cell>
        </row>
        <row r="2096">
          <cell r="A2096" t="str">
            <v>LYQ-SD16-BD-XL</v>
          </cell>
          <cell r="B2096" t="str">
            <v>LYQ-SD16</v>
          </cell>
        </row>
        <row r="2097">
          <cell r="A2097" t="str">
            <v>LYQ-SD16-G7-L</v>
          </cell>
          <cell r="B2097" t="str">
            <v>LYQ-SD16</v>
          </cell>
        </row>
        <row r="2098">
          <cell r="A2098" t="str">
            <v>LYQ-SD16-G7-M</v>
          </cell>
          <cell r="B2098" t="str">
            <v>LYQ-SD16</v>
          </cell>
        </row>
        <row r="2099">
          <cell r="A2099" t="str">
            <v>LYQ-SD16-G7-S</v>
          </cell>
          <cell r="B2099" t="str">
            <v>LYQ-SD16</v>
          </cell>
        </row>
        <row r="2100">
          <cell r="A2100" t="str">
            <v>LYQ-SD16-G7-XL</v>
          </cell>
          <cell r="B2100" t="str">
            <v>LYQ-SD16</v>
          </cell>
        </row>
        <row r="2101">
          <cell r="A2101" t="str">
            <v>LYQ-SD16-K0-L</v>
          </cell>
          <cell r="B2101" t="str">
            <v>LYQ-SD16</v>
          </cell>
        </row>
        <row r="2102">
          <cell r="A2102" t="str">
            <v>LYQ-SD16-K0-M</v>
          </cell>
          <cell r="B2102" t="str">
            <v>LYQ-SD16</v>
          </cell>
        </row>
        <row r="2103">
          <cell r="A2103" t="str">
            <v>LYQ-SD16-K0-S</v>
          </cell>
          <cell r="B2103" t="str">
            <v>LYQ-SD16</v>
          </cell>
        </row>
        <row r="2104">
          <cell r="A2104" t="str">
            <v>LYQ-SD16-K0-XL</v>
          </cell>
          <cell r="B2104" t="str">
            <v>LYQ-SD16</v>
          </cell>
        </row>
        <row r="2105">
          <cell r="A2105" t="str">
            <v>LYQ-SD16-N0-L</v>
          </cell>
          <cell r="B2105" t="str">
            <v>LYQ-SD16</v>
          </cell>
        </row>
        <row r="2106">
          <cell r="A2106" t="str">
            <v>LYQ-SD16-N0-M</v>
          </cell>
          <cell r="B2106" t="str">
            <v>LYQ-SD16</v>
          </cell>
        </row>
        <row r="2107">
          <cell r="A2107" t="str">
            <v>LYQ-SD16-N0-S</v>
          </cell>
          <cell r="B2107" t="str">
            <v>LYQ-SD16</v>
          </cell>
        </row>
        <row r="2108">
          <cell r="A2108" t="str">
            <v>LYQ-SD16-N0-XL</v>
          </cell>
          <cell r="B2108" t="str">
            <v>LYQ-SD16</v>
          </cell>
        </row>
        <row r="2109">
          <cell r="A2109" t="str">
            <v>LYQ-SD16-Y0-L</v>
          </cell>
          <cell r="B2109" t="str">
            <v>LYQ-SD16</v>
          </cell>
        </row>
        <row r="2110">
          <cell r="A2110" t="str">
            <v>LYQ-SD16-Y0-M</v>
          </cell>
          <cell r="B2110" t="str">
            <v>LYQ-SD16</v>
          </cell>
        </row>
        <row r="2111">
          <cell r="A2111" t="str">
            <v>LYQ-SD16-Y0-S</v>
          </cell>
          <cell r="B2111" t="str">
            <v>LYQ-SD16</v>
          </cell>
        </row>
        <row r="2112">
          <cell r="A2112" t="str">
            <v>LYQ-SD16-Y0-XL</v>
          </cell>
          <cell r="B2112" t="str">
            <v>LYQ-SD16</v>
          </cell>
        </row>
        <row r="2113">
          <cell r="A2113" t="str">
            <v>LYQ-SD16-ZL-L</v>
          </cell>
          <cell r="B2113" t="str">
            <v>LYQ-SD16</v>
          </cell>
        </row>
        <row r="2114">
          <cell r="A2114" t="str">
            <v>LYQ-SD16-ZL-M</v>
          </cell>
          <cell r="B2114" t="str">
            <v>LYQ-SD16</v>
          </cell>
        </row>
        <row r="2115">
          <cell r="A2115" t="str">
            <v>LYQ-SD16-ZL-S</v>
          </cell>
          <cell r="B2115" t="str">
            <v>LYQ-SD16</v>
          </cell>
        </row>
        <row r="2116">
          <cell r="A2116" t="str">
            <v>LYQ-SD16-ZL-XL</v>
          </cell>
          <cell r="B2116" t="str">
            <v>LYQ-SD16</v>
          </cell>
        </row>
        <row r="2117">
          <cell r="A2117" t="str">
            <v>LYQ-TW03-B0-L</v>
          </cell>
          <cell r="B2117" t="str">
            <v>LYQ-TW03</v>
          </cell>
        </row>
        <row r="2118">
          <cell r="A2118" t="str">
            <v>LYQ-TW03-B0-M</v>
          </cell>
          <cell r="B2118" t="str">
            <v>LYQ-TW03</v>
          </cell>
        </row>
        <row r="2119">
          <cell r="A2119" t="str">
            <v>LYQ-TW03-B0-S</v>
          </cell>
          <cell r="B2119" t="str">
            <v>LYQ-TW03</v>
          </cell>
        </row>
        <row r="2120">
          <cell r="A2120" t="str">
            <v>LYQ-TW03-B0-XL</v>
          </cell>
          <cell r="B2120" t="str">
            <v>LYQ-TW03</v>
          </cell>
        </row>
        <row r="2121">
          <cell r="A2121" t="str">
            <v>LYQ-TW03-B0-XXL</v>
          </cell>
          <cell r="B2121" t="str">
            <v>LYQ-TW03</v>
          </cell>
        </row>
        <row r="2122">
          <cell r="A2122" t="str">
            <v>LYQ-TW03-K0-L</v>
          </cell>
          <cell r="B2122" t="str">
            <v>LYQ-TW03</v>
          </cell>
        </row>
        <row r="2123">
          <cell r="A2123" t="str">
            <v>LYQ-TW03-K0-M</v>
          </cell>
          <cell r="B2123" t="str">
            <v>LYQ-TW03</v>
          </cell>
        </row>
        <row r="2124">
          <cell r="A2124" t="str">
            <v>LYQ-TW03-K0-S</v>
          </cell>
          <cell r="B2124" t="str">
            <v>LYQ-TW03</v>
          </cell>
        </row>
        <row r="2125">
          <cell r="A2125" t="str">
            <v>LYQ-TW03-K0-XL</v>
          </cell>
          <cell r="B2125" t="str">
            <v>LYQ-TW03</v>
          </cell>
        </row>
        <row r="2126">
          <cell r="A2126" t="str">
            <v>LYQ-TW03-K0-XXL</v>
          </cell>
          <cell r="B2126" t="str">
            <v>LYQ-TW03</v>
          </cell>
        </row>
        <row r="2127">
          <cell r="A2127" t="str">
            <v>LYQ-WF7125-BO-2X</v>
          </cell>
          <cell r="B2127" t="str">
            <v>WF7125</v>
          </cell>
        </row>
        <row r="2128">
          <cell r="A2128" t="str">
            <v>LYQ-WF7125-BO-L</v>
          </cell>
          <cell r="B2128" t="str">
            <v>WF7125</v>
          </cell>
        </row>
        <row r="2129">
          <cell r="A2129" t="str">
            <v>LYQ-WF7125-BO-M</v>
          </cell>
          <cell r="B2129" t="str">
            <v>WF7125</v>
          </cell>
        </row>
        <row r="2130">
          <cell r="A2130" t="str">
            <v>LYQ-WF7125-BO-S</v>
          </cell>
          <cell r="B2130" t="str">
            <v>WF7125</v>
          </cell>
        </row>
        <row r="2131">
          <cell r="A2131" t="str">
            <v>LYQ-WF7125-BO-XL</v>
          </cell>
          <cell r="B2131" t="str">
            <v>WF7125</v>
          </cell>
        </row>
        <row r="2132">
          <cell r="A2132" t="str">
            <v>LYQ-WF7125-K0-2L</v>
          </cell>
          <cell r="B2132" t="str">
            <v>WF7125</v>
          </cell>
        </row>
        <row r="2133">
          <cell r="A2133" t="str">
            <v>LYQ-WF7125-KO-L</v>
          </cell>
          <cell r="B2133" t="str">
            <v>WF7125</v>
          </cell>
        </row>
        <row r="2134">
          <cell r="A2134" t="str">
            <v>LYQ-WF7125-KO-M</v>
          </cell>
          <cell r="B2134" t="str">
            <v>WF7125</v>
          </cell>
        </row>
        <row r="2135">
          <cell r="A2135" t="str">
            <v>LYQ-WF7125-KO-S</v>
          </cell>
          <cell r="B2135" t="str">
            <v>WF7125</v>
          </cell>
        </row>
        <row r="2136">
          <cell r="A2136" t="str">
            <v>LYQ-WF7125-KO-XL</v>
          </cell>
          <cell r="B2136" t="str">
            <v>WF7125</v>
          </cell>
        </row>
        <row r="2137">
          <cell r="A2137" t="str">
            <v>LYQ-WF7125-NO-2L</v>
          </cell>
          <cell r="B2137" t="str">
            <v>WF7125</v>
          </cell>
        </row>
        <row r="2138">
          <cell r="A2138" t="str">
            <v>LYQ-WF7125-NO-L</v>
          </cell>
          <cell r="B2138" t="str">
            <v>WF7125</v>
          </cell>
        </row>
        <row r="2139">
          <cell r="A2139" t="str">
            <v>LYQ-WF7125-NO-S</v>
          </cell>
          <cell r="B2139" t="str">
            <v>WF7125</v>
          </cell>
        </row>
        <row r="2140">
          <cell r="A2140" t="str">
            <v>LYQ-WF7125-NO-XL</v>
          </cell>
          <cell r="B2140" t="str">
            <v>WF7125</v>
          </cell>
        </row>
        <row r="2141">
          <cell r="A2141" t="str">
            <v>LYQ-WF7125-NO-XS</v>
          </cell>
          <cell r="B2141" t="str">
            <v>WF7125</v>
          </cell>
        </row>
        <row r="2142">
          <cell r="A2142" t="str">
            <v>LYQ-WF7125-PO-2L</v>
          </cell>
          <cell r="B2142" t="str">
            <v>WF7125</v>
          </cell>
        </row>
        <row r="2143">
          <cell r="A2143" t="str">
            <v>LYQ-WF7125-PO-L</v>
          </cell>
          <cell r="B2143" t="str">
            <v>WF7125</v>
          </cell>
        </row>
        <row r="2144">
          <cell r="A2144" t="str">
            <v>LYQ-WF7125-PO-M</v>
          </cell>
          <cell r="B2144" t="str">
            <v>WF7125</v>
          </cell>
        </row>
        <row r="2145">
          <cell r="A2145" t="str">
            <v>LYQ-WF7125-PO-S</v>
          </cell>
          <cell r="B2145" t="str">
            <v>WF7125</v>
          </cell>
        </row>
        <row r="2146">
          <cell r="A2146" t="str">
            <v>LYQ-WF7125-PO-XL</v>
          </cell>
          <cell r="B2146" t="str">
            <v>WF7125</v>
          </cell>
        </row>
        <row r="2147">
          <cell r="A2147" t="str">
            <v>LYQ-WF7125-PO-XS</v>
          </cell>
          <cell r="B2147" t="str">
            <v>WF7125</v>
          </cell>
        </row>
        <row r="2148">
          <cell r="A2148" t="str">
            <v>LYQ-WF7125-WO-2L</v>
          </cell>
          <cell r="B2148" t="str">
            <v>WF7125</v>
          </cell>
        </row>
        <row r="2149">
          <cell r="A2149" t="str">
            <v>LYQ-WF7125-WO-M</v>
          </cell>
          <cell r="B2149" t="str">
            <v>WF7125</v>
          </cell>
        </row>
        <row r="2150">
          <cell r="A2150" t="str">
            <v>LYQ-WF7125-WO-XL</v>
          </cell>
          <cell r="B2150" t="str">
            <v>WF7125</v>
          </cell>
        </row>
        <row r="2151">
          <cell r="A2151" t="str">
            <v>LYQ-WF7125-WO-XS</v>
          </cell>
          <cell r="B2151" t="str">
            <v>WF7125</v>
          </cell>
        </row>
        <row r="2152">
          <cell r="A2152" t="str">
            <v>LYQ-WH885-RO-L</v>
          </cell>
          <cell r="B2152" t="str">
            <v>LYQ-WH885</v>
          </cell>
        </row>
        <row r="2153">
          <cell r="A2153" t="str">
            <v>LYQ-WH885-RO-M</v>
          </cell>
          <cell r="B2153" t="str">
            <v>LYQ-WH885</v>
          </cell>
        </row>
        <row r="2154">
          <cell r="A2154" t="str">
            <v>LYQ-WH885-RO-S</v>
          </cell>
          <cell r="B2154" t="str">
            <v>LYQ-WH885</v>
          </cell>
        </row>
        <row r="2155">
          <cell r="A2155" t="str">
            <v>LYQ-WH885-RO-XL</v>
          </cell>
          <cell r="B2155" t="str">
            <v>LYQ-WH885</v>
          </cell>
        </row>
        <row r="2156">
          <cell r="A2156" t="str">
            <v>LYQ-WH885-ZL-L</v>
          </cell>
          <cell r="B2156" t="str">
            <v>LYQ-WH885</v>
          </cell>
        </row>
        <row r="2157">
          <cell r="A2157" t="str">
            <v>LYQ-WH885-ZL-M</v>
          </cell>
          <cell r="B2157" t="str">
            <v>LYQ-WH885</v>
          </cell>
        </row>
        <row r="2158">
          <cell r="A2158" t="str">
            <v>LYQ-WH885-ZL-S</v>
          </cell>
          <cell r="B2158" t="str">
            <v>LYQ-WH885</v>
          </cell>
        </row>
        <row r="2159">
          <cell r="A2159" t="str">
            <v>LYQ-WH885-ZL-XL</v>
          </cell>
          <cell r="B2159" t="str">
            <v>LYQ-WH885</v>
          </cell>
        </row>
        <row r="2160">
          <cell r="A2160" t="str">
            <v>LYQ-YY05</v>
          </cell>
          <cell r="B2160" t="str">
            <v>LYQ-YY05</v>
          </cell>
        </row>
        <row r="2161">
          <cell r="A2161" t="str">
            <v>LYQ-YY05-E0-L</v>
          </cell>
          <cell r="B2161" t="str">
            <v>LYQ-YY05</v>
          </cell>
        </row>
        <row r="2162">
          <cell r="A2162" t="str">
            <v>LYQ-YY05-E0-M</v>
          </cell>
          <cell r="B2162" t="str">
            <v>LYQ-YY05</v>
          </cell>
        </row>
        <row r="2163">
          <cell r="A2163" t="str">
            <v>LYQ-YY05-E0-S</v>
          </cell>
          <cell r="B2163" t="str">
            <v>LYQ-YY05</v>
          </cell>
        </row>
        <row r="2164">
          <cell r="A2164" t="str">
            <v>LYQ-YY05-E0-XL</v>
          </cell>
          <cell r="B2164" t="str">
            <v>LYQ-YY05</v>
          </cell>
        </row>
        <row r="2165">
          <cell r="A2165" t="str">
            <v>LYQ-YY05-K0-L</v>
          </cell>
          <cell r="B2165" t="str">
            <v>LYQ-YY05</v>
          </cell>
        </row>
        <row r="2166">
          <cell r="A2166" t="str">
            <v>LYQ-YY05-K0-M</v>
          </cell>
          <cell r="B2166" t="str">
            <v>LYQ-YY05</v>
          </cell>
        </row>
        <row r="2167">
          <cell r="A2167" t="str">
            <v>LYQ-YY05-K0-S</v>
          </cell>
          <cell r="B2167" t="str">
            <v>LYQ-YY05</v>
          </cell>
        </row>
        <row r="2168">
          <cell r="A2168" t="str">
            <v>LYQ-YY05-K0-XL</v>
          </cell>
          <cell r="B2168" t="str">
            <v>LYQ-YY05</v>
          </cell>
        </row>
        <row r="2169">
          <cell r="A2169" t="str">
            <v>LYQ-YY05-R0-L</v>
          </cell>
          <cell r="B2169" t="str">
            <v>LYQ-YY05</v>
          </cell>
        </row>
        <row r="2170">
          <cell r="A2170" t="str">
            <v>LYQ-YY05-R0-M</v>
          </cell>
          <cell r="B2170" t="str">
            <v>LYQ-YY05</v>
          </cell>
        </row>
        <row r="2171">
          <cell r="A2171" t="str">
            <v>LYQ-YY05-R0-S</v>
          </cell>
          <cell r="B2171" t="str">
            <v>LYQ-YY05</v>
          </cell>
        </row>
        <row r="2172">
          <cell r="A2172" t="str">
            <v>LYQ-YY05-R0-XL</v>
          </cell>
          <cell r="B2172" t="str">
            <v>LYQ-YY05</v>
          </cell>
        </row>
        <row r="2173">
          <cell r="A2173" t="str">
            <v>LYQ-YY05-ZL-L</v>
          </cell>
          <cell r="B2173" t="str">
            <v>LYQ-YY05</v>
          </cell>
        </row>
        <row r="2174">
          <cell r="A2174" t="str">
            <v>LYQ-YY05-ZL-M</v>
          </cell>
          <cell r="B2174" t="str">
            <v>LYQ-YY05</v>
          </cell>
        </row>
        <row r="2175">
          <cell r="A2175" t="str">
            <v>LYQ-YY05-ZL-S</v>
          </cell>
          <cell r="B2175" t="str">
            <v>LYQ-YY05</v>
          </cell>
        </row>
        <row r="2176">
          <cell r="A2176" t="str">
            <v>LYQ-YY05-ZL-XL</v>
          </cell>
          <cell r="B2176" t="str">
            <v>LYQ-YY05</v>
          </cell>
        </row>
        <row r="2177">
          <cell r="A2177" t="str">
            <v>LYQ-ZQ05100-L0-M</v>
          </cell>
          <cell r="B2177" t="str">
            <v>LYQ-ZQ05100</v>
          </cell>
        </row>
        <row r="2178">
          <cell r="A2178" t="str">
            <v>LYQ-ZQ1052-G0-XL</v>
          </cell>
          <cell r="B2178" t="str">
            <v>LYQ-ZQ1052</v>
          </cell>
        </row>
        <row r="2179">
          <cell r="A2179" t="str">
            <v>LYQ-ZQ1052-R0-XL</v>
          </cell>
          <cell r="B2179" t="str">
            <v>LYQ-ZQ1052</v>
          </cell>
        </row>
        <row r="2180">
          <cell r="A2180" t="str">
            <v>LYQ-ZQ1052-W0-L</v>
          </cell>
          <cell r="B2180" t="str">
            <v>LYQ-ZQ1052</v>
          </cell>
        </row>
        <row r="2181">
          <cell r="A2181" t="str">
            <v>LYQ-ZQ1052-W0-M</v>
          </cell>
          <cell r="B2181" t="str">
            <v>LYQ-ZQ1052</v>
          </cell>
        </row>
        <row r="2182">
          <cell r="A2182" t="str">
            <v>LYQ-ZQ1052-W0-S</v>
          </cell>
          <cell r="B2182" t="str">
            <v>LYQ-ZQ1052</v>
          </cell>
        </row>
        <row r="2183">
          <cell r="A2183" t="str">
            <v>LYQ-ZQ1052-W0-XL</v>
          </cell>
          <cell r="B2183" t="str">
            <v>LYQ-ZQ1052</v>
          </cell>
        </row>
        <row r="2184">
          <cell r="A2184" t="str">
            <v>LYQ-ZQ1117-B0-L</v>
          </cell>
          <cell r="B2184" t="str">
            <v>LYQ-ZQ1117</v>
          </cell>
        </row>
        <row r="2185">
          <cell r="A2185" t="str">
            <v>LYQ-ZQ1117-B0-M</v>
          </cell>
          <cell r="B2185" t="str">
            <v>LYQ-ZQ1117</v>
          </cell>
        </row>
        <row r="2186">
          <cell r="A2186" t="str">
            <v>LYQ-ZQ1117-B0-S</v>
          </cell>
          <cell r="B2186" t="str">
            <v>LYQ-ZQ1117</v>
          </cell>
        </row>
        <row r="2187">
          <cell r="A2187" t="str">
            <v>LYQ-ZQ1117-B0-XL</v>
          </cell>
          <cell r="B2187" t="str">
            <v>LYQ-ZQ1117</v>
          </cell>
        </row>
        <row r="2188">
          <cell r="A2188" t="str">
            <v>LYQ-ZQ1117-BD-L</v>
          </cell>
          <cell r="B2188" t="str">
            <v>LYQ-ZQ1117</v>
          </cell>
        </row>
        <row r="2189">
          <cell r="A2189" t="str">
            <v>LYQ-ZQ1117-BD-M</v>
          </cell>
          <cell r="B2189" t="str">
            <v>LYQ-ZQ1117</v>
          </cell>
        </row>
        <row r="2190">
          <cell r="A2190" t="str">
            <v>LYQ-ZQ1117-BD-S</v>
          </cell>
          <cell r="B2190" t="str">
            <v>LYQ-ZQ1117</v>
          </cell>
        </row>
        <row r="2191">
          <cell r="A2191" t="str">
            <v>LYQ-ZQ1117-BD-XL</v>
          </cell>
          <cell r="B2191" t="str">
            <v>LYQ-ZQ1117</v>
          </cell>
        </row>
        <row r="2192">
          <cell r="A2192" t="str">
            <v>LYQ-ZQ1117-C0-L</v>
          </cell>
          <cell r="B2192" t="str">
            <v>LYQ-ZQ1117</v>
          </cell>
        </row>
        <row r="2193">
          <cell r="A2193" t="str">
            <v>LYQ-ZQ1117-C0-M</v>
          </cell>
          <cell r="B2193" t="str">
            <v>LYQ-ZQ1117</v>
          </cell>
        </row>
        <row r="2194">
          <cell r="A2194" t="str">
            <v>LYQ-ZQ1117-C0-S</v>
          </cell>
          <cell r="B2194" t="str">
            <v>LYQ-ZQ1117</v>
          </cell>
        </row>
        <row r="2195">
          <cell r="A2195" t="str">
            <v>LYQ-ZQ1117-C0-XL</v>
          </cell>
          <cell r="B2195" t="str">
            <v>LYQ-ZQ1117</v>
          </cell>
        </row>
        <row r="2196">
          <cell r="A2196" t="str">
            <v>LYQ-ZQ1117-E0-L</v>
          </cell>
          <cell r="B2196" t="str">
            <v>LYQ-ZQ1117</v>
          </cell>
        </row>
        <row r="2197">
          <cell r="A2197" t="str">
            <v>LYQ-ZQ1117-E0-M</v>
          </cell>
          <cell r="B2197" t="str">
            <v>LYQ-ZQ1117</v>
          </cell>
        </row>
        <row r="2198">
          <cell r="A2198" t="str">
            <v>LYQ-ZQ1117-E0-S</v>
          </cell>
          <cell r="B2198" t="str">
            <v>LYQ-ZQ1117</v>
          </cell>
        </row>
        <row r="2199">
          <cell r="A2199" t="str">
            <v>LYQ-ZQ1117-E0-XL</v>
          </cell>
          <cell r="B2199" t="str">
            <v>LYQ-ZQ1117</v>
          </cell>
        </row>
        <row r="2200">
          <cell r="A2200" t="str">
            <v>LYQ-ZQ1117-G7-L</v>
          </cell>
          <cell r="B2200" t="str">
            <v>LYQ-ZQ1117</v>
          </cell>
        </row>
        <row r="2201">
          <cell r="A2201" t="str">
            <v>LYQ-ZQ1117-G7-M</v>
          </cell>
          <cell r="B2201" t="str">
            <v>LYQ-ZQ1117</v>
          </cell>
        </row>
        <row r="2202">
          <cell r="A2202" t="str">
            <v>LYQ-ZQ1117-G7-S</v>
          </cell>
          <cell r="B2202" t="str">
            <v>LYQ-ZQ1117</v>
          </cell>
        </row>
        <row r="2203">
          <cell r="A2203" t="str">
            <v>LYQ-ZQ1117-G7-XL</v>
          </cell>
          <cell r="B2203" t="str">
            <v>LYQ-ZQ1117</v>
          </cell>
        </row>
        <row r="2204">
          <cell r="A2204" t="str">
            <v>LYQ-ZQ1117-K0-L</v>
          </cell>
          <cell r="B2204" t="str">
            <v>LYQ-ZQ1117</v>
          </cell>
        </row>
        <row r="2205">
          <cell r="A2205" t="str">
            <v>LYQ-ZQ1117-K0-M</v>
          </cell>
          <cell r="B2205" t="str">
            <v>LYQ-ZQ1117</v>
          </cell>
        </row>
        <row r="2206">
          <cell r="A2206" t="str">
            <v>LYQ-ZQ1117-K0-S</v>
          </cell>
          <cell r="B2206" t="str">
            <v>LYQ-ZQ1117</v>
          </cell>
        </row>
        <row r="2207">
          <cell r="A2207" t="str">
            <v>LYQ-ZQ1117-K0-XL</v>
          </cell>
          <cell r="B2207" t="str">
            <v>LYQ-ZQ1117</v>
          </cell>
        </row>
        <row r="2208">
          <cell r="A2208" t="str">
            <v>LYQ-ZQ1117-KQ-L</v>
          </cell>
          <cell r="B2208" t="str">
            <v>LYQ-ZQ1117</v>
          </cell>
        </row>
        <row r="2209">
          <cell r="A2209" t="str">
            <v>LYQ-ZQ1117-KQ-M</v>
          </cell>
          <cell r="B2209" t="str">
            <v>LYQ-ZQ1117</v>
          </cell>
        </row>
        <row r="2210">
          <cell r="A2210" t="str">
            <v>LYQ-ZQ1117-KQ-S</v>
          </cell>
          <cell r="B2210" t="str">
            <v>LYQ-ZQ1117</v>
          </cell>
        </row>
        <row r="2211">
          <cell r="A2211" t="str">
            <v>LYQ-ZQ1117-KQ-XL</v>
          </cell>
          <cell r="B2211" t="str">
            <v>LYQ-ZQ1117</v>
          </cell>
        </row>
        <row r="2212">
          <cell r="A2212" t="str">
            <v>LYQ-ZQ-1188-K0-2XL</v>
          </cell>
          <cell r="B2212" t="str">
            <v>LYQ-ZQ-1188</v>
          </cell>
        </row>
        <row r="2213">
          <cell r="A2213" t="str">
            <v>LYQ-ZQ-1188-K0-L</v>
          </cell>
          <cell r="B2213" t="str">
            <v>LYQ-ZQ-1188</v>
          </cell>
        </row>
        <row r="2214">
          <cell r="A2214" t="str">
            <v>LYQ-ZQ-1188-K0-M</v>
          </cell>
          <cell r="B2214" t="str">
            <v>LYQ-ZQ-1188</v>
          </cell>
        </row>
        <row r="2215">
          <cell r="A2215" t="str">
            <v>LYQ-ZQ-1188-K0-S</v>
          </cell>
          <cell r="B2215" t="str">
            <v>LYQ-ZQ-1188</v>
          </cell>
        </row>
        <row r="2216">
          <cell r="A2216" t="str">
            <v>LYQ-ZQ-1188-K0-XL</v>
          </cell>
          <cell r="B2216" t="str">
            <v>LYQ-ZQ-1188</v>
          </cell>
        </row>
        <row r="2217">
          <cell r="A2217" t="str">
            <v>LYQ-ZQ-1188-P0-2XL</v>
          </cell>
          <cell r="B2217" t="str">
            <v>LYQ-ZQ-1188</v>
          </cell>
        </row>
        <row r="2218">
          <cell r="A2218" t="str">
            <v>LYQ-ZQ-1188-P0-L</v>
          </cell>
          <cell r="B2218" t="str">
            <v>LYQ-ZQ-1188</v>
          </cell>
        </row>
        <row r="2219">
          <cell r="A2219" t="str">
            <v>LYQ-ZQ-1188-P0-M</v>
          </cell>
          <cell r="B2219" t="str">
            <v>LYQ-ZQ-1188</v>
          </cell>
        </row>
        <row r="2220">
          <cell r="A2220" t="str">
            <v>LYQ-ZQ-1188-P0-S</v>
          </cell>
          <cell r="B2220" t="str">
            <v>LYQ-ZQ-1188</v>
          </cell>
        </row>
        <row r="2221">
          <cell r="A2221" t="str">
            <v>LYQ-ZQ-1188-P0-XL</v>
          </cell>
          <cell r="B2221" t="str">
            <v>LYQ-ZQ-1188</v>
          </cell>
        </row>
        <row r="2222">
          <cell r="A2222" t="str">
            <v>LYQ-ZQ-1188-W0-2XL</v>
          </cell>
          <cell r="B2222" t="str">
            <v>LYQ-ZQ-1188</v>
          </cell>
        </row>
        <row r="2223">
          <cell r="A2223" t="str">
            <v>LYQ-ZQ-1188-W0-L</v>
          </cell>
          <cell r="B2223" t="str">
            <v>LYQ-ZQ-1188</v>
          </cell>
        </row>
        <row r="2224">
          <cell r="A2224" t="str">
            <v>LYQ-ZQ-1188-W0-M</v>
          </cell>
          <cell r="B2224" t="str">
            <v>LYQ-ZQ-1188</v>
          </cell>
        </row>
        <row r="2225">
          <cell r="A2225" t="str">
            <v>LYQ-ZQ-1188-W0-S</v>
          </cell>
          <cell r="B2225" t="str">
            <v>LYQ-ZQ-1188</v>
          </cell>
        </row>
        <row r="2226">
          <cell r="A2226" t="str">
            <v>LYQ-ZQ-1188-W0-XL</v>
          </cell>
          <cell r="B2226" t="str">
            <v>LYQ-ZQ-1188</v>
          </cell>
        </row>
        <row r="2227">
          <cell r="A2227" t="str">
            <v>LYQ-ZQ-1188-ZL-2XL</v>
          </cell>
          <cell r="B2227" t="str">
            <v>LYQ-ZQ-1188</v>
          </cell>
        </row>
        <row r="2228">
          <cell r="A2228" t="str">
            <v>LYQ-ZQ-1188-ZL-L</v>
          </cell>
          <cell r="B2228" t="str">
            <v>LYQ-ZQ-1188</v>
          </cell>
        </row>
        <row r="2229">
          <cell r="A2229" t="str">
            <v>LYQ-ZQ-1199-K0-2XL</v>
          </cell>
          <cell r="B2229" t="str">
            <v>LYQ-ZQ-1199</v>
          </cell>
        </row>
        <row r="2230">
          <cell r="A2230" t="str">
            <v>LYQ-ZQ-1199-K0-L</v>
          </cell>
          <cell r="B2230" t="str">
            <v>LYQ-ZQ-1199</v>
          </cell>
        </row>
        <row r="2231">
          <cell r="A2231" t="str">
            <v>LYQ-ZQ-1199-K0-M</v>
          </cell>
          <cell r="B2231" t="str">
            <v>LYQ-ZQ-1199</v>
          </cell>
        </row>
        <row r="2232">
          <cell r="A2232" t="str">
            <v>LYQ-ZQ-1199-K0-S</v>
          </cell>
          <cell r="B2232" t="str">
            <v>LYQ-ZQ-1199</v>
          </cell>
        </row>
        <row r="2233">
          <cell r="A2233" t="str">
            <v>LYQ-ZQ-1199-K0-XL</v>
          </cell>
          <cell r="B2233" t="str">
            <v>LYQ-ZQ-1199</v>
          </cell>
        </row>
        <row r="2234">
          <cell r="A2234" t="str">
            <v>LYQ-ZQ-1199-P0-2XL</v>
          </cell>
          <cell r="B2234" t="str">
            <v>LYQ-ZQ-1199</v>
          </cell>
        </row>
        <row r="2235">
          <cell r="A2235" t="str">
            <v>LYQ-ZQ-1199-P0-L</v>
          </cell>
          <cell r="B2235" t="str">
            <v>LYQ-ZQ-1199</v>
          </cell>
        </row>
        <row r="2236">
          <cell r="A2236" t="str">
            <v>LYQ-ZQ-1199-P0-M</v>
          </cell>
          <cell r="B2236" t="str">
            <v>LYQ-ZQ-1199</v>
          </cell>
        </row>
        <row r="2237">
          <cell r="A2237" t="str">
            <v>LYQ-ZQ-1199-P0-S</v>
          </cell>
          <cell r="B2237" t="str">
            <v>LYQ-ZQ-1199</v>
          </cell>
        </row>
        <row r="2238">
          <cell r="A2238" t="str">
            <v>LYQ-ZQ-1199-P0-XL</v>
          </cell>
          <cell r="B2238" t="str">
            <v>LYQ-ZQ-1199</v>
          </cell>
        </row>
        <row r="2239">
          <cell r="A2239" t="str">
            <v>LYQ-ZQ-1199-W0-L</v>
          </cell>
          <cell r="B2239" t="str">
            <v>LYQ-ZQ-1199</v>
          </cell>
        </row>
        <row r="2240">
          <cell r="A2240" t="str">
            <v>LYQ-ZQ-1199-W0-M</v>
          </cell>
          <cell r="B2240" t="str">
            <v>LYQ-ZQ-1199</v>
          </cell>
        </row>
        <row r="2241">
          <cell r="A2241" t="str">
            <v>LYQ-ZQ-1199-W0-S</v>
          </cell>
          <cell r="B2241" t="str">
            <v>LYQ-ZQ-1199</v>
          </cell>
        </row>
        <row r="2242">
          <cell r="A2242" t="str">
            <v>LYQ-ZQ-1199-W0-XL</v>
          </cell>
          <cell r="B2242" t="str">
            <v>LYQ-ZQ-1199</v>
          </cell>
        </row>
        <row r="2243">
          <cell r="A2243" t="str">
            <v>LYQ-ZQ-1199-ZL-2XL</v>
          </cell>
          <cell r="B2243" t="str">
            <v>LYQ-ZQ-1199</v>
          </cell>
        </row>
        <row r="2244">
          <cell r="A2244" t="str">
            <v>LYQ-ZQ-1199-ZL-L</v>
          </cell>
          <cell r="B2244" t="str">
            <v>LYQ-ZQ-1199</v>
          </cell>
        </row>
        <row r="2245">
          <cell r="A2245" t="str">
            <v>LYQ-ZQ-1199-ZL-M</v>
          </cell>
          <cell r="B2245" t="str">
            <v>LYQ-ZQ-1199</v>
          </cell>
        </row>
        <row r="2246">
          <cell r="A2246" t="str">
            <v>LYQ-ZQ-1199-ZL-S</v>
          </cell>
          <cell r="B2246" t="str">
            <v>LYQ-ZQ-1199</v>
          </cell>
        </row>
        <row r="2247">
          <cell r="A2247" t="str">
            <v>LYQ-ZQ-1199-ZL-XL</v>
          </cell>
          <cell r="B2247" t="str">
            <v>LYQ-ZQ-1199</v>
          </cell>
        </row>
        <row r="2248">
          <cell r="A2248" t="str">
            <v>LYQ-ZQ1428-R0-L</v>
          </cell>
          <cell r="B2248" t="str">
            <v>LYQ-ZQ1428</v>
          </cell>
        </row>
        <row r="2249">
          <cell r="A2249" t="str">
            <v>LYQ-ZQ1428-R0-M</v>
          </cell>
          <cell r="B2249" t="str">
            <v>LYQ-ZQ1428</v>
          </cell>
        </row>
        <row r="2250">
          <cell r="A2250" t="str">
            <v>LYQ-ZQ1428-R0-S</v>
          </cell>
          <cell r="B2250" t="str">
            <v>LYQ-ZQ1428</v>
          </cell>
        </row>
        <row r="2251">
          <cell r="A2251" t="str">
            <v>LYQ-ZQ1428-Y0-L</v>
          </cell>
          <cell r="B2251" t="str">
            <v>LYQ-ZQ1428</v>
          </cell>
        </row>
        <row r="2252">
          <cell r="A2252" t="str">
            <v>LYQ-ZQ1428-Y0-M</v>
          </cell>
          <cell r="B2252" t="str">
            <v>LYQ-ZQ1428</v>
          </cell>
        </row>
        <row r="2253">
          <cell r="A2253" t="str">
            <v>LYQ-ZQ1428-Y0-S</v>
          </cell>
          <cell r="B2253" t="str">
            <v>LYQ-ZQ1428</v>
          </cell>
        </row>
        <row r="2254">
          <cell r="A2254" t="str">
            <v>LYQ-ZQ1669-B0-L</v>
          </cell>
          <cell r="B2254" t="str">
            <v>LYQ-ZQ1669</v>
          </cell>
        </row>
        <row r="2255">
          <cell r="A2255" t="str">
            <v>LYQ-ZQ1669-B0-M</v>
          </cell>
          <cell r="B2255" t="str">
            <v>LYQ-ZQ1669</v>
          </cell>
        </row>
        <row r="2256">
          <cell r="A2256" t="str">
            <v>LYQ-ZQ1669-B0-S</v>
          </cell>
          <cell r="B2256" t="str">
            <v>LYQ-ZQ1669</v>
          </cell>
        </row>
        <row r="2257">
          <cell r="A2257" t="str">
            <v>LYQ-ZQ1669-B0-XL</v>
          </cell>
          <cell r="B2257" t="str">
            <v>LYQ-ZQ1669</v>
          </cell>
        </row>
        <row r="2258">
          <cell r="A2258" t="str">
            <v>LYQ-ZQ1880-R0-L</v>
          </cell>
          <cell r="B2258" t="str">
            <v>LYQ-ZQ1880</v>
          </cell>
        </row>
        <row r="2259">
          <cell r="A2259" t="str">
            <v>LYQ-ZQ1880-R0-M</v>
          </cell>
          <cell r="B2259" t="str">
            <v>LYQ-ZQ1880</v>
          </cell>
        </row>
        <row r="2260">
          <cell r="A2260" t="str">
            <v>LYQ-ZQ1880-R0-S</v>
          </cell>
          <cell r="B2260" t="str">
            <v>LYQ-ZQ1880</v>
          </cell>
        </row>
        <row r="2261">
          <cell r="A2261" t="str">
            <v>LYQ-ZQ1880-R0-XL</v>
          </cell>
          <cell r="B2261" t="str">
            <v>LYQ-ZQ1880</v>
          </cell>
        </row>
        <row r="2262">
          <cell r="A2262" t="str">
            <v>LYQ-ZQ1880-Y0-L</v>
          </cell>
          <cell r="B2262" t="str">
            <v>LYQ-ZQ1880</v>
          </cell>
        </row>
        <row r="2263">
          <cell r="A2263" t="str">
            <v>LYQ-ZQ1880-Y0-M</v>
          </cell>
          <cell r="B2263" t="str">
            <v>LYQ-ZQ1880</v>
          </cell>
        </row>
        <row r="2264">
          <cell r="A2264" t="str">
            <v>LYQ-ZQ1880-Y0-S</v>
          </cell>
          <cell r="B2264" t="str">
            <v>LYQ-ZQ1880</v>
          </cell>
        </row>
        <row r="2265">
          <cell r="A2265" t="str">
            <v>LYQ-ZQ1880-Y0-XL</v>
          </cell>
          <cell r="B2265" t="str">
            <v>LYQ-ZQ1880</v>
          </cell>
        </row>
        <row r="2266">
          <cell r="A2266" t="str">
            <v>LYQ-ZQ1880-ZL-L</v>
          </cell>
          <cell r="B2266" t="str">
            <v>LYQ-ZQ1880</v>
          </cell>
        </row>
        <row r="2267">
          <cell r="A2267" t="str">
            <v>LYQ-ZQ1880-ZL-M</v>
          </cell>
          <cell r="B2267" t="str">
            <v>LYQ-ZQ1880</v>
          </cell>
        </row>
        <row r="2268">
          <cell r="A2268" t="str">
            <v>LYQ-ZQ1880-ZL-S</v>
          </cell>
          <cell r="B2268" t="str">
            <v>LYQ-ZQ1880</v>
          </cell>
        </row>
        <row r="2269">
          <cell r="A2269" t="str">
            <v>LYQ-ZQ1880-ZL-XL</v>
          </cell>
          <cell r="B2269" t="str">
            <v>LYQ-ZQ1880</v>
          </cell>
        </row>
        <row r="2270">
          <cell r="A2270" t="str">
            <v>LYQ-ZQ2100-P0-L</v>
          </cell>
          <cell r="B2270" t="str">
            <v>LYQ-ZQ2100</v>
          </cell>
        </row>
        <row r="2271">
          <cell r="A2271" t="str">
            <v>LYQ-ZQ2100-P0-M</v>
          </cell>
          <cell r="B2271" t="str">
            <v>LYQ-ZQ2100</v>
          </cell>
        </row>
        <row r="2272">
          <cell r="A2272" t="str">
            <v>LYQ-ZQ2100-P0-S</v>
          </cell>
          <cell r="B2272" t="str">
            <v>LYQ-ZQ2100</v>
          </cell>
        </row>
        <row r="2273">
          <cell r="A2273" t="str">
            <v>LYQ-ZQ2100-P0-XL</v>
          </cell>
          <cell r="B2273" t="str">
            <v>LYQ-ZQ2100</v>
          </cell>
        </row>
        <row r="2274">
          <cell r="A2274" t="str">
            <v>LYQ-ZQ2973-BD-2XL</v>
          </cell>
          <cell r="B2274" t="str">
            <v>LYQ-ZQ2973</v>
          </cell>
        </row>
        <row r="2275">
          <cell r="A2275" t="str">
            <v>LYQ-ZQ2973-BD-L</v>
          </cell>
          <cell r="B2275" t="str">
            <v>LYQ-ZQ2973</v>
          </cell>
        </row>
        <row r="2276">
          <cell r="A2276" t="str">
            <v>LYQ-ZQ2973-BD-M</v>
          </cell>
          <cell r="B2276" t="str">
            <v>LYQ-ZQ2973</v>
          </cell>
        </row>
        <row r="2277">
          <cell r="A2277" t="str">
            <v>LYQ-ZQ2973-BD-M-GM</v>
          </cell>
          <cell r="B2277" t="str">
            <v>LYQ-ZQ2973</v>
          </cell>
        </row>
        <row r="2278">
          <cell r="A2278" t="str">
            <v>LYQ-ZQ2973-BD-S</v>
          </cell>
          <cell r="B2278" t="str">
            <v>LYQ-ZQ2973</v>
          </cell>
        </row>
        <row r="2279">
          <cell r="A2279" t="str">
            <v>LYQ-ZQ2973-BD-XL</v>
          </cell>
          <cell r="B2279" t="str">
            <v>LYQ-ZQ2973</v>
          </cell>
        </row>
        <row r="2280">
          <cell r="A2280" t="str">
            <v>LYQ-ZQ2973-E0-2XL</v>
          </cell>
          <cell r="B2280" t="str">
            <v>LYQ-ZQ2973</v>
          </cell>
        </row>
        <row r="2281">
          <cell r="A2281" t="str">
            <v>LYQ-ZQ2973-E0-L</v>
          </cell>
          <cell r="B2281" t="str">
            <v>LYQ-ZQ2973</v>
          </cell>
        </row>
        <row r="2282">
          <cell r="A2282" t="str">
            <v>LYQ-ZQ2973-E0-M</v>
          </cell>
          <cell r="B2282" t="str">
            <v>LYQ-ZQ2973</v>
          </cell>
        </row>
        <row r="2283">
          <cell r="A2283" t="str">
            <v>LYQ-ZQ2973-E0-S</v>
          </cell>
          <cell r="B2283" t="str">
            <v>LYQ-ZQ2973</v>
          </cell>
        </row>
        <row r="2284">
          <cell r="A2284" t="str">
            <v>LYQ-ZQ2973-E0-XL</v>
          </cell>
          <cell r="B2284" t="str">
            <v>LYQ-ZQ2973</v>
          </cell>
        </row>
        <row r="2285">
          <cell r="A2285" t="str">
            <v>LYQ-ZQ2973-G0-2XL</v>
          </cell>
          <cell r="B2285" t="str">
            <v>LYQ-ZQ2973</v>
          </cell>
        </row>
        <row r="2286">
          <cell r="A2286" t="str">
            <v>LYQ-ZQ2973-G0-L</v>
          </cell>
          <cell r="B2286" t="str">
            <v>LYQ-ZQ2973</v>
          </cell>
        </row>
        <row r="2287">
          <cell r="A2287" t="str">
            <v>LYQ-ZQ2973-G0-L -GM</v>
          </cell>
          <cell r="B2287" t="str">
            <v>LYQ-ZQ2973</v>
          </cell>
        </row>
        <row r="2288">
          <cell r="A2288" t="str">
            <v>LYQ-ZQ2973-G0-M</v>
          </cell>
          <cell r="B2288" t="str">
            <v>LYQ-ZQ2973</v>
          </cell>
        </row>
        <row r="2289">
          <cell r="A2289" t="str">
            <v>LYQ-ZQ2973-G0-S</v>
          </cell>
          <cell r="B2289" t="str">
            <v>LYQ-ZQ2973</v>
          </cell>
        </row>
        <row r="2290">
          <cell r="A2290" t="str">
            <v>LYQ-ZQ2973-G0-XL</v>
          </cell>
          <cell r="B2290" t="str">
            <v>LYQ-ZQ2973</v>
          </cell>
        </row>
        <row r="2291">
          <cell r="A2291" t="str">
            <v>LYQ-ZQ2973-K0-2XL</v>
          </cell>
          <cell r="B2291" t="str">
            <v>LYQ-ZQ2973</v>
          </cell>
        </row>
        <row r="2292">
          <cell r="A2292" t="str">
            <v>LYQ-ZQ2973-K0-L</v>
          </cell>
          <cell r="B2292" t="str">
            <v>LYQ-ZQ2973</v>
          </cell>
        </row>
        <row r="2293">
          <cell r="A2293" t="str">
            <v>LYQ-ZQ2973-K0-M</v>
          </cell>
          <cell r="B2293" t="str">
            <v>LYQ-ZQ2973</v>
          </cell>
        </row>
        <row r="2294">
          <cell r="A2294" t="str">
            <v>LYQ-ZQ2973-K0-S</v>
          </cell>
          <cell r="B2294" t="str">
            <v>LYQ-ZQ2973</v>
          </cell>
        </row>
        <row r="2295">
          <cell r="A2295" t="str">
            <v>LYQ-ZQ2973-K0-XL</v>
          </cell>
          <cell r="B2295" t="str">
            <v>LYQ-ZQ2973</v>
          </cell>
        </row>
        <row r="2296">
          <cell r="A2296" t="str">
            <v>LYQ-ZQ2973-KQ-2XL</v>
          </cell>
          <cell r="B2296" t="str">
            <v>LYQ-ZQ2973</v>
          </cell>
        </row>
        <row r="2297">
          <cell r="A2297" t="str">
            <v>LYQ-ZQ2973-KQ-L</v>
          </cell>
          <cell r="B2297" t="str">
            <v>LYQ-ZQ2973</v>
          </cell>
        </row>
        <row r="2298">
          <cell r="A2298" t="str">
            <v>LYQ-ZQ2973-KQ-M</v>
          </cell>
          <cell r="B2298" t="str">
            <v>LYQ-ZQ2973</v>
          </cell>
        </row>
        <row r="2299">
          <cell r="A2299" t="str">
            <v>LYQ-ZQ2973-KQ-M-GM</v>
          </cell>
          <cell r="B2299" t="str">
            <v>LYQ-ZQ2973</v>
          </cell>
        </row>
        <row r="2300">
          <cell r="A2300" t="str">
            <v>LYQ-ZQ2973-KQ-S</v>
          </cell>
          <cell r="B2300" t="str">
            <v>LYQ-ZQ2973</v>
          </cell>
        </row>
        <row r="2301">
          <cell r="A2301" t="str">
            <v>LYQ-ZQ2973-KQ-S-GM</v>
          </cell>
          <cell r="B2301" t="str">
            <v>LYQ-ZQ2973</v>
          </cell>
        </row>
        <row r="2302">
          <cell r="A2302" t="str">
            <v>LYQ-ZQ2973-KQ-XL</v>
          </cell>
          <cell r="B2302" t="str">
            <v>LYQ-ZQ2973</v>
          </cell>
        </row>
        <row r="2303">
          <cell r="A2303" t="str">
            <v>LYQ-ZQ2973-P0-2XL</v>
          </cell>
          <cell r="B2303" t="str">
            <v>LYQ-ZQ2973</v>
          </cell>
        </row>
        <row r="2304">
          <cell r="A2304" t="str">
            <v>LYQ-ZQ2973-P0-L</v>
          </cell>
          <cell r="B2304" t="str">
            <v>LYQ-ZQ2973</v>
          </cell>
        </row>
        <row r="2305">
          <cell r="A2305" t="str">
            <v>LYQ-ZQ2973-P0-M</v>
          </cell>
          <cell r="B2305" t="str">
            <v>LYQ-ZQ2973</v>
          </cell>
        </row>
        <row r="2306">
          <cell r="A2306" t="str">
            <v>LYQ-ZQ2973-P0-S</v>
          </cell>
          <cell r="B2306" t="str">
            <v>LYQ-ZQ2973</v>
          </cell>
        </row>
        <row r="2307">
          <cell r="A2307" t="str">
            <v>LYQ-ZQ2973-P0-XL</v>
          </cell>
          <cell r="B2307" t="str">
            <v>LYQ-ZQ2973</v>
          </cell>
        </row>
        <row r="2308">
          <cell r="A2308" t="str">
            <v>LYQ-ZQ2973-W1-2XL</v>
          </cell>
          <cell r="B2308" t="str">
            <v>LYQ-ZQ2973</v>
          </cell>
        </row>
        <row r="2309">
          <cell r="A2309" t="str">
            <v>LYQ-ZQ2973-W1-L</v>
          </cell>
          <cell r="B2309" t="str">
            <v>LYQ-ZQ2973</v>
          </cell>
        </row>
        <row r="2310">
          <cell r="A2310" t="str">
            <v>LYQ-ZQ2973-W1-M</v>
          </cell>
          <cell r="B2310" t="str">
            <v>LYQ-ZQ2973</v>
          </cell>
        </row>
        <row r="2311">
          <cell r="A2311" t="str">
            <v>LYQ-ZQ2973-W1-M-GM</v>
          </cell>
          <cell r="B2311" t="str">
            <v>LYQ-ZQ2973</v>
          </cell>
        </row>
        <row r="2312">
          <cell r="A2312" t="str">
            <v>LYQ-ZQ2973-W1-S</v>
          </cell>
          <cell r="B2312" t="str">
            <v>LYQ-ZQ2973</v>
          </cell>
        </row>
        <row r="2313">
          <cell r="A2313" t="str">
            <v>LYQ-ZQ2973-W1-S-GM</v>
          </cell>
          <cell r="B2313" t="str">
            <v>LYQ-ZQ2973</v>
          </cell>
        </row>
        <row r="2314">
          <cell r="A2314" t="str">
            <v>LYQ-ZQ2973-W1-XL</v>
          </cell>
          <cell r="B2314" t="str">
            <v>LYQ-ZQ2973</v>
          </cell>
        </row>
        <row r="2315">
          <cell r="A2315" t="str">
            <v>LYQ-ZQ2973-W1-XL-GM</v>
          </cell>
          <cell r="B2315" t="str">
            <v>LYQ-ZQ2973</v>
          </cell>
        </row>
        <row r="2316">
          <cell r="A2316" t="str">
            <v>LYQ-ZQ2973-ZL-2XL</v>
          </cell>
          <cell r="B2316" t="str">
            <v>LYQ-ZQ2973</v>
          </cell>
        </row>
        <row r="2317">
          <cell r="A2317" t="str">
            <v>LYQ-ZQ2973-ZL-L</v>
          </cell>
          <cell r="B2317" t="str">
            <v>LYQ-ZQ2973</v>
          </cell>
        </row>
        <row r="2318">
          <cell r="A2318" t="str">
            <v>LYQ-ZQ2973-ZL-M</v>
          </cell>
          <cell r="B2318" t="str">
            <v>LYQ-ZQ2973</v>
          </cell>
        </row>
        <row r="2319">
          <cell r="A2319" t="str">
            <v>LYQ-ZQ2973-ZL-S</v>
          </cell>
          <cell r="B2319" t="str">
            <v>LYQ-ZQ2973</v>
          </cell>
        </row>
        <row r="2320">
          <cell r="A2320" t="str">
            <v>LYQ-ZQ2973-ZL-S-GM</v>
          </cell>
          <cell r="B2320" t="str">
            <v>LYQ-ZQ2973</v>
          </cell>
        </row>
        <row r="2321">
          <cell r="A2321" t="str">
            <v>LYQ-ZQ2973-ZL-XL</v>
          </cell>
          <cell r="B2321" t="str">
            <v>LYQ-ZQ2973</v>
          </cell>
        </row>
        <row r="2322">
          <cell r="A2322" t="str">
            <v>LYQ-ZQ2W00-K0-L</v>
          </cell>
          <cell r="B2322" t="str">
            <v>LYQ-ZQ2W00</v>
          </cell>
        </row>
        <row r="2323">
          <cell r="A2323" t="str">
            <v>LYQ-ZQ2W00-K0-M</v>
          </cell>
          <cell r="B2323" t="str">
            <v>LYQ-ZQ2W00</v>
          </cell>
        </row>
        <row r="2324">
          <cell r="A2324" t="str">
            <v>LYQ-ZQ2W00-K0-S</v>
          </cell>
          <cell r="B2324" t="str">
            <v>LYQ-ZQ2W00</v>
          </cell>
        </row>
        <row r="2325">
          <cell r="A2325" t="str">
            <v>LYQ-ZQ2W00-K0-XL</v>
          </cell>
          <cell r="B2325" t="str">
            <v>LYQ-ZQ2W00</v>
          </cell>
        </row>
        <row r="2326">
          <cell r="A2326" t="str">
            <v>LYQ-ZQ3550-E0-2X</v>
          </cell>
          <cell r="B2326" t="str">
            <v>LYQ-ZQ3550</v>
          </cell>
        </row>
        <row r="2327">
          <cell r="A2327" t="str">
            <v>LYQ-ZQ3550-E0-3X</v>
          </cell>
          <cell r="B2327" t="str">
            <v>LYQ-ZQ3550</v>
          </cell>
        </row>
        <row r="2328">
          <cell r="A2328" t="str">
            <v>LYQ-ZQ3550-E0-4X</v>
          </cell>
          <cell r="B2328" t="str">
            <v>LYQ-ZQ3550</v>
          </cell>
        </row>
        <row r="2329">
          <cell r="A2329" t="str">
            <v>LYQ-ZQ3550-E0-5X</v>
          </cell>
          <cell r="B2329" t="str">
            <v>LYQ-ZQ3550</v>
          </cell>
        </row>
        <row r="2330">
          <cell r="A2330" t="str">
            <v>LYQ-ZQ3550-E0-L</v>
          </cell>
          <cell r="B2330" t="str">
            <v>LYQ-ZQ3550</v>
          </cell>
        </row>
        <row r="2331">
          <cell r="A2331" t="str">
            <v>LYQ-ZQ3550-E0-M</v>
          </cell>
          <cell r="B2331" t="str">
            <v>LYQ-ZQ3550</v>
          </cell>
        </row>
        <row r="2332">
          <cell r="A2332" t="str">
            <v>LYQ-ZQ3550-E0-S</v>
          </cell>
          <cell r="B2332" t="str">
            <v>LYQ-ZQ3550</v>
          </cell>
        </row>
        <row r="2333">
          <cell r="A2333" t="str">
            <v>LYQ-ZQ3550-E0-XL</v>
          </cell>
          <cell r="B2333" t="str">
            <v>LYQ-ZQ3550</v>
          </cell>
        </row>
        <row r="2334">
          <cell r="A2334" t="str">
            <v>LYQ-ZQ3550-PI-2X</v>
          </cell>
          <cell r="B2334" t="str">
            <v>LYQ-ZQ3550</v>
          </cell>
        </row>
        <row r="2335">
          <cell r="A2335" t="str">
            <v>LYQ-ZQ3550-PI-3X</v>
          </cell>
          <cell r="B2335" t="str">
            <v>LYQ-ZQ3550</v>
          </cell>
        </row>
        <row r="2336">
          <cell r="A2336" t="str">
            <v>LYQ-ZQ3550-PI-4X</v>
          </cell>
          <cell r="B2336" t="str">
            <v>LYQ-ZQ3550</v>
          </cell>
        </row>
        <row r="2337">
          <cell r="A2337" t="str">
            <v>LYQ-ZQ3550-PI-5X</v>
          </cell>
          <cell r="B2337" t="str">
            <v>LYQ-ZQ3550</v>
          </cell>
        </row>
        <row r="2338">
          <cell r="A2338" t="str">
            <v>LYQ-ZQ3550-PI-L</v>
          </cell>
          <cell r="B2338" t="str">
            <v>LYQ-ZQ3550</v>
          </cell>
        </row>
        <row r="2339">
          <cell r="A2339" t="str">
            <v>LYQ-ZQ3550-PI-M</v>
          </cell>
          <cell r="B2339" t="str">
            <v>LYQ-ZQ3550</v>
          </cell>
        </row>
        <row r="2340">
          <cell r="A2340" t="str">
            <v>LYQ-ZQ3550-PI-S</v>
          </cell>
          <cell r="B2340" t="str">
            <v>LYQ-ZQ3550</v>
          </cell>
        </row>
        <row r="2341">
          <cell r="A2341" t="str">
            <v>LYQ-ZQ3550-PI-XL</v>
          </cell>
          <cell r="B2341" t="str">
            <v>LYQ-ZQ3550</v>
          </cell>
        </row>
        <row r="2342">
          <cell r="A2342" t="str">
            <v>LYQ-ZQ4400-P0-L</v>
          </cell>
          <cell r="B2342" t="str">
            <v>LYQ-ZQ4400</v>
          </cell>
        </row>
        <row r="2343">
          <cell r="A2343" t="str">
            <v>LYQ-ZQ4400-P0-XL</v>
          </cell>
          <cell r="B2343" t="str">
            <v>LYQ-ZQ4400</v>
          </cell>
        </row>
        <row r="2344">
          <cell r="A2344" t="str">
            <v>LYQ-ZQ456-E0-L</v>
          </cell>
          <cell r="B2344" t="str">
            <v>LYQ-ZQ456</v>
          </cell>
        </row>
        <row r="2345">
          <cell r="A2345" t="str">
            <v>LYQ-ZQ456-E0-M</v>
          </cell>
          <cell r="B2345" t="str">
            <v>LYQ-ZQ456</v>
          </cell>
        </row>
        <row r="2346">
          <cell r="A2346" t="str">
            <v>LYQ-ZQ456-E0-S</v>
          </cell>
          <cell r="B2346" t="str">
            <v>LYQ-ZQ456</v>
          </cell>
        </row>
        <row r="2347">
          <cell r="A2347" t="str">
            <v>LYQ-ZQ456-E0-XL</v>
          </cell>
          <cell r="B2347" t="str">
            <v>LYQ-ZQ456</v>
          </cell>
        </row>
        <row r="2348">
          <cell r="A2348" t="str">
            <v>LYQ-ZQ4600-G1-M</v>
          </cell>
          <cell r="B2348" t="str">
            <v>LYQ-ZQ4600</v>
          </cell>
        </row>
        <row r="2349">
          <cell r="A2349" t="str">
            <v>LYQ-ZQ4600-G1-S</v>
          </cell>
          <cell r="B2349" t="str">
            <v>LYQ-ZQ4600</v>
          </cell>
        </row>
        <row r="2350">
          <cell r="A2350" t="str">
            <v>LYQ-ZQ6044-B0-L</v>
          </cell>
          <cell r="B2350" t="str">
            <v>LYQ-ZQ6044</v>
          </cell>
        </row>
        <row r="2351">
          <cell r="A2351" t="str">
            <v>LYQ-ZQ6044-B0-M</v>
          </cell>
          <cell r="B2351" t="str">
            <v>LYQ-ZQ6044</v>
          </cell>
        </row>
        <row r="2352">
          <cell r="A2352" t="str">
            <v>LYQ-ZQ6044-B0-S</v>
          </cell>
          <cell r="B2352" t="str">
            <v>LYQ-ZQ6044</v>
          </cell>
        </row>
        <row r="2353">
          <cell r="A2353" t="str">
            <v>LYQ-ZQ6044-B0-XL</v>
          </cell>
          <cell r="B2353" t="str">
            <v>LYQ-ZQ6044</v>
          </cell>
        </row>
        <row r="2354">
          <cell r="A2354" t="str">
            <v>LYQ-ZQ6044-BT-L</v>
          </cell>
          <cell r="B2354" t="str">
            <v>LYQ-ZQ6044</v>
          </cell>
        </row>
        <row r="2355">
          <cell r="A2355" t="str">
            <v>LYQ-ZQ6044-BT-M</v>
          </cell>
          <cell r="B2355" t="str">
            <v>LYQ-ZQ6044</v>
          </cell>
        </row>
        <row r="2356">
          <cell r="A2356" t="str">
            <v>LYQ-ZQ6044-BT-S</v>
          </cell>
          <cell r="B2356" t="str">
            <v>LYQ-ZQ6044</v>
          </cell>
        </row>
        <row r="2357">
          <cell r="A2357" t="str">
            <v>LYQ-ZQ6044-BT-XL</v>
          </cell>
          <cell r="B2357" t="str">
            <v>LYQ-ZQ6044</v>
          </cell>
        </row>
        <row r="2358">
          <cell r="A2358" t="str">
            <v>LYQ-ZQ7900-W0-L</v>
          </cell>
          <cell r="B2358" t="str">
            <v>LYQ-ZQ7900</v>
          </cell>
        </row>
        <row r="2359">
          <cell r="A2359" t="str">
            <v>LYQ-ZQ7900-W0-M</v>
          </cell>
          <cell r="B2359" t="str">
            <v>LYQ-ZQ7900</v>
          </cell>
        </row>
        <row r="2360">
          <cell r="A2360" t="str">
            <v>LYQ-ZQ7900-W0-S</v>
          </cell>
          <cell r="B2360" t="str">
            <v>LYQ-ZQ7900</v>
          </cell>
        </row>
        <row r="2361">
          <cell r="A2361" t="str">
            <v>LYQ-ZQ7900-W0-XL</v>
          </cell>
          <cell r="B2361" t="str">
            <v>LYQ-ZQ7900</v>
          </cell>
        </row>
        <row r="2362">
          <cell r="A2362" t="str">
            <v>LYQ-ZQ7900-W0-XXL</v>
          </cell>
          <cell r="B2362" t="str">
            <v>LYQ-ZQ7900</v>
          </cell>
        </row>
        <row r="2363">
          <cell r="A2363" t="str">
            <v>LYQ-ZQ8190-L0-L</v>
          </cell>
          <cell r="B2363" t="str">
            <v>LYQ-ZQ8190</v>
          </cell>
        </row>
        <row r="2364">
          <cell r="A2364" t="str">
            <v>LYQ-ZQ8190-P0-L</v>
          </cell>
          <cell r="B2364" t="str">
            <v>LYQ-ZQ8190</v>
          </cell>
        </row>
        <row r="2365">
          <cell r="A2365" t="str">
            <v>LYQ-ZQ8190-P0-M</v>
          </cell>
          <cell r="B2365" t="str">
            <v>LYQ-ZQ8190</v>
          </cell>
        </row>
        <row r="2366">
          <cell r="A2366" t="str">
            <v>LYQ-ZQ8190-P0-S</v>
          </cell>
          <cell r="B2366" t="str">
            <v>LYQ-ZQ8190</v>
          </cell>
        </row>
        <row r="2367">
          <cell r="A2367" t="str">
            <v>LYQ-ZQ8190-P0-XL</v>
          </cell>
          <cell r="B2367" t="str">
            <v>LYQ-ZQ8190</v>
          </cell>
        </row>
        <row r="2368">
          <cell r="A2368" t="str">
            <v>LYQ-ZQ8190-WB-L</v>
          </cell>
          <cell r="B2368" t="str">
            <v>LYQ-ZQ8190</v>
          </cell>
        </row>
        <row r="2369">
          <cell r="A2369" t="str">
            <v>LYQ-ZQ8190-WB-M</v>
          </cell>
          <cell r="B2369" t="str">
            <v>LYQ-ZQ8190</v>
          </cell>
        </row>
        <row r="2370">
          <cell r="A2370" t="str">
            <v>LYQ-ZQ8190-WB-S</v>
          </cell>
          <cell r="B2370" t="str">
            <v>LYQ-ZQ8190</v>
          </cell>
        </row>
        <row r="2371">
          <cell r="A2371" t="str">
            <v>LYQ-ZQ8190-WB-XL</v>
          </cell>
          <cell r="B2371" t="str">
            <v>LYQ-ZQ8190</v>
          </cell>
        </row>
        <row r="2372">
          <cell r="A2372" t="str">
            <v>LYQ-ZQ8190-ZL-L</v>
          </cell>
          <cell r="B2372" t="str">
            <v>LYQ-ZQ8190</v>
          </cell>
        </row>
        <row r="2373">
          <cell r="A2373" t="str">
            <v>LYQ-ZQ8190-ZL-M</v>
          </cell>
          <cell r="B2373" t="str">
            <v>LYQ-ZQ8190</v>
          </cell>
        </row>
        <row r="2374">
          <cell r="A2374" t="str">
            <v>LYQ-ZQ8190-ZL-S</v>
          </cell>
          <cell r="B2374" t="str">
            <v>LYQ-ZQ8190</v>
          </cell>
        </row>
        <row r="2375">
          <cell r="A2375" t="str">
            <v>LYQ-ZQ8190-ZL-XL</v>
          </cell>
          <cell r="B2375" t="str">
            <v>LYQ-ZQ8190</v>
          </cell>
        </row>
        <row r="2376">
          <cell r="A2376" t="str">
            <v>LYQ-ZQ8200-FB-L</v>
          </cell>
          <cell r="B2376" t="str">
            <v>LYQ-ZQ8200</v>
          </cell>
        </row>
        <row r="2377">
          <cell r="A2377" t="str">
            <v>LYQ-ZQ8200-FB-M</v>
          </cell>
          <cell r="B2377" t="str">
            <v>LYQ-ZQ8200</v>
          </cell>
        </row>
        <row r="2378">
          <cell r="A2378" t="str">
            <v>LYQ-ZQ8200-FB-S</v>
          </cell>
          <cell r="B2378" t="str">
            <v>LYQ-ZQ8200</v>
          </cell>
        </row>
        <row r="2379">
          <cell r="A2379" t="str">
            <v>LYQ-ZQ8200-FB-XL</v>
          </cell>
          <cell r="B2379" t="str">
            <v>LYQ-ZQ8200</v>
          </cell>
        </row>
        <row r="2380">
          <cell r="A2380" t="str">
            <v>LYQ-ZQ8200-K0-L</v>
          </cell>
          <cell r="B2380" t="str">
            <v>LYQ-ZQ8200</v>
          </cell>
        </row>
        <row r="2381">
          <cell r="A2381" t="str">
            <v>LYQ-ZQ8200-K0-M</v>
          </cell>
          <cell r="B2381" t="str">
            <v>LYQ-ZQ8200</v>
          </cell>
        </row>
        <row r="2382">
          <cell r="A2382" t="str">
            <v>LYQ-ZQ8200-K0-S</v>
          </cell>
          <cell r="B2382" t="str">
            <v>LYQ-ZQ8200</v>
          </cell>
        </row>
        <row r="2383">
          <cell r="A2383" t="str">
            <v>LYQ-ZQ8200-K0-XL</v>
          </cell>
          <cell r="B2383" t="str">
            <v>LYQ-ZQ8200</v>
          </cell>
        </row>
        <row r="2384">
          <cell r="A2384" t="str">
            <v>LYQ-ZQ8200-P0-L</v>
          </cell>
          <cell r="B2384" t="str">
            <v>LYQ-ZQ8200</v>
          </cell>
        </row>
        <row r="2385">
          <cell r="A2385" t="str">
            <v>LYQ-ZQ8200-P0-M</v>
          </cell>
          <cell r="B2385" t="str">
            <v>LYQ-ZQ8200</v>
          </cell>
        </row>
        <row r="2386">
          <cell r="A2386" t="str">
            <v>LYQ-ZQ8200-P0-S</v>
          </cell>
          <cell r="B2386" t="str">
            <v>LYQ-ZQ8200</v>
          </cell>
        </row>
        <row r="2387">
          <cell r="A2387" t="str">
            <v>LYQ-ZQ8200-P0-XL</v>
          </cell>
          <cell r="B2387" t="str">
            <v>LYQ-ZQ8200</v>
          </cell>
        </row>
        <row r="2388">
          <cell r="A2388" t="str">
            <v>LYQ-ZQ9114-ZL-L</v>
          </cell>
          <cell r="B2388" t="str">
            <v>LYQ-ZQC910</v>
          </cell>
        </row>
        <row r="2389">
          <cell r="A2389" t="str">
            <v>LYQ-ZQC910-K0-L</v>
          </cell>
          <cell r="B2389" t="str">
            <v>LYQ-ZQC910</v>
          </cell>
        </row>
        <row r="2390">
          <cell r="A2390" t="str">
            <v>LYQ-ZQC910-K0-M</v>
          </cell>
          <cell r="B2390" t="str">
            <v>LYQ-ZQC910</v>
          </cell>
        </row>
        <row r="2391">
          <cell r="A2391" t="str">
            <v>LYQ-ZQC910-K0-S</v>
          </cell>
          <cell r="B2391" t="str">
            <v>LYQ-ZQC910</v>
          </cell>
        </row>
        <row r="2392">
          <cell r="A2392" t="str">
            <v>LYQ-ZQC910-K0-XL</v>
          </cell>
          <cell r="B2392" t="str">
            <v>LYQ-ZQC910</v>
          </cell>
        </row>
        <row r="2393">
          <cell r="A2393" t="str">
            <v>LYQ-ZQD270-E0-L</v>
          </cell>
          <cell r="B2393" t="str">
            <v>LYQ-ZQD270</v>
          </cell>
        </row>
        <row r="2394">
          <cell r="A2394" t="str">
            <v>LYQ-ZQD270-E0-M</v>
          </cell>
          <cell r="B2394" t="str">
            <v>LYQ-ZQD270</v>
          </cell>
        </row>
        <row r="2395">
          <cell r="A2395" t="str">
            <v>LYQ-ZQD270-E0-S</v>
          </cell>
          <cell r="B2395" t="str">
            <v>LYQ-ZQD270</v>
          </cell>
        </row>
        <row r="2396">
          <cell r="A2396" t="str">
            <v>LYQ-ZQD270-E0-S-GM</v>
          </cell>
          <cell r="B2396" t="str">
            <v>LYQ-ZQD270</v>
          </cell>
        </row>
        <row r="2397">
          <cell r="A2397" t="str">
            <v>LYQ-ZQD270-E0-XL</v>
          </cell>
          <cell r="B2397" t="str">
            <v>LYQ-ZQD270</v>
          </cell>
        </row>
        <row r="2398">
          <cell r="A2398" t="str">
            <v>LYQ-ZQD270-E0-XL-GM</v>
          </cell>
          <cell r="B2398" t="str">
            <v>LYQ-ZQD270</v>
          </cell>
        </row>
        <row r="2399">
          <cell r="A2399" t="str">
            <v>LYQ-ZQD270-G7-L</v>
          </cell>
          <cell r="B2399" t="str">
            <v>LYQ-ZQD270</v>
          </cell>
        </row>
        <row r="2400">
          <cell r="A2400" t="str">
            <v>LYQ-ZQD270-G7-L-GM</v>
          </cell>
          <cell r="B2400" t="str">
            <v>LYQ-ZQD270</v>
          </cell>
        </row>
        <row r="2401">
          <cell r="A2401" t="str">
            <v>LYQ-ZQD270-G7-M</v>
          </cell>
          <cell r="B2401" t="str">
            <v>LYQ-ZQD270</v>
          </cell>
        </row>
        <row r="2402">
          <cell r="A2402" t="str">
            <v>LYQ-ZQD270-G7-S</v>
          </cell>
          <cell r="B2402" t="str">
            <v>LYQ-ZQD270</v>
          </cell>
        </row>
        <row r="2403">
          <cell r="A2403" t="str">
            <v>LYQ-ZQD270-G7-XL</v>
          </cell>
          <cell r="B2403" t="str">
            <v>LYQ-ZQD270</v>
          </cell>
        </row>
        <row r="2404">
          <cell r="A2404" t="str">
            <v>LYQ-ZQD270-K0-L</v>
          </cell>
          <cell r="B2404" t="str">
            <v>LYQ-ZQD270</v>
          </cell>
        </row>
        <row r="2405">
          <cell r="A2405" t="str">
            <v>LYQ-ZQD270-K0-M</v>
          </cell>
          <cell r="B2405" t="str">
            <v>LYQ-ZQD270</v>
          </cell>
        </row>
        <row r="2406">
          <cell r="A2406" t="str">
            <v>LYQ-ZQD270-K0-S</v>
          </cell>
          <cell r="B2406" t="str">
            <v>LYQ-ZQD270</v>
          </cell>
        </row>
        <row r="2407">
          <cell r="A2407" t="str">
            <v>LYQ-ZQD270-K0-XL</v>
          </cell>
          <cell r="B2407" t="str">
            <v>LYQ-ZQD270</v>
          </cell>
        </row>
        <row r="2408">
          <cell r="A2408" t="str">
            <v>LYQ-ZQD270-KQ-L</v>
          </cell>
          <cell r="B2408" t="str">
            <v>LYQ-ZQD270</v>
          </cell>
        </row>
        <row r="2409">
          <cell r="A2409" t="str">
            <v>LYQ-ZQD270-KQ-M</v>
          </cell>
          <cell r="B2409" t="str">
            <v>LYQ-ZQD270</v>
          </cell>
        </row>
        <row r="2410">
          <cell r="A2410" t="str">
            <v>LYQ-ZQD270-KQ-S</v>
          </cell>
          <cell r="B2410" t="str">
            <v>LYQ-ZQD270</v>
          </cell>
        </row>
        <row r="2411">
          <cell r="A2411" t="str">
            <v>LYQ-ZQD270-KQ-XL</v>
          </cell>
          <cell r="B2411" t="str">
            <v>LYQ-ZQD270</v>
          </cell>
        </row>
        <row r="2412">
          <cell r="A2412" t="str">
            <v>LYQ-ZQD270-P0-L</v>
          </cell>
          <cell r="B2412" t="str">
            <v>LYQ-ZQD270</v>
          </cell>
        </row>
        <row r="2413">
          <cell r="A2413" t="str">
            <v>LYQ-ZQD270-P0-M</v>
          </cell>
          <cell r="B2413" t="str">
            <v>LYQ-ZQD270</v>
          </cell>
        </row>
        <row r="2414">
          <cell r="A2414" t="str">
            <v>LYQ-ZQD270-P0-S</v>
          </cell>
          <cell r="B2414" t="str">
            <v>LYQ-ZQD270</v>
          </cell>
        </row>
        <row r="2415">
          <cell r="A2415" t="str">
            <v>LYQ-ZQD270-P0-XL</v>
          </cell>
          <cell r="B2415" t="str">
            <v>LYQ-ZQD270</v>
          </cell>
        </row>
        <row r="2416">
          <cell r="A2416" t="str">
            <v>LYQ-ZQD270-W0-L</v>
          </cell>
          <cell r="B2416" t="str">
            <v>LYQ-ZQD270</v>
          </cell>
        </row>
        <row r="2417">
          <cell r="A2417" t="str">
            <v>LYQ-ZQD270-W0-M</v>
          </cell>
          <cell r="B2417" t="str">
            <v>LYQ-ZQD270</v>
          </cell>
        </row>
        <row r="2418">
          <cell r="A2418" t="str">
            <v>LYQ-ZQD270-W0-S</v>
          </cell>
          <cell r="B2418" t="str">
            <v>LYQ-ZQD270</v>
          </cell>
        </row>
        <row r="2419">
          <cell r="A2419" t="str">
            <v>LYQ-ZQD270-W0-XL</v>
          </cell>
          <cell r="B2419" t="str">
            <v>LYQ-ZQD270</v>
          </cell>
        </row>
        <row r="2420">
          <cell r="A2420" t="str">
            <v>LYQ-ZQD390-B0-L</v>
          </cell>
          <cell r="B2420" t="str">
            <v>LYQ-ZQD390</v>
          </cell>
        </row>
        <row r="2421">
          <cell r="A2421" t="str">
            <v>LYQ-ZQD390-B0-M</v>
          </cell>
          <cell r="B2421" t="str">
            <v>LYQ-ZQD390</v>
          </cell>
        </row>
        <row r="2422">
          <cell r="A2422" t="str">
            <v>LYQ-ZQD390-B0-S</v>
          </cell>
          <cell r="B2422" t="str">
            <v>LYQ-ZQD390</v>
          </cell>
        </row>
        <row r="2423">
          <cell r="A2423" t="str">
            <v>LYQ-ZQD390-B0-XL</v>
          </cell>
          <cell r="B2423" t="str">
            <v>LYQ-ZQD390</v>
          </cell>
        </row>
        <row r="2424">
          <cell r="A2424" t="str">
            <v>LYQ-ZQD390-BE-L</v>
          </cell>
          <cell r="B2424" t="str">
            <v>LYQ-ZQD390</v>
          </cell>
        </row>
        <row r="2425">
          <cell r="A2425" t="str">
            <v>LYQ-ZQD390-BE-M</v>
          </cell>
          <cell r="B2425" t="str">
            <v>LYQ-ZQD390</v>
          </cell>
        </row>
        <row r="2426">
          <cell r="A2426" t="str">
            <v>LYQ-ZQD390-BE-S</v>
          </cell>
          <cell r="B2426" t="str">
            <v>LYQ-ZQD390</v>
          </cell>
        </row>
        <row r="2427">
          <cell r="A2427" t="str">
            <v>LYQ-ZQD390-BE-XL</v>
          </cell>
          <cell r="B2427" t="str">
            <v>LYQ-ZQD390</v>
          </cell>
        </row>
        <row r="2428">
          <cell r="A2428" t="str">
            <v>LYQ-ZQD390-BE-XL-GM</v>
          </cell>
          <cell r="B2428" t="str">
            <v>LYQ-ZQD390</v>
          </cell>
        </row>
        <row r="2429">
          <cell r="A2429" t="str">
            <v>LYQ-ZQD390-E0-L</v>
          </cell>
          <cell r="B2429" t="str">
            <v>LYQ-ZQD390</v>
          </cell>
        </row>
        <row r="2430">
          <cell r="A2430" t="str">
            <v>LYQ-ZQD390-E0-M</v>
          </cell>
          <cell r="B2430" t="str">
            <v>LYQ-ZQD390</v>
          </cell>
        </row>
        <row r="2431">
          <cell r="A2431" t="str">
            <v>LYQ-ZQD390-E0-S</v>
          </cell>
          <cell r="B2431" t="str">
            <v>LYQ-ZQD390</v>
          </cell>
        </row>
        <row r="2432">
          <cell r="A2432" t="str">
            <v>LYQ-ZQD390-E0-XL</v>
          </cell>
          <cell r="B2432" t="str">
            <v>LYQ-ZQD390</v>
          </cell>
        </row>
        <row r="2433">
          <cell r="A2433" t="str">
            <v>LYQ-ZQD390-E0-XL-GM</v>
          </cell>
          <cell r="B2433" t="str">
            <v>LYQ-ZQD390</v>
          </cell>
        </row>
        <row r="2434">
          <cell r="A2434" t="str">
            <v>LYQ-ZQD390-G0-L</v>
          </cell>
          <cell r="B2434" t="str">
            <v>LYQ-ZQD390</v>
          </cell>
        </row>
        <row r="2435">
          <cell r="A2435" t="str">
            <v>LYQ-ZQD390-G0-M</v>
          </cell>
          <cell r="B2435" t="str">
            <v>LYQ-ZQD390</v>
          </cell>
        </row>
        <row r="2436">
          <cell r="A2436" t="str">
            <v>LYQ-ZQD390-G0-S</v>
          </cell>
          <cell r="B2436" t="str">
            <v>LYQ-ZQD390</v>
          </cell>
        </row>
        <row r="2437">
          <cell r="A2437" t="str">
            <v>LYQ-ZQD390-G0-XL</v>
          </cell>
          <cell r="B2437" t="str">
            <v>LYQ-ZQD390</v>
          </cell>
        </row>
        <row r="2438">
          <cell r="A2438" t="str">
            <v>LYQ-ZQD390-K0-L</v>
          </cell>
          <cell r="B2438" t="str">
            <v>LYQ-ZQD390</v>
          </cell>
        </row>
        <row r="2439">
          <cell r="A2439" t="str">
            <v>LYQ-ZQD390-K0-M</v>
          </cell>
          <cell r="B2439" t="str">
            <v>LYQ-ZQD390</v>
          </cell>
        </row>
        <row r="2440">
          <cell r="A2440" t="str">
            <v>LYQ-ZQD390-K0-S</v>
          </cell>
          <cell r="B2440" t="str">
            <v>LYQ-ZQD390</v>
          </cell>
        </row>
        <row r="2441">
          <cell r="A2441" t="str">
            <v>LYQ-ZQD390-K0-XL</v>
          </cell>
          <cell r="B2441" t="str">
            <v>LYQ-ZQD390</v>
          </cell>
        </row>
        <row r="2442">
          <cell r="A2442" t="str">
            <v>LYQ-ZQD390-PI-L</v>
          </cell>
          <cell r="B2442" t="str">
            <v>LYQ-ZQD390</v>
          </cell>
        </row>
        <row r="2443">
          <cell r="A2443" t="str">
            <v>LYQ-ZQD390-PI-M</v>
          </cell>
          <cell r="B2443" t="str">
            <v>LYQ-ZQD390</v>
          </cell>
        </row>
        <row r="2444">
          <cell r="A2444" t="str">
            <v>LYQ-ZQD390-PI-M-GM</v>
          </cell>
          <cell r="B2444" t="str">
            <v>LYQ-ZQD390</v>
          </cell>
        </row>
        <row r="2445">
          <cell r="A2445" t="str">
            <v>LYQ-ZQD390-PI-S</v>
          </cell>
          <cell r="B2445" t="str">
            <v>LYQ-ZQD390</v>
          </cell>
        </row>
        <row r="2446">
          <cell r="A2446" t="str">
            <v>LYQ-ZQD390-PI-XL</v>
          </cell>
          <cell r="B2446" t="str">
            <v>LYQ-ZQD390</v>
          </cell>
        </row>
        <row r="2447">
          <cell r="A2447" t="str">
            <v>LYQ-ZQD390-PI-XL-GM</v>
          </cell>
          <cell r="B2447" t="str">
            <v>LYQ-ZQD390</v>
          </cell>
        </row>
        <row r="2448">
          <cell r="A2448" t="str">
            <v>LYQ-ZQD390-W0-L</v>
          </cell>
          <cell r="B2448" t="str">
            <v>LYQ-ZQD390</v>
          </cell>
        </row>
        <row r="2449">
          <cell r="A2449" t="str">
            <v>LYQ-ZQD390-W0-M</v>
          </cell>
          <cell r="B2449" t="str">
            <v>LYQ-ZQD390</v>
          </cell>
        </row>
        <row r="2450">
          <cell r="A2450" t="str">
            <v>LYQ-ZQD390-W0-S</v>
          </cell>
          <cell r="B2450" t="str">
            <v>LYQ-ZQD390</v>
          </cell>
        </row>
        <row r="2451">
          <cell r="A2451" t="str">
            <v>LYQ-ZQD390-W0-XL</v>
          </cell>
          <cell r="B2451" t="str">
            <v>LYQ-ZQD390</v>
          </cell>
        </row>
        <row r="2452">
          <cell r="A2452" t="str">
            <v>LYQ-ZQD390-W0-XL-GM</v>
          </cell>
          <cell r="B2452" t="str">
            <v>LYQ-ZQD390</v>
          </cell>
        </row>
        <row r="2453">
          <cell r="A2453" t="str">
            <v>LYQ-ZQLC00-K0-L</v>
          </cell>
          <cell r="B2453" t="str">
            <v>LYQ-ZQLC00</v>
          </cell>
        </row>
        <row r="2454">
          <cell r="A2454" t="str">
            <v>LYQ-ZQLC00-K0-M</v>
          </cell>
          <cell r="B2454" t="str">
            <v>LYQ-ZQLC00</v>
          </cell>
        </row>
        <row r="2455">
          <cell r="A2455" t="str">
            <v>LYQ-ZQLC00-K0-S</v>
          </cell>
          <cell r="B2455" t="str">
            <v>LYQ-ZQLC00</v>
          </cell>
        </row>
        <row r="2456">
          <cell r="A2456" t="str">
            <v>LYQ-ZQLC00-K0-XL</v>
          </cell>
          <cell r="B2456" t="str">
            <v>LYQ-ZQLC00</v>
          </cell>
        </row>
        <row r="2457">
          <cell r="A2457" t="str">
            <v>LYQ-ZQLP01-P0-L</v>
          </cell>
          <cell r="B2457" t="str">
            <v>LYQ-ZQLP01</v>
          </cell>
        </row>
        <row r="2458">
          <cell r="A2458" t="str">
            <v>LYQ-ZQLP01-P0-M</v>
          </cell>
          <cell r="B2458" t="str">
            <v>LYQ-ZQLP01</v>
          </cell>
        </row>
        <row r="2459">
          <cell r="A2459" t="str">
            <v>LYQ-ZQLP01-P0-S</v>
          </cell>
          <cell r="B2459" t="str">
            <v>LYQ-ZQLP01</v>
          </cell>
        </row>
        <row r="2460">
          <cell r="A2460" t="str">
            <v>LYQ-ZQLP01-P0-XL</v>
          </cell>
          <cell r="B2460" t="str">
            <v>LYQ-ZQLP01</v>
          </cell>
        </row>
        <row r="2461">
          <cell r="A2461" t="str">
            <v>LYQ-ZQMB170005-K0-2X</v>
          </cell>
          <cell r="B2461" t="str">
            <v>LYQ-ZQMB170005</v>
          </cell>
        </row>
        <row r="2462">
          <cell r="A2462" t="str">
            <v>LYQ-ZQMB170005-K0-3X</v>
          </cell>
          <cell r="B2462" t="str">
            <v>LYQ-ZQMB170005</v>
          </cell>
        </row>
        <row r="2463">
          <cell r="A2463" t="str">
            <v>LYQ-ZQMB170005-K0-XL</v>
          </cell>
          <cell r="B2463" t="str">
            <v>LYQ-ZQMB170005</v>
          </cell>
        </row>
        <row r="2464">
          <cell r="A2464" t="str">
            <v>LYQ-ZQMB3811-E0-2X</v>
          </cell>
          <cell r="B2464" t="str">
            <v>LYQ-ZQMB3811</v>
          </cell>
        </row>
        <row r="2465">
          <cell r="A2465" t="str">
            <v>LYQ-ZQMB3811-E0-3X</v>
          </cell>
          <cell r="B2465" t="str">
            <v>LYQ-ZQMB3811</v>
          </cell>
        </row>
        <row r="2466">
          <cell r="A2466" t="str">
            <v>LYQ-ZQMB3811-E0-4X</v>
          </cell>
          <cell r="B2466" t="str">
            <v>LYQ-ZQMB3811</v>
          </cell>
        </row>
        <row r="2467">
          <cell r="A2467" t="str">
            <v>LYQ-ZQMB3811-E0-5X</v>
          </cell>
          <cell r="B2467" t="str">
            <v>LYQ-ZQMB3811</v>
          </cell>
        </row>
        <row r="2468">
          <cell r="A2468" t="str">
            <v>LYQ-ZQMB3811-E0-6X</v>
          </cell>
          <cell r="B2468" t="str">
            <v>LYQ-ZQMB3811</v>
          </cell>
        </row>
        <row r="2469">
          <cell r="A2469" t="str">
            <v>LYQ-ZQMB3811-E0-XL</v>
          </cell>
          <cell r="B2469" t="str">
            <v>LYQ-ZQMB3811</v>
          </cell>
        </row>
        <row r="2470">
          <cell r="A2470" t="str">
            <v>LYQ-ZQMB3811-K0-2X</v>
          </cell>
          <cell r="B2470" t="str">
            <v>LYQ-ZQMB3811</v>
          </cell>
        </row>
        <row r="2471">
          <cell r="A2471" t="str">
            <v>LYQ-ZQMB3811-K0-3X</v>
          </cell>
          <cell r="B2471" t="str">
            <v>LYQ-ZQMB3811</v>
          </cell>
        </row>
        <row r="2472">
          <cell r="A2472" t="str">
            <v>LYQ-ZQMB3811-K0-4X</v>
          </cell>
          <cell r="B2472" t="str">
            <v>LYQ-ZQMB3811</v>
          </cell>
        </row>
        <row r="2473">
          <cell r="A2473" t="str">
            <v>LYQ-ZQMB3811-K0-5X</v>
          </cell>
          <cell r="B2473" t="str">
            <v>LYQ-ZQMB3811</v>
          </cell>
        </row>
        <row r="2474">
          <cell r="A2474" t="str">
            <v>LYQ-ZQMB3811-K0-6X</v>
          </cell>
          <cell r="B2474" t="str">
            <v>LYQ-ZQMB3811</v>
          </cell>
        </row>
        <row r="2475">
          <cell r="A2475" t="str">
            <v>LYQ-ZQMB3811-K0-XL</v>
          </cell>
          <cell r="B2475" t="str">
            <v>LYQ-ZQMB3811</v>
          </cell>
        </row>
        <row r="2476">
          <cell r="A2476" t="str">
            <v>LYQ-ZQPC01-B0-L</v>
          </cell>
          <cell r="B2476" t="str">
            <v>LYQ-ZQPC01</v>
          </cell>
        </row>
        <row r="2477">
          <cell r="A2477" t="str">
            <v>LYQ-ZQPC01-B0-M</v>
          </cell>
          <cell r="B2477" t="str">
            <v>LYQ-ZQPC01</v>
          </cell>
        </row>
        <row r="2478">
          <cell r="A2478" t="str">
            <v>LYQ-ZQPC01-B0-S</v>
          </cell>
          <cell r="B2478" t="str">
            <v>LYQ-ZQPC01</v>
          </cell>
        </row>
        <row r="2479">
          <cell r="A2479" t="str">
            <v>LYQ-ZQPC01-B0-XL</v>
          </cell>
          <cell r="B2479" t="str">
            <v>LYQ-ZQPC01</v>
          </cell>
        </row>
        <row r="2480">
          <cell r="A2480" t="str">
            <v>LYQ-ZQPC01-B0-XXL</v>
          </cell>
          <cell r="B2480" t="str">
            <v>LYQ-ZQPC01</v>
          </cell>
        </row>
        <row r="2481">
          <cell r="A2481" t="str">
            <v>LYQ-ZQPC01-BD-L</v>
          </cell>
          <cell r="B2481" t="str">
            <v>LYQ-ZQPC01</v>
          </cell>
        </row>
        <row r="2482">
          <cell r="A2482" t="str">
            <v>LYQ-ZQPC01-BD-M</v>
          </cell>
          <cell r="B2482" t="str">
            <v>LYQ-ZQPC01</v>
          </cell>
        </row>
        <row r="2483">
          <cell r="A2483" t="str">
            <v>LYQ-ZQPC01-BD-S</v>
          </cell>
          <cell r="B2483" t="str">
            <v>LYQ-ZQPC01</v>
          </cell>
        </row>
        <row r="2484">
          <cell r="A2484" t="str">
            <v>LYQ-ZQPC01-BD-XL</v>
          </cell>
          <cell r="B2484" t="str">
            <v>LYQ-ZQPC01</v>
          </cell>
        </row>
        <row r="2485">
          <cell r="A2485" t="str">
            <v>LYQ-ZQPC01-BD-XXL</v>
          </cell>
          <cell r="B2485" t="str">
            <v>LYQ-ZQPC01</v>
          </cell>
        </row>
        <row r="2486">
          <cell r="A2486" t="str">
            <v>LYQ-ZQPC01-E0-L</v>
          </cell>
          <cell r="B2486" t="str">
            <v>LYQ-ZQPC01</v>
          </cell>
        </row>
        <row r="2487">
          <cell r="A2487" t="str">
            <v>LYQ-ZQPC01-E0-M</v>
          </cell>
          <cell r="B2487" t="str">
            <v>LYQ-ZQPC01</v>
          </cell>
        </row>
        <row r="2488">
          <cell r="A2488" t="str">
            <v>LYQ-ZQPC01-E0-S</v>
          </cell>
          <cell r="B2488" t="str">
            <v>LYQ-ZQPC01</v>
          </cell>
        </row>
        <row r="2489">
          <cell r="A2489" t="str">
            <v>LYQ-ZQPC01-E0-XL</v>
          </cell>
          <cell r="B2489" t="str">
            <v>LYQ-ZQPC01</v>
          </cell>
        </row>
        <row r="2490">
          <cell r="A2490" t="str">
            <v>LYQ-ZQPC01-E0-XXL</v>
          </cell>
          <cell r="B2490" t="str">
            <v>LYQ-ZQPC01</v>
          </cell>
        </row>
        <row r="2491">
          <cell r="A2491" t="str">
            <v>LYQ-ZQPC01-P0-L</v>
          </cell>
          <cell r="B2491" t="str">
            <v>LYQ-ZQPC01</v>
          </cell>
        </row>
        <row r="2492">
          <cell r="A2492" t="str">
            <v>LYQ-ZQPC01-P0-M</v>
          </cell>
          <cell r="B2492" t="str">
            <v>LYQ-ZQPC01</v>
          </cell>
        </row>
        <row r="2493">
          <cell r="A2493" t="str">
            <v>LYQ-ZQPC01-P0-S</v>
          </cell>
          <cell r="B2493" t="str">
            <v>LYQ-ZQPC01</v>
          </cell>
        </row>
        <row r="2494">
          <cell r="A2494" t="str">
            <v>LYQ-ZQPC01-P0-XL</v>
          </cell>
          <cell r="B2494" t="str">
            <v>LYQ-ZQPC01</v>
          </cell>
        </row>
        <row r="2495">
          <cell r="A2495" t="str">
            <v>LYQ-ZQPC01-P0-XXL</v>
          </cell>
          <cell r="B2495" t="str">
            <v>LYQ-ZQPC01</v>
          </cell>
        </row>
        <row r="2496">
          <cell r="A2496" t="str">
            <v>LYQ-ZQPC01-ZL-L</v>
          </cell>
          <cell r="B2496" t="str">
            <v>LYQ-ZQPC01</v>
          </cell>
        </row>
        <row r="2497">
          <cell r="A2497" t="str">
            <v>LYQ-ZQPC01-ZL-M</v>
          </cell>
          <cell r="B2497" t="str">
            <v>LYQ-ZQPC01</v>
          </cell>
        </row>
        <row r="2498">
          <cell r="A2498" t="str">
            <v>LYQ-ZQPC01-ZL-S</v>
          </cell>
          <cell r="B2498" t="str">
            <v>LYQ-ZQPC01</v>
          </cell>
        </row>
        <row r="2499">
          <cell r="A2499" t="str">
            <v>LYQ-ZQPC01-ZL-XL</v>
          </cell>
          <cell r="B2499" t="str">
            <v>LYQ-ZQPC01</v>
          </cell>
        </row>
        <row r="2500">
          <cell r="A2500" t="str">
            <v>LYQ-ZQPC01-ZL-XXL</v>
          </cell>
          <cell r="B2500" t="str">
            <v>LYQ-ZQPC01</v>
          </cell>
        </row>
        <row r="2501">
          <cell r="A2501" t="str">
            <v>LYQ-ZQS1741-G7-L</v>
          </cell>
          <cell r="B2501" t="str">
            <v>LYQ-ZQS1741</v>
          </cell>
        </row>
        <row r="2502">
          <cell r="A2502" t="str">
            <v>LYQ-ZQS1741-G7-M</v>
          </cell>
          <cell r="B2502" t="str">
            <v>LYQ-ZQS1741</v>
          </cell>
        </row>
        <row r="2503">
          <cell r="A2503" t="str">
            <v>LYQ-ZQS1741-G7-S</v>
          </cell>
          <cell r="B2503" t="str">
            <v>LYQ-ZQS1741</v>
          </cell>
        </row>
        <row r="2504">
          <cell r="A2504" t="str">
            <v>LYQ-ZQS1741-G7-XL</v>
          </cell>
          <cell r="B2504" t="str">
            <v>LYQ-ZQS1741</v>
          </cell>
        </row>
        <row r="2505">
          <cell r="A2505" t="str">
            <v>LYQ-ZQS1741-K0-L</v>
          </cell>
          <cell r="B2505" t="str">
            <v>LYQ-ZQS1741</v>
          </cell>
        </row>
        <row r="2506">
          <cell r="A2506" t="str">
            <v>LYQ-ZQS1741-K0-M</v>
          </cell>
          <cell r="B2506" t="str">
            <v>LYQ-ZQS1741</v>
          </cell>
        </row>
        <row r="2507">
          <cell r="A2507" t="str">
            <v>LYQ-ZQS1741-K0-S</v>
          </cell>
          <cell r="B2507" t="str">
            <v>LYQ-ZQS1741</v>
          </cell>
        </row>
        <row r="2508">
          <cell r="A2508" t="str">
            <v>LYQ-ZQS1741-K0-XL</v>
          </cell>
          <cell r="B2508" t="str">
            <v>LYQ-ZQS1741</v>
          </cell>
        </row>
        <row r="2509">
          <cell r="A2509" t="str">
            <v>LYQ-ZQS1741-W0-L</v>
          </cell>
          <cell r="B2509" t="str">
            <v>LYQ-ZQS1741</v>
          </cell>
        </row>
        <row r="2510">
          <cell r="A2510" t="str">
            <v>LYQ-ZQS1741-W0-M</v>
          </cell>
          <cell r="B2510" t="str">
            <v>LYQ-ZQS1741</v>
          </cell>
        </row>
        <row r="2511">
          <cell r="A2511" t="str">
            <v>LYQ-ZQS1741-W0-S</v>
          </cell>
          <cell r="B2511" t="str">
            <v>LYQ-ZQS1741</v>
          </cell>
        </row>
        <row r="2512">
          <cell r="A2512" t="str">
            <v>LYQ-ZQS1741-W0-XL</v>
          </cell>
          <cell r="B2512" t="str">
            <v>LYQ-ZQS1741</v>
          </cell>
        </row>
        <row r="2513">
          <cell r="A2513" t="str">
            <v>LYQ-ZQTN2611-BD-2X</v>
          </cell>
          <cell r="B2513" t="str">
            <v>LYQ-ZQTN2611</v>
          </cell>
        </row>
        <row r="2514">
          <cell r="A2514" t="str">
            <v>LYQ-ZQTN2611-BD-3X</v>
          </cell>
          <cell r="B2514" t="str">
            <v>LYQ-ZQTN2611</v>
          </cell>
        </row>
        <row r="2515">
          <cell r="A2515" t="str">
            <v>LYQ-ZQTN2611-BD-4X</v>
          </cell>
          <cell r="B2515" t="str">
            <v>LYQ-ZQTN2611</v>
          </cell>
        </row>
        <row r="2516">
          <cell r="A2516" t="str">
            <v>LYQ-ZQTN2611-BD-5X</v>
          </cell>
          <cell r="B2516" t="str">
            <v>LYQ-ZQTN2611</v>
          </cell>
        </row>
        <row r="2517">
          <cell r="A2517" t="str">
            <v>LYQ-ZQTN2611-PI-2X</v>
          </cell>
          <cell r="B2517" t="str">
            <v>LYQ-ZQTN2611</v>
          </cell>
        </row>
        <row r="2518">
          <cell r="A2518" t="str">
            <v>LYQ-ZQTN2611-PI-3X</v>
          </cell>
          <cell r="B2518" t="str">
            <v>LYQ-ZQTN2611</v>
          </cell>
        </row>
        <row r="2519">
          <cell r="A2519" t="str">
            <v>LYQ-ZQTN2611-PI-4X</v>
          </cell>
          <cell r="B2519" t="str">
            <v>LYQ-ZQTN2611</v>
          </cell>
        </row>
        <row r="2520">
          <cell r="A2520" t="str">
            <v>LYQ-ZQTN2611-PI-5X</v>
          </cell>
          <cell r="B2520" t="str">
            <v>LYQ-ZQTN2611</v>
          </cell>
        </row>
        <row r="2521">
          <cell r="A2521" t="str">
            <v>LYQ-ZQTN2611-PI-6X</v>
          </cell>
          <cell r="B2521" t="str">
            <v>LYQ-ZQTN2611</v>
          </cell>
        </row>
        <row r="2522">
          <cell r="A2522" t="str">
            <v>LYQ-ZQTN2611-PI-XL</v>
          </cell>
          <cell r="B2522" t="str">
            <v>LYQ-ZQTN2611</v>
          </cell>
        </row>
        <row r="2523">
          <cell r="A2523" t="str">
            <v>LYQ-ZQTW01-B0-L</v>
          </cell>
          <cell r="B2523" t="str">
            <v>LYQ-ZQTW01</v>
          </cell>
        </row>
        <row r="2524">
          <cell r="A2524" t="str">
            <v>LYQ-ZQTW586-K0-XL</v>
          </cell>
          <cell r="B2524" t="str">
            <v>LYQ-ZQTW586</v>
          </cell>
        </row>
        <row r="2525">
          <cell r="A2525" t="str">
            <v>MJ-IUYL230-BL-L</v>
          </cell>
          <cell r="B2525" t="str">
            <v>MJ-IUYL230</v>
          </cell>
        </row>
        <row r="2526">
          <cell r="A2526" t="str">
            <v>MJ-IUYL230-BL-S</v>
          </cell>
          <cell r="B2526" t="str">
            <v>MJ-IUYL230</v>
          </cell>
        </row>
        <row r="2527">
          <cell r="A2527" t="str">
            <v>MJ-IUYL230-CF-L</v>
          </cell>
          <cell r="B2527" t="str">
            <v>MJ-IUYL230</v>
          </cell>
        </row>
        <row r="2528">
          <cell r="A2528" t="str">
            <v>MJ-IUYL230-CF-S</v>
          </cell>
          <cell r="B2528" t="str">
            <v>MJ-IUYL230</v>
          </cell>
        </row>
        <row r="2529">
          <cell r="A2529" t="str">
            <v>MJ-IUYL230-PK-L</v>
          </cell>
          <cell r="B2529" t="str">
            <v>MJ-IUYL230</v>
          </cell>
        </row>
        <row r="2530">
          <cell r="A2530" t="str">
            <v>MJ-IUYL230-PK-S</v>
          </cell>
          <cell r="B2530" t="str">
            <v>MJ-IUYL230</v>
          </cell>
        </row>
        <row r="2531">
          <cell r="A2531" t="str">
            <v>MMDC-IUHM100-BK</v>
          </cell>
          <cell r="B2531" t="str">
            <v>MMDC-IUHM100</v>
          </cell>
        </row>
        <row r="2532">
          <cell r="A2532" t="str">
            <v>MNQ-7188</v>
          </cell>
          <cell r="B2532" t="str">
            <v>MNQ-7188</v>
          </cell>
        </row>
        <row r="2533">
          <cell r="A2533" t="str">
            <v>MNQ-BT718K02XL</v>
          </cell>
          <cell r="B2533" t="str">
            <v>MNQ-7188</v>
          </cell>
        </row>
        <row r="2534">
          <cell r="A2534" t="str">
            <v>MNQ-BT718K0L</v>
          </cell>
          <cell r="B2534" t="str">
            <v>MNQ-7188</v>
          </cell>
        </row>
        <row r="2535">
          <cell r="A2535" t="str">
            <v>MNQ-BT718K0M</v>
          </cell>
          <cell r="B2535" t="str">
            <v>MNQ-7188</v>
          </cell>
        </row>
        <row r="2536">
          <cell r="A2536" t="str">
            <v>MNQ-BT718K0S</v>
          </cell>
          <cell r="B2536" t="str">
            <v>MNQ-7188</v>
          </cell>
        </row>
        <row r="2537">
          <cell r="A2537" t="str">
            <v>MNQ-BT718W02XL</v>
          </cell>
          <cell r="B2537" t="str">
            <v>MNQ-7188</v>
          </cell>
        </row>
        <row r="2538">
          <cell r="A2538" t="str">
            <v>MNQ-BT718W0L</v>
          </cell>
          <cell r="B2538" t="str">
            <v>MNQ-7188</v>
          </cell>
        </row>
        <row r="2539">
          <cell r="A2539" t="str">
            <v>MNQ-BT718W0M</v>
          </cell>
          <cell r="B2539" t="str">
            <v>MNQ-7188</v>
          </cell>
        </row>
        <row r="2540">
          <cell r="A2540" t="str">
            <v>MNQ-BT718W0S</v>
          </cell>
          <cell r="B2540" t="str">
            <v>MNQ-7188</v>
          </cell>
        </row>
        <row r="2541">
          <cell r="A2541" t="str">
            <v>MNQ-N7188-K0-2XL</v>
          </cell>
          <cell r="B2541" t="str">
            <v>MNQ-7188</v>
          </cell>
        </row>
        <row r="2542">
          <cell r="A2542" t="str">
            <v>MNQ-N7188-K0-L</v>
          </cell>
          <cell r="B2542" t="str">
            <v>MNQ-7188</v>
          </cell>
        </row>
        <row r="2543">
          <cell r="A2543" t="str">
            <v>MNQ-N7188-K0-M</v>
          </cell>
          <cell r="B2543" t="str">
            <v>MNQ-7188</v>
          </cell>
        </row>
        <row r="2544">
          <cell r="A2544" t="str">
            <v>MNQ-N7188-K0-S</v>
          </cell>
          <cell r="B2544" t="str">
            <v>MNQ-7188</v>
          </cell>
        </row>
        <row r="2545">
          <cell r="A2545" t="str">
            <v>MNQ-N7188-K0-XL</v>
          </cell>
          <cell r="B2545" t="str">
            <v>MNQ-7188</v>
          </cell>
        </row>
        <row r="2546">
          <cell r="A2546" t="str">
            <v>MNQ-N7188-K0-XS</v>
          </cell>
          <cell r="B2546" t="str">
            <v>MNQ-7188</v>
          </cell>
        </row>
        <row r="2547">
          <cell r="A2547" t="str">
            <v>MNQ-N7188-W0-2XL</v>
          </cell>
          <cell r="B2547" t="str">
            <v>MNQ-7188</v>
          </cell>
        </row>
        <row r="2548">
          <cell r="A2548" t="str">
            <v>MNQ-N7188-W0-L</v>
          </cell>
          <cell r="B2548" t="str">
            <v>MNQ-7188</v>
          </cell>
        </row>
        <row r="2549">
          <cell r="A2549" t="str">
            <v>MNQ-N7188-W0-M</v>
          </cell>
          <cell r="B2549" t="str">
            <v>MNQ-7188</v>
          </cell>
        </row>
        <row r="2550">
          <cell r="A2550" t="str">
            <v>MNQ-N7188-W0-S</v>
          </cell>
          <cell r="B2550" t="str">
            <v>MNQ-7188</v>
          </cell>
        </row>
        <row r="2551">
          <cell r="A2551" t="str">
            <v>MNQ-N7188-W0-XL</v>
          </cell>
          <cell r="B2551" t="str">
            <v>MNQ-7188</v>
          </cell>
        </row>
        <row r="2552">
          <cell r="A2552" t="str">
            <v>MNQ-N7188-W0-XS</v>
          </cell>
          <cell r="B2552" t="str">
            <v>MNQ-7188</v>
          </cell>
        </row>
        <row r="2553">
          <cell r="A2553" t="str">
            <v>MNQ-N718B0XL</v>
          </cell>
          <cell r="B2553" t="str">
            <v>MNQ-7188</v>
          </cell>
        </row>
        <row r="2554">
          <cell r="A2554" t="str">
            <v>MNQ-N718B2XL</v>
          </cell>
          <cell r="B2554" t="str">
            <v>MNQ-7188</v>
          </cell>
        </row>
        <row r="2555">
          <cell r="A2555" t="str">
            <v>MNQ-N718BM</v>
          </cell>
          <cell r="B2555" t="str">
            <v>MNQ-7188</v>
          </cell>
        </row>
        <row r="2556">
          <cell r="A2556" t="str">
            <v>MNQ-N718BS</v>
          </cell>
          <cell r="B2556" t="str">
            <v>MNQ-7188</v>
          </cell>
        </row>
        <row r="2557">
          <cell r="A2557" t="str">
            <v>MNQ-N718BXL-1</v>
          </cell>
          <cell r="B2557" t="str">
            <v>MNQ-7188</v>
          </cell>
        </row>
        <row r="2558">
          <cell r="A2558" t="str">
            <v>MNQ-N718BXXL</v>
          </cell>
          <cell r="B2558" t="str">
            <v>MNQ-7188</v>
          </cell>
        </row>
        <row r="2559">
          <cell r="A2559" t="str">
            <v>MNQ-N718-W0-S</v>
          </cell>
          <cell r="B2559" t="str">
            <v>MNQ-7188</v>
          </cell>
        </row>
        <row r="2560">
          <cell r="A2560" t="str">
            <v>MNQ-N718W0XL</v>
          </cell>
          <cell r="B2560" t="str">
            <v>MNQ-7188</v>
          </cell>
        </row>
        <row r="2561">
          <cell r="A2561" t="str">
            <v>MNQ-N718W2XL</v>
          </cell>
          <cell r="B2561" t="str">
            <v>MNQ-7188</v>
          </cell>
        </row>
        <row r="2562">
          <cell r="A2562" t="str">
            <v>MNQ-N718WL</v>
          </cell>
          <cell r="B2562" t="str">
            <v>MNQ-7188</v>
          </cell>
        </row>
        <row r="2563">
          <cell r="A2563" t="str">
            <v>MNQ-N718WM</v>
          </cell>
          <cell r="B2563" t="str">
            <v>MNQ-7188</v>
          </cell>
        </row>
        <row r="2564">
          <cell r="A2564" t="str">
            <v>MNQ-N718WS</v>
          </cell>
          <cell r="B2564" t="str">
            <v>MNQ-7188</v>
          </cell>
        </row>
        <row r="2565">
          <cell r="A2565" t="str">
            <v>MNQ-N718WXL</v>
          </cell>
          <cell r="B2565" t="str">
            <v>MNQ-7188</v>
          </cell>
        </row>
        <row r="2566">
          <cell r="A2566" t="str">
            <v>MNQ-N718WXXL</v>
          </cell>
          <cell r="B2566" t="str">
            <v>MNQ-7188</v>
          </cell>
        </row>
        <row r="2567">
          <cell r="A2567" t="str">
            <v>MY-0036NEW-B0</v>
          </cell>
          <cell r="B2567" t="str">
            <v>MY-0036NEW</v>
          </cell>
        </row>
        <row r="2568">
          <cell r="A2568" t="str">
            <v>MY-0036NEW-GR</v>
          </cell>
          <cell r="B2568" t="str">
            <v>MY-0036NEW</v>
          </cell>
        </row>
        <row r="2569">
          <cell r="A2569" t="str">
            <v>MY-0036NEW-GR-GM</v>
          </cell>
          <cell r="B2569" t="str">
            <v>MY-0036NEW</v>
          </cell>
        </row>
        <row r="2570">
          <cell r="A2570" t="str">
            <v>MY-0036NEW-K0</v>
          </cell>
          <cell r="B2570" t="str">
            <v>MY-0036NEW</v>
          </cell>
        </row>
        <row r="2571">
          <cell r="A2571" t="str">
            <v>MY-0036NEW-K0-GM</v>
          </cell>
          <cell r="B2571" t="str">
            <v>MY-0036NEW</v>
          </cell>
        </row>
        <row r="2572">
          <cell r="A2572" t="str">
            <v>MY-0036NEW-KA</v>
          </cell>
          <cell r="B2572" t="str">
            <v>MY-0036NEW</v>
          </cell>
        </row>
        <row r="2573">
          <cell r="A2573" t="str">
            <v>MY-0036NEW-OR</v>
          </cell>
          <cell r="B2573" t="str">
            <v>MY-0036NEW</v>
          </cell>
        </row>
        <row r="2574">
          <cell r="A2574" t="str">
            <v>MY-0036NEW-OR-GM</v>
          </cell>
          <cell r="B2574" t="str">
            <v>MY-0036NEW</v>
          </cell>
        </row>
        <row r="2575">
          <cell r="A2575" t="str">
            <v>MY-0036NEW-PI</v>
          </cell>
          <cell r="B2575" t="str">
            <v>MY-0036NEW</v>
          </cell>
        </row>
        <row r="2576">
          <cell r="A2576" t="str">
            <v>MY-CL17182-00</v>
          </cell>
          <cell r="B2576" t="str">
            <v>MY-CL17182</v>
          </cell>
        </row>
        <row r="2577">
          <cell r="A2577" t="str">
            <v>MY-CL17182-KQ</v>
          </cell>
          <cell r="B2577" t="str">
            <v>MY-CL17182</v>
          </cell>
        </row>
        <row r="2578">
          <cell r="A2578" t="str">
            <v>MY-CL17182-W1</v>
          </cell>
          <cell r="B2578" t="str">
            <v>MY-CL17182</v>
          </cell>
        </row>
        <row r="2579">
          <cell r="A2579" t="str">
            <v>MY-CL17182-Y0</v>
          </cell>
          <cell r="B2579" t="str">
            <v>MY-CL17182</v>
          </cell>
        </row>
        <row r="2580">
          <cell r="A2580" t="str">
            <v>MY-CL1925</v>
          </cell>
          <cell r="B2580" t="str">
            <v>MY-CL1925</v>
          </cell>
        </row>
        <row r="2581">
          <cell r="A2581" t="str">
            <v>MY-CL1925-E0-2XL</v>
          </cell>
          <cell r="B2581" t="str">
            <v>MY-CL1925</v>
          </cell>
        </row>
        <row r="2582">
          <cell r="A2582" t="str">
            <v>MY-CL1925-E0-L</v>
          </cell>
          <cell r="B2582" t="str">
            <v>MY-CL1925</v>
          </cell>
        </row>
        <row r="2583">
          <cell r="A2583" t="str">
            <v>MY-CL1925-E0-M</v>
          </cell>
          <cell r="B2583" t="str">
            <v>MY-CL1925</v>
          </cell>
        </row>
        <row r="2584">
          <cell r="A2584" t="str">
            <v>MY-CL1925-E0-S</v>
          </cell>
          <cell r="B2584" t="str">
            <v>MY-CL1925</v>
          </cell>
        </row>
        <row r="2585">
          <cell r="A2585" t="str">
            <v>MY-CL1925-E0-XL</v>
          </cell>
          <cell r="B2585" t="str">
            <v>MY-CL1925</v>
          </cell>
        </row>
        <row r="2586">
          <cell r="A2586" t="str">
            <v>MY-CL1925-G7-2XL</v>
          </cell>
          <cell r="B2586" t="str">
            <v>MY-CL1925</v>
          </cell>
        </row>
        <row r="2587">
          <cell r="A2587" t="str">
            <v>MY-CL1925-G7-L</v>
          </cell>
          <cell r="B2587" t="str">
            <v>MY-CL1925</v>
          </cell>
        </row>
        <row r="2588">
          <cell r="A2588" t="str">
            <v>MY-CL1925-G7-M</v>
          </cell>
          <cell r="B2588" t="str">
            <v>MY-CL1925</v>
          </cell>
        </row>
        <row r="2589">
          <cell r="A2589" t="str">
            <v>MY-CL1925-G7-S</v>
          </cell>
          <cell r="B2589" t="str">
            <v>MY-CL1925</v>
          </cell>
        </row>
        <row r="2590">
          <cell r="A2590" t="str">
            <v>MY-CL1925-G7-XL</v>
          </cell>
          <cell r="B2590" t="str">
            <v>MY-CL1925</v>
          </cell>
        </row>
        <row r="2591">
          <cell r="A2591" t="str">
            <v>MY-CL1925-R6-2XL</v>
          </cell>
          <cell r="B2591" t="str">
            <v>MY-CL1925</v>
          </cell>
        </row>
        <row r="2592">
          <cell r="A2592" t="str">
            <v>MY-CL1925-R6-L</v>
          </cell>
          <cell r="B2592" t="str">
            <v>MY-CL1925</v>
          </cell>
        </row>
        <row r="2593">
          <cell r="A2593" t="str">
            <v>MY-CL1925-R6-M</v>
          </cell>
          <cell r="B2593" t="str">
            <v>MY-CL1925</v>
          </cell>
        </row>
        <row r="2594">
          <cell r="A2594" t="str">
            <v>MY-CL1925-R6-S</v>
          </cell>
          <cell r="B2594" t="str">
            <v>MY-CL1925</v>
          </cell>
        </row>
        <row r="2595">
          <cell r="A2595" t="str">
            <v>MY-CL1925-R6-XL</v>
          </cell>
          <cell r="B2595" t="str">
            <v>MY-CL1925</v>
          </cell>
        </row>
        <row r="2596">
          <cell r="A2596" t="str">
            <v>MY-CL1925-W0-2XL</v>
          </cell>
          <cell r="B2596" t="str">
            <v>MY-CL1925</v>
          </cell>
        </row>
        <row r="2597">
          <cell r="A2597" t="str">
            <v>MY-CL1925-W0-L</v>
          </cell>
          <cell r="B2597" t="str">
            <v>MY-CL1925</v>
          </cell>
        </row>
        <row r="2598">
          <cell r="A2598" t="str">
            <v>MY-CL1925-W0-M</v>
          </cell>
          <cell r="B2598" t="str">
            <v>MY-CL1925</v>
          </cell>
        </row>
        <row r="2599">
          <cell r="A2599" t="str">
            <v>MY-CL1925-W0-S</v>
          </cell>
          <cell r="B2599" t="str">
            <v>MY-CL1925</v>
          </cell>
        </row>
        <row r="2600">
          <cell r="A2600" t="str">
            <v>MY-CL1925-W0-XL</v>
          </cell>
          <cell r="B2600" t="str">
            <v>MY-CL1925</v>
          </cell>
        </row>
        <row r="2601">
          <cell r="A2601" t="str">
            <v>MY-CL3362-W1-L</v>
          </cell>
          <cell r="B2601" t="str">
            <v>MY-CL3362</v>
          </cell>
        </row>
        <row r="2602">
          <cell r="A2602" t="str">
            <v>MY-HM1206</v>
          </cell>
          <cell r="B2602" t="str">
            <v>MY-HM1206</v>
          </cell>
        </row>
        <row r="2603">
          <cell r="A2603" t="str">
            <v>MY-HM1206-BR-L</v>
          </cell>
          <cell r="B2603" t="str">
            <v>MY-HM1206</v>
          </cell>
        </row>
        <row r="2604">
          <cell r="A2604" t="str">
            <v>MY-HM1206-BR-M</v>
          </cell>
          <cell r="B2604" t="str">
            <v>MY-HM1206</v>
          </cell>
        </row>
        <row r="2605">
          <cell r="A2605" t="str">
            <v>MY-HM1206-BR-M-GM</v>
          </cell>
          <cell r="B2605" t="str">
            <v>MY-HM1206</v>
          </cell>
        </row>
        <row r="2606">
          <cell r="A2606" t="str">
            <v>MY-HM1206-BR-S</v>
          </cell>
          <cell r="B2606" t="str">
            <v>MY-HM1206</v>
          </cell>
        </row>
        <row r="2607">
          <cell r="A2607" t="str">
            <v>MY-HM1206-BR-XL</v>
          </cell>
          <cell r="B2607" t="str">
            <v>MY-HM1206</v>
          </cell>
        </row>
        <row r="2608">
          <cell r="A2608" t="str">
            <v>MY-HM1206-GR-L</v>
          </cell>
          <cell r="B2608" t="str">
            <v>MY-HM1206</v>
          </cell>
        </row>
        <row r="2609">
          <cell r="A2609" t="str">
            <v>MY-HM1206-GR-M</v>
          </cell>
          <cell r="B2609" t="str">
            <v>MY-HM1206</v>
          </cell>
        </row>
        <row r="2610">
          <cell r="A2610" t="str">
            <v>MY-HM1206-GR-S</v>
          </cell>
          <cell r="B2610" t="str">
            <v>MY-HM1206</v>
          </cell>
        </row>
        <row r="2611">
          <cell r="A2611" t="str">
            <v>MY-HM1206-GR-XL</v>
          </cell>
          <cell r="B2611" t="str">
            <v>MY-HM1206</v>
          </cell>
        </row>
        <row r="2612">
          <cell r="A2612" t="str">
            <v>MY-HM1206-K0-L</v>
          </cell>
          <cell r="B2612" t="str">
            <v>MY-HM1206</v>
          </cell>
        </row>
        <row r="2613">
          <cell r="A2613" t="str">
            <v>MY-HM1206-K0-M</v>
          </cell>
          <cell r="B2613" t="str">
            <v>MY-HM1206</v>
          </cell>
        </row>
        <row r="2614">
          <cell r="A2614" t="str">
            <v>MY-HM1206-K0-S</v>
          </cell>
          <cell r="B2614" t="str">
            <v>MY-HM1206</v>
          </cell>
        </row>
        <row r="2615">
          <cell r="A2615" t="str">
            <v>MY-HM1206-K0-XL</v>
          </cell>
          <cell r="B2615" t="str">
            <v>MY-HM1206</v>
          </cell>
        </row>
        <row r="2616">
          <cell r="A2616" t="str">
            <v>MY-HM1206-KH-L</v>
          </cell>
          <cell r="B2616" t="str">
            <v>MY-HM1206</v>
          </cell>
        </row>
        <row r="2617">
          <cell r="A2617" t="str">
            <v>MY-HM1206-KH-L-GM</v>
          </cell>
          <cell r="B2617" t="str">
            <v>MY-HM1206</v>
          </cell>
        </row>
        <row r="2618">
          <cell r="A2618" t="str">
            <v>MY-HM1206-KH-M</v>
          </cell>
          <cell r="B2618" t="str">
            <v>MY-HM1206</v>
          </cell>
        </row>
        <row r="2619">
          <cell r="A2619" t="str">
            <v>MY-HM1206-KH-M-GM</v>
          </cell>
          <cell r="B2619" t="str">
            <v>MY-HM1206</v>
          </cell>
        </row>
        <row r="2620">
          <cell r="A2620" t="str">
            <v>MY-HM1206-KH-S</v>
          </cell>
          <cell r="B2620" t="str">
            <v>MY-HM1206</v>
          </cell>
        </row>
        <row r="2621">
          <cell r="A2621" t="str">
            <v>MY-HM1206-KH-S-GM</v>
          </cell>
          <cell r="B2621" t="str">
            <v>MY-HM1206</v>
          </cell>
        </row>
        <row r="2622">
          <cell r="A2622" t="str">
            <v>MY-HM1206-KH-XL</v>
          </cell>
          <cell r="B2622" t="str">
            <v>MY-HM1206</v>
          </cell>
        </row>
        <row r="2623">
          <cell r="A2623" t="str">
            <v>MY-HM1206-KH-XL-GM</v>
          </cell>
          <cell r="B2623" t="str">
            <v>MY-HM1206</v>
          </cell>
        </row>
        <row r="2624">
          <cell r="A2624" t="str">
            <v>MY-HM1206-OR-L</v>
          </cell>
          <cell r="B2624" t="str">
            <v>MY-HM1206</v>
          </cell>
        </row>
        <row r="2625">
          <cell r="A2625" t="str">
            <v>MY-HM1206-OR-M</v>
          </cell>
          <cell r="B2625" t="str">
            <v>MY-HM1206</v>
          </cell>
        </row>
        <row r="2626">
          <cell r="A2626" t="str">
            <v>MY-HM1206-OR-S</v>
          </cell>
          <cell r="B2626" t="str">
            <v>MY-HM1206</v>
          </cell>
        </row>
        <row r="2627">
          <cell r="A2627" t="str">
            <v>MY-HM1206-OR-XL</v>
          </cell>
          <cell r="B2627" t="str">
            <v>MY-HM1206</v>
          </cell>
        </row>
        <row r="2628">
          <cell r="A2628" t="str">
            <v>MY-HM1206-OR-XL-GM</v>
          </cell>
          <cell r="B2628" t="str">
            <v>MY-HM1206</v>
          </cell>
        </row>
        <row r="2629">
          <cell r="A2629" t="str">
            <v>MY-LYHigh303-DG-L</v>
          </cell>
          <cell r="B2629" t="str">
            <v>MY-LYHigh303</v>
          </cell>
        </row>
        <row r="2630">
          <cell r="A2630" t="str">
            <v>MY-LYHigh303-DG-M</v>
          </cell>
          <cell r="B2630" t="str">
            <v>MY-LYHigh303</v>
          </cell>
        </row>
        <row r="2631">
          <cell r="A2631" t="str">
            <v>MY-LYHigh303-DG-S</v>
          </cell>
          <cell r="B2631" t="str">
            <v>MY-LYHigh303</v>
          </cell>
        </row>
        <row r="2632">
          <cell r="A2632" t="str">
            <v>MY-LYHigh303-DG-XL</v>
          </cell>
          <cell r="B2632" t="str">
            <v>MY-LYHigh303</v>
          </cell>
        </row>
        <row r="2633">
          <cell r="A2633" t="str">
            <v>MY-LYHigh303-GR-L</v>
          </cell>
          <cell r="B2633" t="str">
            <v>MY-LYHigh303</v>
          </cell>
        </row>
        <row r="2634">
          <cell r="A2634" t="str">
            <v>MY-LYHigh303-GR-M</v>
          </cell>
          <cell r="B2634" t="str">
            <v>MY-LYHigh303</v>
          </cell>
        </row>
        <row r="2635">
          <cell r="A2635" t="str">
            <v>MY-LYHigh303-GR-S</v>
          </cell>
          <cell r="B2635" t="str">
            <v>MY-LYHigh303</v>
          </cell>
        </row>
        <row r="2636">
          <cell r="A2636" t="str">
            <v>MY-LYHigh303-GR-XL</v>
          </cell>
          <cell r="B2636" t="str">
            <v>MY-LYHigh303</v>
          </cell>
        </row>
        <row r="2637">
          <cell r="A2637" t="str">
            <v>MY-LYHigh303-K0-L</v>
          </cell>
          <cell r="B2637" t="str">
            <v>MY-LYHigh303</v>
          </cell>
        </row>
        <row r="2638">
          <cell r="A2638" t="str">
            <v>MY-LYHigh303-K0-M</v>
          </cell>
          <cell r="B2638" t="str">
            <v>MY-LYHigh303</v>
          </cell>
        </row>
        <row r="2639">
          <cell r="A2639" t="str">
            <v>MY-LYHigh303-K0-S1</v>
          </cell>
          <cell r="B2639" t="str">
            <v>MY-LYHigh303</v>
          </cell>
        </row>
        <row r="2640">
          <cell r="A2640" t="str">
            <v>MY-LYHigh303-K0-XL</v>
          </cell>
          <cell r="B2640" t="str">
            <v>MY-LYHigh303</v>
          </cell>
        </row>
        <row r="2641">
          <cell r="A2641" t="str">
            <v>MY-LYHigh303-KQ-L</v>
          </cell>
          <cell r="B2641" t="str">
            <v>MY-LYHigh303</v>
          </cell>
        </row>
        <row r="2642">
          <cell r="A2642" t="str">
            <v>MY-LYHigh303-KQ-M</v>
          </cell>
          <cell r="B2642" t="str">
            <v>MY-LYHigh303</v>
          </cell>
        </row>
        <row r="2643">
          <cell r="A2643" t="str">
            <v>MY-LYHigh303-KQ-S</v>
          </cell>
          <cell r="B2643" t="str">
            <v>MY-LYHigh303</v>
          </cell>
        </row>
        <row r="2644">
          <cell r="A2644" t="str">
            <v>MY-LYHigh303-KQ-XL</v>
          </cell>
          <cell r="B2644" t="str">
            <v>MY-LYHigh303</v>
          </cell>
        </row>
        <row r="2645">
          <cell r="A2645" t="str">
            <v>MY-LYHigh303-LB-L</v>
          </cell>
          <cell r="B2645" t="str">
            <v>MY-LYHigh303</v>
          </cell>
        </row>
        <row r="2646">
          <cell r="A2646" t="str">
            <v>MY-LYHigh303-LB-M</v>
          </cell>
          <cell r="B2646" t="str">
            <v>MY-LYHigh303</v>
          </cell>
        </row>
        <row r="2647">
          <cell r="A2647" t="str">
            <v>MY-LYHigh303-LB-S</v>
          </cell>
          <cell r="B2647" t="str">
            <v>MY-LYHigh303</v>
          </cell>
        </row>
        <row r="2648">
          <cell r="A2648" t="str">
            <v>MY-LYHigh303-LB-XL</v>
          </cell>
          <cell r="B2648" t="str">
            <v>MY-LYHigh303</v>
          </cell>
        </row>
        <row r="2649">
          <cell r="A2649" t="str">
            <v>MY-LYHigh303-OR-L</v>
          </cell>
          <cell r="B2649" t="str">
            <v>MY-LYHigh303</v>
          </cell>
        </row>
        <row r="2650">
          <cell r="A2650" t="str">
            <v>MY-LYHigh303-OR-M</v>
          </cell>
          <cell r="B2650" t="str">
            <v>MY-LYHigh303</v>
          </cell>
        </row>
        <row r="2651">
          <cell r="A2651" t="str">
            <v>MY-LYHigh303-OR-S</v>
          </cell>
          <cell r="B2651" t="str">
            <v>MY-LYHigh303</v>
          </cell>
        </row>
        <row r="2652">
          <cell r="A2652" t="str">
            <v>MY-LYHigh303-OR-XL</v>
          </cell>
          <cell r="B2652" t="str">
            <v>MY-LYHigh303</v>
          </cell>
        </row>
        <row r="2653">
          <cell r="A2653" t="str">
            <v>MY-LYHigh303-W0-L</v>
          </cell>
          <cell r="B2653" t="str">
            <v>MY-LYHigh303</v>
          </cell>
        </row>
        <row r="2654">
          <cell r="A2654" t="str">
            <v>MY-LYHigh303-W0-M</v>
          </cell>
          <cell r="B2654" t="str">
            <v>MY-LYHigh303</v>
          </cell>
        </row>
        <row r="2655">
          <cell r="A2655" t="str">
            <v>MY-LYHigh303-W0-S</v>
          </cell>
          <cell r="B2655" t="str">
            <v>MY-LYHigh303</v>
          </cell>
        </row>
        <row r="2656">
          <cell r="A2656" t="str">
            <v>MY-LYHigh303-W0-XL</v>
          </cell>
          <cell r="B2656" t="str">
            <v>MY-LYHigh303</v>
          </cell>
        </row>
        <row r="2657">
          <cell r="A2657" t="str">
            <v>MY-LYHigh303-WR-L</v>
          </cell>
          <cell r="B2657" t="str">
            <v>MY-LYHigh303</v>
          </cell>
        </row>
        <row r="2658">
          <cell r="A2658" t="str">
            <v>MY-LYHigh303-WR-M</v>
          </cell>
          <cell r="B2658" t="str">
            <v>MY-LYHigh303</v>
          </cell>
        </row>
        <row r="2659">
          <cell r="A2659" t="str">
            <v>MY-LYHigh303-WR-S</v>
          </cell>
          <cell r="B2659" t="str">
            <v>MY-LYHigh303</v>
          </cell>
        </row>
        <row r="2660">
          <cell r="A2660" t="str">
            <v>MY-LYHigh303-WR-XL</v>
          </cell>
          <cell r="B2660" t="str">
            <v>MY-LYHigh303</v>
          </cell>
        </row>
        <row r="2661">
          <cell r="A2661" t="str">
            <v>MY-LYPoint021-DG-L</v>
          </cell>
          <cell r="B2661" t="str">
            <v>MY-LYPoint021</v>
          </cell>
        </row>
        <row r="2662">
          <cell r="A2662" t="str">
            <v>MY-LYPoint021-DG-M</v>
          </cell>
          <cell r="B2662" t="str">
            <v>MY-LYPoint021</v>
          </cell>
        </row>
        <row r="2663">
          <cell r="A2663" t="str">
            <v>MY-LYPoint021-DG-S</v>
          </cell>
          <cell r="B2663" t="str">
            <v>MY-LYPoint021</v>
          </cell>
        </row>
        <row r="2664">
          <cell r="A2664" t="str">
            <v>MY-LYPoint021-DG-XL</v>
          </cell>
          <cell r="B2664" t="str">
            <v>MY-LYPoint021</v>
          </cell>
        </row>
        <row r="2665">
          <cell r="A2665" t="str">
            <v>MY-LYPoint021-GR-L</v>
          </cell>
          <cell r="B2665" t="str">
            <v>MY-LYPoint021</v>
          </cell>
        </row>
        <row r="2666">
          <cell r="A2666" t="str">
            <v>MY-LYPoint021-GR-M</v>
          </cell>
          <cell r="B2666" t="str">
            <v>MY-LYPoint021</v>
          </cell>
        </row>
        <row r="2667">
          <cell r="A2667" t="str">
            <v>MY-LYPoint021-GR-S</v>
          </cell>
          <cell r="B2667" t="str">
            <v>MY-LYPoint021</v>
          </cell>
        </row>
        <row r="2668">
          <cell r="A2668" t="str">
            <v>MY-LYPoint021-GR-XL</v>
          </cell>
          <cell r="B2668" t="str">
            <v>MY-LYPoint021</v>
          </cell>
        </row>
        <row r="2669">
          <cell r="A2669" t="str">
            <v>MY-LYPoint021-K0-L</v>
          </cell>
          <cell r="B2669" t="str">
            <v>MY-LYPoint021</v>
          </cell>
        </row>
        <row r="2670">
          <cell r="A2670" t="str">
            <v>MY-LYPoint021-K0-M</v>
          </cell>
          <cell r="B2670" t="str">
            <v>MY-LYPoint021</v>
          </cell>
        </row>
        <row r="2671">
          <cell r="A2671" t="str">
            <v>MY-LYPoint021-K0-S1</v>
          </cell>
          <cell r="B2671" t="str">
            <v>MY-LYPoint021</v>
          </cell>
        </row>
        <row r="2672">
          <cell r="A2672" t="str">
            <v>MY-LYPoint021-K0-XL</v>
          </cell>
          <cell r="B2672" t="str">
            <v>MY-LYPoint021</v>
          </cell>
        </row>
        <row r="2673">
          <cell r="A2673" t="str">
            <v>MY-LYPoint021-KQ-L</v>
          </cell>
          <cell r="B2673" t="str">
            <v>MY-LYPoint021</v>
          </cell>
        </row>
        <row r="2674">
          <cell r="A2674" t="str">
            <v>MY-LYPoint021-KQ-M</v>
          </cell>
          <cell r="B2674" t="str">
            <v>MY-LYPoint021</v>
          </cell>
        </row>
        <row r="2675">
          <cell r="A2675" t="str">
            <v>MY-LYPoint021-KQ-S</v>
          </cell>
          <cell r="B2675" t="str">
            <v>MY-LYPoint021</v>
          </cell>
        </row>
        <row r="2676">
          <cell r="A2676" t="str">
            <v>MY-LYPoint021-KQ-XL</v>
          </cell>
          <cell r="B2676" t="str">
            <v>MY-LYPoint021</v>
          </cell>
        </row>
        <row r="2677">
          <cell r="A2677" t="str">
            <v>MY-LYPoint021-LB-L</v>
          </cell>
          <cell r="B2677" t="str">
            <v>MY-LYPoint021</v>
          </cell>
        </row>
        <row r="2678">
          <cell r="A2678" t="str">
            <v>MY-LYPoint021-LB-M</v>
          </cell>
          <cell r="B2678" t="str">
            <v>MY-LYPoint021</v>
          </cell>
        </row>
        <row r="2679">
          <cell r="A2679" t="str">
            <v>MY-LYPoint021-LB-S</v>
          </cell>
          <cell r="B2679" t="str">
            <v>MY-LYPoint021</v>
          </cell>
        </row>
        <row r="2680">
          <cell r="A2680" t="str">
            <v>MY-LYPoint021-LB-XL</v>
          </cell>
          <cell r="B2680" t="str">
            <v>MY-LYPoint021</v>
          </cell>
        </row>
        <row r="2681">
          <cell r="A2681" t="str">
            <v>MY-LYPoint021-OR-L</v>
          </cell>
          <cell r="B2681" t="str">
            <v>MY-LYPoint021</v>
          </cell>
        </row>
        <row r="2682">
          <cell r="A2682" t="str">
            <v>MY-LYPoint021-OR-M</v>
          </cell>
          <cell r="B2682" t="str">
            <v>MY-LYPoint021</v>
          </cell>
        </row>
        <row r="2683">
          <cell r="A2683" t="str">
            <v>MY-LYPoint021-OR-S</v>
          </cell>
          <cell r="B2683" t="str">
            <v>MY-LYPoint021</v>
          </cell>
        </row>
        <row r="2684">
          <cell r="A2684" t="str">
            <v>MY-LYPoint021-OR-XL</v>
          </cell>
          <cell r="B2684" t="str">
            <v>MY-LYPoint021</v>
          </cell>
        </row>
        <row r="2685">
          <cell r="A2685" t="str">
            <v>MY-LYPoint021-W0-L</v>
          </cell>
          <cell r="B2685" t="str">
            <v>MY-LYPoint021</v>
          </cell>
        </row>
        <row r="2686">
          <cell r="A2686" t="str">
            <v>MY-LYPoint021-W0-M</v>
          </cell>
          <cell r="B2686" t="str">
            <v>MY-LYPoint021</v>
          </cell>
        </row>
        <row r="2687">
          <cell r="A2687" t="str">
            <v>MY-LYPoint021-W0-S</v>
          </cell>
          <cell r="B2687" t="str">
            <v>MY-LYPoint021</v>
          </cell>
        </row>
        <row r="2688">
          <cell r="A2688" t="str">
            <v>MY-LYPoint021-W0-XL</v>
          </cell>
          <cell r="B2688" t="str">
            <v>MY-LYPoint021</v>
          </cell>
        </row>
        <row r="2689">
          <cell r="A2689" t="str">
            <v>MY-LYPoint021-WR-L</v>
          </cell>
          <cell r="B2689" t="str">
            <v>MY-LYPoint021</v>
          </cell>
        </row>
        <row r="2690">
          <cell r="A2690" t="str">
            <v>MY-LYPoint021-WR-M</v>
          </cell>
          <cell r="B2690" t="str">
            <v>MY-LYPoint021</v>
          </cell>
        </row>
        <row r="2691">
          <cell r="A2691" t="str">
            <v>MY-LYPoint021-WR-S</v>
          </cell>
          <cell r="B2691" t="str">
            <v>MY-LYPoint021</v>
          </cell>
        </row>
        <row r="2692">
          <cell r="A2692" t="str">
            <v>MY-LYPoint021-WR-XL</v>
          </cell>
          <cell r="B2692" t="str">
            <v>MY-LYPoint021</v>
          </cell>
        </row>
        <row r="2693">
          <cell r="A2693" t="str">
            <v>MY-LYRound020-DG-L</v>
          </cell>
          <cell r="B2693" t="str">
            <v>MY-LYRound020</v>
          </cell>
        </row>
        <row r="2694">
          <cell r="A2694" t="str">
            <v>MY-LYRound020-DG-M</v>
          </cell>
          <cell r="B2694" t="str">
            <v>MY-LYRound020</v>
          </cell>
        </row>
        <row r="2695">
          <cell r="A2695" t="str">
            <v>MY-LYRound020-DG-S</v>
          </cell>
          <cell r="B2695" t="str">
            <v>MY-LYRound020</v>
          </cell>
        </row>
        <row r="2696">
          <cell r="A2696" t="str">
            <v>MY-LYRound020-DG-XL</v>
          </cell>
          <cell r="B2696" t="str">
            <v>MY-LYRound020</v>
          </cell>
        </row>
        <row r="2697">
          <cell r="A2697" t="str">
            <v>MY-LYRound020-GR-L</v>
          </cell>
          <cell r="B2697" t="str">
            <v>MY-LYRound020</v>
          </cell>
        </row>
        <row r="2698">
          <cell r="A2698" t="str">
            <v>MY-LYRound020-GR-M</v>
          </cell>
          <cell r="B2698" t="str">
            <v>MY-LYRound020</v>
          </cell>
        </row>
        <row r="2699">
          <cell r="A2699" t="str">
            <v>MY-LYRound020-GR-S</v>
          </cell>
          <cell r="B2699" t="str">
            <v>MY-LYRound020</v>
          </cell>
        </row>
        <row r="2700">
          <cell r="A2700" t="str">
            <v>MY-LYRound020-GR-XL</v>
          </cell>
          <cell r="B2700" t="str">
            <v>MY-LYRound020</v>
          </cell>
        </row>
        <row r="2701">
          <cell r="A2701" t="str">
            <v>MY-LYRound020-K0-L</v>
          </cell>
          <cell r="B2701" t="str">
            <v>MY-LYRound020</v>
          </cell>
        </row>
        <row r="2702">
          <cell r="A2702" t="str">
            <v>MY-LYRound020-K0-M</v>
          </cell>
          <cell r="B2702" t="str">
            <v>MY-LYRound020</v>
          </cell>
        </row>
        <row r="2703">
          <cell r="A2703" t="str">
            <v>MY-LYRound020-K0-S</v>
          </cell>
          <cell r="B2703" t="str">
            <v>MY-LYRound020</v>
          </cell>
        </row>
        <row r="2704">
          <cell r="A2704" t="str">
            <v>MY-LYRound020-K0-XL</v>
          </cell>
          <cell r="B2704" t="str">
            <v>MY-LYRound020</v>
          </cell>
        </row>
        <row r="2705">
          <cell r="A2705" t="str">
            <v>MY-LYRound020-KQ-L</v>
          </cell>
          <cell r="B2705" t="str">
            <v>MY-LYRound020</v>
          </cell>
        </row>
        <row r="2706">
          <cell r="A2706" t="str">
            <v>MY-LYRound020-KQ-M</v>
          </cell>
          <cell r="B2706" t="str">
            <v>MY-LYRound020</v>
          </cell>
        </row>
        <row r="2707">
          <cell r="A2707" t="str">
            <v>MY-LYRound020-KQ-S</v>
          </cell>
          <cell r="B2707" t="str">
            <v>MY-LYRound020</v>
          </cell>
        </row>
        <row r="2708">
          <cell r="A2708" t="str">
            <v>MY-LYRound020-KQ-XL</v>
          </cell>
          <cell r="B2708" t="str">
            <v>MY-LYRound020</v>
          </cell>
        </row>
        <row r="2709">
          <cell r="A2709" t="str">
            <v>MY-LYRound020-LB-L</v>
          </cell>
          <cell r="B2709" t="str">
            <v>MY-LYRound020</v>
          </cell>
        </row>
        <row r="2710">
          <cell r="A2710" t="str">
            <v>MY-LYRound020-LB-M</v>
          </cell>
          <cell r="B2710" t="str">
            <v>MY-LYRound020</v>
          </cell>
        </row>
        <row r="2711">
          <cell r="A2711" t="str">
            <v>MY-LYRound020-LB-S</v>
          </cell>
          <cell r="B2711" t="str">
            <v>MY-LYRound020</v>
          </cell>
        </row>
        <row r="2712">
          <cell r="A2712" t="str">
            <v>MY-LYRound020-LB-XL</v>
          </cell>
          <cell r="B2712" t="str">
            <v>MY-LYRound020</v>
          </cell>
        </row>
        <row r="2713">
          <cell r="A2713" t="str">
            <v>MY-LYRound020-OR-L</v>
          </cell>
          <cell r="B2713" t="str">
            <v>MY-LYRound020</v>
          </cell>
        </row>
        <row r="2714">
          <cell r="A2714" t="str">
            <v>MY-LYRound020-OR-M</v>
          </cell>
          <cell r="B2714" t="str">
            <v>MY-LYRound020</v>
          </cell>
        </row>
        <row r="2715">
          <cell r="A2715" t="str">
            <v>MY-LYRound020-OR-S</v>
          </cell>
          <cell r="B2715" t="str">
            <v>MY-LYRound020</v>
          </cell>
        </row>
        <row r="2716">
          <cell r="A2716" t="str">
            <v>MY-LYRound020-OR-XL</v>
          </cell>
          <cell r="B2716" t="str">
            <v>MY-LYRound020</v>
          </cell>
        </row>
        <row r="2717">
          <cell r="A2717" t="str">
            <v>MY-LYRound020-W0-L</v>
          </cell>
          <cell r="B2717" t="str">
            <v>MY-LYRound020</v>
          </cell>
        </row>
        <row r="2718">
          <cell r="A2718" t="str">
            <v>MY-LYRound020-W0-M</v>
          </cell>
          <cell r="B2718" t="str">
            <v>MY-LYRound020</v>
          </cell>
        </row>
        <row r="2719">
          <cell r="A2719" t="str">
            <v>MY-LYRound020-W0-S</v>
          </cell>
          <cell r="B2719" t="str">
            <v>MY-LYRound020</v>
          </cell>
        </row>
        <row r="2720">
          <cell r="A2720" t="str">
            <v>MY-LYRound020-W0-XL</v>
          </cell>
          <cell r="B2720" t="str">
            <v>MY-LYRound020</v>
          </cell>
        </row>
        <row r="2721">
          <cell r="A2721" t="str">
            <v>MY-LYRound020-WR-L</v>
          </cell>
          <cell r="B2721" t="str">
            <v>MY-LYRound020</v>
          </cell>
        </row>
        <row r="2722">
          <cell r="A2722" t="str">
            <v>MY-LYRound020-WR-M</v>
          </cell>
          <cell r="B2722" t="str">
            <v>MY-LYRound020</v>
          </cell>
        </row>
        <row r="2723">
          <cell r="A2723" t="str">
            <v>MY-LYRound020-WR-S</v>
          </cell>
          <cell r="B2723" t="str">
            <v>MY-LYRound020</v>
          </cell>
        </row>
        <row r="2724">
          <cell r="A2724" t="str">
            <v>MY-LYRound020-WR-XL</v>
          </cell>
          <cell r="B2724" t="str">
            <v>MY-LYRound020</v>
          </cell>
        </row>
        <row r="2725">
          <cell r="A2725" t="str">
            <v>MY-PUHM001-OR-10</v>
          </cell>
          <cell r="B2725" t="str">
            <v>MY-PUHM001</v>
          </cell>
        </row>
        <row r="2726">
          <cell r="A2726" t="str">
            <v>MY-PUHM001-OR-12</v>
          </cell>
          <cell r="B2726" t="str">
            <v>MY-PUHM001</v>
          </cell>
        </row>
        <row r="2727">
          <cell r="A2727" t="str">
            <v>MY-PUHM001-OR-14</v>
          </cell>
          <cell r="B2727" t="str">
            <v>MY-PUHM001</v>
          </cell>
        </row>
        <row r="2728">
          <cell r="A2728" t="str">
            <v>MY-PUHM001-OR-16</v>
          </cell>
          <cell r="B2728" t="str">
            <v>MY-PUHM001</v>
          </cell>
        </row>
        <row r="2729">
          <cell r="A2729" t="str">
            <v>MY-PUHM001-OR-20</v>
          </cell>
          <cell r="B2729" t="str">
            <v>MY-PUHM001</v>
          </cell>
        </row>
        <row r="2730">
          <cell r="A2730" t="str">
            <v>MY-PUHM001-OR-24</v>
          </cell>
          <cell r="B2730" t="str">
            <v>MY-PUHM001</v>
          </cell>
        </row>
        <row r="2731">
          <cell r="A2731" t="str">
            <v>MY-PUHM001-OR-28</v>
          </cell>
          <cell r="B2731" t="str">
            <v>MY-PUHM001</v>
          </cell>
        </row>
        <row r="2732">
          <cell r="A2732" t="str">
            <v>MY-PUHM001-OR-8</v>
          </cell>
          <cell r="B2732" t="str">
            <v>MY-PUHM001</v>
          </cell>
        </row>
        <row r="2733">
          <cell r="A2733" t="str">
            <v>MY-PUHM001-R0-10</v>
          </cell>
          <cell r="B2733" t="str">
            <v>MY-PUHM001</v>
          </cell>
        </row>
        <row r="2734">
          <cell r="A2734" t="str">
            <v>MY-PUHM001-R0-12</v>
          </cell>
          <cell r="B2734" t="str">
            <v>MY-PUHM001</v>
          </cell>
        </row>
        <row r="2735">
          <cell r="A2735" t="str">
            <v>MY-PUHM001-R0-14</v>
          </cell>
          <cell r="B2735" t="str">
            <v>MY-PUHM001</v>
          </cell>
        </row>
        <row r="2736">
          <cell r="A2736" t="str">
            <v>MY-PUHM001-R0-16</v>
          </cell>
          <cell r="B2736" t="str">
            <v>MY-PUHM001</v>
          </cell>
        </row>
        <row r="2737">
          <cell r="A2737" t="str">
            <v>MY-PUHM001-R0-20</v>
          </cell>
          <cell r="B2737" t="str">
            <v>MY-PUHM001</v>
          </cell>
        </row>
        <row r="2738">
          <cell r="A2738" t="str">
            <v>MY-PUHM001-R0-24</v>
          </cell>
          <cell r="B2738" t="str">
            <v>MY-PUHM001</v>
          </cell>
        </row>
        <row r="2739">
          <cell r="A2739" t="str">
            <v>MY-PUHM001-R0-28</v>
          </cell>
          <cell r="B2739" t="str">
            <v>MY-PUHM001</v>
          </cell>
        </row>
        <row r="2740">
          <cell r="A2740" t="str">
            <v>MY-PUHM001-R0-8</v>
          </cell>
          <cell r="B2740" t="str">
            <v>MY-PUHM001</v>
          </cell>
        </row>
        <row r="2741">
          <cell r="A2741" t="str">
            <v>MY-PUHM001-ZL-10</v>
          </cell>
          <cell r="B2741" t="str">
            <v>MY-PUHM001</v>
          </cell>
        </row>
        <row r="2742">
          <cell r="A2742" t="str">
            <v>MY-PUHM001-ZL-12</v>
          </cell>
          <cell r="B2742" t="str">
            <v>MY-PUHM001</v>
          </cell>
        </row>
        <row r="2743">
          <cell r="A2743" t="str">
            <v>MY-PUHM001-ZL-14</v>
          </cell>
          <cell r="B2743" t="str">
            <v>MY-PUHM001</v>
          </cell>
        </row>
        <row r="2744">
          <cell r="A2744" t="str">
            <v>MY-PUHM001-ZL-16</v>
          </cell>
          <cell r="B2744" t="str">
            <v>MY-PUHM001</v>
          </cell>
        </row>
        <row r="2745">
          <cell r="A2745" t="str">
            <v>MY-PUHM001-ZL-20</v>
          </cell>
          <cell r="B2745" t="str">
            <v>MY-PUHM001</v>
          </cell>
        </row>
        <row r="2746">
          <cell r="A2746" t="str">
            <v>MY-PUHM001-ZL-24</v>
          </cell>
          <cell r="B2746" t="str">
            <v>MY-PUHM001</v>
          </cell>
        </row>
        <row r="2747">
          <cell r="A2747" t="str">
            <v>MY-PUHM001-ZL-28</v>
          </cell>
          <cell r="B2747" t="str">
            <v>MY-PUHM001</v>
          </cell>
        </row>
        <row r="2748">
          <cell r="A2748" t="str">
            <v>MY-PUHM001-ZL-8</v>
          </cell>
          <cell r="B2748" t="str">
            <v>MY-PUHM001</v>
          </cell>
        </row>
        <row r="2749">
          <cell r="A2749" t="str">
            <v>MY-PUHM035-R0-L</v>
          </cell>
          <cell r="B2749" t="str">
            <v>MY-PUHM035</v>
          </cell>
        </row>
        <row r="2750">
          <cell r="A2750" t="str">
            <v>MY-PUHM035-R0-M</v>
          </cell>
          <cell r="B2750" t="str">
            <v>MY-PUHM035</v>
          </cell>
        </row>
        <row r="2751">
          <cell r="A2751" t="str">
            <v>MY-PUHM035-R0-S</v>
          </cell>
          <cell r="B2751" t="str">
            <v>MY-PUHM035</v>
          </cell>
        </row>
        <row r="2752">
          <cell r="A2752" t="str">
            <v>MY-PUHM035-R0-XL</v>
          </cell>
          <cell r="B2752" t="str">
            <v>MY-PUHM035</v>
          </cell>
        </row>
        <row r="2753">
          <cell r="A2753" t="str">
            <v>MY-PUHM035-R0-XXL</v>
          </cell>
          <cell r="B2753" t="str">
            <v>MY-PUHM035</v>
          </cell>
        </row>
        <row r="2754">
          <cell r="A2754" t="str">
            <v>MY-PUHM036-B0-L</v>
          </cell>
          <cell r="B2754" t="str">
            <v>MY-PUHM036</v>
          </cell>
        </row>
        <row r="2755">
          <cell r="A2755" t="str">
            <v>MY-PUHM036-B0-M</v>
          </cell>
          <cell r="B2755" t="str">
            <v>MY-PUHM036</v>
          </cell>
        </row>
        <row r="2756">
          <cell r="A2756" t="str">
            <v>MY-PUHM036-B0-S</v>
          </cell>
          <cell r="B2756" t="str">
            <v>MY-PUHM036</v>
          </cell>
        </row>
        <row r="2757">
          <cell r="A2757" t="str">
            <v>MY-PUHM036-B0-XL</v>
          </cell>
          <cell r="B2757" t="str">
            <v>MY-PUHM036</v>
          </cell>
        </row>
        <row r="2758">
          <cell r="A2758" t="str">
            <v>MY-PUHM036-B0-XXL</v>
          </cell>
          <cell r="B2758" t="str">
            <v>MY-PUHM036</v>
          </cell>
        </row>
        <row r="2759">
          <cell r="A2759" t="str">
            <v>MY-PUHM582-B0-L</v>
          </cell>
          <cell r="B2759" t="str">
            <v>MY-PUHM582</v>
          </cell>
        </row>
        <row r="2760">
          <cell r="A2760" t="str">
            <v>MY-PUHM582-B0-M</v>
          </cell>
          <cell r="B2760" t="str">
            <v>MY-PUHM582</v>
          </cell>
        </row>
        <row r="2761">
          <cell r="A2761" t="str">
            <v>MY-PUHM582-B0-S</v>
          </cell>
          <cell r="B2761" t="str">
            <v>MY-PUHM582</v>
          </cell>
        </row>
        <row r="2762">
          <cell r="A2762" t="str">
            <v>MY-PUHM582-B0-XL</v>
          </cell>
          <cell r="B2762" t="str">
            <v>MY-PUHM582</v>
          </cell>
        </row>
        <row r="2763">
          <cell r="A2763" t="str">
            <v>MY-PUHM582-B0-XS</v>
          </cell>
          <cell r="B2763" t="str">
            <v>MY-PUHM582</v>
          </cell>
        </row>
        <row r="2764">
          <cell r="A2764" t="str">
            <v>MY-PUHM582-R0-L</v>
          </cell>
          <cell r="B2764" t="str">
            <v>MY-PUHM582</v>
          </cell>
        </row>
        <row r="2765">
          <cell r="A2765" t="str">
            <v>MY-PUHM582-R0-M</v>
          </cell>
          <cell r="B2765" t="str">
            <v>MY-PUHM582</v>
          </cell>
        </row>
        <row r="2766">
          <cell r="A2766" t="str">
            <v>MY-PUHM582-R0-S</v>
          </cell>
          <cell r="B2766" t="str">
            <v>MY-PUHM582</v>
          </cell>
        </row>
        <row r="2767">
          <cell r="A2767" t="str">
            <v>MY-PUHM582-R0-XL</v>
          </cell>
          <cell r="B2767" t="str">
            <v>MY-PUHM582</v>
          </cell>
        </row>
        <row r="2768">
          <cell r="A2768" t="str">
            <v>MY-PUHM582-R0-XS</v>
          </cell>
          <cell r="B2768" t="str">
            <v>MY-PUHM582</v>
          </cell>
        </row>
        <row r="2769">
          <cell r="A2769" t="str">
            <v>MY-SB011-BK-L</v>
          </cell>
          <cell r="B2769" t="str">
            <v>MY-SB011</v>
          </cell>
        </row>
        <row r="2770">
          <cell r="A2770" t="str">
            <v>MY-SB011-BK-M</v>
          </cell>
          <cell r="B2770" t="str">
            <v>MY-SB011</v>
          </cell>
        </row>
        <row r="2771">
          <cell r="A2771" t="str">
            <v>MY-SB011-BK-S</v>
          </cell>
          <cell r="B2771" t="str">
            <v>MY-SB011</v>
          </cell>
        </row>
        <row r="2772">
          <cell r="A2772" t="str">
            <v>MY-SB011-BK-XL</v>
          </cell>
          <cell r="B2772" t="str">
            <v>MY-SB011</v>
          </cell>
        </row>
        <row r="2773">
          <cell r="A2773" t="str">
            <v>MY-SB011-BL-L</v>
          </cell>
          <cell r="B2773" t="str">
            <v>MY-SB011</v>
          </cell>
        </row>
        <row r="2774">
          <cell r="A2774" t="str">
            <v>MY-SB011-BL-M</v>
          </cell>
          <cell r="B2774" t="str">
            <v>MY-SB011</v>
          </cell>
        </row>
        <row r="2775">
          <cell r="A2775" t="str">
            <v>MY-SB011-BL-S</v>
          </cell>
          <cell r="B2775" t="str">
            <v>MY-SB011</v>
          </cell>
        </row>
        <row r="2776">
          <cell r="A2776" t="str">
            <v>MY-SB011-BL-XL</v>
          </cell>
          <cell r="B2776" t="str">
            <v>MY-SB011</v>
          </cell>
        </row>
        <row r="2777">
          <cell r="A2777" t="str">
            <v>MY-SB011-CF-L</v>
          </cell>
          <cell r="B2777" t="str">
            <v>MY-SB011</v>
          </cell>
        </row>
        <row r="2778">
          <cell r="A2778" t="str">
            <v>MY-SB011-CF-M</v>
          </cell>
          <cell r="B2778" t="str">
            <v>MY-SB011</v>
          </cell>
        </row>
        <row r="2779">
          <cell r="A2779" t="str">
            <v>MY-SB011-CF-S</v>
          </cell>
          <cell r="B2779" t="str">
            <v>MY-SB011</v>
          </cell>
        </row>
        <row r="2780">
          <cell r="A2780" t="str">
            <v>MY-SB011-CF-XL</v>
          </cell>
          <cell r="B2780" t="str">
            <v>MY-SB011</v>
          </cell>
        </row>
        <row r="2781">
          <cell r="A2781" t="str">
            <v>MY-SB011-DG-L</v>
          </cell>
          <cell r="B2781" t="str">
            <v>MY-SB011</v>
          </cell>
        </row>
        <row r="2782">
          <cell r="A2782" t="str">
            <v>MY-SB011-DG-M</v>
          </cell>
          <cell r="B2782" t="str">
            <v>MY-SB011</v>
          </cell>
        </row>
        <row r="2783">
          <cell r="A2783" t="str">
            <v>MY-SB011-DG-S</v>
          </cell>
          <cell r="B2783" t="str">
            <v>MY-SB011</v>
          </cell>
        </row>
        <row r="2784">
          <cell r="A2784" t="str">
            <v>MY-SB011-DG-XL</v>
          </cell>
          <cell r="B2784" t="str">
            <v>MY-SB011</v>
          </cell>
        </row>
        <row r="2785">
          <cell r="A2785" t="str">
            <v>MY-SB011-LG-L</v>
          </cell>
          <cell r="B2785" t="str">
            <v>MY-SB011</v>
          </cell>
        </row>
        <row r="2786">
          <cell r="A2786" t="str">
            <v>MY-SB011-LG-M</v>
          </cell>
          <cell r="B2786" t="str">
            <v>MY-SB011</v>
          </cell>
        </row>
        <row r="2787">
          <cell r="A2787" t="str">
            <v>MY-SB011-LG-S</v>
          </cell>
          <cell r="B2787" t="str">
            <v>MY-SB011</v>
          </cell>
        </row>
        <row r="2788">
          <cell r="A2788" t="str">
            <v>MY-SB011-LG-XL</v>
          </cell>
          <cell r="B2788" t="str">
            <v>MY-SB011</v>
          </cell>
        </row>
        <row r="2789">
          <cell r="A2789" t="str">
            <v>MY-SB011-NY-L</v>
          </cell>
          <cell r="B2789" t="str">
            <v>MY-SB011</v>
          </cell>
        </row>
        <row r="2790">
          <cell r="A2790" t="str">
            <v>MY-SB011-NY-M</v>
          </cell>
          <cell r="B2790" t="str">
            <v>MY-SB011</v>
          </cell>
        </row>
        <row r="2791">
          <cell r="A2791" t="str">
            <v>MY-SB011-NY-S</v>
          </cell>
          <cell r="B2791" t="str">
            <v>MY-SB011</v>
          </cell>
        </row>
        <row r="2792">
          <cell r="A2792" t="str">
            <v>MY-SB011-NY-XL</v>
          </cell>
          <cell r="B2792" t="str">
            <v>MY-SB011</v>
          </cell>
        </row>
        <row r="2793">
          <cell r="A2793" t="str">
            <v>MY-SB011-PP-L</v>
          </cell>
          <cell r="B2793" t="str">
            <v>MY-SB011</v>
          </cell>
        </row>
        <row r="2794">
          <cell r="A2794" t="str">
            <v>MY-SB011-PP-M</v>
          </cell>
          <cell r="B2794" t="str">
            <v>MY-SB011</v>
          </cell>
        </row>
        <row r="2795">
          <cell r="A2795" t="str">
            <v>MY-SB011-PP-S</v>
          </cell>
          <cell r="B2795" t="str">
            <v>MY-SB011</v>
          </cell>
        </row>
        <row r="2796">
          <cell r="A2796" t="str">
            <v>MY-SB011-PP-XL</v>
          </cell>
          <cell r="B2796" t="str">
            <v>MY-SB011</v>
          </cell>
        </row>
        <row r="2797">
          <cell r="A2797" t="str">
            <v>MY-SB011-RD-L</v>
          </cell>
          <cell r="B2797" t="str">
            <v>MY-SB011</v>
          </cell>
        </row>
        <row r="2798">
          <cell r="A2798" t="str">
            <v>MY-SB011-RD-M</v>
          </cell>
          <cell r="B2798" t="str">
            <v>MY-SB011</v>
          </cell>
        </row>
        <row r="2799">
          <cell r="A2799" t="str">
            <v>MY-SB011-RD-S</v>
          </cell>
          <cell r="B2799" t="str">
            <v>MY-SB011</v>
          </cell>
        </row>
        <row r="2800">
          <cell r="A2800" t="str">
            <v>MY-SB011-RD-XL</v>
          </cell>
          <cell r="B2800" t="str">
            <v>MY-SB011</v>
          </cell>
        </row>
        <row r="2801">
          <cell r="A2801" t="str">
            <v>MY-SB011-WT-L</v>
          </cell>
          <cell r="B2801" t="str">
            <v>MY-SB011</v>
          </cell>
        </row>
        <row r="2802">
          <cell r="A2802" t="str">
            <v>MY-SB011-WT-M</v>
          </cell>
          <cell r="B2802" t="str">
            <v>MY-SB011</v>
          </cell>
        </row>
        <row r="2803">
          <cell r="A2803" t="str">
            <v>MY-SB011-WT-S</v>
          </cell>
          <cell r="B2803" t="str">
            <v>MY-SB011</v>
          </cell>
        </row>
        <row r="2804">
          <cell r="A2804" t="str">
            <v>MY-SB011-WT-XL</v>
          </cell>
          <cell r="B2804" t="str">
            <v>MY-SB011</v>
          </cell>
        </row>
        <row r="2805">
          <cell r="A2805" t="str">
            <v>MY-SB013-AG-L</v>
          </cell>
          <cell r="B2805" t="str">
            <v>MY-SB013</v>
          </cell>
        </row>
        <row r="2806">
          <cell r="A2806" t="str">
            <v>MY-SB013-AG-M</v>
          </cell>
          <cell r="B2806" t="str">
            <v>MY-SB013</v>
          </cell>
        </row>
        <row r="2807">
          <cell r="A2807" t="str">
            <v>MY-SB013-AG-S</v>
          </cell>
          <cell r="B2807" t="str">
            <v>MY-SB013</v>
          </cell>
        </row>
        <row r="2808">
          <cell r="A2808" t="str">
            <v>MY-SB013-AG-XL</v>
          </cell>
          <cell r="B2808" t="str">
            <v>MY-SB013</v>
          </cell>
        </row>
        <row r="2809">
          <cell r="A2809" t="str">
            <v>MY-SB013-AG-XS</v>
          </cell>
          <cell r="B2809" t="str">
            <v>MY-SB013</v>
          </cell>
        </row>
        <row r="2810">
          <cell r="A2810" t="str">
            <v>MY-SB013-BO-L</v>
          </cell>
          <cell r="B2810" t="str">
            <v>MY-SB013</v>
          </cell>
        </row>
        <row r="2811">
          <cell r="A2811" t="str">
            <v>MY-SB013-BO-M</v>
          </cell>
          <cell r="B2811" t="str">
            <v>MY-SB013</v>
          </cell>
        </row>
        <row r="2812">
          <cell r="A2812" t="str">
            <v>MY-SB013-BO-S</v>
          </cell>
          <cell r="B2812" t="str">
            <v>MY-SB013</v>
          </cell>
        </row>
        <row r="2813">
          <cell r="A2813" t="str">
            <v>MY-SB013-BO-XL</v>
          </cell>
          <cell r="B2813" t="str">
            <v>MY-SB013</v>
          </cell>
        </row>
        <row r="2814">
          <cell r="A2814" t="str">
            <v>MY-SB013-BO-XS</v>
          </cell>
          <cell r="B2814" t="str">
            <v>MY-SB013</v>
          </cell>
        </row>
        <row r="2815">
          <cell r="A2815" t="str">
            <v>MY-SB013-DG-L</v>
          </cell>
          <cell r="B2815" t="str">
            <v>MY-SB013</v>
          </cell>
        </row>
        <row r="2816">
          <cell r="A2816" t="str">
            <v>MY-SB013-DG-M</v>
          </cell>
          <cell r="B2816" t="str">
            <v>MY-SB013</v>
          </cell>
        </row>
        <row r="2817">
          <cell r="A2817" t="str">
            <v>MY-SB013-DG-S</v>
          </cell>
          <cell r="B2817" t="str">
            <v>MY-SB013</v>
          </cell>
        </row>
        <row r="2818">
          <cell r="A2818" t="str">
            <v>MY-SB013-DG-XL</v>
          </cell>
          <cell r="B2818" t="str">
            <v>MY-SB013</v>
          </cell>
        </row>
        <row r="2819">
          <cell r="A2819" t="str">
            <v>MY-SB013-DG-XS</v>
          </cell>
          <cell r="B2819" t="str">
            <v>MY-SB013</v>
          </cell>
        </row>
        <row r="2820">
          <cell r="A2820" t="str">
            <v>MY-SB013-KK-L</v>
          </cell>
          <cell r="B2820" t="str">
            <v>MY-SB013</v>
          </cell>
        </row>
        <row r="2821">
          <cell r="A2821" t="str">
            <v>MY-SB013-KK-M</v>
          </cell>
          <cell r="B2821" t="str">
            <v>MY-SB013</v>
          </cell>
        </row>
        <row r="2822">
          <cell r="A2822" t="str">
            <v>MY-SB013-KK-S</v>
          </cell>
          <cell r="B2822" t="str">
            <v>MY-SB013</v>
          </cell>
        </row>
        <row r="2823">
          <cell r="A2823" t="str">
            <v>MY-SB013-KK-XL</v>
          </cell>
          <cell r="B2823" t="str">
            <v>MY-SB013</v>
          </cell>
        </row>
        <row r="2824">
          <cell r="A2824" t="str">
            <v>MY-SB013-KK-XS</v>
          </cell>
          <cell r="B2824" t="str">
            <v>MY-SB013</v>
          </cell>
        </row>
        <row r="2825">
          <cell r="A2825" t="str">
            <v>MY-SB013-LG-L</v>
          </cell>
          <cell r="B2825" t="str">
            <v>MY-SB013</v>
          </cell>
        </row>
        <row r="2826">
          <cell r="A2826" t="str">
            <v>MY-SB013-LG-M</v>
          </cell>
          <cell r="B2826" t="str">
            <v>MY-SB013</v>
          </cell>
        </row>
        <row r="2827">
          <cell r="A2827" t="str">
            <v>MY-SB013-LG-S</v>
          </cell>
          <cell r="B2827" t="str">
            <v>MY-SB013</v>
          </cell>
        </row>
        <row r="2828">
          <cell r="A2828" t="str">
            <v>MY-SB013-LG-XL</v>
          </cell>
          <cell r="B2828" t="str">
            <v>MY-SB013</v>
          </cell>
        </row>
        <row r="2829">
          <cell r="A2829" t="str">
            <v>MY-SB013-LG-XS</v>
          </cell>
          <cell r="B2829" t="str">
            <v>MY-SB013</v>
          </cell>
        </row>
        <row r="2830">
          <cell r="A2830" t="str">
            <v>MY-SB013-WR-L</v>
          </cell>
          <cell r="B2830" t="str">
            <v>MY-SB013</v>
          </cell>
        </row>
        <row r="2831">
          <cell r="A2831" t="str">
            <v>MY-SB013-WR-M</v>
          </cell>
          <cell r="B2831" t="str">
            <v>MY-SB013</v>
          </cell>
        </row>
        <row r="2832">
          <cell r="A2832" t="str">
            <v>MY-SB013-WR-S</v>
          </cell>
          <cell r="B2832" t="str">
            <v>MY-SB013</v>
          </cell>
        </row>
        <row r="2833">
          <cell r="A2833" t="str">
            <v>MY-SB013-WR-XL</v>
          </cell>
          <cell r="B2833" t="str">
            <v>MY-SB013</v>
          </cell>
        </row>
        <row r="2834">
          <cell r="A2834" t="str">
            <v>MY-SB013-WR-XS</v>
          </cell>
          <cell r="B2834" t="str">
            <v>MY-SB013</v>
          </cell>
        </row>
        <row r="2835">
          <cell r="A2835" t="str">
            <v>MY-SB015-BK-L</v>
          </cell>
          <cell r="B2835" t="str">
            <v>MY-SB015</v>
          </cell>
        </row>
        <row r="2836">
          <cell r="A2836" t="str">
            <v>MY-SB015-BK-M</v>
          </cell>
          <cell r="B2836" t="str">
            <v>MY-SB015</v>
          </cell>
        </row>
        <row r="2837">
          <cell r="A2837" t="str">
            <v>MY-SB015-BK-S</v>
          </cell>
          <cell r="B2837" t="str">
            <v>MY-SB015</v>
          </cell>
        </row>
        <row r="2838">
          <cell r="A2838" t="str">
            <v>MY-SB015-BK-XL</v>
          </cell>
          <cell r="B2838" t="str">
            <v>MY-SB015</v>
          </cell>
        </row>
        <row r="2839">
          <cell r="A2839" t="str">
            <v>MY-SB015-BL-L</v>
          </cell>
          <cell r="B2839" t="str">
            <v>MY-SB015</v>
          </cell>
        </row>
        <row r="2840">
          <cell r="A2840" t="str">
            <v>MY-SB015-BL-M</v>
          </cell>
          <cell r="B2840" t="str">
            <v>MY-SB015</v>
          </cell>
        </row>
        <row r="2841">
          <cell r="A2841" t="str">
            <v>MY-SB015-BL-S</v>
          </cell>
          <cell r="B2841" t="str">
            <v>MY-SB015</v>
          </cell>
        </row>
        <row r="2842">
          <cell r="A2842" t="str">
            <v>MY-SB015-BL-XL</v>
          </cell>
          <cell r="B2842" t="str">
            <v>MY-SB015</v>
          </cell>
        </row>
        <row r="2843">
          <cell r="A2843" t="str">
            <v>MY-SB015-DG-L</v>
          </cell>
          <cell r="B2843" t="str">
            <v>MY-SB015</v>
          </cell>
        </row>
        <row r="2844">
          <cell r="A2844" t="str">
            <v>MY-SB015-DG-M</v>
          </cell>
          <cell r="B2844" t="str">
            <v>MY-SB015</v>
          </cell>
        </row>
        <row r="2845">
          <cell r="A2845" t="str">
            <v>MY-SB015-DG-S</v>
          </cell>
          <cell r="B2845" t="str">
            <v>MY-SB015</v>
          </cell>
        </row>
        <row r="2846">
          <cell r="A2846" t="str">
            <v>MY-SB015-DG-XL</v>
          </cell>
          <cell r="B2846" t="str">
            <v>MY-SB015</v>
          </cell>
        </row>
        <row r="2847">
          <cell r="A2847" t="str">
            <v>MY-SB015-LG-L</v>
          </cell>
          <cell r="B2847" t="str">
            <v>MY-SB015</v>
          </cell>
        </row>
        <row r="2848">
          <cell r="A2848" t="str">
            <v>MY-SB015-LG-M</v>
          </cell>
          <cell r="B2848" t="str">
            <v>MY-SB015</v>
          </cell>
        </row>
        <row r="2849">
          <cell r="A2849" t="str">
            <v>MY-SB015-LG-S</v>
          </cell>
          <cell r="B2849" t="str">
            <v>MY-SB015</v>
          </cell>
        </row>
        <row r="2850">
          <cell r="A2850" t="str">
            <v>MY-SB015-LG-XL</v>
          </cell>
          <cell r="B2850" t="str">
            <v>MY-SB015</v>
          </cell>
        </row>
        <row r="2851">
          <cell r="A2851" t="str">
            <v>MY-SB015-PP-L</v>
          </cell>
          <cell r="B2851" t="str">
            <v>MY-SB015</v>
          </cell>
        </row>
        <row r="2852">
          <cell r="A2852" t="str">
            <v>MY-SB015-PP-M</v>
          </cell>
          <cell r="B2852" t="str">
            <v>MY-SB015</v>
          </cell>
        </row>
        <row r="2853">
          <cell r="A2853" t="str">
            <v>MY-SB015-PP-S</v>
          </cell>
          <cell r="B2853" t="str">
            <v>MY-SB015</v>
          </cell>
        </row>
        <row r="2854">
          <cell r="A2854" t="str">
            <v>MY-SB015-PP-XL</v>
          </cell>
          <cell r="B2854" t="str">
            <v>MY-SB015</v>
          </cell>
        </row>
        <row r="2855">
          <cell r="A2855" t="str">
            <v>MY-SB015-WR-L</v>
          </cell>
          <cell r="B2855" t="str">
            <v>MY-SB015</v>
          </cell>
        </row>
        <row r="2856">
          <cell r="A2856" t="str">
            <v>MY-SB015-WR-M</v>
          </cell>
          <cell r="B2856" t="str">
            <v>MY-SB015</v>
          </cell>
        </row>
        <row r="2857">
          <cell r="A2857" t="str">
            <v>MY-SB015-WR-S</v>
          </cell>
          <cell r="B2857" t="str">
            <v>MY-SB015</v>
          </cell>
        </row>
        <row r="2858">
          <cell r="A2858" t="str">
            <v>MY-SB015-WR-XL</v>
          </cell>
          <cell r="B2858" t="str">
            <v>MY-SB015</v>
          </cell>
        </row>
        <row r="2859">
          <cell r="A2859" t="str">
            <v>MY-ZQ-TWA1-KG-2X</v>
          </cell>
          <cell r="B2859" t="str">
            <v>MY-ZQ-TWA1</v>
          </cell>
        </row>
        <row r="2860">
          <cell r="A2860" t="str">
            <v>MY-ZQ-TWA1-KG-3X</v>
          </cell>
          <cell r="B2860" t="str">
            <v>MY-ZQ-TWA1</v>
          </cell>
        </row>
        <row r="2861">
          <cell r="A2861" t="str">
            <v>MY-ZQ-TWA1-KG-4X</v>
          </cell>
          <cell r="B2861" t="str">
            <v>MY-ZQ-TWA1</v>
          </cell>
        </row>
        <row r="2862">
          <cell r="A2862" t="str">
            <v>MY-ZQ-TWA1-KG-5X</v>
          </cell>
          <cell r="B2862" t="str">
            <v>MY-ZQ-TWA1</v>
          </cell>
        </row>
        <row r="2863">
          <cell r="A2863" t="str">
            <v>MY-ZQ-TWA1-KG-L</v>
          </cell>
          <cell r="B2863" t="str">
            <v>MY-ZQ-TWA1</v>
          </cell>
        </row>
        <row r="2864">
          <cell r="A2864" t="str">
            <v>MY-ZQ-TWA1-KG-M</v>
          </cell>
          <cell r="B2864" t="str">
            <v>MY-ZQ-TWA1</v>
          </cell>
        </row>
        <row r="2865">
          <cell r="A2865" t="str">
            <v>MY-ZQ-TWA1-KG-S</v>
          </cell>
          <cell r="B2865" t="str">
            <v>MY-ZQ-TWA1</v>
          </cell>
        </row>
        <row r="2866">
          <cell r="A2866" t="str">
            <v>MY-ZQ-TWA1-KG-XL</v>
          </cell>
          <cell r="B2866" t="str">
            <v>MY-ZQ-TWA1</v>
          </cell>
        </row>
        <row r="2867">
          <cell r="A2867" t="str">
            <v>MZ006E0</v>
          </cell>
          <cell r="B2867" t="str">
            <v>MZ006</v>
          </cell>
        </row>
        <row r="2868">
          <cell r="A2868" t="str">
            <v>MZ006K0</v>
          </cell>
          <cell r="B2868" t="str">
            <v>MZ006</v>
          </cell>
        </row>
        <row r="2869">
          <cell r="A2869" t="str">
            <v>MZ006W0</v>
          </cell>
          <cell r="B2869" t="str">
            <v>MZ006</v>
          </cell>
        </row>
        <row r="2870">
          <cell r="A2870" t="str">
            <v>MZ006W1</v>
          </cell>
          <cell r="B2870" t="str">
            <v>MZ006</v>
          </cell>
        </row>
        <row r="2871">
          <cell r="A2871" t="str">
            <v>MZ-JY1616-CF</v>
          </cell>
          <cell r="B2871" t="str">
            <v>MZ-JY1616</v>
          </cell>
        </row>
        <row r="2872">
          <cell r="A2872" t="str">
            <v>MZ-JY1616-K0</v>
          </cell>
          <cell r="B2872" t="str">
            <v>MZ-JY1616</v>
          </cell>
        </row>
        <row r="2873">
          <cell r="A2873" t="str">
            <v>MZ-JY1616-KH</v>
          </cell>
          <cell r="B2873" t="str">
            <v>MZ-JY1616</v>
          </cell>
        </row>
        <row r="2874">
          <cell r="A2874" t="str">
            <v>MZ-JY1616-R0</v>
          </cell>
          <cell r="B2874" t="str">
            <v>MZ-JY1616</v>
          </cell>
        </row>
        <row r="2875">
          <cell r="A2875" t="str">
            <v>MZ-JY1616-ZL</v>
          </cell>
          <cell r="B2875" t="str">
            <v>MZ-JY1616</v>
          </cell>
        </row>
        <row r="2876">
          <cell r="A2876" t="str">
            <v>MZ-SV2843BD</v>
          </cell>
          <cell r="B2876" t="str">
            <v>MZ-SV2843</v>
          </cell>
        </row>
        <row r="2877">
          <cell r="A2877" t="str">
            <v>MZ-SV2843E0</v>
          </cell>
          <cell r="B2877" t="str">
            <v>MZ-SV2843</v>
          </cell>
        </row>
        <row r="2878">
          <cell r="A2878" t="str">
            <v>MZ-SV2843K0</v>
          </cell>
          <cell r="B2878" t="str">
            <v>MZ-SV2843</v>
          </cell>
        </row>
        <row r="2879">
          <cell r="A2879" t="str">
            <v>MZ-SV2843KQ</v>
          </cell>
          <cell r="B2879" t="str">
            <v>MZ-SV2843</v>
          </cell>
        </row>
        <row r="2880">
          <cell r="A2880" t="str">
            <v>MZ-SV2843N5</v>
          </cell>
          <cell r="B2880" t="str">
            <v>MZ-SV2843</v>
          </cell>
        </row>
        <row r="2881">
          <cell r="A2881" t="str">
            <v>MZ-SV2843W1</v>
          </cell>
          <cell r="B2881" t="str">
            <v>MZ-SV2843</v>
          </cell>
        </row>
        <row r="2882">
          <cell r="A2882" t="str">
            <v>MZ-SV2843ZL</v>
          </cell>
          <cell r="B2882" t="str">
            <v>MZ-SV2843</v>
          </cell>
        </row>
        <row r="2883">
          <cell r="A2883" t="str">
            <v>Pajamas-sb001-GR-L</v>
          </cell>
          <cell r="B2883" t="str">
            <v>Pajamas-sb001</v>
          </cell>
        </row>
        <row r="2884">
          <cell r="A2884" t="str">
            <v>Pajamas-sb001-GR-M</v>
          </cell>
          <cell r="B2884" t="str">
            <v>Pajamas-sb001</v>
          </cell>
        </row>
        <row r="2885">
          <cell r="A2885" t="str">
            <v>Pajamas-sb001-GR-XL</v>
          </cell>
          <cell r="B2885" t="str">
            <v>Pajamas-sb001</v>
          </cell>
        </row>
        <row r="2886">
          <cell r="A2886" t="str">
            <v>Pajamas-sb001-KK-L</v>
          </cell>
          <cell r="B2886" t="str">
            <v>Pajamas-sb001</v>
          </cell>
        </row>
        <row r="2887">
          <cell r="A2887" t="str">
            <v>Pajamas-sb001-KK-M</v>
          </cell>
          <cell r="B2887" t="str">
            <v>Pajamas-sb001</v>
          </cell>
        </row>
        <row r="2888">
          <cell r="A2888" t="str">
            <v>Pajamas-sb001-KK-XL</v>
          </cell>
          <cell r="B2888" t="str">
            <v>Pajamas-sb001</v>
          </cell>
        </row>
        <row r="2889">
          <cell r="A2889" t="str">
            <v>Pajamas-sb001-NY-L</v>
          </cell>
          <cell r="B2889" t="str">
            <v>Pajamas-sb001</v>
          </cell>
        </row>
        <row r="2890">
          <cell r="A2890" t="str">
            <v>Pajamas-sb001-NY-M</v>
          </cell>
          <cell r="B2890" t="str">
            <v>Pajamas-sb001</v>
          </cell>
        </row>
        <row r="2891">
          <cell r="A2891" t="str">
            <v>Pajamas-sb001-NY-XL</v>
          </cell>
          <cell r="B2891" t="str">
            <v>Pajamas-sb001</v>
          </cell>
        </row>
        <row r="2892">
          <cell r="A2892" t="str">
            <v>Pajamas-sb001-WT-L</v>
          </cell>
          <cell r="B2892" t="str">
            <v>Pajamas-sb001</v>
          </cell>
        </row>
        <row r="2893">
          <cell r="A2893" t="str">
            <v>Pajamas-sb001-WT-M</v>
          </cell>
          <cell r="B2893" t="str">
            <v>Pajamas-sb001</v>
          </cell>
        </row>
        <row r="2894">
          <cell r="A2894" t="str">
            <v>Pajamas-sb001-WT-XL</v>
          </cell>
          <cell r="B2894" t="str">
            <v>Pajamas-sb001</v>
          </cell>
        </row>
        <row r="2895">
          <cell r="A2895" t="str">
            <v>PJ-ZQ7050-C1</v>
          </cell>
          <cell r="B2895" t="str">
            <v>PJ-ZQ7050</v>
          </cell>
        </row>
        <row r="2896">
          <cell r="A2896" t="str">
            <v>PJ-ZQ7050-C2</v>
          </cell>
          <cell r="B2896" t="str">
            <v>PJ-ZQ7050</v>
          </cell>
        </row>
        <row r="2897">
          <cell r="A2897" t="str">
            <v>PJ-ZQ7050-C3</v>
          </cell>
          <cell r="B2897" t="str">
            <v>PJ-ZQ7050</v>
          </cell>
        </row>
        <row r="2898">
          <cell r="A2898" t="str">
            <v>PJ-ZQ7050-C4</v>
          </cell>
          <cell r="B2898" t="str">
            <v>PJ-ZQ7050</v>
          </cell>
        </row>
        <row r="2899">
          <cell r="A2899" t="str">
            <v>PJ-ZQ7050-C5</v>
          </cell>
          <cell r="B2899" t="str">
            <v>PJ-ZQ7050</v>
          </cell>
        </row>
        <row r="2900">
          <cell r="A2900" t="str">
            <v>PJ-ZQ7050-C6</v>
          </cell>
          <cell r="B2900" t="str">
            <v>PJ-ZQ7050</v>
          </cell>
        </row>
        <row r="2901">
          <cell r="A2901" t="str">
            <v>PJ-ZQ7654-E0</v>
          </cell>
          <cell r="B2901" t="str">
            <v>PJ-ZQ7654</v>
          </cell>
        </row>
        <row r="2902">
          <cell r="A2902" t="str">
            <v>POLO-SB014-BK-L</v>
          </cell>
          <cell r="B2902" t="str">
            <v>POLO-SB014</v>
          </cell>
        </row>
        <row r="2903">
          <cell r="A2903" t="str">
            <v>POLO-SB014-BK-M</v>
          </cell>
          <cell r="B2903" t="str">
            <v>POLO-SB014</v>
          </cell>
        </row>
        <row r="2904">
          <cell r="A2904" t="str">
            <v>POLO-SB014-BK-S</v>
          </cell>
          <cell r="B2904" t="str">
            <v>POLO-SB014</v>
          </cell>
        </row>
        <row r="2905">
          <cell r="A2905" t="str">
            <v>POLO-SB014-BK-XL</v>
          </cell>
          <cell r="B2905" t="str">
            <v>POLO-SB014</v>
          </cell>
        </row>
        <row r="2906">
          <cell r="A2906" t="str">
            <v>POLO-SB014-GN-L</v>
          </cell>
          <cell r="B2906" t="str">
            <v>POLO-SB014</v>
          </cell>
        </row>
        <row r="2907">
          <cell r="A2907" t="str">
            <v>POLO-SB014-GN-M</v>
          </cell>
          <cell r="B2907" t="str">
            <v>POLO-SB014</v>
          </cell>
        </row>
        <row r="2908">
          <cell r="A2908" t="str">
            <v>POLO-SB014-GN-S</v>
          </cell>
          <cell r="B2908" t="str">
            <v>POLO-SB014</v>
          </cell>
        </row>
        <row r="2909">
          <cell r="A2909" t="str">
            <v>POLO-SB014-GN-XL</v>
          </cell>
          <cell r="B2909" t="str">
            <v>POLO-SB014</v>
          </cell>
        </row>
        <row r="2910">
          <cell r="A2910" t="str">
            <v>POLO-SB014-GR-L</v>
          </cell>
          <cell r="B2910" t="str">
            <v>POLO-SB014</v>
          </cell>
        </row>
        <row r="2911">
          <cell r="A2911" t="str">
            <v>POLO-SB014-GR-M</v>
          </cell>
          <cell r="B2911" t="str">
            <v>POLO-SB014</v>
          </cell>
        </row>
        <row r="2912">
          <cell r="A2912" t="str">
            <v>POLO-SB014-GR-S</v>
          </cell>
          <cell r="B2912" t="str">
            <v>POLO-SB014</v>
          </cell>
        </row>
        <row r="2913">
          <cell r="A2913" t="str">
            <v>POLO-SB014-GR-XL</v>
          </cell>
          <cell r="B2913" t="str">
            <v>POLO-SB014</v>
          </cell>
        </row>
        <row r="2914">
          <cell r="A2914" t="str">
            <v>POLO-SB014-NY-L</v>
          </cell>
          <cell r="B2914" t="str">
            <v>POLO-SB014</v>
          </cell>
        </row>
        <row r="2915">
          <cell r="A2915" t="str">
            <v>POLO-SB014-NY-M</v>
          </cell>
          <cell r="B2915" t="str">
            <v>POLO-SB014</v>
          </cell>
        </row>
        <row r="2916">
          <cell r="A2916" t="str">
            <v>POLO-SB014-NY-S</v>
          </cell>
          <cell r="B2916" t="str">
            <v>POLO-SB014</v>
          </cell>
        </row>
        <row r="2917">
          <cell r="A2917" t="str">
            <v>POLO-SB014-NY-XL</v>
          </cell>
          <cell r="B2917" t="str">
            <v>POLO-SB014</v>
          </cell>
        </row>
        <row r="2918">
          <cell r="A2918" t="str">
            <v>POLO-SB014-RD-L</v>
          </cell>
          <cell r="B2918" t="str">
            <v>POLO-SB014</v>
          </cell>
        </row>
        <row r="2919">
          <cell r="A2919" t="str">
            <v>POLO-SB014-RD-M</v>
          </cell>
          <cell r="B2919" t="str">
            <v>POLO-SB014</v>
          </cell>
        </row>
        <row r="2920">
          <cell r="A2920" t="str">
            <v>POLO-SB014-RD-S</v>
          </cell>
          <cell r="B2920" t="str">
            <v>POLO-SB014</v>
          </cell>
        </row>
        <row r="2921">
          <cell r="A2921" t="str">
            <v>POLO-SB014-RD-XL</v>
          </cell>
          <cell r="B2921" t="str">
            <v>POLO-SB014</v>
          </cell>
        </row>
        <row r="2922">
          <cell r="A2922" t="str">
            <v>POLO-SB014-YL-L</v>
          </cell>
          <cell r="B2922" t="str">
            <v>POLO-SB014</v>
          </cell>
        </row>
        <row r="2923">
          <cell r="A2923" t="str">
            <v>POLO-SB014-YL-M</v>
          </cell>
          <cell r="B2923" t="str">
            <v>POLO-SB014</v>
          </cell>
        </row>
        <row r="2924">
          <cell r="A2924" t="str">
            <v>POLO-SB014-YL-S</v>
          </cell>
          <cell r="B2924" t="str">
            <v>POLO-SB014</v>
          </cell>
        </row>
        <row r="2925">
          <cell r="A2925" t="str">
            <v>POLO-SB014-YL-XL</v>
          </cell>
          <cell r="B2925" t="str">
            <v>POLO-SB014</v>
          </cell>
        </row>
        <row r="2926">
          <cell r="A2926" t="str">
            <v>RY-PUHM716-B0-L</v>
          </cell>
          <cell r="B2926" t="str">
            <v>RY-PUHM716</v>
          </cell>
        </row>
        <row r="2927">
          <cell r="A2927" t="str">
            <v>RY-PUHM716-B0-M</v>
          </cell>
          <cell r="B2927" t="str">
            <v>RY-PUHM716</v>
          </cell>
        </row>
        <row r="2928">
          <cell r="A2928" t="str">
            <v>RY-PUHM716-B0-S</v>
          </cell>
          <cell r="B2928" t="str">
            <v>RY-PUHM716</v>
          </cell>
        </row>
        <row r="2929">
          <cell r="A2929" t="str">
            <v>RY-PUHM716-B0-XL</v>
          </cell>
          <cell r="B2929" t="str">
            <v>RY-PUHM716</v>
          </cell>
        </row>
        <row r="2930">
          <cell r="A2930" t="str">
            <v>RY-PUHM716-B0-XXL</v>
          </cell>
          <cell r="B2930" t="str">
            <v>RY-PUHM716</v>
          </cell>
        </row>
        <row r="2931">
          <cell r="A2931" t="str">
            <v>RY-PUHM716-KQ-L</v>
          </cell>
          <cell r="B2931" t="str">
            <v>RY-PUHM716</v>
          </cell>
        </row>
        <row r="2932">
          <cell r="A2932" t="str">
            <v>RY-PUHM716-KQ-M</v>
          </cell>
          <cell r="B2932" t="str">
            <v>RY-PUHM716</v>
          </cell>
        </row>
        <row r="2933">
          <cell r="A2933" t="str">
            <v>RY-PUHM716-KQ-S</v>
          </cell>
          <cell r="B2933" t="str">
            <v>RY-PUHM716</v>
          </cell>
        </row>
        <row r="2934">
          <cell r="A2934" t="str">
            <v>RY-PUHM716-KQ-XL</v>
          </cell>
          <cell r="B2934" t="str">
            <v>RY-PUHM716</v>
          </cell>
        </row>
        <row r="2935">
          <cell r="A2935" t="str">
            <v>RY-PUHM716-KQ-XXL</v>
          </cell>
          <cell r="B2935" t="str">
            <v>RY-PUHM716</v>
          </cell>
        </row>
        <row r="2936">
          <cell r="A2936" t="str">
            <v>RY-PUHM716-PI-L</v>
          </cell>
          <cell r="B2936" t="str">
            <v>RY-PUHM716</v>
          </cell>
        </row>
        <row r="2937">
          <cell r="A2937" t="str">
            <v>RY-PUHM716-PI-M</v>
          </cell>
          <cell r="B2937" t="str">
            <v>RY-PUHM716</v>
          </cell>
        </row>
        <row r="2938">
          <cell r="A2938" t="str">
            <v>RY-PUHM716-PI-S</v>
          </cell>
          <cell r="B2938" t="str">
            <v>RY-PUHM716</v>
          </cell>
        </row>
        <row r="2939">
          <cell r="A2939" t="str">
            <v>RY-PUHM716-PI-XL</v>
          </cell>
          <cell r="B2939" t="str">
            <v>RY-PUHM716</v>
          </cell>
        </row>
        <row r="2940">
          <cell r="A2940" t="str">
            <v>RY-PUHM716-PI-XXL</v>
          </cell>
          <cell r="B2940" t="str">
            <v>RY-PUHM716</v>
          </cell>
        </row>
        <row r="2941">
          <cell r="A2941" t="str">
            <v>SB-YL003-GH60</v>
          </cell>
          <cell r="B2941" t="str">
            <v>SB-YL003</v>
          </cell>
        </row>
        <row r="2942">
          <cell r="A2942" t="str">
            <v>SB-YL003-GH70</v>
          </cell>
          <cell r="B2942" t="str">
            <v>SB-YL003</v>
          </cell>
        </row>
        <row r="2943">
          <cell r="A2943" t="str">
            <v>SB-YL003-GH80</v>
          </cell>
          <cell r="B2943" t="str">
            <v>SB-YL003</v>
          </cell>
        </row>
        <row r="2944">
          <cell r="A2944" t="str">
            <v>SB-YL004-FD10</v>
          </cell>
          <cell r="B2944" t="str">
            <v>SB-YL004</v>
          </cell>
        </row>
        <row r="2945">
          <cell r="A2945" t="str">
            <v>SB-YL004-FD20</v>
          </cell>
          <cell r="B2945" t="str">
            <v>SB-YL004</v>
          </cell>
        </row>
        <row r="2946">
          <cell r="A2946" t="str">
            <v>SB-YL004-FD30</v>
          </cell>
          <cell r="B2946" t="str">
            <v>SB-YL004</v>
          </cell>
        </row>
        <row r="2947">
          <cell r="A2947" t="str">
            <v>SB-YL004-FD40</v>
          </cell>
          <cell r="B2947" t="str">
            <v>SB-YL004</v>
          </cell>
        </row>
        <row r="2948">
          <cell r="A2948" t="str">
            <v>SB-YL004-FD50</v>
          </cell>
          <cell r="B2948" t="str">
            <v>SB-YL004</v>
          </cell>
        </row>
        <row r="2949">
          <cell r="A2949" t="str">
            <v>SB-YL004-FD60</v>
          </cell>
          <cell r="B2949" t="str">
            <v>SB-YL004</v>
          </cell>
        </row>
        <row r="2950">
          <cell r="A2950" t="str">
            <v>SB-YL005-KS30</v>
          </cell>
          <cell r="B2950" t="str">
            <v>SB-YL005</v>
          </cell>
        </row>
        <row r="2951">
          <cell r="A2951" t="str">
            <v>SB-YL005-KS40</v>
          </cell>
          <cell r="B2951" t="str">
            <v>SB-YL005</v>
          </cell>
        </row>
        <row r="2952">
          <cell r="A2952" t="str">
            <v>SB-YL005-KS50</v>
          </cell>
          <cell r="B2952" t="str">
            <v>SB-YL005</v>
          </cell>
        </row>
        <row r="2953">
          <cell r="A2953" t="str">
            <v>SB-YL005-KS60</v>
          </cell>
          <cell r="B2953" t="str">
            <v>SB-YL005</v>
          </cell>
        </row>
        <row r="2954">
          <cell r="A2954" t="str">
            <v>SB-YL005-KS70</v>
          </cell>
          <cell r="B2954" t="str">
            <v>SB-YL005</v>
          </cell>
        </row>
        <row r="2955">
          <cell r="A2955" t="str">
            <v>SB-YL005-KS80</v>
          </cell>
          <cell r="B2955" t="str">
            <v>SB-YL005</v>
          </cell>
        </row>
        <row r="2956">
          <cell r="A2956" t="str">
            <v>Scarf-00004-Blueflower-OS</v>
          </cell>
          <cell r="B2956" t="str">
            <v>Scarf-00004</v>
          </cell>
        </row>
        <row r="2957">
          <cell r="A2957" t="str">
            <v>Scarf-00004-Bluetree-OS</v>
          </cell>
          <cell r="B2957" t="str">
            <v>Scarf-00004</v>
          </cell>
        </row>
        <row r="2958">
          <cell r="A2958" t="str">
            <v>Scarf-00004-Bohemian-OS</v>
          </cell>
          <cell r="B2958" t="str">
            <v>Scarf-00004</v>
          </cell>
        </row>
        <row r="2959">
          <cell r="A2959" t="str">
            <v>Scarf-00004-Redflower-OS</v>
          </cell>
          <cell r="B2959" t="str">
            <v>Scarf-00004</v>
          </cell>
        </row>
        <row r="2960">
          <cell r="A2960" t="str">
            <v>Scarf-00004-Wavyline-OS</v>
          </cell>
          <cell r="B2960" t="str">
            <v>Scarf-00004</v>
          </cell>
        </row>
        <row r="2961">
          <cell r="A2961" t="str">
            <v>scarf-0001-Blue</v>
          </cell>
          <cell r="B2961" t="str">
            <v>scarf-0001</v>
          </cell>
        </row>
        <row r="2962">
          <cell r="A2962" t="str">
            <v>scarf-0001-Green</v>
          </cell>
          <cell r="B2962" t="str">
            <v>scarf-0001</v>
          </cell>
        </row>
        <row r="2963">
          <cell r="A2963" t="str">
            <v>scarf-0001-Peony</v>
          </cell>
          <cell r="B2963" t="str">
            <v>scarf-0001</v>
          </cell>
        </row>
        <row r="2964">
          <cell r="A2964" t="str">
            <v>scarf-0001-Plum</v>
          </cell>
          <cell r="B2964" t="str">
            <v>scarf-0001</v>
          </cell>
        </row>
        <row r="2965">
          <cell r="A2965" t="str">
            <v>scarf-0002-Horse</v>
          </cell>
          <cell r="B2965" t="str">
            <v>scarf-0002</v>
          </cell>
        </row>
        <row r="2966">
          <cell r="A2966" t="str">
            <v>scarf-0002-Khaki</v>
          </cell>
          <cell r="B2966" t="str">
            <v>scarf-0002</v>
          </cell>
        </row>
        <row r="2967">
          <cell r="A2967" t="str">
            <v>scarf-0002-Orange</v>
          </cell>
          <cell r="B2967" t="str">
            <v>scarf-0002</v>
          </cell>
        </row>
        <row r="2968">
          <cell r="A2968" t="str">
            <v>scarf-0002-Red</v>
          </cell>
          <cell r="B2968" t="str">
            <v>scarf-0002</v>
          </cell>
        </row>
        <row r="2969">
          <cell r="A2969" t="str">
            <v>scarf-0003-Flowers</v>
          </cell>
          <cell r="B2969" t="str">
            <v>scarf-0003</v>
          </cell>
        </row>
        <row r="2970">
          <cell r="A2970" t="str">
            <v>scarf-0003-Hands</v>
          </cell>
          <cell r="B2970" t="str">
            <v>scarf-0003</v>
          </cell>
        </row>
        <row r="2971">
          <cell r="A2971" t="str">
            <v>scarf-0003-Palette</v>
          </cell>
          <cell r="B2971" t="str">
            <v>scarf-0003</v>
          </cell>
        </row>
        <row r="2972">
          <cell r="A2972" t="str">
            <v>scarf-0003-Pegasus</v>
          </cell>
          <cell r="B2972" t="str">
            <v>scarf-0003</v>
          </cell>
        </row>
        <row r="2973">
          <cell r="A2973" t="str">
            <v>scarf-001-blueheart</v>
          </cell>
          <cell r="B2973" t="str">
            <v>scarf-0001</v>
          </cell>
        </row>
        <row r="2974">
          <cell r="A2974" t="str">
            <v>Scarf-SJ005-BK-OS</v>
          </cell>
          <cell r="B2974" t="str">
            <v>Scarf-SJ005</v>
          </cell>
        </row>
        <row r="2975">
          <cell r="A2975" t="str">
            <v>Scarf-SJ005-G0-OS</v>
          </cell>
          <cell r="B2975" t="str">
            <v>Scarf-SJ005</v>
          </cell>
        </row>
        <row r="2976">
          <cell r="A2976" t="str">
            <v>Scarf-SJ005-OG-OS</v>
          </cell>
          <cell r="B2976" t="str">
            <v>Scarf-SJ005</v>
          </cell>
        </row>
        <row r="2977">
          <cell r="A2977" t="str">
            <v>Scarf-SJ005-R0-OS</v>
          </cell>
          <cell r="B2977" t="str">
            <v>Scarf-SJ005</v>
          </cell>
        </row>
        <row r="2978">
          <cell r="A2978" t="str">
            <v>SCF010-A01</v>
          </cell>
          <cell r="B2978" t="str">
            <v>SCF010</v>
          </cell>
        </row>
        <row r="2979">
          <cell r="A2979" t="str">
            <v>SCF010-A02</v>
          </cell>
          <cell r="B2979" t="str">
            <v>SCF010</v>
          </cell>
        </row>
        <row r="2980">
          <cell r="A2980" t="str">
            <v>SCF010-A03</v>
          </cell>
          <cell r="B2980" t="str">
            <v>SCF010</v>
          </cell>
        </row>
        <row r="2981">
          <cell r="A2981" t="str">
            <v>SCF010-A04</v>
          </cell>
          <cell r="B2981" t="str">
            <v>SCF010</v>
          </cell>
        </row>
        <row r="2982">
          <cell r="A2982" t="str">
            <v>SCF010-A05</v>
          </cell>
          <cell r="B2982" t="str">
            <v>SCF010</v>
          </cell>
        </row>
        <row r="2983">
          <cell r="A2983" t="str">
            <v>SCF010-A06</v>
          </cell>
          <cell r="B2983" t="str">
            <v>SCF010</v>
          </cell>
        </row>
        <row r="2984">
          <cell r="A2984" t="str">
            <v>SCF010-A07</v>
          </cell>
          <cell r="B2984" t="str">
            <v>SCF010</v>
          </cell>
        </row>
        <row r="2985">
          <cell r="A2985" t="str">
            <v>SCF010-A08</v>
          </cell>
          <cell r="B2985" t="str">
            <v>SCF010</v>
          </cell>
        </row>
        <row r="2986">
          <cell r="A2986" t="str">
            <v>SCF010-A09</v>
          </cell>
          <cell r="B2986" t="str">
            <v>SCF010</v>
          </cell>
        </row>
        <row r="2987">
          <cell r="A2987" t="str">
            <v>SCF-A01-001</v>
          </cell>
          <cell r="B2987" t="str">
            <v>SCF-A01</v>
          </cell>
        </row>
        <row r="2988">
          <cell r="A2988" t="str">
            <v>SCF-A01-002</v>
          </cell>
          <cell r="B2988" t="str">
            <v>SCF-A01</v>
          </cell>
        </row>
        <row r="2989">
          <cell r="A2989" t="str">
            <v>SCF-A01-003</v>
          </cell>
          <cell r="B2989" t="str">
            <v>SCF-A01</v>
          </cell>
        </row>
        <row r="2990">
          <cell r="A2990" t="str">
            <v>SCF-A01-004</v>
          </cell>
          <cell r="B2990" t="str">
            <v>SCF-A01</v>
          </cell>
        </row>
        <row r="2991">
          <cell r="A2991" t="str">
            <v>SCF-A01-005</v>
          </cell>
          <cell r="B2991" t="str">
            <v>SCF-A01</v>
          </cell>
        </row>
        <row r="2992">
          <cell r="A2992" t="str">
            <v>SCF-A01-006</v>
          </cell>
          <cell r="B2992" t="str">
            <v>SCF-A01</v>
          </cell>
        </row>
        <row r="2993">
          <cell r="A2993" t="str">
            <v>SCF-A01-007</v>
          </cell>
          <cell r="B2993" t="str">
            <v>SCF-A01</v>
          </cell>
        </row>
        <row r="2994">
          <cell r="A2994" t="str">
            <v>SCF-A01-008</v>
          </cell>
          <cell r="B2994" t="str">
            <v>SCF-A01</v>
          </cell>
        </row>
        <row r="2995">
          <cell r="A2995" t="str">
            <v>SCF-A01-009</v>
          </cell>
          <cell r="B2995" t="str">
            <v>SCF-A01</v>
          </cell>
        </row>
        <row r="2996">
          <cell r="A2996" t="str">
            <v>SCF-A01-010</v>
          </cell>
          <cell r="B2996" t="str">
            <v>SCF-A01</v>
          </cell>
        </row>
        <row r="2997">
          <cell r="A2997" t="str">
            <v>SCF-A01-011</v>
          </cell>
          <cell r="B2997" t="str">
            <v>SCF-A01</v>
          </cell>
        </row>
        <row r="2998">
          <cell r="A2998" t="str">
            <v>SCF-A01-012</v>
          </cell>
          <cell r="B2998" t="str">
            <v>SCF-A01</v>
          </cell>
        </row>
        <row r="2999">
          <cell r="A2999" t="str">
            <v>SCF-A01-013</v>
          </cell>
          <cell r="B2999" t="str">
            <v>SCF-A01</v>
          </cell>
        </row>
        <row r="3000">
          <cell r="A3000" t="str">
            <v>SCF-B01-001</v>
          </cell>
          <cell r="B3000" t="str">
            <v>SCF-B01</v>
          </cell>
        </row>
        <row r="3001">
          <cell r="A3001" t="str">
            <v>SCF-B01-002</v>
          </cell>
          <cell r="B3001" t="str">
            <v>SCF-B01</v>
          </cell>
        </row>
        <row r="3002">
          <cell r="A3002" t="str">
            <v>SCF-B01-003</v>
          </cell>
          <cell r="B3002" t="str">
            <v>SCF-B01</v>
          </cell>
        </row>
        <row r="3003">
          <cell r="A3003" t="str">
            <v>SCF-B01-004</v>
          </cell>
          <cell r="B3003" t="str">
            <v>SCF-B01</v>
          </cell>
        </row>
        <row r="3004">
          <cell r="A3004" t="str">
            <v>SCF-B01-005</v>
          </cell>
          <cell r="B3004" t="str">
            <v>SCF-B01</v>
          </cell>
        </row>
        <row r="3005">
          <cell r="A3005" t="str">
            <v>SCF-B01-006</v>
          </cell>
          <cell r="B3005" t="str">
            <v>SCF-B01</v>
          </cell>
        </row>
        <row r="3006">
          <cell r="A3006" t="str">
            <v>SCF-B01-007</v>
          </cell>
          <cell r="B3006" t="str">
            <v>SCF-B01</v>
          </cell>
        </row>
        <row r="3007">
          <cell r="A3007" t="str">
            <v>SCF-B01-008</v>
          </cell>
          <cell r="B3007" t="str">
            <v>SCF-B01</v>
          </cell>
        </row>
        <row r="3008">
          <cell r="A3008" t="str">
            <v>SCF-B01-009</v>
          </cell>
          <cell r="B3008" t="str">
            <v>SCF-B01</v>
          </cell>
        </row>
        <row r="3009">
          <cell r="A3009" t="str">
            <v>SCF-B01-010</v>
          </cell>
          <cell r="B3009" t="str">
            <v>SCF-B01</v>
          </cell>
        </row>
        <row r="3010">
          <cell r="A3010" t="str">
            <v>SCF-B01-011</v>
          </cell>
          <cell r="B3010" t="str">
            <v>SCF-B01</v>
          </cell>
        </row>
        <row r="3011">
          <cell r="A3011" t="str">
            <v>SCF-B01-012</v>
          </cell>
          <cell r="B3011" t="str">
            <v>SCF-B01</v>
          </cell>
        </row>
        <row r="3012">
          <cell r="A3012" t="str">
            <v>SCF-B01-013</v>
          </cell>
          <cell r="B3012" t="str">
            <v>SCF-B01</v>
          </cell>
        </row>
        <row r="3013">
          <cell r="A3013" t="str">
            <v>SCF-B01-014</v>
          </cell>
          <cell r="B3013" t="str">
            <v>SCF-B01</v>
          </cell>
        </row>
        <row r="3014">
          <cell r="A3014" t="str">
            <v>SCF-B01-015</v>
          </cell>
          <cell r="B3014" t="str">
            <v>SCF-B01</v>
          </cell>
        </row>
        <row r="3015">
          <cell r="A3015" t="str">
            <v>SCF-B01-016</v>
          </cell>
          <cell r="B3015" t="str">
            <v>SCF-B01</v>
          </cell>
        </row>
        <row r="3016">
          <cell r="A3016" t="str">
            <v>SCF-B01-017</v>
          </cell>
          <cell r="B3016" t="str">
            <v>SCF-B01</v>
          </cell>
        </row>
        <row r="3017">
          <cell r="A3017" t="str">
            <v>SCF-B01-018</v>
          </cell>
          <cell r="B3017" t="str">
            <v>SCF-B01</v>
          </cell>
        </row>
        <row r="3018">
          <cell r="A3018" t="str">
            <v>SCF-B01-019</v>
          </cell>
          <cell r="B3018" t="str">
            <v>SCF-B01</v>
          </cell>
        </row>
        <row r="3019">
          <cell r="A3019" t="str">
            <v>SCF-B01-020</v>
          </cell>
          <cell r="B3019" t="str">
            <v>SCF-B01</v>
          </cell>
        </row>
        <row r="3020">
          <cell r="A3020" t="str">
            <v>SCF-B01-021</v>
          </cell>
          <cell r="B3020" t="str">
            <v>SCF-B01</v>
          </cell>
        </row>
        <row r="3021">
          <cell r="A3021" t="str">
            <v>SCF-B01-022</v>
          </cell>
          <cell r="B3021" t="str">
            <v>SCF-B01</v>
          </cell>
        </row>
        <row r="3022">
          <cell r="A3022" t="str">
            <v>SCF-C01-001</v>
          </cell>
          <cell r="B3022" t="str">
            <v>SCF-C01</v>
          </cell>
        </row>
        <row r="3023">
          <cell r="A3023" t="str">
            <v>SCF-C01-002</v>
          </cell>
          <cell r="B3023" t="str">
            <v>SCF-C01</v>
          </cell>
        </row>
        <row r="3024">
          <cell r="A3024" t="str">
            <v>SCF-C01-003</v>
          </cell>
          <cell r="B3024" t="str">
            <v>SCF-C01</v>
          </cell>
        </row>
        <row r="3025">
          <cell r="A3025" t="str">
            <v>SCF-C01-004</v>
          </cell>
          <cell r="B3025" t="str">
            <v>SCF-C01</v>
          </cell>
        </row>
        <row r="3026">
          <cell r="A3026" t="str">
            <v>SCF-C01-005</v>
          </cell>
          <cell r="B3026" t="str">
            <v>SCF-C01</v>
          </cell>
        </row>
        <row r="3027">
          <cell r="A3027" t="str">
            <v>SCF-C01-006</v>
          </cell>
          <cell r="B3027" t="str">
            <v>SCF-C01</v>
          </cell>
        </row>
        <row r="3028">
          <cell r="A3028" t="str">
            <v>SCF-C01-007</v>
          </cell>
          <cell r="B3028" t="str">
            <v>SCF-C01</v>
          </cell>
        </row>
        <row r="3029">
          <cell r="A3029" t="str">
            <v>SCF-C01-008</v>
          </cell>
          <cell r="B3029" t="str">
            <v>SCF-C01</v>
          </cell>
        </row>
        <row r="3030">
          <cell r="A3030" t="str">
            <v>SCF-C01-009</v>
          </cell>
          <cell r="B3030" t="str">
            <v>SCF-C01</v>
          </cell>
        </row>
        <row r="3031">
          <cell r="A3031" t="str">
            <v>SCF-C01-010</v>
          </cell>
          <cell r="B3031" t="str">
            <v>SCF-C01</v>
          </cell>
        </row>
        <row r="3032">
          <cell r="A3032" t="str">
            <v>SCF-C01-011</v>
          </cell>
          <cell r="B3032" t="str">
            <v>SCF-C01</v>
          </cell>
        </row>
        <row r="3033">
          <cell r="A3033" t="str">
            <v>SCF-C01-012</v>
          </cell>
          <cell r="B3033" t="str">
            <v>SCF-C01</v>
          </cell>
        </row>
        <row r="3034">
          <cell r="A3034" t="str">
            <v>SCF-C01-013</v>
          </cell>
          <cell r="B3034" t="str">
            <v>SCF-C01</v>
          </cell>
        </row>
        <row r="3035">
          <cell r="A3035" t="str">
            <v>SCF-C01-014</v>
          </cell>
          <cell r="B3035" t="str">
            <v>SCF-C01</v>
          </cell>
        </row>
        <row r="3036">
          <cell r="A3036" t="str">
            <v>SCF-C01-015</v>
          </cell>
          <cell r="B3036" t="str">
            <v>SCF-C01</v>
          </cell>
        </row>
        <row r="3037">
          <cell r="A3037" t="str">
            <v>SCF-C01-016</v>
          </cell>
          <cell r="B3037" t="str">
            <v>SCF-C01</v>
          </cell>
        </row>
        <row r="3038">
          <cell r="A3038" t="str">
            <v>SCF-C01-017</v>
          </cell>
          <cell r="B3038" t="str">
            <v>SCF-C01</v>
          </cell>
        </row>
        <row r="3039">
          <cell r="A3039" t="str">
            <v>SCF-C01-018</v>
          </cell>
          <cell r="B3039" t="str">
            <v>SCF-C01</v>
          </cell>
        </row>
        <row r="3040">
          <cell r="A3040" t="str">
            <v>SCF-C01-019</v>
          </cell>
          <cell r="B3040" t="str">
            <v>SCF-C01</v>
          </cell>
        </row>
        <row r="3041">
          <cell r="A3041" t="str">
            <v>SCF-C01-020</v>
          </cell>
          <cell r="B3041" t="str">
            <v>SCF-C01</v>
          </cell>
        </row>
        <row r="3042">
          <cell r="A3042" t="str">
            <v>SCF-D01-001</v>
          </cell>
          <cell r="B3042" t="str">
            <v>SCF-D01</v>
          </cell>
        </row>
        <row r="3043">
          <cell r="A3043" t="str">
            <v>SCF-D01-002</v>
          </cell>
          <cell r="B3043" t="str">
            <v>SCF-D01</v>
          </cell>
        </row>
        <row r="3044">
          <cell r="A3044" t="str">
            <v>SCF-D01-003</v>
          </cell>
          <cell r="B3044" t="str">
            <v>SCF-D01</v>
          </cell>
        </row>
        <row r="3045">
          <cell r="A3045" t="str">
            <v>SCF-D01-004</v>
          </cell>
          <cell r="B3045" t="str">
            <v>SCF-D01</v>
          </cell>
        </row>
        <row r="3046">
          <cell r="A3046" t="str">
            <v>SCF-D01-005</v>
          </cell>
          <cell r="B3046" t="str">
            <v>SCF-D01</v>
          </cell>
        </row>
        <row r="3047">
          <cell r="A3047" t="str">
            <v>SCF-D01-006</v>
          </cell>
          <cell r="B3047" t="str">
            <v>SCF-D01</v>
          </cell>
        </row>
        <row r="3048">
          <cell r="A3048" t="str">
            <v>SCF-D01-007</v>
          </cell>
          <cell r="B3048" t="str">
            <v>SCF-D01</v>
          </cell>
        </row>
        <row r="3049">
          <cell r="A3049" t="str">
            <v>SCF-D01-008</v>
          </cell>
          <cell r="B3049" t="str">
            <v>SCF-D01</v>
          </cell>
        </row>
        <row r="3050">
          <cell r="A3050" t="str">
            <v>SCF-D01-009</v>
          </cell>
          <cell r="B3050" t="str">
            <v>SCF-D01</v>
          </cell>
        </row>
        <row r="3051">
          <cell r="A3051" t="str">
            <v>SCF-D01-010</v>
          </cell>
          <cell r="B3051" t="str">
            <v>SCF-D01</v>
          </cell>
        </row>
        <row r="3052">
          <cell r="A3052" t="str">
            <v>SCF-D01-011</v>
          </cell>
          <cell r="B3052" t="str">
            <v>SCF-D01</v>
          </cell>
        </row>
        <row r="3053">
          <cell r="A3053" t="str">
            <v>SCF-D01-012</v>
          </cell>
          <cell r="B3053" t="str">
            <v>SCF-D01</v>
          </cell>
        </row>
        <row r="3054">
          <cell r="A3054" t="str">
            <v>SCF-D01-013</v>
          </cell>
          <cell r="B3054" t="str">
            <v>SCF-D01</v>
          </cell>
        </row>
        <row r="3055">
          <cell r="A3055" t="str">
            <v>SCF-D01-014</v>
          </cell>
          <cell r="B3055" t="str">
            <v>SCF-D01</v>
          </cell>
        </row>
        <row r="3056">
          <cell r="A3056" t="str">
            <v>SCF-D01-015</v>
          </cell>
          <cell r="B3056" t="str">
            <v>SCF-D01</v>
          </cell>
        </row>
        <row r="3057">
          <cell r="A3057" t="str">
            <v>SCF-D01-016</v>
          </cell>
          <cell r="B3057" t="str">
            <v>SCF-D01</v>
          </cell>
        </row>
        <row r="3058">
          <cell r="A3058" t="str">
            <v>SCF-D01-017</v>
          </cell>
          <cell r="B3058" t="str">
            <v>SCF-D01</v>
          </cell>
        </row>
        <row r="3059">
          <cell r="A3059" t="str">
            <v>SCF-D01-018</v>
          </cell>
          <cell r="B3059" t="str">
            <v>SCF-D01</v>
          </cell>
        </row>
        <row r="3060">
          <cell r="A3060" t="str">
            <v>SCF-F02-NC</v>
          </cell>
          <cell r="B3060" t="str">
            <v>SCF-F02</v>
          </cell>
        </row>
        <row r="3061">
          <cell r="A3061" t="str">
            <v>SCF-SJ001-B0-OS</v>
          </cell>
          <cell r="B3061" t="str">
            <v>SCF-SJ001</v>
          </cell>
        </row>
        <row r="3062">
          <cell r="A3062" t="str">
            <v>SCF-SJ001-PF-OS</v>
          </cell>
          <cell r="B3062" t="str">
            <v>SCF-SJ001</v>
          </cell>
        </row>
        <row r="3063">
          <cell r="A3063" t="str">
            <v>SCF-SJ001-PY-OS</v>
          </cell>
          <cell r="B3063" t="str">
            <v>SCF-SJ001</v>
          </cell>
        </row>
        <row r="3064">
          <cell r="A3064" t="str">
            <v>SCF-SJ002-Horse-OS</v>
          </cell>
          <cell r="B3064" t="str">
            <v>SCF-SJ002</v>
          </cell>
        </row>
        <row r="3065">
          <cell r="A3065" t="str">
            <v>SCF-SJ002-KH-OS</v>
          </cell>
          <cell r="B3065" t="str">
            <v>SCF-SJ002</v>
          </cell>
        </row>
        <row r="3066">
          <cell r="A3066" t="str">
            <v>SCF-SJ002-OG-OS</v>
          </cell>
          <cell r="B3066" t="str">
            <v>SCF-SJ002</v>
          </cell>
        </row>
        <row r="3067">
          <cell r="A3067" t="str">
            <v>SCF-SJ002-R0-OS</v>
          </cell>
          <cell r="B3067" t="str">
            <v>SCF-SJ002</v>
          </cell>
        </row>
        <row r="3068">
          <cell r="A3068" t="str">
            <v>SCF-SJ003-Flowers-OS</v>
          </cell>
          <cell r="B3068" t="str">
            <v>SCF-SJ003</v>
          </cell>
        </row>
        <row r="3069">
          <cell r="A3069" t="str">
            <v>SCF-SJ003-Hands-OS</v>
          </cell>
          <cell r="B3069" t="str">
            <v>SCF-SJ003</v>
          </cell>
        </row>
        <row r="3070">
          <cell r="A3070" t="str">
            <v>SCF-SJ003-Pegasus-OS</v>
          </cell>
          <cell r="B3070" t="str">
            <v>SCF-SJ003</v>
          </cell>
        </row>
        <row r="3071">
          <cell r="A3071" t="str">
            <v>SCF-SJ006-Blackround-OS</v>
          </cell>
          <cell r="B3071" t="str">
            <v>SCF-SJ006</v>
          </cell>
        </row>
        <row r="3072">
          <cell r="A3072" t="str">
            <v>SCF-SJ006-Navystar-OS</v>
          </cell>
          <cell r="B3072" t="str">
            <v>SCF-SJ006</v>
          </cell>
        </row>
        <row r="3073">
          <cell r="A3073" t="str">
            <v>SCF-SJ006-Puzzle-OS</v>
          </cell>
          <cell r="B3073" t="str">
            <v>SCF-SJ006</v>
          </cell>
        </row>
        <row r="3074">
          <cell r="A3074" t="str">
            <v>SCF-SJ008-BK-OS</v>
          </cell>
          <cell r="B3074" t="str">
            <v>SCF-SJ008</v>
          </cell>
        </row>
        <row r="3075">
          <cell r="A3075" t="str">
            <v>SCF-SJ008-DB-OS</v>
          </cell>
          <cell r="B3075" t="str">
            <v>SCF-SJ008</v>
          </cell>
        </row>
        <row r="3076">
          <cell r="A3076" t="str">
            <v>SCF-SJ008-GR-OS</v>
          </cell>
          <cell r="B3076" t="str">
            <v>SCF-SJ008</v>
          </cell>
        </row>
        <row r="3077">
          <cell r="A3077" t="str">
            <v>SCF-SJ008-KH-OS</v>
          </cell>
          <cell r="B3077" t="str">
            <v>SCF-SJ008</v>
          </cell>
        </row>
        <row r="3078">
          <cell r="A3078" t="str">
            <v>SHIRT-SB001-BK-2XL</v>
          </cell>
          <cell r="B3078" t="str">
            <v>SHIRT-SB001</v>
          </cell>
        </row>
        <row r="3079">
          <cell r="A3079" t="str">
            <v>SHIRT-SB001-BK-L</v>
          </cell>
          <cell r="B3079" t="str">
            <v>SHIRT-SB001</v>
          </cell>
        </row>
        <row r="3080">
          <cell r="A3080" t="str">
            <v>SHIRT-SB001-BK-M</v>
          </cell>
          <cell r="B3080" t="str">
            <v>SHIRT-SB001</v>
          </cell>
        </row>
        <row r="3081">
          <cell r="A3081" t="str">
            <v>SHIRT-SB001-BK-S</v>
          </cell>
          <cell r="B3081" t="str">
            <v>SHIRT-SB001</v>
          </cell>
        </row>
        <row r="3082">
          <cell r="A3082" t="str">
            <v>SHIRT-SB001-BK-XL</v>
          </cell>
          <cell r="B3082" t="str">
            <v>SHIRT-SB001</v>
          </cell>
        </row>
        <row r="3083">
          <cell r="A3083" t="str">
            <v>SHIRT-SB001-BL-2XL</v>
          </cell>
          <cell r="B3083" t="str">
            <v>SHIRT-SB001</v>
          </cell>
        </row>
        <row r="3084">
          <cell r="A3084" t="str">
            <v>SHIRT-SB001-BL-L</v>
          </cell>
          <cell r="B3084" t="str">
            <v>SHIRT-SB001</v>
          </cell>
        </row>
        <row r="3085">
          <cell r="A3085" t="str">
            <v>SHIRT-SB001-BL-M</v>
          </cell>
          <cell r="B3085" t="str">
            <v>SHIRT-SB001</v>
          </cell>
        </row>
        <row r="3086">
          <cell r="A3086" t="str">
            <v>SHIRT-SB001-BL-S</v>
          </cell>
          <cell r="B3086" t="str">
            <v>SHIRT-SB001</v>
          </cell>
        </row>
        <row r="3087">
          <cell r="A3087" t="str">
            <v>SHIRT-SB001-BL-XL</v>
          </cell>
          <cell r="B3087" t="str">
            <v>SHIRT-SB001</v>
          </cell>
        </row>
        <row r="3088">
          <cell r="A3088" t="str">
            <v>SHIRT-SB001-GR-2XL</v>
          </cell>
          <cell r="B3088" t="str">
            <v>SHIRT-SB001</v>
          </cell>
        </row>
        <row r="3089">
          <cell r="A3089" t="str">
            <v>SHIRT-SB001-GR-L</v>
          </cell>
          <cell r="B3089" t="str">
            <v>SHIRT-SB001</v>
          </cell>
        </row>
        <row r="3090">
          <cell r="A3090" t="str">
            <v>SHIRT-SB001-GR-M</v>
          </cell>
          <cell r="B3090" t="str">
            <v>SHIRT-SB001</v>
          </cell>
        </row>
        <row r="3091">
          <cell r="A3091" t="str">
            <v>SHIRT-SB001-GR-S</v>
          </cell>
          <cell r="B3091" t="str">
            <v>SHIRT-SB001</v>
          </cell>
        </row>
        <row r="3092">
          <cell r="A3092" t="str">
            <v>SHIRT-SB001-GR-XL</v>
          </cell>
          <cell r="B3092" t="str">
            <v>SHIRT-SB001</v>
          </cell>
        </row>
        <row r="3093">
          <cell r="A3093" t="str">
            <v>SHIRT-SB001-PP-2XL</v>
          </cell>
          <cell r="B3093" t="str">
            <v>SHIRT-SB001</v>
          </cell>
        </row>
        <row r="3094">
          <cell r="A3094" t="str">
            <v>SHIRT-SB001-PP-L</v>
          </cell>
          <cell r="B3094" t="str">
            <v>SHIRT-SB001</v>
          </cell>
        </row>
        <row r="3095">
          <cell r="A3095" t="str">
            <v>SHIRT-SB001-PP-M</v>
          </cell>
          <cell r="B3095" t="str">
            <v>SHIRT-SB001</v>
          </cell>
        </row>
        <row r="3096">
          <cell r="A3096" t="str">
            <v>SHIRT-SB001-PP-S</v>
          </cell>
          <cell r="B3096" t="str">
            <v>SHIRT-SB001</v>
          </cell>
        </row>
        <row r="3097">
          <cell r="A3097" t="str">
            <v>SHIRT-SB001-PP-XL</v>
          </cell>
          <cell r="B3097" t="str">
            <v>SHIRT-SB001</v>
          </cell>
        </row>
        <row r="3098">
          <cell r="A3098" t="str">
            <v>SHIRT-SB002-BK-2XL</v>
          </cell>
          <cell r="B3098" t="str">
            <v>SHIRTS-SB002</v>
          </cell>
        </row>
        <row r="3099">
          <cell r="A3099" t="str">
            <v>SHIRT-SB002-BK-L</v>
          </cell>
          <cell r="B3099" t="str">
            <v>SHIRTS-SB002</v>
          </cell>
        </row>
        <row r="3100">
          <cell r="A3100" t="str">
            <v>SHIRT-SB002-BK-M</v>
          </cell>
          <cell r="B3100" t="str">
            <v>SHIRTS-SB002</v>
          </cell>
        </row>
        <row r="3101">
          <cell r="A3101" t="str">
            <v>SHIRT-SB002-BK-S</v>
          </cell>
          <cell r="B3101" t="str">
            <v>SHIRTS-SB002</v>
          </cell>
        </row>
        <row r="3102">
          <cell r="A3102" t="str">
            <v>SHIRT-SB002-BK-XL</v>
          </cell>
          <cell r="B3102" t="str">
            <v>SHIRTS-SB002</v>
          </cell>
        </row>
        <row r="3103">
          <cell r="A3103" t="str">
            <v>SHIRT-SB002-BLNGN-2XL</v>
          </cell>
          <cell r="B3103" t="str">
            <v>SHIRTS-SB002</v>
          </cell>
        </row>
        <row r="3104">
          <cell r="A3104" t="str">
            <v>SHIRT-SB002-BLNGN-L</v>
          </cell>
          <cell r="B3104" t="str">
            <v>SHIRTS-SB002</v>
          </cell>
        </row>
        <row r="3105">
          <cell r="A3105" t="str">
            <v>SHIRT-SB002-BLNGN-M</v>
          </cell>
          <cell r="B3105" t="str">
            <v>SHIRTS-SB002</v>
          </cell>
        </row>
        <row r="3106">
          <cell r="A3106" t="str">
            <v>SHIRT-SB002-BLNGN-S</v>
          </cell>
          <cell r="B3106" t="str">
            <v>SHIRTS-SB002</v>
          </cell>
        </row>
        <row r="3107">
          <cell r="A3107" t="str">
            <v>SHIRT-SB002-BLNGN-XL</v>
          </cell>
          <cell r="B3107" t="str">
            <v>SHIRTS-SB002</v>
          </cell>
        </row>
        <row r="3108">
          <cell r="A3108" t="str">
            <v>SHIRT-SB002-CF-2XL</v>
          </cell>
          <cell r="B3108" t="str">
            <v>SHIRTS-SB002</v>
          </cell>
        </row>
        <row r="3109">
          <cell r="A3109" t="str">
            <v>SHIRT-SB002-CF-L</v>
          </cell>
          <cell r="B3109" t="str">
            <v>SHIRTS-SB002</v>
          </cell>
        </row>
        <row r="3110">
          <cell r="A3110" t="str">
            <v>SHIRT-SB002-CF-M</v>
          </cell>
          <cell r="B3110" t="str">
            <v>SHIRTS-SB002</v>
          </cell>
        </row>
        <row r="3111">
          <cell r="A3111" t="str">
            <v>SHIRT-SB002-CF-S</v>
          </cell>
          <cell r="B3111" t="str">
            <v>SHIRTS-SB002</v>
          </cell>
        </row>
        <row r="3112">
          <cell r="A3112" t="str">
            <v>SHIRT-SB002-CF-XL</v>
          </cell>
          <cell r="B3112" t="str">
            <v>SHIRTS-SB002</v>
          </cell>
        </row>
        <row r="3113">
          <cell r="A3113" t="str">
            <v>SHIRT-SB002-LB-2XL</v>
          </cell>
          <cell r="B3113" t="str">
            <v>SHIRTS-SB002</v>
          </cell>
        </row>
        <row r="3114">
          <cell r="A3114" t="str">
            <v>SHIRT-SB002-LB-L</v>
          </cell>
          <cell r="B3114" t="str">
            <v>SHIRTS-SB002</v>
          </cell>
        </row>
        <row r="3115">
          <cell r="A3115" t="str">
            <v>SHIRT-SB002-LB-M</v>
          </cell>
          <cell r="B3115" t="str">
            <v>SHIRTS-SB002</v>
          </cell>
        </row>
        <row r="3116">
          <cell r="A3116" t="str">
            <v>SHIRT-SB002-LB-S</v>
          </cell>
          <cell r="B3116" t="str">
            <v>SHIRTS-SB002</v>
          </cell>
        </row>
        <row r="3117">
          <cell r="A3117" t="str">
            <v>SHIRT-SB002-LB-XL</v>
          </cell>
          <cell r="B3117" t="str">
            <v>SHIRTS-SB002</v>
          </cell>
        </row>
        <row r="3118">
          <cell r="A3118" t="str">
            <v>SHIRT-SB002-RD-2XL</v>
          </cell>
          <cell r="B3118" t="str">
            <v>SHIRTS-SB002</v>
          </cell>
        </row>
        <row r="3119">
          <cell r="A3119" t="str">
            <v>SHIRT-SB002-RD-L</v>
          </cell>
          <cell r="B3119" t="str">
            <v>SHIRTS-SB002</v>
          </cell>
        </row>
        <row r="3120">
          <cell r="A3120" t="str">
            <v>SHIRT-SB002-RD-M</v>
          </cell>
          <cell r="B3120" t="str">
            <v>SHIRTS-SB002</v>
          </cell>
        </row>
        <row r="3121">
          <cell r="A3121" t="str">
            <v>SHIRT-SB002-RD-S</v>
          </cell>
          <cell r="B3121" t="str">
            <v>SHIRTS-SB002</v>
          </cell>
        </row>
        <row r="3122">
          <cell r="A3122" t="str">
            <v>SHIRT-SB002-RD-XL</v>
          </cell>
          <cell r="B3122" t="str">
            <v>SHIRTS-SB002</v>
          </cell>
        </row>
        <row r="3123">
          <cell r="A3123" t="str">
            <v>SHIRT-SB002-RNBL-2XL</v>
          </cell>
          <cell r="B3123" t="str">
            <v>SHIRTS-SB002</v>
          </cell>
        </row>
        <row r="3124">
          <cell r="A3124" t="str">
            <v>SHIRT-SB002-RNBL-L</v>
          </cell>
          <cell r="B3124" t="str">
            <v>SHIRTS-SB002</v>
          </cell>
        </row>
        <row r="3125">
          <cell r="A3125" t="str">
            <v>SHIRT-SB002-RNBL-M</v>
          </cell>
          <cell r="B3125" t="str">
            <v>SHIRTS-SB002</v>
          </cell>
        </row>
        <row r="3126">
          <cell r="A3126" t="str">
            <v>SHIRT-SB002-RNBL-S</v>
          </cell>
          <cell r="B3126" t="str">
            <v>SHIRTS-SB002</v>
          </cell>
        </row>
        <row r="3127">
          <cell r="A3127" t="str">
            <v>SHIRT-SB002-RNBL-XL</v>
          </cell>
          <cell r="B3127" t="str">
            <v>SHIRTS-SB002</v>
          </cell>
        </row>
        <row r="3128">
          <cell r="A3128" t="str">
            <v>SHIRTS-SB002-BL-L</v>
          </cell>
          <cell r="B3128" t="str">
            <v>SHIRTS-SB002</v>
          </cell>
        </row>
        <row r="3129">
          <cell r="A3129" t="str">
            <v>SHIRTS-SB002-BL-M</v>
          </cell>
          <cell r="B3129" t="str">
            <v>SHIRTS-SB002</v>
          </cell>
        </row>
        <row r="3130">
          <cell r="A3130" t="str">
            <v>SHIRTS-SB002-BL-S</v>
          </cell>
          <cell r="B3130" t="str">
            <v>SHIRTS-SB002</v>
          </cell>
        </row>
        <row r="3131">
          <cell r="A3131" t="str">
            <v>SHIRTS-SB002-BL-XL</v>
          </cell>
          <cell r="B3131" t="str">
            <v>SHIRTS-SB002</v>
          </cell>
        </row>
        <row r="3132">
          <cell r="A3132" t="str">
            <v>SHIRTS-SB002-BL-XXL</v>
          </cell>
          <cell r="B3132" t="str">
            <v>SHIRTS-SB002</v>
          </cell>
        </row>
        <row r="3133">
          <cell r="A3133" t="str">
            <v>SHJ-ZQ0066-AF</v>
          </cell>
          <cell r="B3133" t="str">
            <v>SHJ-ZQ0066</v>
          </cell>
        </row>
        <row r="3134">
          <cell r="A3134" t="str">
            <v>SHJ-ZQLS01-B0-2XL</v>
          </cell>
          <cell r="B3134" t="str">
            <v>SHJ-ZQLS01</v>
          </cell>
        </row>
        <row r="3135">
          <cell r="A3135" t="str">
            <v>SHJ-ZQLS01-B0-3XL</v>
          </cell>
          <cell r="B3135" t="str">
            <v>SHJ-ZQLS01</v>
          </cell>
        </row>
        <row r="3136">
          <cell r="A3136" t="str">
            <v>SHJ-ZQLS01-B0-4XL</v>
          </cell>
          <cell r="B3136" t="str">
            <v>SHJ-ZQLS01</v>
          </cell>
        </row>
        <row r="3137">
          <cell r="A3137" t="str">
            <v>SHJ-ZQLS01-B0-XL</v>
          </cell>
          <cell r="B3137" t="str">
            <v>SHJ-ZQLS01</v>
          </cell>
        </row>
        <row r="3138">
          <cell r="A3138" t="str">
            <v>SHJ-ZQLS12-K0-2XL</v>
          </cell>
          <cell r="B3138" t="str">
            <v>SHJ-ZQLS12</v>
          </cell>
        </row>
        <row r="3139">
          <cell r="A3139" t="str">
            <v>SHJ-ZQLS12-K0-3XL</v>
          </cell>
          <cell r="B3139" t="str">
            <v>SHJ-ZQLS12</v>
          </cell>
        </row>
        <row r="3140">
          <cell r="A3140" t="str">
            <v>SHJ-ZQLS12-K0-4XL</v>
          </cell>
          <cell r="B3140" t="str">
            <v>SHJ-ZQLS12</v>
          </cell>
        </row>
        <row r="3141">
          <cell r="A3141" t="str">
            <v>SHJ-ZQLS12-K0-5XL</v>
          </cell>
          <cell r="B3141" t="str">
            <v>SHJ-ZQLS12</v>
          </cell>
        </row>
        <row r="3142">
          <cell r="A3142" t="str">
            <v>SHJ-ZQLS12-K0-L</v>
          </cell>
          <cell r="B3142" t="str">
            <v>SHJ-ZQLS12</v>
          </cell>
        </row>
        <row r="3143">
          <cell r="A3143" t="str">
            <v>SHJ-ZQLS12-K0-XL</v>
          </cell>
          <cell r="B3143" t="str">
            <v>SHJ-ZQLS12</v>
          </cell>
        </row>
        <row r="3144">
          <cell r="A3144" t="str">
            <v>SJ-CA205-G0</v>
          </cell>
          <cell r="B3144" t="str">
            <v>SJ-CA205</v>
          </cell>
        </row>
        <row r="3145">
          <cell r="A3145" t="str">
            <v>SJ-GM002W0</v>
          </cell>
          <cell r="B3145" t="str">
            <v>SJ-GM002</v>
          </cell>
        </row>
        <row r="3146">
          <cell r="A3146" t="str">
            <v>SJ-HM071</v>
          </cell>
          <cell r="B3146" t="str">
            <v>SJ-HM071</v>
          </cell>
        </row>
        <row r="3147">
          <cell r="A3147" t="str">
            <v>SJ-HM071-K0G</v>
          </cell>
          <cell r="B3147" t="str">
            <v>SJ-HM071</v>
          </cell>
        </row>
        <row r="3148">
          <cell r="A3148" t="str">
            <v>SJ-HM071-K0R2</v>
          </cell>
          <cell r="B3148" t="str">
            <v>SJ-HM071</v>
          </cell>
        </row>
        <row r="3149">
          <cell r="A3149" t="str">
            <v>SJ-HM071-R2</v>
          </cell>
          <cell r="B3149" t="str">
            <v>SJ-HM071</v>
          </cell>
        </row>
        <row r="3150">
          <cell r="A3150" t="str">
            <v>SJ-HM071-R2W0</v>
          </cell>
          <cell r="B3150" t="str">
            <v>SJ-HM071</v>
          </cell>
        </row>
        <row r="3151">
          <cell r="A3151" t="str">
            <v>SJ-HM071-W0G</v>
          </cell>
          <cell r="B3151" t="str">
            <v>SJ-HM071</v>
          </cell>
        </row>
        <row r="3152">
          <cell r="A3152" t="str">
            <v>SJ-HM071-W0R2</v>
          </cell>
          <cell r="B3152" t="str">
            <v>SJ-HM071</v>
          </cell>
        </row>
        <row r="3153">
          <cell r="A3153" t="str">
            <v>SJ-HM1995-K0</v>
          </cell>
          <cell r="B3153" t="str">
            <v>SJ-HM1995-K0</v>
          </cell>
        </row>
        <row r="3154">
          <cell r="A3154" t="str">
            <v>SJ-HM2017</v>
          </cell>
          <cell r="B3154" t="str">
            <v>SJ-HM2017</v>
          </cell>
        </row>
        <row r="3155">
          <cell r="A3155" t="str">
            <v>SJ-HM2017-B0-L</v>
          </cell>
          <cell r="B3155" t="str">
            <v>SJ-HM2017</v>
          </cell>
        </row>
        <row r="3156">
          <cell r="A3156" t="str">
            <v>SJ-HM2017-B0-M</v>
          </cell>
          <cell r="B3156" t="str">
            <v>SJ-HM2017</v>
          </cell>
        </row>
        <row r="3157">
          <cell r="A3157" t="str">
            <v>SJ-HM2017-B0-S</v>
          </cell>
          <cell r="B3157" t="str">
            <v>SJ-HM2017</v>
          </cell>
        </row>
        <row r="3158">
          <cell r="A3158" t="str">
            <v>SJ-HM2017-B0-XL</v>
          </cell>
          <cell r="B3158" t="str">
            <v>SJ-HM2017</v>
          </cell>
        </row>
        <row r="3159">
          <cell r="A3159" t="str">
            <v>SJ-HM2017-B0-XXL</v>
          </cell>
          <cell r="B3159" t="str">
            <v>SJ-HM2017</v>
          </cell>
        </row>
        <row r="3160">
          <cell r="A3160" t="str">
            <v>SJ-HM2017-G0-L</v>
          </cell>
          <cell r="B3160" t="str">
            <v>SJ-HM2017</v>
          </cell>
        </row>
        <row r="3161">
          <cell r="A3161" t="str">
            <v>SJ-HM2017-G0-M</v>
          </cell>
          <cell r="B3161" t="str">
            <v>SJ-HM2017</v>
          </cell>
        </row>
        <row r="3162">
          <cell r="A3162" t="str">
            <v>SJ-HM2017-G0-S</v>
          </cell>
          <cell r="B3162" t="str">
            <v>SJ-HM2017</v>
          </cell>
        </row>
        <row r="3163">
          <cell r="A3163" t="str">
            <v>SJ-HM2017-G0-XL</v>
          </cell>
          <cell r="B3163" t="str">
            <v>SJ-HM2017</v>
          </cell>
        </row>
        <row r="3164">
          <cell r="A3164" t="str">
            <v>SJ-HM2017-G0-XXL</v>
          </cell>
          <cell r="B3164" t="str">
            <v>SJ-HM2017</v>
          </cell>
        </row>
        <row r="3165">
          <cell r="A3165" t="str">
            <v>SJ-HM2017-K0-L</v>
          </cell>
          <cell r="B3165" t="str">
            <v>SJ-HM2017</v>
          </cell>
        </row>
        <row r="3166">
          <cell r="A3166" t="str">
            <v>SJ-HM2017-K0-M</v>
          </cell>
          <cell r="B3166" t="str">
            <v>SJ-HM2017</v>
          </cell>
        </row>
        <row r="3167">
          <cell r="A3167" t="str">
            <v>SJ-HM2017-K0R-L</v>
          </cell>
          <cell r="B3167" t="str">
            <v>SJ-HM2017</v>
          </cell>
        </row>
        <row r="3168">
          <cell r="A3168" t="str">
            <v>SJ-HM2017-K0R-M</v>
          </cell>
          <cell r="B3168" t="str">
            <v>SJ-HM2017</v>
          </cell>
        </row>
        <row r="3169">
          <cell r="A3169" t="str">
            <v>SJ-HM2017-K0R-S</v>
          </cell>
          <cell r="B3169" t="str">
            <v>SJ-HM2017</v>
          </cell>
        </row>
        <row r="3170">
          <cell r="A3170" t="str">
            <v>SJ-HM2017-K0R-XL</v>
          </cell>
          <cell r="B3170" t="str">
            <v>SJ-HM2017</v>
          </cell>
        </row>
        <row r="3171">
          <cell r="A3171" t="str">
            <v>SJ-HM2017-K0R-XXL</v>
          </cell>
          <cell r="B3171" t="str">
            <v>SJ-HM2017</v>
          </cell>
        </row>
        <row r="3172">
          <cell r="A3172" t="str">
            <v>SJ-HM2017-K0-S</v>
          </cell>
          <cell r="B3172" t="str">
            <v>SJ-HM2017</v>
          </cell>
        </row>
        <row r="3173">
          <cell r="A3173" t="str">
            <v>SJ-HM2017-K0-XL</v>
          </cell>
          <cell r="B3173" t="str">
            <v>SJ-HM2017</v>
          </cell>
        </row>
        <row r="3174">
          <cell r="A3174" t="str">
            <v>SJ-HM2017-K0-XXL</v>
          </cell>
          <cell r="B3174" t="str">
            <v>SJ-HM2017</v>
          </cell>
        </row>
        <row r="3175">
          <cell r="A3175" t="str">
            <v>SJ-HM2017-KH-L</v>
          </cell>
          <cell r="B3175" t="str">
            <v>SJ-HM2017</v>
          </cell>
        </row>
        <row r="3176">
          <cell r="A3176" t="str">
            <v>SJ-HM2017-KH-M</v>
          </cell>
          <cell r="B3176" t="str">
            <v>SJ-HM2017</v>
          </cell>
        </row>
        <row r="3177">
          <cell r="A3177" t="str">
            <v>SJ-HM2017-KH-S</v>
          </cell>
          <cell r="B3177" t="str">
            <v>SJ-HM2017</v>
          </cell>
        </row>
        <row r="3178">
          <cell r="A3178" t="str">
            <v>SJ-HM2017-KH-XL</v>
          </cell>
          <cell r="B3178" t="str">
            <v>SJ-HM2017</v>
          </cell>
        </row>
        <row r="3179">
          <cell r="A3179" t="str">
            <v>SJ-HM2017-KH-XXL</v>
          </cell>
          <cell r="B3179" t="str">
            <v>SJ-HM2017</v>
          </cell>
        </row>
        <row r="3180">
          <cell r="A3180" t="str">
            <v>SJ-HM2017-PI-L</v>
          </cell>
          <cell r="B3180" t="str">
            <v>SJ-HM2017</v>
          </cell>
        </row>
        <row r="3181">
          <cell r="A3181" t="str">
            <v>SJ-HM2017-PI-M</v>
          </cell>
          <cell r="B3181" t="str">
            <v>SJ-HM2017</v>
          </cell>
        </row>
        <row r="3182">
          <cell r="A3182" t="str">
            <v>SJ-HM2017-PI-S</v>
          </cell>
          <cell r="B3182" t="str">
            <v>SJ-HM2017</v>
          </cell>
        </row>
        <row r="3183">
          <cell r="A3183" t="str">
            <v>SJ-HM2017-PI-XL</v>
          </cell>
          <cell r="B3183" t="str">
            <v>SJ-HM2017</v>
          </cell>
        </row>
        <row r="3184">
          <cell r="A3184" t="str">
            <v>SJ-HM2017-PI-XXL</v>
          </cell>
          <cell r="B3184" t="str">
            <v>SJ-HM2017</v>
          </cell>
        </row>
        <row r="3185">
          <cell r="A3185" t="str">
            <v>SJ-HM2017-W0-L</v>
          </cell>
          <cell r="B3185" t="str">
            <v>SJ-HM2017</v>
          </cell>
        </row>
        <row r="3186">
          <cell r="A3186" t="str">
            <v>SJ-HM2017-W0-M</v>
          </cell>
          <cell r="B3186" t="str">
            <v>SJ-HM2017</v>
          </cell>
        </row>
        <row r="3187">
          <cell r="A3187" t="str">
            <v>SJ-HM2017-W0-S</v>
          </cell>
          <cell r="B3187" t="str">
            <v>SJ-HM2017</v>
          </cell>
        </row>
        <row r="3188">
          <cell r="A3188" t="str">
            <v>SJ-HM2017-W0-XL</v>
          </cell>
          <cell r="B3188" t="str">
            <v>SJ-HM2017</v>
          </cell>
        </row>
        <row r="3189">
          <cell r="A3189" t="str">
            <v>SJ-HM2017-W0-XXL</v>
          </cell>
          <cell r="B3189" t="str">
            <v>SJ-HM2017</v>
          </cell>
        </row>
        <row r="3190">
          <cell r="A3190" t="str">
            <v>SJ-HM2017-ZL-L</v>
          </cell>
          <cell r="B3190" t="str">
            <v>SJ-HM2017</v>
          </cell>
        </row>
        <row r="3191">
          <cell r="A3191" t="str">
            <v>SJ-HM2017-ZL-M</v>
          </cell>
          <cell r="B3191" t="str">
            <v>SJ-HM2017</v>
          </cell>
        </row>
        <row r="3192">
          <cell r="A3192" t="str">
            <v>SJ-HM2017-ZL-S</v>
          </cell>
          <cell r="B3192" t="str">
            <v>SJ-HM2017</v>
          </cell>
        </row>
        <row r="3193">
          <cell r="A3193" t="str">
            <v>SJ-HM2017-ZL-XL</v>
          </cell>
          <cell r="B3193" t="str">
            <v>SJ-HM2017</v>
          </cell>
        </row>
        <row r="3194">
          <cell r="A3194" t="str">
            <v>SJ-HM2017-ZL-XXL</v>
          </cell>
          <cell r="B3194" t="str">
            <v>SJ-HM2017</v>
          </cell>
        </row>
        <row r="3195">
          <cell r="A3195" t="str">
            <v>SJ-HM205</v>
          </cell>
          <cell r="B3195" t="str">
            <v>SJ-HM205</v>
          </cell>
        </row>
        <row r="3196">
          <cell r="A3196" t="str">
            <v>SJ-HM205-B0</v>
          </cell>
          <cell r="B3196" t="str">
            <v>SJ-HM205</v>
          </cell>
        </row>
        <row r="3197">
          <cell r="A3197" t="str">
            <v>SJ-HM205-B0YH</v>
          </cell>
          <cell r="B3197" t="str">
            <v>SJ-HM205</v>
          </cell>
        </row>
        <row r="3198">
          <cell r="A3198" t="str">
            <v>SJ-HM205-G0</v>
          </cell>
          <cell r="B3198" t="str">
            <v>SJ-HM205</v>
          </cell>
        </row>
        <row r="3199">
          <cell r="A3199" t="str">
            <v>SJ-HM205-K0</v>
          </cell>
          <cell r="B3199" t="str">
            <v>SJ-HM205</v>
          </cell>
        </row>
        <row r="3200">
          <cell r="A3200" t="str">
            <v>SJ-HM205-R0</v>
          </cell>
          <cell r="B3200" t="str">
            <v>SJ-HM205</v>
          </cell>
        </row>
        <row r="3201">
          <cell r="A3201" t="str">
            <v>SJ-HM205-W0YH</v>
          </cell>
          <cell r="B3201" t="str">
            <v>SJ-HM205</v>
          </cell>
        </row>
        <row r="3202">
          <cell r="A3202" t="str">
            <v>SJ-HM2400</v>
          </cell>
          <cell r="B3202" t="str">
            <v>SJ-HM2400</v>
          </cell>
        </row>
        <row r="3203">
          <cell r="A3203" t="str">
            <v>SJ-HM2400-B0-L</v>
          </cell>
          <cell r="B3203" t="str">
            <v>SJ-HM2400</v>
          </cell>
        </row>
        <row r="3204">
          <cell r="A3204" t="str">
            <v>SJ-HM2400-B0-M</v>
          </cell>
          <cell r="B3204" t="str">
            <v>SJ-HM2400</v>
          </cell>
        </row>
        <row r="3205">
          <cell r="A3205" t="str">
            <v>SJ-HM2400-B0-S</v>
          </cell>
          <cell r="B3205" t="str">
            <v>SJ-HM2400</v>
          </cell>
        </row>
        <row r="3206">
          <cell r="A3206" t="str">
            <v>SJ-HM2400-B0-XL</v>
          </cell>
          <cell r="B3206" t="str">
            <v>SJ-HM2400</v>
          </cell>
        </row>
        <row r="3207">
          <cell r="A3207" t="str">
            <v>SJ-HM2400-B0-XXL</v>
          </cell>
          <cell r="B3207" t="str">
            <v>SJ-HM2400</v>
          </cell>
        </row>
        <row r="3208">
          <cell r="A3208" t="str">
            <v>SJ-HM2400-K0-L</v>
          </cell>
          <cell r="B3208" t="str">
            <v>SJ-HM2400</v>
          </cell>
        </row>
        <row r="3209">
          <cell r="A3209" t="str">
            <v>SJ-HM2400-K0-M</v>
          </cell>
          <cell r="B3209" t="str">
            <v>SJ-HM2400</v>
          </cell>
        </row>
        <row r="3210">
          <cell r="A3210" t="str">
            <v>SJ-HM2400-K0-S</v>
          </cell>
          <cell r="B3210" t="str">
            <v>SJ-HM2400</v>
          </cell>
        </row>
        <row r="3211">
          <cell r="A3211" t="str">
            <v>SJ-HM2400-K0-XL</v>
          </cell>
          <cell r="B3211" t="str">
            <v>SJ-HM2400</v>
          </cell>
        </row>
        <row r="3212">
          <cell r="A3212" t="str">
            <v>SJ-HM2400-K0-XXL</v>
          </cell>
          <cell r="B3212" t="str">
            <v>SJ-HM2400</v>
          </cell>
        </row>
        <row r="3213">
          <cell r="A3213" t="str">
            <v>SJ-HM2400-W0-L</v>
          </cell>
          <cell r="B3213" t="str">
            <v>SJ-HM2400</v>
          </cell>
        </row>
        <row r="3214">
          <cell r="A3214" t="str">
            <v>SJ-HM2400-W0-M</v>
          </cell>
          <cell r="B3214" t="str">
            <v>SJ-HM2400</v>
          </cell>
        </row>
        <row r="3215">
          <cell r="A3215" t="str">
            <v>SJ-HM2400-W0-S</v>
          </cell>
          <cell r="B3215" t="str">
            <v>SJ-HM2400</v>
          </cell>
        </row>
        <row r="3216">
          <cell r="A3216" t="str">
            <v>SJ-HM2400-W0-XL</v>
          </cell>
          <cell r="B3216" t="str">
            <v>SJ-HM2400</v>
          </cell>
        </row>
        <row r="3217">
          <cell r="A3217" t="str">
            <v>SJ-HM2400-W0-XXL</v>
          </cell>
          <cell r="B3217" t="str">
            <v>SJ-HM2400</v>
          </cell>
        </row>
        <row r="3218">
          <cell r="A3218" t="str">
            <v>SJ-HM2400-Y0-L</v>
          </cell>
          <cell r="B3218" t="str">
            <v>SJ-HM2400</v>
          </cell>
        </row>
        <row r="3219">
          <cell r="A3219" t="str">
            <v>SJ-HM2400-Y0-M</v>
          </cell>
          <cell r="B3219" t="str">
            <v>SJ-HM2400</v>
          </cell>
        </row>
        <row r="3220">
          <cell r="A3220" t="str">
            <v>SJ-HM2400-Y0-S</v>
          </cell>
          <cell r="B3220" t="str">
            <v>SJ-HM2400</v>
          </cell>
        </row>
        <row r="3221">
          <cell r="A3221" t="str">
            <v>SJ-HM2400-Y0-XL</v>
          </cell>
          <cell r="B3221" t="str">
            <v>SJ-HM2400</v>
          </cell>
        </row>
        <row r="3222">
          <cell r="A3222" t="str">
            <v>SJ-HM2400-Y0-XXL</v>
          </cell>
          <cell r="B3222" t="str">
            <v>SJ-HM2400</v>
          </cell>
        </row>
        <row r="3223">
          <cell r="A3223" t="str">
            <v>SJ-HM402-K0</v>
          </cell>
          <cell r="B3223" t="str">
            <v>GM-SJ002</v>
          </cell>
        </row>
        <row r="3224">
          <cell r="A3224" t="str">
            <v>SJ-HM402-W0</v>
          </cell>
          <cell r="B3224" t="str">
            <v>GM-SJ002</v>
          </cell>
        </row>
        <row r="3225">
          <cell r="A3225" t="str">
            <v>SJ-HM402-W1</v>
          </cell>
          <cell r="B3225" t="str">
            <v>GM-SJ002</v>
          </cell>
        </row>
        <row r="3226">
          <cell r="A3226" t="str">
            <v>SJ-HMLS42-K0-L</v>
          </cell>
          <cell r="B3226" t="str">
            <v>SJ-HMLS42</v>
          </cell>
        </row>
        <row r="3227">
          <cell r="A3227" t="str">
            <v>SJ-HMLS42-K0-XL</v>
          </cell>
          <cell r="B3227" t="str">
            <v>SJ-HMLS42</v>
          </cell>
        </row>
        <row r="3228">
          <cell r="A3228" t="str">
            <v>SJ-HMLS42-K0-XXL</v>
          </cell>
          <cell r="B3228" t="str">
            <v>SJ-HMLS42</v>
          </cell>
        </row>
        <row r="3229">
          <cell r="A3229" t="str">
            <v>SJ-HMLS42-P0-L</v>
          </cell>
          <cell r="B3229" t="str">
            <v>SJ-HMLS42</v>
          </cell>
        </row>
        <row r="3230">
          <cell r="A3230" t="str">
            <v>SJ-HMLS42-P0-XL</v>
          </cell>
          <cell r="B3230" t="str">
            <v>SJ-HMLS42</v>
          </cell>
        </row>
        <row r="3231">
          <cell r="A3231" t="str">
            <v>SJ-HMLS42-P0-XXL</v>
          </cell>
          <cell r="B3231" t="str">
            <v>SJ-HMLS42</v>
          </cell>
        </row>
        <row r="3232">
          <cell r="A3232" t="str">
            <v>SJ-HMLS42-Pi-L</v>
          </cell>
          <cell r="B3232" t="str">
            <v>SJ-HMLS42</v>
          </cell>
        </row>
        <row r="3233">
          <cell r="A3233" t="str">
            <v>SJ-HMLS42-Pi-XL</v>
          </cell>
          <cell r="B3233" t="str">
            <v>SJ-HMLS42</v>
          </cell>
        </row>
        <row r="3234">
          <cell r="A3234" t="str">
            <v>SJ-HMLS42-Pi-XXL</v>
          </cell>
          <cell r="B3234" t="str">
            <v>SJ-HMLS42</v>
          </cell>
        </row>
        <row r="3235">
          <cell r="A3235" t="str">
            <v>SJ-HMLS42-W0-L</v>
          </cell>
          <cell r="B3235" t="str">
            <v>SJ-HMLS42</v>
          </cell>
        </row>
        <row r="3236">
          <cell r="A3236" t="str">
            <v>SJ-HMLS42-W0-XL</v>
          </cell>
          <cell r="B3236" t="str">
            <v>SJ-HMLS42</v>
          </cell>
        </row>
        <row r="3237">
          <cell r="A3237" t="str">
            <v>SJ-HMLS42-W0-XXL</v>
          </cell>
          <cell r="B3237" t="str">
            <v>SJ-HMLS42</v>
          </cell>
        </row>
        <row r="3238">
          <cell r="A3238" t="str">
            <v>SJ-NA204-G0-L</v>
          </cell>
          <cell r="B3238" t="str">
            <v>SJ-NA204</v>
          </cell>
        </row>
        <row r="3239">
          <cell r="A3239" t="str">
            <v>SJ-NA204-G0-M</v>
          </cell>
          <cell r="B3239" t="str">
            <v>SJ-NA204</v>
          </cell>
        </row>
        <row r="3240">
          <cell r="A3240" t="str">
            <v>SJ-NA204-G0-S</v>
          </cell>
          <cell r="B3240" t="str">
            <v>SJ-NA204</v>
          </cell>
        </row>
        <row r="3241">
          <cell r="A3241" t="str">
            <v>SJ-NA204-G0-XL</v>
          </cell>
          <cell r="B3241" t="str">
            <v>SJ-NA204</v>
          </cell>
        </row>
        <row r="3242">
          <cell r="A3242" t="str">
            <v>SJ-NA204-G0-XS</v>
          </cell>
          <cell r="B3242" t="str">
            <v>SJ-NA204</v>
          </cell>
        </row>
        <row r="3243">
          <cell r="A3243" t="str">
            <v>SJ-NA204-K0-2XL</v>
          </cell>
          <cell r="B3243" t="str">
            <v>SJ-NA204</v>
          </cell>
        </row>
        <row r="3244">
          <cell r="A3244" t="str">
            <v>SJ-NA204-K0-L</v>
          </cell>
          <cell r="B3244" t="str">
            <v>SJ-NA204</v>
          </cell>
        </row>
        <row r="3245">
          <cell r="A3245" t="str">
            <v>SJ-NA204-K0-S</v>
          </cell>
          <cell r="B3245" t="str">
            <v>SJ-NA204</v>
          </cell>
        </row>
        <row r="3246">
          <cell r="A3246" t="str">
            <v>SJ-NA204-K0-XL</v>
          </cell>
          <cell r="B3246" t="str">
            <v>SJ-NA204</v>
          </cell>
        </row>
        <row r="3247">
          <cell r="A3247" t="str">
            <v>SJ-NA204-K0-XS</v>
          </cell>
          <cell r="B3247" t="str">
            <v>SJ-NA204</v>
          </cell>
        </row>
        <row r="3248">
          <cell r="A3248" t="str">
            <v>SJ-NA204-R0-2XL</v>
          </cell>
          <cell r="B3248" t="str">
            <v>SJ-NA204</v>
          </cell>
        </row>
        <row r="3249">
          <cell r="A3249" t="str">
            <v>SJ-NA204-R0-M</v>
          </cell>
          <cell r="B3249" t="str">
            <v>SJ-NA204</v>
          </cell>
        </row>
        <row r="3250">
          <cell r="A3250" t="str">
            <v>SJ-NA204-R0-XL</v>
          </cell>
          <cell r="B3250" t="str">
            <v>SJ-NA204</v>
          </cell>
        </row>
        <row r="3251">
          <cell r="A3251" t="str">
            <v>SJ-NA204-R0-XS</v>
          </cell>
          <cell r="B3251" t="str">
            <v>SJ-NA204</v>
          </cell>
        </row>
        <row r="3252">
          <cell r="A3252" t="str">
            <v>SJ-NA204-W0-2XL</v>
          </cell>
          <cell r="B3252" t="str">
            <v>SJ-NA204</v>
          </cell>
        </row>
        <row r="3253">
          <cell r="A3253" t="str">
            <v>SJ-NA204-W0-S</v>
          </cell>
          <cell r="B3253" t="str">
            <v>SJ-NA204</v>
          </cell>
        </row>
        <row r="3254">
          <cell r="A3254" t="str">
            <v>SJ-NA204-W0-XL</v>
          </cell>
          <cell r="B3254" t="str">
            <v>SJ-NA204</v>
          </cell>
        </row>
        <row r="3255">
          <cell r="A3255" t="str">
            <v>SJ-NA204-ZL-2XL</v>
          </cell>
          <cell r="B3255" t="str">
            <v>SJ-NA204</v>
          </cell>
        </row>
        <row r="3256">
          <cell r="A3256" t="str">
            <v>SJ-NA204-ZL-L</v>
          </cell>
          <cell r="B3256" t="str">
            <v>SJ-NA204</v>
          </cell>
        </row>
        <row r="3257">
          <cell r="A3257" t="str">
            <v>SJ-NA204-ZL-M</v>
          </cell>
          <cell r="B3257" t="str">
            <v>SJ-NA204</v>
          </cell>
        </row>
        <row r="3258">
          <cell r="A3258" t="str">
            <v>SJ-NA204-ZL-S</v>
          </cell>
          <cell r="B3258" t="str">
            <v>SJ-NA204</v>
          </cell>
        </row>
        <row r="3259">
          <cell r="A3259" t="str">
            <v>SJ-NA204-ZL-XL</v>
          </cell>
          <cell r="B3259" t="str">
            <v>SJ-NA204</v>
          </cell>
        </row>
        <row r="3260">
          <cell r="A3260" t="str">
            <v>SJ-NA204-ZL-XS</v>
          </cell>
          <cell r="B3260" t="str">
            <v>SJ-NA204</v>
          </cell>
        </row>
        <row r="3261">
          <cell r="A3261" t="str">
            <v>SJ-ZQZ1701-K0-L</v>
          </cell>
          <cell r="B3261" t="str">
            <v>SJ-ZQZ1701</v>
          </cell>
        </row>
        <row r="3262">
          <cell r="A3262" t="str">
            <v>SJ-ZZN204</v>
          </cell>
          <cell r="B3262" t="str">
            <v>SJ-ZZN204</v>
          </cell>
        </row>
        <row r="3263">
          <cell r="A3263" t="str">
            <v>SJ-ZZN204AX</v>
          </cell>
          <cell r="B3263" t="str">
            <v>SJ-ZZN204</v>
          </cell>
        </row>
        <row r="3264">
          <cell r="A3264" t="str">
            <v>SJ-ZZN204AX-GM</v>
          </cell>
          <cell r="B3264" t="str">
            <v>SJ-ZZN204</v>
          </cell>
        </row>
        <row r="3265">
          <cell r="A3265" t="str">
            <v>SJ-ZZN204B0-2XL</v>
          </cell>
          <cell r="B3265" t="str">
            <v>SJ-ZZN204</v>
          </cell>
        </row>
        <row r="3266">
          <cell r="A3266" t="str">
            <v>SJ-ZZN204B0-L</v>
          </cell>
          <cell r="B3266" t="str">
            <v>SJ-ZZN204</v>
          </cell>
        </row>
        <row r="3267">
          <cell r="A3267" t="str">
            <v>SJ-ZZN204B0-M</v>
          </cell>
          <cell r="B3267" t="str">
            <v>SJ-ZZN204</v>
          </cell>
        </row>
        <row r="3268">
          <cell r="A3268" t="str">
            <v>SJ-ZZN204B0-S</v>
          </cell>
          <cell r="B3268" t="str">
            <v>SJ-ZZN204</v>
          </cell>
        </row>
        <row r="3269">
          <cell r="A3269" t="str">
            <v>SJ-ZZN204B0-XL</v>
          </cell>
          <cell r="B3269" t="str">
            <v>SJ-ZZN204</v>
          </cell>
        </row>
        <row r="3270">
          <cell r="A3270" t="str">
            <v>SJ-ZZN204B0-XS</v>
          </cell>
          <cell r="B3270" t="str">
            <v>SJ-ZZN204</v>
          </cell>
        </row>
        <row r="3271">
          <cell r="A3271" t="str">
            <v>SJ-ZZN204G0</v>
          </cell>
          <cell r="B3271" t="str">
            <v>SJ-ZZN204</v>
          </cell>
        </row>
        <row r="3272">
          <cell r="A3272" t="str">
            <v>SJ-ZZN204G02L</v>
          </cell>
          <cell r="B3272" t="str">
            <v>SJ-ZZN204</v>
          </cell>
        </row>
        <row r="3273">
          <cell r="A3273" t="str">
            <v>SJ-ZZN204G02L-GM</v>
          </cell>
          <cell r="B3273" t="str">
            <v>SJ-ZZN204</v>
          </cell>
        </row>
        <row r="3274">
          <cell r="A3274" t="str">
            <v>SJ-ZZN204G03L</v>
          </cell>
          <cell r="B3274" t="str">
            <v>SJ-ZZN204</v>
          </cell>
        </row>
        <row r="3275">
          <cell r="A3275" t="str">
            <v>SJ-ZZN204G03L-GM</v>
          </cell>
          <cell r="B3275" t="str">
            <v>SJ-ZZN204</v>
          </cell>
        </row>
        <row r="3276">
          <cell r="A3276" t="str">
            <v>SJ-ZZN204G04L</v>
          </cell>
          <cell r="B3276" t="str">
            <v>SJ-ZZN204</v>
          </cell>
        </row>
        <row r="3277">
          <cell r="A3277" t="str">
            <v>SJ-ZZN204G0-GM</v>
          </cell>
          <cell r="B3277" t="str">
            <v>SJ-ZZN204</v>
          </cell>
        </row>
        <row r="3278">
          <cell r="A3278" t="str">
            <v>SJ-ZZN204G0L</v>
          </cell>
          <cell r="B3278" t="str">
            <v>SJ-ZZN204</v>
          </cell>
        </row>
        <row r="3279">
          <cell r="A3279" t="str">
            <v>SJ-ZZN204G0L-GM</v>
          </cell>
          <cell r="B3279" t="str">
            <v>SJ-ZZN204</v>
          </cell>
        </row>
        <row r="3280">
          <cell r="A3280" t="str">
            <v>SJ-ZZN204G0XL</v>
          </cell>
          <cell r="B3280" t="str">
            <v>SJ-ZZN204</v>
          </cell>
        </row>
        <row r="3281">
          <cell r="A3281" t="str">
            <v>SJ-ZZN204G0XL-GM</v>
          </cell>
          <cell r="B3281" t="str">
            <v>SJ-ZZN204</v>
          </cell>
        </row>
        <row r="3282">
          <cell r="A3282" t="str">
            <v>SJ-ZZN204K0</v>
          </cell>
          <cell r="B3282" t="str">
            <v>SJ-ZZN204</v>
          </cell>
        </row>
        <row r="3283">
          <cell r="A3283" t="str">
            <v>SJ-ZZN204K02L</v>
          </cell>
          <cell r="B3283" t="str">
            <v>SJ-ZZN204</v>
          </cell>
        </row>
        <row r="3284">
          <cell r="A3284" t="str">
            <v>SJ-ZZN204K02L-GM</v>
          </cell>
          <cell r="B3284" t="str">
            <v>SJ-ZZN204</v>
          </cell>
        </row>
        <row r="3285">
          <cell r="A3285" t="str">
            <v>SJ-ZZN204K03L</v>
          </cell>
          <cell r="B3285" t="str">
            <v>SJ-ZZN204</v>
          </cell>
        </row>
        <row r="3286">
          <cell r="A3286" t="str">
            <v>SJ-ZZN204K03L-GM</v>
          </cell>
          <cell r="B3286" t="str">
            <v>SJ-ZZN204</v>
          </cell>
        </row>
        <row r="3287">
          <cell r="A3287" t="str">
            <v>SJ-ZZN204K04L</v>
          </cell>
          <cell r="B3287" t="str">
            <v>SJ-ZZN204</v>
          </cell>
        </row>
        <row r="3288">
          <cell r="A3288" t="str">
            <v>SJ-ZZN204K04L-GM</v>
          </cell>
          <cell r="B3288" t="str">
            <v>SJ-ZZN204</v>
          </cell>
        </row>
        <row r="3289">
          <cell r="A3289" t="str">
            <v>SJ-ZZN204K0-GM</v>
          </cell>
          <cell r="B3289" t="str">
            <v>SJ-ZZN204</v>
          </cell>
        </row>
        <row r="3290">
          <cell r="A3290" t="str">
            <v>SJ-ZZN204K0L</v>
          </cell>
          <cell r="B3290" t="str">
            <v>SJ-ZZN204</v>
          </cell>
        </row>
        <row r="3291">
          <cell r="A3291" t="str">
            <v>SJ-ZZN204K0L-GM</v>
          </cell>
          <cell r="B3291" t="str">
            <v>SJ-ZZN204</v>
          </cell>
        </row>
        <row r="3292">
          <cell r="A3292" t="str">
            <v>SJ-ZZN204K0XL</v>
          </cell>
          <cell r="B3292" t="str">
            <v>SJ-ZZN204</v>
          </cell>
        </row>
        <row r="3293">
          <cell r="A3293" t="str">
            <v>SJ-ZZN204K0XL-GM</v>
          </cell>
          <cell r="B3293" t="str">
            <v>SJ-ZZN204</v>
          </cell>
        </row>
        <row r="3294">
          <cell r="A3294" t="str">
            <v>SJ-ZZN204R02L</v>
          </cell>
          <cell r="B3294" t="str">
            <v>SJ-ZZN204</v>
          </cell>
        </row>
        <row r="3295">
          <cell r="A3295" t="str">
            <v>SJ-ZZN204R02L-GM</v>
          </cell>
          <cell r="B3295" t="str">
            <v>SJ-ZZN204</v>
          </cell>
        </row>
        <row r="3296">
          <cell r="A3296" t="str">
            <v>SJ-ZZN204R03L</v>
          </cell>
          <cell r="B3296" t="str">
            <v>SJ-ZZN204</v>
          </cell>
        </row>
        <row r="3297">
          <cell r="A3297" t="str">
            <v>SJ-ZZN204R03L-GM</v>
          </cell>
          <cell r="B3297" t="str">
            <v>SJ-ZZN204</v>
          </cell>
        </row>
        <row r="3298">
          <cell r="A3298" t="str">
            <v>SJ-ZZN204R04L</v>
          </cell>
          <cell r="B3298" t="str">
            <v>SJ-ZZN204</v>
          </cell>
        </row>
        <row r="3299">
          <cell r="A3299" t="str">
            <v>SJ-ZZN204R0L</v>
          </cell>
          <cell r="B3299" t="str">
            <v>SJ-ZZN204</v>
          </cell>
        </row>
        <row r="3300">
          <cell r="A3300" t="str">
            <v>SJ-ZZN204R0L-GM</v>
          </cell>
          <cell r="B3300" t="str">
            <v>SJ-ZZN204</v>
          </cell>
        </row>
        <row r="3301">
          <cell r="A3301" t="str">
            <v>SJ-ZZN204R0XL</v>
          </cell>
          <cell r="B3301" t="str">
            <v>SJ-ZZN204</v>
          </cell>
        </row>
        <row r="3302">
          <cell r="A3302" t="str">
            <v>SJ-ZZN204R0XL-GM</v>
          </cell>
          <cell r="B3302" t="str">
            <v>SJ-ZZN204</v>
          </cell>
        </row>
        <row r="3303">
          <cell r="A3303" t="str">
            <v>SJ-ZZN204W0</v>
          </cell>
          <cell r="B3303" t="str">
            <v>SJ-ZZN204</v>
          </cell>
        </row>
        <row r="3304">
          <cell r="A3304" t="str">
            <v>SJ-ZZN204W02L</v>
          </cell>
          <cell r="B3304" t="str">
            <v>SJ-ZZN204</v>
          </cell>
        </row>
        <row r="3305">
          <cell r="A3305" t="str">
            <v>SJ-ZZN204W02L-GM</v>
          </cell>
          <cell r="B3305" t="str">
            <v>SJ-ZZN204</v>
          </cell>
        </row>
        <row r="3306">
          <cell r="A3306" t="str">
            <v>SJ-ZZN204W03L</v>
          </cell>
          <cell r="B3306" t="str">
            <v>SJ-ZZN204</v>
          </cell>
        </row>
        <row r="3307">
          <cell r="A3307" t="str">
            <v>SJ-ZZN204W03L-GM</v>
          </cell>
          <cell r="B3307" t="str">
            <v>SJ-ZZN204</v>
          </cell>
        </row>
        <row r="3308">
          <cell r="A3308" t="str">
            <v>SJ-ZZN204W04L</v>
          </cell>
          <cell r="B3308" t="str">
            <v>SJ-ZZN204</v>
          </cell>
        </row>
        <row r="3309">
          <cell r="A3309" t="str">
            <v>SJ-ZZN204W0-GM</v>
          </cell>
          <cell r="B3309" t="str">
            <v>SJ-ZZN204</v>
          </cell>
        </row>
        <row r="3310">
          <cell r="A3310" t="str">
            <v>SJ-ZZN204W0L</v>
          </cell>
          <cell r="B3310" t="str">
            <v>SJ-ZZN204</v>
          </cell>
        </row>
        <row r="3311">
          <cell r="A3311" t="str">
            <v>SJ-ZZN204W0L-GM</v>
          </cell>
          <cell r="B3311" t="str">
            <v>SJ-ZZN204</v>
          </cell>
        </row>
        <row r="3312">
          <cell r="A3312" t="str">
            <v>SJ-ZZN204W0XL</v>
          </cell>
          <cell r="B3312" t="str">
            <v>SJ-ZZN204</v>
          </cell>
        </row>
        <row r="3313">
          <cell r="A3313" t="str">
            <v>SJ-ZZN204W0XL-GM</v>
          </cell>
          <cell r="B3313" t="str">
            <v>SJ-ZZN204</v>
          </cell>
        </row>
        <row r="3314">
          <cell r="A3314" t="str">
            <v>SJ-ZZN204ZL-2XL</v>
          </cell>
          <cell r="B3314" t="str">
            <v>SJ-ZZN204</v>
          </cell>
        </row>
        <row r="3315">
          <cell r="A3315" t="str">
            <v>SJ-ZZN204ZL-2XL-GM</v>
          </cell>
          <cell r="B3315" t="str">
            <v>SJ-ZZN204</v>
          </cell>
        </row>
        <row r="3316">
          <cell r="A3316" t="str">
            <v>SJ-ZZN204ZL-L</v>
          </cell>
          <cell r="B3316" t="str">
            <v>SJ-ZZN204</v>
          </cell>
        </row>
        <row r="3317">
          <cell r="A3317" t="str">
            <v>SJ-ZZN204ZL-M</v>
          </cell>
          <cell r="B3317" t="str">
            <v>SJ-ZZN204</v>
          </cell>
        </row>
        <row r="3318">
          <cell r="A3318" t="str">
            <v>SJ-ZZN204ZL-S</v>
          </cell>
          <cell r="B3318" t="str">
            <v>SJ-ZZN204</v>
          </cell>
        </row>
        <row r="3319">
          <cell r="A3319" t="str">
            <v>SJ-ZZN204ZL-S-GM</v>
          </cell>
          <cell r="B3319" t="str">
            <v>SJ-ZZN204</v>
          </cell>
        </row>
        <row r="3320">
          <cell r="A3320" t="str">
            <v>SJ-ZZN204ZL-XL</v>
          </cell>
          <cell r="B3320" t="str">
            <v>SJ-ZZN204</v>
          </cell>
        </row>
        <row r="3321">
          <cell r="A3321" t="str">
            <v>SJ-ZZN204ZL-XS</v>
          </cell>
          <cell r="B3321" t="str">
            <v>SJ-ZZN204</v>
          </cell>
        </row>
        <row r="3322">
          <cell r="A3322" t="str">
            <v>SK-LY168-311-4E-L</v>
          </cell>
          <cell r="B3322" t="str">
            <v>SK-LY168</v>
          </cell>
        </row>
        <row r="3323">
          <cell r="A3323" t="str">
            <v>SK-LY168-311-4E-M</v>
          </cell>
          <cell r="B3323" t="str">
            <v>SK-LY168</v>
          </cell>
        </row>
        <row r="3324">
          <cell r="A3324" t="str">
            <v>SK-LY168-311-4E-XL</v>
          </cell>
          <cell r="B3324" t="str">
            <v>SK-LY168</v>
          </cell>
        </row>
        <row r="3325">
          <cell r="A3325" t="str">
            <v>SK-LY168-311-4F-L</v>
          </cell>
          <cell r="B3325" t="str">
            <v>SK-LY168</v>
          </cell>
        </row>
        <row r="3326">
          <cell r="A3326" t="str">
            <v>SK-LY168-311-4F-M</v>
          </cell>
          <cell r="B3326" t="str">
            <v>SK-LY168</v>
          </cell>
        </row>
        <row r="3327">
          <cell r="A3327" t="str">
            <v>SK-LY168-311-4F-XL</v>
          </cell>
          <cell r="B3327" t="str">
            <v>SK-LY168</v>
          </cell>
        </row>
        <row r="3328">
          <cell r="A3328" t="str">
            <v>SK-LY168-311-4H-L</v>
          </cell>
          <cell r="B3328" t="str">
            <v>SK-LY168</v>
          </cell>
        </row>
        <row r="3329">
          <cell r="A3329" t="str">
            <v>SK-LY168-311-4H-M</v>
          </cell>
          <cell r="B3329" t="str">
            <v>SK-LY168</v>
          </cell>
        </row>
        <row r="3330">
          <cell r="A3330" t="str">
            <v>SK-LY168-311-4H-XL</v>
          </cell>
          <cell r="B3330" t="str">
            <v>SK-LY168</v>
          </cell>
        </row>
        <row r="3331">
          <cell r="A3331" t="str">
            <v>SK-LY168-311-76A-L</v>
          </cell>
          <cell r="B3331" t="str">
            <v>SK-LY168</v>
          </cell>
        </row>
        <row r="3332">
          <cell r="A3332" t="str">
            <v>SK-LY168-311-76A-M</v>
          </cell>
          <cell r="B3332" t="str">
            <v>SK-LY168</v>
          </cell>
        </row>
        <row r="3333">
          <cell r="A3333" t="str">
            <v>SK-LY168-311-76A-XL</v>
          </cell>
          <cell r="B3333" t="str">
            <v>SK-LY168</v>
          </cell>
        </row>
        <row r="3334">
          <cell r="A3334" t="str">
            <v>SK-LY168-311-76C-L</v>
          </cell>
          <cell r="B3334" t="str">
            <v>SK-LY168</v>
          </cell>
        </row>
        <row r="3335">
          <cell r="A3335" t="str">
            <v>SK-LY168-311-76C-XL</v>
          </cell>
          <cell r="B3335" t="str">
            <v>SK-LY168</v>
          </cell>
        </row>
        <row r="3336">
          <cell r="A3336" t="str">
            <v>SK-LY168-311-76D-L</v>
          </cell>
          <cell r="B3336" t="str">
            <v>SK-LY168</v>
          </cell>
        </row>
        <row r="3337">
          <cell r="A3337" t="str">
            <v>SK-LY168-311-76D-M</v>
          </cell>
          <cell r="B3337" t="str">
            <v>SK-LY168</v>
          </cell>
        </row>
        <row r="3338">
          <cell r="A3338" t="str">
            <v>SK-LY168-311-76D-XL</v>
          </cell>
          <cell r="B3338" t="str">
            <v>SK-LY168</v>
          </cell>
        </row>
        <row r="3339">
          <cell r="A3339" t="str">
            <v>SK-LY168-HSJK-168A-L</v>
          </cell>
          <cell r="B3339" t="str">
            <v>SK-LY168</v>
          </cell>
        </row>
        <row r="3340">
          <cell r="A3340" t="str">
            <v>SK-LY168-HSJK-168A-M</v>
          </cell>
          <cell r="B3340" t="str">
            <v>SK-LY168</v>
          </cell>
        </row>
        <row r="3341">
          <cell r="A3341" t="str">
            <v>SK-LY168-HSJK-168A-XL</v>
          </cell>
          <cell r="B3341" t="str">
            <v>SK-LY168</v>
          </cell>
        </row>
        <row r="3342">
          <cell r="A3342" t="str">
            <v>SK-LY168-HSJK-168B-L</v>
          </cell>
          <cell r="B3342" t="str">
            <v>SK-LY168</v>
          </cell>
        </row>
        <row r="3343">
          <cell r="A3343" t="str">
            <v>SK-LY168-HSJK-168B-M</v>
          </cell>
          <cell r="B3343" t="str">
            <v>SK-LY168</v>
          </cell>
        </row>
        <row r="3344">
          <cell r="A3344" t="str">
            <v>SK-LY168-HSJK-168B-XL</v>
          </cell>
          <cell r="B3344" t="str">
            <v>SK-LY168</v>
          </cell>
        </row>
        <row r="3345">
          <cell r="A3345" t="str">
            <v>SK-LY168-HSJK-168C-L</v>
          </cell>
          <cell r="B3345" t="str">
            <v>SK-LY168</v>
          </cell>
        </row>
        <row r="3346">
          <cell r="A3346" t="str">
            <v>SK-LY168-HSJK-168C-M</v>
          </cell>
          <cell r="B3346" t="str">
            <v>SK-LY168</v>
          </cell>
        </row>
        <row r="3347">
          <cell r="A3347" t="str">
            <v>SK-LY168-HSJK-168C-XL</v>
          </cell>
          <cell r="B3347" t="str">
            <v>SK-LY168</v>
          </cell>
        </row>
        <row r="3348">
          <cell r="A3348" t="str">
            <v>SK-LY168-K77-1-M</v>
          </cell>
          <cell r="B3348" t="str">
            <v>SK-LY168</v>
          </cell>
        </row>
        <row r="3349">
          <cell r="A3349" t="str">
            <v>SK-LY168-K77-1-XL</v>
          </cell>
          <cell r="B3349" t="str">
            <v>SK-LY168</v>
          </cell>
        </row>
        <row r="3350">
          <cell r="A3350" t="str">
            <v>SK-LY168-K77-2-L</v>
          </cell>
          <cell r="B3350" t="str">
            <v>SK-LY168</v>
          </cell>
        </row>
        <row r="3351">
          <cell r="A3351" t="str">
            <v>SK-LY168-K77-2-M</v>
          </cell>
          <cell r="B3351" t="str">
            <v>SK-LY168</v>
          </cell>
        </row>
        <row r="3352">
          <cell r="A3352" t="str">
            <v>SK-LY168-K77-2-XL</v>
          </cell>
          <cell r="B3352" t="str">
            <v>SK-LY168</v>
          </cell>
        </row>
        <row r="3353">
          <cell r="A3353" t="str">
            <v>SK-LY168-K77-4-L</v>
          </cell>
          <cell r="B3353" t="str">
            <v>SK-LY168</v>
          </cell>
        </row>
        <row r="3354">
          <cell r="A3354" t="str">
            <v>SK-LY168-K77-4-M</v>
          </cell>
          <cell r="B3354" t="str">
            <v>SK-LY168</v>
          </cell>
        </row>
        <row r="3355">
          <cell r="A3355" t="str">
            <v>SK-LY168-K77-4-XL</v>
          </cell>
          <cell r="B3355" t="str">
            <v>SK-LY168</v>
          </cell>
        </row>
        <row r="3356">
          <cell r="A3356" t="str">
            <v>SK-SB012-GR-L</v>
          </cell>
          <cell r="B3356" t="str">
            <v>SK-SB012</v>
          </cell>
        </row>
        <row r="3357">
          <cell r="A3357" t="str">
            <v>SK-SB012-GR-M</v>
          </cell>
          <cell r="B3357" t="str">
            <v>SK-SB012</v>
          </cell>
        </row>
        <row r="3358">
          <cell r="A3358" t="str">
            <v>SK-SB012-GR-XL</v>
          </cell>
          <cell r="B3358" t="str">
            <v>SK-SB012</v>
          </cell>
        </row>
        <row r="3359">
          <cell r="A3359" t="str">
            <v>SK-SB012-KK-L</v>
          </cell>
          <cell r="B3359" t="str">
            <v>SK-SB012</v>
          </cell>
        </row>
        <row r="3360">
          <cell r="A3360" t="str">
            <v>SK-SB012-KK-M</v>
          </cell>
          <cell r="B3360" t="str">
            <v>SK-SB012</v>
          </cell>
        </row>
        <row r="3361">
          <cell r="A3361" t="str">
            <v>SK-SB012-KK-XL</v>
          </cell>
          <cell r="B3361" t="str">
            <v>SK-SB012</v>
          </cell>
        </row>
        <row r="3362">
          <cell r="A3362" t="str">
            <v>SK-SB012-NY-L</v>
          </cell>
          <cell r="B3362" t="str">
            <v>SK-SB012</v>
          </cell>
        </row>
        <row r="3363">
          <cell r="A3363" t="str">
            <v>SK-SB012-NY-M</v>
          </cell>
          <cell r="B3363" t="str">
            <v>SK-SB012</v>
          </cell>
        </row>
        <row r="3364">
          <cell r="A3364" t="str">
            <v>SK-SB012-NY-XL</v>
          </cell>
          <cell r="B3364" t="str">
            <v>SK-SB012</v>
          </cell>
        </row>
        <row r="3365">
          <cell r="A3365" t="str">
            <v>SK-SB012-WT-L</v>
          </cell>
          <cell r="B3365" t="str">
            <v>SK-SB012</v>
          </cell>
        </row>
        <row r="3366">
          <cell r="A3366" t="str">
            <v>SK-SB012-WT-M</v>
          </cell>
          <cell r="B3366" t="str">
            <v>SK-SB012</v>
          </cell>
        </row>
        <row r="3367">
          <cell r="A3367" t="str">
            <v>SK-SB012-WT-XL</v>
          </cell>
          <cell r="B3367" t="str">
            <v>SK-SB012</v>
          </cell>
        </row>
        <row r="3368">
          <cell r="A3368" t="str">
            <v>SKS-B301</v>
          </cell>
          <cell r="B3368" t="str">
            <v>SKS-B301</v>
          </cell>
        </row>
        <row r="3369">
          <cell r="A3369" t="str">
            <v>SKS-B334</v>
          </cell>
          <cell r="B3369" t="str">
            <v>SKS-B334</v>
          </cell>
        </row>
        <row r="3370">
          <cell r="A3370" t="str">
            <v>ST005-BK-2XL</v>
          </cell>
          <cell r="B3370" t="str">
            <v>ST005</v>
          </cell>
        </row>
        <row r="3371">
          <cell r="A3371" t="str">
            <v>ST005-BK-L</v>
          </cell>
          <cell r="B3371" t="str">
            <v>ST005</v>
          </cell>
        </row>
        <row r="3372">
          <cell r="A3372" t="str">
            <v>ST005-BK-M</v>
          </cell>
          <cell r="B3372" t="str">
            <v>ST005</v>
          </cell>
        </row>
        <row r="3373">
          <cell r="A3373" t="str">
            <v>ST005-BK-S</v>
          </cell>
          <cell r="B3373" t="str">
            <v>ST005</v>
          </cell>
        </row>
        <row r="3374">
          <cell r="A3374" t="str">
            <v>ST005-BK-XL</v>
          </cell>
          <cell r="B3374" t="str">
            <v>ST005</v>
          </cell>
        </row>
        <row r="3375">
          <cell r="A3375" t="str">
            <v>ST005-BL1-2XL</v>
          </cell>
          <cell r="B3375" t="str">
            <v>ST005</v>
          </cell>
        </row>
        <row r="3376">
          <cell r="A3376" t="str">
            <v>ST005-BL1-L</v>
          </cell>
          <cell r="B3376" t="str">
            <v>ST005</v>
          </cell>
        </row>
        <row r="3377">
          <cell r="A3377" t="str">
            <v>ST005-BL1-M</v>
          </cell>
          <cell r="B3377" t="str">
            <v>ST005</v>
          </cell>
        </row>
        <row r="3378">
          <cell r="A3378" t="str">
            <v>ST005-BL1-S</v>
          </cell>
          <cell r="B3378" t="str">
            <v>ST005</v>
          </cell>
        </row>
        <row r="3379">
          <cell r="A3379" t="str">
            <v>ST005-BL1-XL</v>
          </cell>
          <cell r="B3379" t="str">
            <v>ST005</v>
          </cell>
        </row>
        <row r="3380">
          <cell r="A3380" t="str">
            <v>ST005-BL2-2XL</v>
          </cell>
          <cell r="B3380" t="str">
            <v>ST005</v>
          </cell>
        </row>
        <row r="3381">
          <cell r="A3381" t="str">
            <v>ST005-BL2-L</v>
          </cell>
          <cell r="B3381" t="str">
            <v>ST005</v>
          </cell>
        </row>
        <row r="3382">
          <cell r="A3382" t="str">
            <v>ST005-BL2-M</v>
          </cell>
          <cell r="B3382" t="str">
            <v>ST005</v>
          </cell>
        </row>
        <row r="3383">
          <cell r="A3383" t="str">
            <v>ST005-BL2-S</v>
          </cell>
          <cell r="B3383" t="str">
            <v>ST005</v>
          </cell>
        </row>
        <row r="3384">
          <cell r="A3384" t="str">
            <v>ST005-BL2-XL</v>
          </cell>
          <cell r="B3384" t="str">
            <v>ST005</v>
          </cell>
        </row>
        <row r="3385">
          <cell r="A3385" t="str">
            <v>ST005-GN-2XL</v>
          </cell>
          <cell r="B3385" t="str">
            <v>ST005</v>
          </cell>
        </row>
        <row r="3386">
          <cell r="A3386" t="str">
            <v>ST005-GN-L</v>
          </cell>
          <cell r="B3386" t="str">
            <v>ST005</v>
          </cell>
        </row>
        <row r="3387">
          <cell r="A3387" t="str">
            <v>ST005-GN-M</v>
          </cell>
          <cell r="B3387" t="str">
            <v>ST005</v>
          </cell>
        </row>
        <row r="3388">
          <cell r="A3388" t="str">
            <v>ST005-GN-S</v>
          </cell>
          <cell r="B3388" t="str">
            <v>ST005</v>
          </cell>
        </row>
        <row r="3389">
          <cell r="A3389" t="str">
            <v>ST005-GN-XL</v>
          </cell>
          <cell r="B3389" t="str">
            <v>ST005</v>
          </cell>
        </row>
        <row r="3390">
          <cell r="A3390" t="str">
            <v>ST005-RD1-2XL</v>
          </cell>
          <cell r="B3390" t="str">
            <v>ST005</v>
          </cell>
        </row>
        <row r="3391">
          <cell r="A3391" t="str">
            <v>ST005-RD1-L</v>
          </cell>
          <cell r="B3391" t="str">
            <v>ST005</v>
          </cell>
        </row>
        <row r="3392">
          <cell r="A3392" t="str">
            <v>ST005-RD1-M</v>
          </cell>
          <cell r="B3392" t="str">
            <v>ST005</v>
          </cell>
        </row>
        <row r="3393">
          <cell r="A3393" t="str">
            <v>ST005-RD1-S</v>
          </cell>
          <cell r="B3393" t="str">
            <v>ST005</v>
          </cell>
        </row>
        <row r="3394">
          <cell r="A3394" t="str">
            <v>ST005-RD1-XL</v>
          </cell>
          <cell r="B3394" t="str">
            <v>ST005</v>
          </cell>
        </row>
        <row r="3395">
          <cell r="A3395" t="str">
            <v>ST005-RD-2XL</v>
          </cell>
          <cell r="B3395" t="str">
            <v>ST005</v>
          </cell>
        </row>
        <row r="3396">
          <cell r="A3396" t="str">
            <v>ST005-RD-L</v>
          </cell>
          <cell r="B3396" t="str">
            <v>ST005</v>
          </cell>
        </row>
        <row r="3397">
          <cell r="A3397" t="str">
            <v>ST005-RD-M</v>
          </cell>
          <cell r="B3397" t="str">
            <v>ST005</v>
          </cell>
        </row>
        <row r="3398">
          <cell r="A3398" t="str">
            <v>ST005-RD-S</v>
          </cell>
          <cell r="B3398" t="str">
            <v>ST005</v>
          </cell>
        </row>
        <row r="3399">
          <cell r="A3399" t="str">
            <v>ST005-RD-XL</v>
          </cell>
          <cell r="B3399" t="str">
            <v>ST005</v>
          </cell>
        </row>
        <row r="3400">
          <cell r="A3400" t="str">
            <v>ST005-YL-2XL</v>
          </cell>
          <cell r="B3400" t="str">
            <v>ST005</v>
          </cell>
        </row>
        <row r="3401">
          <cell r="A3401" t="str">
            <v>ST005-YL-L</v>
          </cell>
          <cell r="B3401" t="str">
            <v>ST005</v>
          </cell>
        </row>
        <row r="3402">
          <cell r="A3402" t="str">
            <v>ST005-YL-M</v>
          </cell>
          <cell r="B3402" t="str">
            <v>ST005</v>
          </cell>
        </row>
        <row r="3403">
          <cell r="A3403" t="str">
            <v>ST005-YL-S</v>
          </cell>
          <cell r="B3403" t="str">
            <v>ST005</v>
          </cell>
        </row>
        <row r="3404">
          <cell r="A3404" t="str">
            <v>ST005-YL-XL</v>
          </cell>
          <cell r="B3404" t="str">
            <v>ST005</v>
          </cell>
        </row>
        <row r="3405">
          <cell r="A3405" t="str">
            <v>ST006-BK-2XL</v>
          </cell>
          <cell r="B3405" t="str">
            <v>ST006</v>
          </cell>
        </row>
        <row r="3406">
          <cell r="A3406" t="str">
            <v>ST006-BK-L</v>
          </cell>
          <cell r="B3406" t="str">
            <v>ST006</v>
          </cell>
        </row>
        <row r="3407">
          <cell r="A3407" t="str">
            <v>ST006-BK-M</v>
          </cell>
          <cell r="B3407" t="str">
            <v>ST006</v>
          </cell>
        </row>
        <row r="3408">
          <cell r="A3408" t="str">
            <v>ST006-BK-S</v>
          </cell>
          <cell r="B3408" t="str">
            <v>ST006</v>
          </cell>
        </row>
        <row r="3409">
          <cell r="A3409" t="str">
            <v>ST006-BK-XL</v>
          </cell>
          <cell r="B3409" t="str">
            <v>ST006</v>
          </cell>
        </row>
        <row r="3410">
          <cell r="A3410" t="str">
            <v>ST006-BL2-2XL</v>
          </cell>
          <cell r="B3410" t="str">
            <v>ST006</v>
          </cell>
        </row>
        <row r="3411">
          <cell r="A3411" t="str">
            <v>ST006-BL2-L</v>
          </cell>
          <cell r="B3411" t="str">
            <v>ST006</v>
          </cell>
        </row>
        <row r="3412">
          <cell r="A3412" t="str">
            <v>ST006-BL2-M</v>
          </cell>
          <cell r="B3412" t="str">
            <v>ST006</v>
          </cell>
        </row>
        <row r="3413">
          <cell r="A3413" t="str">
            <v>ST006-BL2-S</v>
          </cell>
          <cell r="B3413" t="str">
            <v>ST006</v>
          </cell>
        </row>
        <row r="3414">
          <cell r="A3414" t="str">
            <v>ST006-BL2-XL</v>
          </cell>
          <cell r="B3414" t="str">
            <v>ST006</v>
          </cell>
        </row>
        <row r="3415">
          <cell r="A3415" t="str">
            <v>ST006-BL-2XL</v>
          </cell>
          <cell r="B3415" t="str">
            <v>ST006</v>
          </cell>
        </row>
        <row r="3416">
          <cell r="A3416" t="str">
            <v>ST006-BL-L</v>
          </cell>
          <cell r="B3416" t="str">
            <v>ST006</v>
          </cell>
        </row>
        <row r="3417">
          <cell r="A3417" t="str">
            <v>ST006-BL-M</v>
          </cell>
          <cell r="B3417" t="str">
            <v>ST006</v>
          </cell>
        </row>
        <row r="3418">
          <cell r="A3418" t="str">
            <v>ST006-BL-S</v>
          </cell>
          <cell r="B3418" t="str">
            <v>ST006</v>
          </cell>
        </row>
        <row r="3419">
          <cell r="A3419" t="str">
            <v>ST006-BL-XL</v>
          </cell>
          <cell r="B3419" t="str">
            <v>ST006</v>
          </cell>
        </row>
        <row r="3420">
          <cell r="A3420" t="str">
            <v>ST006-CF-2XL</v>
          </cell>
          <cell r="B3420" t="str">
            <v>ST006</v>
          </cell>
        </row>
        <row r="3421">
          <cell r="A3421" t="str">
            <v>ST006-CF-L</v>
          </cell>
          <cell r="B3421" t="str">
            <v>ST006</v>
          </cell>
        </row>
        <row r="3422">
          <cell r="A3422" t="str">
            <v>ST006-CF-M</v>
          </cell>
          <cell r="B3422" t="str">
            <v>ST006</v>
          </cell>
        </row>
        <row r="3423">
          <cell r="A3423" t="str">
            <v>ST006-CF-S</v>
          </cell>
          <cell r="B3423" t="str">
            <v>ST006</v>
          </cell>
        </row>
        <row r="3424">
          <cell r="A3424" t="str">
            <v>ST006-CF-XL</v>
          </cell>
          <cell r="B3424" t="str">
            <v>ST006</v>
          </cell>
        </row>
        <row r="3425">
          <cell r="A3425" t="str">
            <v>ST006-GN-2XL</v>
          </cell>
          <cell r="B3425" t="str">
            <v>ST006</v>
          </cell>
        </row>
        <row r="3426">
          <cell r="A3426" t="str">
            <v>ST006-GN-L</v>
          </cell>
          <cell r="B3426" t="str">
            <v>ST006</v>
          </cell>
        </row>
        <row r="3427">
          <cell r="A3427" t="str">
            <v>ST006-GN-M</v>
          </cell>
          <cell r="B3427" t="str">
            <v>ST006</v>
          </cell>
        </row>
        <row r="3428">
          <cell r="A3428" t="str">
            <v>ST006-GN-S</v>
          </cell>
          <cell r="B3428" t="str">
            <v>ST006</v>
          </cell>
        </row>
        <row r="3429">
          <cell r="A3429" t="str">
            <v>ST006-GN-XL</v>
          </cell>
          <cell r="B3429" t="str">
            <v>ST006</v>
          </cell>
        </row>
        <row r="3430">
          <cell r="A3430" t="str">
            <v>ST006-RD1-2XL</v>
          </cell>
          <cell r="B3430" t="str">
            <v>ST006</v>
          </cell>
        </row>
        <row r="3431">
          <cell r="A3431" t="str">
            <v>ST006-RD1-L</v>
          </cell>
          <cell r="B3431" t="str">
            <v>ST006</v>
          </cell>
        </row>
        <row r="3432">
          <cell r="A3432" t="str">
            <v>ST006-RD1-M</v>
          </cell>
          <cell r="B3432" t="str">
            <v>ST006</v>
          </cell>
        </row>
        <row r="3433">
          <cell r="A3433" t="str">
            <v>ST006-RD1-S</v>
          </cell>
          <cell r="B3433" t="str">
            <v>ST006</v>
          </cell>
        </row>
        <row r="3434">
          <cell r="A3434" t="str">
            <v>ST006-RD1-XL</v>
          </cell>
          <cell r="B3434" t="str">
            <v>ST006</v>
          </cell>
        </row>
        <row r="3435">
          <cell r="A3435" t="str">
            <v>ST006-RD2-2XL</v>
          </cell>
          <cell r="B3435" t="str">
            <v>ST006</v>
          </cell>
        </row>
        <row r="3436">
          <cell r="A3436" t="str">
            <v>ST006-RD2-L</v>
          </cell>
          <cell r="B3436" t="str">
            <v>ST006</v>
          </cell>
        </row>
        <row r="3437">
          <cell r="A3437" t="str">
            <v>ST006-RD2-M</v>
          </cell>
          <cell r="B3437" t="str">
            <v>ST006</v>
          </cell>
        </row>
        <row r="3438">
          <cell r="A3438" t="str">
            <v>ST006-RD2-S</v>
          </cell>
          <cell r="B3438" t="str">
            <v>ST006</v>
          </cell>
        </row>
        <row r="3439">
          <cell r="A3439" t="str">
            <v>ST006-RD2-XL</v>
          </cell>
          <cell r="B3439" t="str">
            <v>ST006</v>
          </cell>
        </row>
        <row r="3440">
          <cell r="A3440" t="str">
            <v>ST082-G0-L</v>
          </cell>
          <cell r="B3440" t="str">
            <v>ST082</v>
          </cell>
        </row>
        <row r="3441">
          <cell r="A3441" t="str">
            <v>ST082-G0-M</v>
          </cell>
          <cell r="B3441" t="str">
            <v>ST082</v>
          </cell>
        </row>
        <row r="3442">
          <cell r="A3442" t="str">
            <v>ST082-G0-S</v>
          </cell>
          <cell r="B3442" t="str">
            <v>ST082</v>
          </cell>
        </row>
        <row r="3443">
          <cell r="A3443" t="str">
            <v>ST082-G0-XL</v>
          </cell>
          <cell r="B3443" t="str">
            <v>ST082</v>
          </cell>
        </row>
        <row r="3444">
          <cell r="A3444" t="str">
            <v>ST082-G0-XXL</v>
          </cell>
          <cell r="B3444" t="str">
            <v>ST082</v>
          </cell>
        </row>
        <row r="3445">
          <cell r="A3445" t="str">
            <v>ST082-K0-L</v>
          </cell>
          <cell r="B3445" t="str">
            <v>ST082</v>
          </cell>
        </row>
        <row r="3446">
          <cell r="A3446" t="str">
            <v>ST082-K0-M</v>
          </cell>
          <cell r="B3446" t="str">
            <v>ST082</v>
          </cell>
        </row>
        <row r="3447">
          <cell r="A3447" t="str">
            <v>ST082-K0-S</v>
          </cell>
          <cell r="B3447" t="str">
            <v>ST082</v>
          </cell>
        </row>
        <row r="3448">
          <cell r="A3448" t="str">
            <v>ST082-K0-XL</v>
          </cell>
          <cell r="B3448" t="str">
            <v>ST082</v>
          </cell>
        </row>
        <row r="3449">
          <cell r="A3449" t="str">
            <v>ST082-K0-XXL</v>
          </cell>
          <cell r="B3449" t="str">
            <v>ST082</v>
          </cell>
        </row>
        <row r="3450">
          <cell r="A3450" t="str">
            <v>ST082-R0-L</v>
          </cell>
          <cell r="B3450" t="str">
            <v>ST082</v>
          </cell>
        </row>
        <row r="3451">
          <cell r="A3451" t="str">
            <v>ST082-R0-M</v>
          </cell>
          <cell r="B3451" t="str">
            <v>ST082</v>
          </cell>
        </row>
        <row r="3452">
          <cell r="A3452" t="str">
            <v>ST082-R0-S</v>
          </cell>
          <cell r="B3452" t="str">
            <v>ST082</v>
          </cell>
        </row>
        <row r="3453">
          <cell r="A3453" t="str">
            <v>ST082-R0-XL</v>
          </cell>
          <cell r="B3453" t="str">
            <v>ST082</v>
          </cell>
        </row>
        <row r="3454">
          <cell r="A3454" t="str">
            <v>ST082-R0-XXL</v>
          </cell>
          <cell r="B3454" t="str">
            <v>ST082</v>
          </cell>
        </row>
        <row r="3455">
          <cell r="A3455" t="str">
            <v>ST084-H10-L</v>
          </cell>
          <cell r="B3455" t="str">
            <v>ST084</v>
          </cell>
        </row>
        <row r="3456">
          <cell r="A3456" t="str">
            <v>ST084-H10-M</v>
          </cell>
          <cell r="B3456" t="str">
            <v>ST084</v>
          </cell>
        </row>
        <row r="3457">
          <cell r="A3457" t="str">
            <v>ST084-H10-S</v>
          </cell>
          <cell r="B3457" t="str">
            <v>ST084</v>
          </cell>
        </row>
        <row r="3458">
          <cell r="A3458" t="str">
            <v>ST084-H10-XL</v>
          </cell>
          <cell r="B3458" t="str">
            <v>ST084</v>
          </cell>
        </row>
        <row r="3459">
          <cell r="A3459" t="str">
            <v>ST084-H10-XXL</v>
          </cell>
          <cell r="B3459" t="str">
            <v>ST084</v>
          </cell>
        </row>
        <row r="3460">
          <cell r="A3460" t="str">
            <v>ST084-H12-L</v>
          </cell>
          <cell r="B3460" t="str">
            <v>ST084</v>
          </cell>
        </row>
        <row r="3461">
          <cell r="A3461" t="str">
            <v>ST084-H12-M</v>
          </cell>
          <cell r="B3461" t="str">
            <v>ST084</v>
          </cell>
        </row>
        <row r="3462">
          <cell r="A3462" t="str">
            <v>ST084-H12-S</v>
          </cell>
          <cell r="B3462" t="str">
            <v>ST084</v>
          </cell>
        </row>
        <row r="3463">
          <cell r="A3463" t="str">
            <v>ST084-H12-XL</v>
          </cell>
          <cell r="B3463" t="str">
            <v>ST084</v>
          </cell>
        </row>
        <row r="3464">
          <cell r="A3464" t="str">
            <v>ST084-H12-XS</v>
          </cell>
          <cell r="B3464" t="str">
            <v>ST084</v>
          </cell>
        </row>
        <row r="3465">
          <cell r="A3465" t="str">
            <v>ST084-H12-XXL</v>
          </cell>
          <cell r="B3465" t="str">
            <v>ST084</v>
          </cell>
        </row>
        <row r="3466">
          <cell r="A3466" t="str">
            <v>ST084-H15-L</v>
          </cell>
          <cell r="B3466" t="str">
            <v>ST084</v>
          </cell>
        </row>
        <row r="3467">
          <cell r="A3467" t="str">
            <v>ST084-H15-M</v>
          </cell>
          <cell r="B3467" t="str">
            <v>ST084</v>
          </cell>
        </row>
        <row r="3468">
          <cell r="A3468" t="str">
            <v>ST084-H15-S</v>
          </cell>
          <cell r="B3468" t="str">
            <v>ST084</v>
          </cell>
        </row>
        <row r="3469">
          <cell r="A3469" t="str">
            <v>ST084-H15-XL</v>
          </cell>
          <cell r="B3469" t="str">
            <v>ST084</v>
          </cell>
        </row>
        <row r="3470">
          <cell r="A3470" t="str">
            <v>ST084-H15-XS</v>
          </cell>
          <cell r="B3470" t="str">
            <v>ST084</v>
          </cell>
        </row>
        <row r="3471">
          <cell r="A3471" t="str">
            <v>ST084-H15-XXL</v>
          </cell>
          <cell r="B3471" t="str">
            <v>ST084</v>
          </cell>
        </row>
        <row r="3472">
          <cell r="A3472" t="str">
            <v>ST084-H16-L</v>
          </cell>
          <cell r="B3472" t="str">
            <v>ST084</v>
          </cell>
        </row>
        <row r="3473">
          <cell r="A3473" t="str">
            <v>ST084-H16-M</v>
          </cell>
          <cell r="B3473" t="str">
            <v>ST084</v>
          </cell>
        </row>
        <row r="3474">
          <cell r="A3474" t="str">
            <v>ST084-H16-S</v>
          </cell>
          <cell r="B3474" t="str">
            <v>ST084</v>
          </cell>
        </row>
        <row r="3475">
          <cell r="A3475" t="str">
            <v>ST084-H16-XL</v>
          </cell>
          <cell r="B3475" t="str">
            <v>ST084</v>
          </cell>
        </row>
        <row r="3476">
          <cell r="A3476" t="str">
            <v>ST084-H16-XXL</v>
          </cell>
          <cell r="B3476" t="str">
            <v>ST084</v>
          </cell>
        </row>
        <row r="3477">
          <cell r="A3477" t="str">
            <v>ST084-H1-L</v>
          </cell>
          <cell r="B3477" t="str">
            <v>ST084</v>
          </cell>
        </row>
        <row r="3478">
          <cell r="A3478" t="str">
            <v>ST084-H1-M</v>
          </cell>
          <cell r="B3478" t="str">
            <v>ST084</v>
          </cell>
        </row>
        <row r="3479">
          <cell r="A3479" t="str">
            <v>ST084-H1-S</v>
          </cell>
          <cell r="B3479" t="str">
            <v>ST084</v>
          </cell>
        </row>
        <row r="3480">
          <cell r="A3480" t="str">
            <v>ST084-H1-XL</v>
          </cell>
          <cell r="B3480" t="str">
            <v>ST084</v>
          </cell>
        </row>
        <row r="3481">
          <cell r="A3481" t="str">
            <v>ST084-H1-XXL</v>
          </cell>
          <cell r="B3481" t="str">
            <v>ST084</v>
          </cell>
        </row>
        <row r="3482">
          <cell r="A3482" t="str">
            <v>ST084-H2-L</v>
          </cell>
          <cell r="B3482" t="str">
            <v>ST084</v>
          </cell>
        </row>
        <row r="3483">
          <cell r="A3483" t="str">
            <v>ST084-H2-M</v>
          </cell>
          <cell r="B3483" t="str">
            <v>ST084</v>
          </cell>
        </row>
        <row r="3484">
          <cell r="A3484" t="str">
            <v>ST084-H2-S</v>
          </cell>
          <cell r="B3484" t="str">
            <v>ST084</v>
          </cell>
        </row>
        <row r="3485">
          <cell r="A3485" t="str">
            <v>ST084-H2-XL</v>
          </cell>
          <cell r="B3485" t="str">
            <v>ST084</v>
          </cell>
        </row>
        <row r="3486">
          <cell r="A3486" t="str">
            <v>ST084-H2-XXL</v>
          </cell>
          <cell r="B3486" t="str">
            <v>ST084</v>
          </cell>
        </row>
        <row r="3487">
          <cell r="A3487" t="str">
            <v>ST084-H3-L</v>
          </cell>
          <cell r="B3487" t="str">
            <v>ST084</v>
          </cell>
        </row>
        <row r="3488">
          <cell r="A3488" t="str">
            <v>ST084-H3-M</v>
          </cell>
          <cell r="B3488" t="str">
            <v>ST084</v>
          </cell>
        </row>
        <row r="3489">
          <cell r="A3489" t="str">
            <v>ST084-H3-S</v>
          </cell>
          <cell r="B3489" t="str">
            <v>ST084</v>
          </cell>
        </row>
        <row r="3490">
          <cell r="A3490" t="str">
            <v>ST084-H3-XL</v>
          </cell>
          <cell r="B3490" t="str">
            <v>ST084</v>
          </cell>
        </row>
        <row r="3491">
          <cell r="A3491" t="str">
            <v>ST084-H3-XS</v>
          </cell>
          <cell r="B3491" t="str">
            <v>ST084</v>
          </cell>
        </row>
        <row r="3492">
          <cell r="A3492" t="str">
            <v>ST084-H3-XXL</v>
          </cell>
          <cell r="B3492" t="str">
            <v>ST084</v>
          </cell>
        </row>
        <row r="3493">
          <cell r="A3493" t="str">
            <v>ST084-H4-L</v>
          </cell>
          <cell r="B3493" t="str">
            <v>ST084</v>
          </cell>
        </row>
        <row r="3494">
          <cell r="A3494" t="str">
            <v>ST084-H4-M</v>
          </cell>
          <cell r="B3494" t="str">
            <v>ST084</v>
          </cell>
        </row>
        <row r="3495">
          <cell r="A3495" t="str">
            <v>ST084-H4-S</v>
          </cell>
          <cell r="B3495" t="str">
            <v>ST084</v>
          </cell>
        </row>
        <row r="3496">
          <cell r="A3496" t="str">
            <v>ST084-H4-XL</v>
          </cell>
          <cell r="B3496" t="str">
            <v>ST084</v>
          </cell>
        </row>
        <row r="3497">
          <cell r="A3497" t="str">
            <v>ST084-H4-XXL</v>
          </cell>
          <cell r="B3497" t="str">
            <v>ST084</v>
          </cell>
        </row>
        <row r="3498">
          <cell r="A3498" t="str">
            <v>ST084-H6-L</v>
          </cell>
          <cell r="B3498" t="str">
            <v>ST084</v>
          </cell>
        </row>
        <row r="3499">
          <cell r="A3499" t="str">
            <v>ST084-H6-M</v>
          </cell>
          <cell r="B3499" t="str">
            <v>ST084</v>
          </cell>
        </row>
        <row r="3500">
          <cell r="A3500" t="str">
            <v>ST084-H6-S</v>
          </cell>
          <cell r="B3500" t="str">
            <v>ST084</v>
          </cell>
        </row>
        <row r="3501">
          <cell r="A3501" t="str">
            <v>ST084-H6-XL</v>
          </cell>
          <cell r="B3501" t="str">
            <v>ST084</v>
          </cell>
        </row>
        <row r="3502">
          <cell r="A3502" t="str">
            <v>ST084-H6-XXL</v>
          </cell>
          <cell r="B3502" t="str">
            <v>ST084</v>
          </cell>
        </row>
        <row r="3503">
          <cell r="A3503" t="str">
            <v>ST085-G912-L</v>
          </cell>
          <cell r="B3503" t="str">
            <v>ST085</v>
          </cell>
        </row>
        <row r="3504">
          <cell r="A3504" t="str">
            <v>ST085-G912-M</v>
          </cell>
          <cell r="B3504" t="str">
            <v>ST085</v>
          </cell>
        </row>
        <row r="3505">
          <cell r="A3505" t="str">
            <v>ST085-G912-S</v>
          </cell>
          <cell r="B3505" t="str">
            <v>ST085</v>
          </cell>
        </row>
        <row r="3506">
          <cell r="A3506" t="str">
            <v>ST085-G912-XL</v>
          </cell>
          <cell r="B3506" t="str">
            <v>ST085</v>
          </cell>
        </row>
        <row r="3507">
          <cell r="A3507" t="str">
            <v>ST085-G912-XXL</v>
          </cell>
          <cell r="B3507" t="str">
            <v>ST085</v>
          </cell>
        </row>
        <row r="3508">
          <cell r="A3508" t="str">
            <v>ST085-LB916-L</v>
          </cell>
          <cell r="B3508" t="str">
            <v>ST085</v>
          </cell>
        </row>
        <row r="3509">
          <cell r="A3509" t="str">
            <v>ST085-LB916-M</v>
          </cell>
          <cell r="B3509" t="str">
            <v>ST085</v>
          </cell>
        </row>
        <row r="3510">
          <cell r="A3510" t="str">
            <v>ST085-LB916-S</v>
          </cell>
          <cell r="B3510" t="str">
            <v>ST085</v>
          </cell>
        </row>
        <row r="3511">
          <cell r="A3511" t="str">
            <v>ST085-LB916-XL</v>
          </cell>
          <cell r="B3511" t="str">
            <v>ST085</v>
          </cell>
        </row>
        <row r="3512">
          <cell r="A3512" t="str">
            <v>ST085-LB916-XXL</v>
          </cell>
          <cell r="B3512" t="str">
            <v>ST085</v>
          </cell>
        </row>
        <row r="3513">
          <cell r="A3513" t="str">
            <v>ST085-LG907-L</v>
          </cell>
          <cell r="B3513" t="str">
            <v>ST085</v>
          </cell>
        </row>
        <row r="3514">
          <cell r="A3514" t="str">
            <v>ST085-LG907-M</v>
          </cell>
          <cell r="B3514" t="str">
            <v>ST085</v>
          </cell>
        </row>
        <row r="3515">
          <cell r="A3515" t="str">
            <v>ST085-LG907-S</v>
          </cell>
          <cell r="B3515" t="str">
            <v>ST085</v>
          </cell>
        </row>
        <row r="3516">
          <cell r="A3516" t="str">
            <v>ST085-LG907-XL</v>
          </cell>
          <cell r="B3516" t="str">
            <v>ST085</v>
          </cell>
        </row>
        <row r="3517">
          <cell r="A3517" t="str">
            <v>ST085-LG907-XXL</v>
          </cell>
          <cell r="B3517" t="str">
            <v>ST085</v>
          </cell>
        </row>
        <row r="3518">
          <cell r="A3518" t="str">
            <v>ST085-PI908-L</v>
          </cell>
          <cell r="B3518" t="str">
            <v>ST085</v>
          </cell>
        </row>
        <row r="3519">
          <cell r="A3519" t="str">
            <v>ST085-PI908-M</v>
          </cell>
          <cell r="B3519" t="str">
            <v>ST085</v>
          </cell>
        </row>
        <row r="3520">
          <cell r="A3520" t="str">
            <v>ST085-PI908-S</v>
          </cell>
          <cell r="B3520" t="str">
            <v>ST085</v>
          </cell>
        </row>
        <row r="3521">
          <cell r="A3521" t="str">
            <v>ST085-PI908-XL</v>
          </cell>
          <cell r="B3521" t="str">
            <v>ST085</v>
          </cell>
        </row>
        <row r="3522">
          <cell r="A3522" t="str">
            <v>ST085-PI908-XS</v>
          </cell>
          <cell r="B3522" t="str">
            <v>ST085</v>
          </cell>
        </row>
        <row r="3523">
          <cell r="A3523" t="str">
            <v>ST085-PI908-XXL</v>
          </cell>
          <cell r="B3523" t="str">
            <v>ST085</v>
          </cell>
        </row>
        <row r="3524">
          <cell r="A3524" t="str">
            <v>ST085-R901-L</v>
          </cell>
          <cell r="B3524" t="str">
            <v>ST085</v>
          </cell>
        </row>
        <row r="3525">
          <cell r="A3525" t="str">
            <v>ST085-R901-M</v>
          </cell>
          <cell r="B3525" t="str">
            <v>ST085</v>
          </cell>
        </row>
        <row r="3526">
          <cell r="A3526" t="str">
            <v>ST085-R901-S</v>
          </cell>
          <cell r="B3526" t="str">
            <v>ST085</v>
          </cell>
        </row>
        <row r="3527">
          <cell r="A3527" t="str">
            <v>ST085-R901-XL</v>
          </cell>
          <cell r="B3527" t="str">
            <v>ST085</v>
          </cell>
        </row>
        <row r="3528">
          <cell r="A3528" t="str">
            <v>ST085-R901-XXL</v>
          </cell>
          <cell r="B3528" t="str">
            <v>ST085</v>
          </cell>
        </row>
        <row r="3529">
          <cell r="A3529" t="str">
            <v>ST085-Sa911-L</v>
          </cell>
          <cell r="B3529" t="str">
            <v>ST085</v>
          </cell>
        </row>
        <row r="3530">
          <cell r="A3530" t="str">
            <v>ST085-Sa911-M</v>
          </cell>
          <cell r="B3530" t="str">
            <v>ST085</v>
          </cell>
        </row>
        <row r="3531">
          <cell r="A3531" t="str">
            <v>ST085-Sa911-S</v>
          </cell>
          <cell r="B3531" t="str">
            <v>ST085</v>
          </cell>
        </row>
        <row r="3532">
          <cell r="A3532" t="str">
            <v>ST085-Sa911-XL</v>
          </cell>
          <cell r="B3532" t="str">
            <v>ST085</v>
          </cell>
        </row>
        <row r="3533">
          <cell r="A3533" t="str">
            <v>ST085-Sa911-XXL</v>
          </cell>
          <cell r="B3533" t="str">
            <v>ST085</v>
          </cell>
        </row>
        <row r="3534">
          <cell r="A3534" t="str">
            <v>ST085-W902-L</v>
          </cell>
          <cell r="B3534" t="str">
            <v>ST085</v>
          </cell>
        </row>
        <row r="3535">
          <cell r="A3535" t="str">
            <v>ST085-W902-M</v>
          </cell>
          <cell r="B3535" t="str">
            <v>ST085</v>
          </cell>
        </row>
        <row r="3536">
          <cell r="A3536" t="str">
            <v>ST085-W902-S</v>
          </cell>
          <cell r="B3536" t="str">
            <v>ST085</v>
          </cell>
        </row>
        <row r="3537">
          <cell r="A3537" t="str">
            <v>ST085-W902-XL</v>
          </cell>
          <cell r="B3537" t="str">
            <v>ST085</v>
          </cell>
        </row>
        <row r="3538">
          <cell r="A3538" t="str">
            <v>ST085-W902-XXL</v>
          </cell>
          <cell r="B3538" t="str">
            <v>ST085</v>
          </cell>
        </row>
        <row r="3539">
          <cell r="A3539" t="str">
            <v>ST085-WR917-L</v>
          </cell>
          <cell r="B3539" t="str">
            <v>ST085</v>
          </cell>
        </row>
        <row r="3540">
          <cell r="A3540" t="str">
            <v>ST085-WR917-M</v>
          </cell>
          <cell r="B3540" t="str">
            <v>ST085</v>
          </cell>
        </row>
        <row r="3541">
          <cell r="A3541" t="str">
            <v>ST085-WR917-S</v>
          </cell>
          <cell r="B3541" t="str">
            <v>ST085</v>
          </cell>
        </row>
        <row r="3542">
          <cell r="A3542" t="str">
            <v>ST085-WR917-XL</v>
          </cell>
          <cell r="B3542" t="str">
            <v>ST085</v>
          </cell>
        </row>
        <row r="3543">
          <cell r="A3543" t="str">
            <v>ST085-WR917-XS</v>
          </cell>
          <cell r="B3543" t="str">
            <v>ST085</v>
          </cell>
        </row>
        <row r="3544">
          <cell r="A3544" t="str">
            <v>ST085-WR917-XXL</v>
          </cell>
          <cell r="B3544" t="str">
            <v>ST085</v>
          </cell>
        </row>
        <row r="3545">
          <cell r="A3545" t="str">
            <v>ST085-ZL918-L</v>
          </cell>
          <cell r="B3545" t="str">
            <v>ST085</v>
          </cell>
        </row>
        <row r="3546">
          <cell r="A3546" t="str">
            <v>ST085-ZL918-M</v>
          </cell>
          <cell r="B3546" t="str">
            <v>ST085</v>
          </cell>
        </row>
        <row r="3547">
          <cell r="A3547" t="str">
            <v>ST085-ZL918-S</v>
          </cell>
          <cell r="B3547" t="str">
            <v>ST085</v>
          </cell>
        </row>
        <row r="3548">
          <cell r="A3548" t="str">
            <v>ST085-ZL918-XL</v>
          </cell>
          <cell r="B3548" t="str">
            <v>ST085</v>
          </cell>
        </row>
        <row r="3549">
          <cell r="A3549" t="str">
            <v>ST085-ZL918-XS</v>
          </cell>
          <cell r="B3549" t="str">
            <v>ST085</v>
          </cell>
        </row>
        <row r="3550">
          <cell r="A3550" t="str">
            <v>ST085-ZL918-XXL</v>
          </cell>
          <cell r="B3550" t="str">
            <v>ST085</v>
          </cell>
        </row>
        <row r="3551">
          <cell r="A3551" t="str">
            <v>ST086-B0-L</v>
          </cell>
          <cell r="B3551" t="str">
            <v>ST086</v>
          </cell>
        </row>
        <row r="3552">
          <cell r="A3552" t="str">
            <v>ST086-B0-M</v>
          </cell>
          <cell r="B3552" t="str">
            <v>ST086</v>
          </cell>
        </row>
        <row r="3553">
          <cell r="A3553" t="str">
            <v>ST086-B0-S</v>
          </cell>
          <cell r="B3553" t="str">
            <v>ST086</v>
          </cell>
        </row>
        <row r="3554">
          <cell r="A3554" t="str">
            <v>ST086-B0-XL</v>
          </cell>
          <cell r="B3554" t="str">
            <v>ST086</v>
          </cell>
        </row>
        <row r="3555">
          <cell r="A3555" t="str">
            <v>ST086-B0-XXL</v>
          </cell>
          <cell r="B3555" t="str">
            <v>ST086</v>
          </cell>
        </row>
        <row r="3556">
          <cell r="A3556" t="str">
            <v>ST086-LB-L</v>
          </cell>
          <cell r="B3556" t="str">
            <v>ST086</v>
          </cell>
        </row>
        <row r="3557">
          <cell r="A3557" t="str">
            <v>ST086-LB-M</v>
          </cell>
          <cell r="B3557" t="str">
            <v>ST086</v>
          </cell>
        </row>
        <row r="3558">
          <cell r="A3558" t="str">
            <v>ST086-LB-S</v>
          </cell>
          <cell r="B3558" t="str">
            <v>ST086</v>
          </cell>
        </row>
        <row r="3559">
          <cell r="A3559" t="str">
            <v>ST086-LB-XL</v>
          </cell>
          <cell r="B3559" t="str">
            <v>ST086</v>
          </cell>
        </row>
        <row r="3560">
          <cell r="A3560" t="str">
            <v>ST086-LB-XXL</v>
          </cell>
          <cell r="B3560" t="str">
            <v>ST086</v>
          </cell>
        </row>
        <row r="3561">
          <cell r="A3561" t="str">
            <v>ST086-N0-L</v>
          </cell>
          <cell r="B3561" t="str">
            <v>ST086</v>
          </cell>
        </row>
        <row r="3562">
          <cell r="A3562" t="str">
            <v>ST086-N0-M</v>
          </cell>
          <cell r="B3562" t="str">
            <v>ST086</v>
          </cell>
        </row>
        <row r="3563">
          <cell r="A3563" t="str">
            <v>ST086-N0-S</v>
          </cell>
          <cell r="B3563" t="str">
            <v>ST086</v>
          </cell>
        </row>
        <row r="3564">
          <cell r="A3564" t="str">
            <v>ST086-N0-XL</v>
          </cell>
          <cell r="B3564" t="str">
            <v>ST086</v>
          </cell>
        </row>
        <row r="3565">
          <cell r="A3565" t="str">
            <v>ST086-N0-XXL</v>
          </cell>
          <cell r="B3565" t="str">
            <v>ST086</v>
          </cell>
        </row>
        <row r="3566">
          <cell r="A3566" t="str">
            <v>ST122-B0-2XL</v>
          </cell>
          <cell r="B3566" t="str">
            <v>ST122</v>
          </cell>
        </row>
        <row r="3567">
          <cell r="A3567" t="str">
            <v>ST122-B0-L</v>
          </cell>
          <cell r="B3567" t="str">
            <v>ST122</v>
          </cell>
        </row>
        <row r="3568">
          <cell r="A3568" t="str">
            <v>ST122-B0-M</v>
          </cell>
          <cell r="B3568" t="str">
            <v>ST122</v>
          </cell>
        </row>
        <row r="3569">
          <cell r="A3569" t="str">
            <v>ST122-B0-S</v>
          </cell>
          <cell r="B3569" t="str">
            <v>ST122</v>
          </cell>
        </row>
        <row r="3570">
          <cell r="A3570" t="str">
            <v>ST122-B0-XL</v>
          </cell>
          <cell r="B3570" t="str">
            <v>ST122</v>
          </cell>
        </row>
        <row r="3571">
          <cell r="A3571" t="str">
            <v>ST122-B0-XS</v>
          </cell>
          <cell r="B3571" t="str">
            <v>ST122</v>
          </cell>
        </row>
        <row r="3572">
          <cell r="A3572" t="str">
            <v>ST122-N0-2XL</v>
          </cell>
          <cell r="B3572" t="str">
            <v>ST122</v>
          </cell>
        </row>
        <row r="3573">
          <cell r="A3573" t="str">
            <v>ST122-N0-L</v>
          </cell>
          <cell r="B3573" t="str">
            <v>ST122</v>
          </cell>
        </row>
        <row r="3574">
          <cell r="A3574" t="str">
            <v>ST122-N0-M</v>
          </cell>
          <cell r="B3574" t="str">
            <v>ST122</v>
          </cell>
        </row>
        <row r="3575">
          <cell r="A3575" t="str">
            <v>ST122-N0-S</v>
          </cell>
          <cell r="B3575" t="str">
            <v>ST122</v>
          </cell>
        </row>
        <row r="3576">
          <cell r="A3576" t="str">
            <v>ST122-N0-XL</v>
          </cell>
          <cell r="B3576" t="str">
            <v>ST122</v>
          </cell>
        </row>
        <row r="3577">
          <cell r="A3577" t="str">
            <v>ST122-N0-XS</v>
          </cell>
          <cell r="B3577" t="str">
            <v>ST122</v>
          </cell>
        </row>
        <row r="3578">
          <cell r="A3578" t="str">
            <v>ST122-WR-2XL</v>
          </cell>
          <cell r="B3578" t="str">
            <v>ST122</v>
          </cell>
        </row>
        <row r="3579">
          <cell r="A3579" t="str">
            <v>ST122-WR-L</v>
          </cell>
          <cell r="B3579" t="str">
            <v>ST122</v>
          </cell>
        </row>
        <row r="3580">
          <cell r="A3580" t="str">
            <v>ST122-WR-M</v>
          </cell>
          <cell r="B3580" t="str">
            <v>ST122</v>
          </cell>
        </row>
        <row r="3581">
          <cell r="A3581" t="str">
            <v>ST122-WR-S</v>
          </cell>
          <cell r="B3581" t="str">
            <v>ST122</v>
          </cell>
        </row>
        <row r="3582">
          <cell r="A3582" t="str">
            <v>ST122-WR-XL</v>
          </cell>
          <cell r="B3582" t="str">
            <v>ST122</v>
          </cell>
        </row>
        <row r="3583">
          <cell r="A3583" t="str">
            <v>ST122-WR-XS</v>
          </cell>
          <cell r="B3583" t="str">
            <v>ST122</v>
          </cell>
        </row>
        <row r="3584">
          <cell r="A3584" t="str">
            <v>ST155-AG-30</v>
          </cell>
          <cell r="B3584" t="str">
            <v>ST155</v>
          </cell>
        </row>
        <row r="3585">
          <cell r="A3585" t="str">
            <v>ST155-AG-32</v>
          </cell>
          <cell r="B3585" t="str">
            <v>ST155</v>
          </cell>
        </row>
        <row r="3586">
          <cell r="A3586" t="str">
            <v>ST155-AG-34</v>
          </cell>
          <cell r="B3586" t="str">
            <v>ST155</v>
          </cell>
        </row>
        <row r="3587">
          <cell r="A3587" t="str">
            <v>ST155-AG-36</v>
          </cell>
          <cell r="B3587" t="str">
            <v>ST155</v>
          </cell>
        </row>
        <row r="3588">
          <cell r="A3588" t="str">
            <v>ST155-AG-38</v>
          </cell>
          <cell r="B3588" t="str">
            <v>ST155</v>
          </cell>
        </row>
        <row r="3589">
          <cell r="A3589" t="str">
            <v>ST155-AG-40</v>
          </cell>
          <cell r="B3589" t="str">
            <v>ST155</v>
          </cell>
        </row>
        <row r="3590">
          <cell r="A3590" t="str">
            <v>ST155-AG-42</v>
          </cell>
          <cell r="B3590" t="str">
            <v>ST155</v>
          </cell>
        </row>
        <row r="3591">
          <cell r="A3591" t="str">
            <v>ST155-C34-Ca-30</v>
          </cell>
          <cell r="B3591" t="str">
            <v>ST155</v>
          </cell>
        </row>
        <row r="3592">
          <cell r="A3592" t="str">
            <v>ST155-C34-Ca-32</v>
          </cell>
          <cell r="B3592" t="str">
            <v>ST155</v>
          </cell>
        </row>
        <row r="3593">
          <cell r="A3593" t="str">
            <v>ST155-C34-Ca-34</v>
          </cell>
          <cell r="B3593" t="str">
            <v>ST155</v>
          </cell>
        </row>
        <row r="3594">
          <cell r="A3594" t="str">
            <v>ST155-C34-Ca-36</v>
          </cell>
          <cell r="B3594" t="str">
            <v>ST155</v>
          </cell>
        </row>
        <row r="3595">
          <cell r="A3595" t="str">
            <v>ST155-C34-Ca-38</v>
          </cell>
          <cell r="B3595" t="str">
            <v>ST155</v>
          </cell>
        </row>
        <row r="3596">
          <cell r="A3596" t="str">
            <v>ST155-C34-Ca-40</v>
          </cell>
          <cell r="B3596" t="str">
            <v>ST155</v>
          </cell>
        </row>
        <row r="3597">
          <cell r="A3597" t="str">
            <v>ST155-C34-Ca-42</v>
          </cell>
          <cell r="B3597" t="str">
            <v>ST155</v>
          </cell>
        </row>
        <row r="3598">
          <cell r="A3598" t="str">
            <v>ST155-K0-30</v>
          </cell>
          <cell r="B3598" t="str">
            <v>ST155</v>
          </cell>
        </row>
        <row r="3599">
          <cell r="A3599" t="str">
            <v>ST155-K0-32</v>
          </cell>
          <cell r="B3599" t="str">
            <v>ST155</v>
          </cell>
        </row>
        <row r="3600">
          <cell r="A3600" t="str">
            <v>ST155-K0-34</v>
          </cell>
          <cell r="B3600" t="str">
            <v>ST155</v>
          </cell>
        </row>
        <row r="3601">
          <cell r="A3601" t="str">
            <v>ST155-K0-36</v>
          </cell>
          <cell r="B3601" t="str">
            <v>ST155</v>
          </cell>
        </row>
        <row r="3602">
          <cell r="A3602" t="str">
            <v>ST155-K0-38</v>
          </cell>
          <cell r="B3602" t="str">
            <v>ST155</v>
          </cell>
        </row>
        <row r="3603">
          <cell r="A3603" t="str">
            <v>ST155-K0-40</v>
          </cell>
          <cell r="B3603" t="str">
            <v>ST155</v>
          </cell>
        </row>
        <row r="3604">
          <cell r="A3604" t="str">
            <v>ST155-K0-42</v>
          </cell>
          <cell r="B3604" t="str">
            <v>ST155</v>
          </cell>
        </row>
        <row r="3605">
          <cell r="A3605" t="str">
            <v>ST155-KQ-30</v>
          </cell>
          <cell r="B3605" t="str">
            <v>ST155</v>
          </cell>
        </row>
        <row r="3606">
          <cell r="A3606" t="str">
            <v>ST155-KQ-32</v>
          </cell>
          <cell r="B3606" t="str">
            <v>ST155</v>
          </cell>
        </row>
        <row r="3607">
          <cell r="A3607" t="str">
            <v>ST155-KQ-34</v>
          </cell>
          <cell r="B3607" t="str">
            <v>ST155</v>
          </cell>
        </row>
        <row r="3608">
          <cell r="A3608" t="str">
            <v>ST155-KQ-36</v>
          </cell>
          <cell r="B3608" t="str">
            <v>ST155</v>
          </cell>
        </row>
        <row r="3609">
          <cell r="A3609" t="str">
            <v>ST155-KQ-38</v>
          </cell>
          <cell r="B3609" t="str">
            <v>ST155</v>
          </cell>
        </row>
        <row r="3610">
          <cell r="A3610" t="str">
            <v>ST155-KQ-40</v>
          </cell>
          <cell r="B3610" t="str">
            <v>ST155</v>
          </cell>
        </row>
        <row r="3611">
          <cell r="A3611" t="str">
            <v>ST155-KQ-42</v>
          </cell>
          <cell r="B3611" t="str">
            <v>ST155</v>
          </cell>
        </row>
        <row r="3612">
          <cell r="A3612" t="str">
            <v>ST155-N0-30</v>
          </cell>
          <cell r="B3612" t="str">
            <v>ST155</v>
          </cell>
        </row>
        <row r="3613">
          <cell r="A3613" t="str">
            <v>ST155-N0-32</v>
          </cell>
          <cell r="B3613" t="str">
            <v>ST155</v>
          </cell>
        </row>
        <row r="3614">
          <cell r="A3614" t="str">
            <v>ST155-N0-34</v>
          </cell>
          <cell r="B3614" t="str">
            <v>ST155</v>
          </cell>
        </row>
        <row r="3615">
          <cell r="A3615" t="str">
            <v>ST155-N0-36</v>
          </cell>
          <cell r="B3615" t="str">
            <v>ST155</v>
          </cell>
        </row>
        <row r="3616">
          <cell r="A3616" t="str">
            <v>ST155-N0-38</v>
          </cell>
          <cell r="B3616" t="str">
            <v>ST155</v>
          </cell>
        </row>
        <row r="3617">
          <cell r="A3617" t="str">
            <v>ST155-N0-40</v>
          </cell>
          <cell r="B3617" t="str">
            <v>ST155</v>
          </cell>
        </row>
        <row r="3618">
          <cell r="A3618" t="str">
            <v>ST155-N0-42</v>
          </cell>
          <cell r="B3618" t="str">
            <v>ST155</v>
          </cell>
        </row>
        <row r="3619">
          <cell r="A3619" t="str">
            <v>ST166-B28-1-L</v>
          </cell>
          <cell r="B3619" t="str">
            <v>ST166</v>
          </cell>
        </row>
        <row r="3620">
          <cell r="A3620" t="str">
            <v>ST166-B28-1-M</v>
          </cell>
          <cell r="B3620" t="str">
            <v>ST166</v>
          </cell>
        </row>
        <row r="3621">
          <cell r="A3621" t="str">
            <v>ST166-B28-1-S</v>
          </cell>
          <cell r="B3621" t="str">
            <v>ST166</v>
          </cell>
        </row>
        <row r="3622">
          <cell r="A3622" t="str">
            <v>ST166-B28-1-XL</v>
          </cell>
          <cell r="B3622" t="str">
            <v>ST166</v>
          </cell>
        </row>
        <row r="3623">
          <cell r="A3623" t="str">
            <v>ST166-B28-1-XXL</v>
          </cell>
          <cell r="B3623" t="str">
            <v>ST166</v>
          </cell>
        </row>
        <row r="3624">
          <cell r="A3624" t="str">
            <v>ST166-B28-3-L</v>
          </cell>
          <cell r="B3624" t="str">
            <v>ST166</v>
          </cell>
        </row>
        <row r="3625">
          <cell r="A3625" t="str">
            <v>ST166-B28-3-M</v>
          </cell>
          <cell r="B3625" t="str">
            <v>ST166</v>
          </cell>
        </row>
        <row r="3626">
          <cell r="A3626" t="str">
            <v>ST166-B28-3-S</v>
          </cell>
          <cell r="B3626" t="str">
            <v>ST166</v>
          </cell>
        </row>
        <row r="3627">
          <cell r="A3627" t="str">
            <v>ST166-B28-3-XL</v>
          </cell>
          <cell r="B3627" t="str">
            <v>ST166</v>
          </cell>
        </row>
        <row r="3628">
          <cell r="A3628" t="str">
            <v>ST166-B28-3-XXL</v>
          </cell>
          <cell r="B3628" t="str">
            <v>ST166</v>
          </cell>
        </row>
        <row r="3629">
          <cell r="A3629" t="str">
            <v>ST166-B28-4-L</v>
          </cell>
          <cell r="B3629" t="str">
            <v>ST166</v>
          </cell>
        </row>
        <row r="3630">
          <cell r="A3630" t="str">
            <v>ST166-B28-4-M</v>
          </cell>
          <cell r="B3630" t="str">
            <v>ST166</v>
          </cell>
        </row>
        <row r="3631">
          <cell r="A3631" t="str">
            <v>ST166-B28-4-S</v>
          </cell>
          <cell r="B3631" t="str">
            <v>ST166</v>
          </cell>
        </row>
        <row r="3632">
          <cell r="A3632" t="str">
            <v>ST166-B28-4-XL</v>
          </cell>
          <cell r="B3632" t="str">
            <v>ST166</v>
          </cell>
        </row>
        <row r="3633">
          <cell r="A3633" t="str">
            <v>ST166-B28-4-XXL</v>
          </cell>
          <cell r="B3633" t="str">
            <v>ST166</v>
          </cell>
        </row>
        <row r="3634">
          <cell r="A3634" t="str">
            <v>ST166-B28-5-L</v>
          </cell>
          <cell r="B3634" t="str">
            <v>ST166</v>
          </cell>
        </row>
        <row r="3635">
          <cell r="A3635" t="str">
            <v>ST166-B28-5-M</v>
          </cell>
          <cell r="B3635" t="str">
            <v>ST166</v>
          </cell>
        </row>
        <row r="3636">
          <cell r="A3636" t="str">
            <v>ST166-B28-5-S</v>
          </cell>
          <cell r="B3636" t="str">
            <v>ST166</v>
          </cell>
        </row>
        <row r="3637">
          <cell r="A3637" t="str">
            <v>ST166-B28-5-XL</v>
          </cell>
          <cell r="B3637" t="str">
            <v>ST166</v>
          </cell>
        </row>
        <row r="3638">
          <cell r="A3638" t="str">
            <v>ST166-B28-5-XXL</v>
          </cell>
          <cell r="B3638" t="str">
            <v>ST166</v>
          </cell>
        </row>
        <row r="3639">
          <cell r="A3639" t="str">
            <v>ST166-K33-1-L</v>
          </cell>
          <cell r="B3639" t="str">
            <v>ST166</v>
          </cell>
        </row>
        <row r="3640">
          <cell r="A3640" t="str">
            <v>ST166-K33-1-M</v>
          </cell>
          <cell r="B3640" t="str">
            <v>ST166</v>
          </cell>
        </row>
        <row r="3641">
          <cell r="A3641" t="str">
            <v>ST166-K33-1-S</v>
          </cell>
          <cell r="B3641" t="str">
            <v>ST166</v>
          </cell>
        </row>
        <row r="3642">
          <cell r="A3642" t="str">
            <v>ST166-K33-1-XL</v>
          </cell>
          <cell r="B3642" t="str">
            <v>ST166</v>
          </cell>
        </row>
        <row r="3643">
          <cell r="A3643" t="str">
            <v>ST166-K33-1-XXL</v>
          </cell>
          <cell r="B3643" t="str">
            <v>ST166</v>
          </cell>
        </row>
        <row r="3644">
          <cell r="A3644" t="str">
            <v>ST166-K33-2-L</v>
          </cell>
          <cell r="B3644" t="str">
            <v>ST166</v>
          </cell>
        </row>
        <row r="3645">
          <cell r="A3645" t="str">
            <v>ST166-K33-2-M</v>
          </cell>
          <cell r="B3645" t="str">
            <v>ST166</v>
          </cell>
        </row>
        <row r="3646">
          <cell r="A3646" t="str">
            <v>ST166-K33-2-S</v>
          </cell>
          <cell r="B3646" t="str">
            <v>ST166</v>
          </cell>
        </row>
        <row r="3647">
          <cell r="A3647" t="str">
            <v>ST166-K33-2-XL</v>
          </cell>
          <cell r="B3647" t="str">
            <v>ST166</v>
          </cell>
        </row>
        <row r="3648">
          <cell r="A3648" t="str">
            <v>ST166-K33-2-XXL</v>
          </cell>
          <cell r="B3648" t="str">
            <v>ST166</v>
          </cell>
        </row>
        <row r="3649">
          <cell r="A3649" t="str">
            <v>ST166-K33-4-L</v>
          </cell>
          <cell r="B3649" t="str">
            <v>ST166</v>
          </cell>
        </row>
        <row r="3650">
          <cell r="A3650" t="str">
            <v>ST166-K33-4-M</v>
          </cell>
          <cell r="B3650" t="str">
            <v>ST166</v>
          </cell>
        </row>
        <row r="3651">
          <cell r="A3651" t="str">
            <v>ST166-K33-4-S</v>
          </cell>
          <cell r="B3651" t="str">
            <v>ST166</v>
          </cell>
        </row>
        <row r="3652">
          <cell r="A3652" t="str">
            <v>ST166-K33-4-XL</v>
          </cell>
          <cell r="B3652" t="str">
            <v>ST166</v>
          </cell>
        </row>
        <row r="3653">
          <cell r="A3653" t="str">
            <v>ST166-K33-4-XXL</v>
          </cell>
          <cell r="B3653" t="str">
            <v>ST166</v>
          </cell>
        </row>
        <row r="3654">
          <cell r="A3654" t="str">
            <v>ST166-K73-1-L</v>
          </cell>
          <cell r="B3654" t="str">
            <v>ST166</v>
          </cell>
        </row>
        <row r="3655">
          <cell r="A3655" t="str">
            <v>ST166-K73-1-M</v>
          </cell>
          <cell r="B3655" t="str">
            <v>ST166</v>
          </cell>
        </row>
        <row r="3656">
          <cell r="A3656" t="str">
            <v>ST166-K73-1-S</v>
          </cell>
          <cell r="B3656" t="str">
            <v>ST166</v>
          </cell>
        </row>
        <row r="3657">
          <cell r="A3657" t="str">
            <v>ST166-K73-1-XL</v>
          </cell>
          <cell r="B3657" t="str">
            <v>ST166</v>
          </cell>
        </row>
        <row r="3658">
          <cell r="A3658" t="str">
            <v>ST166-K73-1-XXL</v>
          </cell>
          <cell r="B3658" t="str">
            <v>ST166</v>
          </cell>
        </row>
        <row r="3659">
          <cell r="A3659" t="str">
            <v>ST166-K73-2-L</v>
          </cell>
          <cell r="B3659" t="str">
            <v>ST166</v>
          </cell>
        </row>
        <row r="3660">
          <cell r="A3660" t="str">
            <v>ST166-K73-2-M</v>
          </cell>
          <cell r="B3660" t="str">
            <v>ST166</v>
          </cell>
        </row>
        <row r="3661">
          <cell r="A3661" t="str">
            <v>ST166-K73-2-S</v>
          </cell>
          <cell r="B3661" t="str">
            <v>ST166</v>
          </cell>
        </row>
        <row r="3662">
          <cell r="A3662" t="str">
            <v>ST166-K73-2-XL</v>
          </cell>
          <cell r="B3662" t="str">
            <v>ST166</v>
          </cell>
        </row>
        <row r="3663">
          <cell r="A3663" t="str">
            <v>ST166-K73-2-XXL</v>
          </cell>
          <cell r="B3663" t="str">
            <v>ST166</v>
          </cell>
        </row>
        <row r="3664">
          <cell r="A3664" t="str">
            <v>ST167-BK-L</v>
          </cell>
          <cell r="B3664" t="str">
            <v>ST167</v>
          </cell>
        </row>
        <row r="3665">
          <cell r="A3665" t="str">
            <v>ST167-BK-M</v>
          </cell>
          <cell r="B3665" t="str">
            <v>ST167</v>
          </cell>
        </row>
        <row r="3666">
          <cell r="A3666" t="str">
            <v>ST167-BK-S</v>
          </cell>
          <cell r="B3666" t="str">
            <v>ST167</v>
          </cell>
        </row>
        <row r="3667">
          <cell r="A3667" t="str">
            <v>ST167-BK-XL</v>
          </cell>
          <cell r="B3667" t="str">
            <v>ST167</v>
          </cell>
        </row>
        <row r="3668">
          <cell r="A3668" t="str">
            <v>ST167-BK-XXL</v>
          </cell>
          <cell r="B3668" t="str">
            <v>ST167</v>
          </cell>
        </row>
        <row r="3669">
          <cell r="A3669" t="str">
            <v>ST167-K0-L</v>
          </cell>
          <cell r="B3669" t="str">
            <v>ST167</v>
          </cell>
        </row>
        <row r="3670">
          <cell r="A3670" t="str">
            <v>ST167-K0-M</v>
          </cell>
          <cell r="B3670" t="str">
            <v>ST167</v>
          </cell>
        </row>
        <row r="3671">
          <cell r="A3671" t="str">
            <v>ST167-K0-S</v>
          </cell>
          <cell r="B3671" t="str">
            <v>ST167</v>
          </cell>
        </row>
        <row r="3672">
          <cell r="A3672" t="str">
            <v>ST167-K0-XL</v>
          </cell>
          <cell r="B3672" t="str">
            <v>ST167</v>
          </cell>
        </row>
        <row r="3673">
          <cell r="A3673" t="str">
            <v>ST167-K0-XXL</v>
          </cell>
          <cell r="B3673" t="str">
            <v>ST167</v>
          </cell>
        </row>
        <row r="3674">
          <cell r="A3674" t="str">
            <v>ST167-N0-L</v>
          </cell>
          <cell r="B3674" t="str">
            <v>ST167</v>
          </cell>
        </row>
        <row r="3675">
          <cell r="A3675" t="str">
            <v>ST167-N0-M</v>
          </cell>
          <cell r="B3675" t="str">
            <v>ST167</v>
          </cell>
        </row>
        <row r="3676">
          <cell r="A3676" t="str">
            <v>ST167-N0-S</v>
          </cell>
          <cell r="B3676" t="str">
            <v>ST167</v>
          </cell>
        </row>
        <row r="3677">
          <cell r="A3677" t="str">
            <v>ST167-N0-XL</v>
          </cell>
          <cell r="B3677" t="str">
            <v>ST167</v>
          </cell>
        </row>
        <row r="3678">
          <cell r="A3678" t="str">
            <v>ST167-N0-XXL</v>
          </cell>
          <cell r="B3678" t="str">
            <v>ST167</v>
          </cell>
        </row>
        <row r="3679">
          <cell r="A3679" t="str">
            <v>ST167-R0-L</v>
          </cell>
          <cell r="B3679" t="str">
            <v>ST167</v>
          </cell>
        </row>
        <row r="3680">
          <cell r="A3680" t="str">
            <v>ST167-R0-M</v>
          </cell>
          <cell r="B3680" t="str">
            <v>ST167</v>
          </cell>
        </row>
        <row r="3681">
          <cell r="A3681" t="str">
            <v>ST167-R0-S</v>
          </cell>
          <cell r="B3681" t="str">
            <v>ST167</v>
          </cell>
        </row>
        <row r="3682">
          <cell r="A3682" t="str">
            <v>ST167-R0-XL</v>
          </cell>
          <cell r="B3682" t="str">
            <v>ST167</v>
          </cell>
        </row>
        <row r="3683">
          <cell r="A3683" t="str">
            <v>ST167-R0-XXL</v>
          </cell>
          <cell r="B3683" t="str">
            <v>ST167</v>
          </cell>
        </row>
        <row r="3684">
          <cell r="A3684" t="str">
            <v>ST167-W0-L</v>
          </cell>
          <cell r="B3684" t="str">
            <v>ST167</v>
          </cell>
        </row>
        <row r="3685">
          <cell r="A3685" t="str">
            <v>ST167-W0-M</v>
          </cell>
          <cell r="B3685" t="str">
            <v>ST167</v>
          </cell>
        </row>
        <row r="3686">
          <cell r="A3686" t="str">
            <v>ST167-W0-S</v>
          </cell>
          <cell r="B3686" t="str">
            <v>ST167</v>
          </cell>
        </row>
        <row r="3687">
          <cell r="A3687" t="str">
            <v>ST167-W0-XL</v>
          </cell>
          <cell r="B3687" t="str">
            <v>ST167</v>
          </cell>
        </row>
        <row r="3688">
          <cell r="A3688" t="str">
            <v>ST167-W0-XXL</v>
          </cell>
          <cell r="B3688" t="str">
            <v>ST167</v>
          </cell>
        </row>
        <row r="3689">
          <cell r="A3689" t="str">
            <v>ST168-311-4E-L</v>
          </cell>
          <cell r="B3689" t="str">
            <v>ST168</v>
          </cell>
        </row>
        <row r="3690">
          <cell r="A3690" t="str">
            <v>ST168-311-4E-M</v>
          </cell>
          <cell r="B3690" t="str">
            <v>ST168</v>
          </cell>
        </row>
        <row r="3691">
          <cell r="A3691" t="str">
            <v>ST168-311-4E-XL</v>
          </cell>
          <cell r="B3691" t="str">
            <v>ST168</v>
          </cell>
        </row>
        <row r="3692">
          <cell r="A3692" t="str">
            <v>ST168-311-4F-L</v>
          </cell>
          <cell r="B3692" t="str">
            <v>ST168</v>
          </cell>
        </row>
        <row r="3693">
          <cell r="A3693" t="str">
            <v>ST168-311-4F-M</v>
          </cell>
          <cell r="B3693" t="str">
            <v>ST168</v>
          </cell>
        </row>
        <row r="3694">
          <cell r="A3694" t="str">
            <v>ST168-311-4F-XL</v>
          </cell>
          <cell r="B3694" t="str">
            <v>ST168</v>
          </cell>
        </row>
        <row r="3695">
          <cell r="A3695" t="str">
            <v>ST168-311-4H-L</v>
          </cell>
          <cell r="B3695" t="str">
            <v>ST168</v>
          </cell>
        </row>
        <row r="3696">
          <cell r="A3696" t="str">
            <v>ST168-311-4H-M</v>
          </cell>
          <cell r="B3696" t="str">
            <v>ST168</v>
          </cell>
        </row>
        <row r="3697">
          <cell r="A3697" t="str">
            <v>ST168-311-4H-XL</v>
          </cell>
          <cell r="B3697" t="str">
            <v>ST168</v>
          </cell>
        </row>
        <row r="3698">
          <cell r="A3698" t="str">
            <v>ST168-311-76A-L</v>
          </cell>
          <cell r="B3698" t="str">
            <v>ST168</v>
          </cell>
        </row>
        <row r="3699">
          <cell r="A3699" t="str">
            <v>ST168-311-76A-M</v>
          </cell>
          <cell r="B3699" t="str">
            <v>ST168</v>
          </cell>
        </row>
        <row r="3700">
          <cell r="A3700" t="str">
            <v>ST168-311-76A-XL</v>
          </cell>
          <cell r="B3700" t="str">
            <v>ST168</v>
          </cell>
        </row>
        <row r="3701">
          <cell r="A3701" t="str">
            <v>ST168-311-76C-L</v>
          </cell>
          <cell r="B3701" t="str">
            <v>ST168</v>
          </cell>
        </row>
        <row r="3702">
          <cell r="A3702" t="str">
            <v>ST168-311-76C-M</v>
          </cell>
          <cell r="B3702" t="str">
            <v>ST168</v>
          </cell>
        </row>
        <row r="3703">
          <cell r="A3703" t="str">
            <v>ST168-311-76C-XL</v>
          </cell>
          <cell r="B3703" t="str">
            <v>ST168</v>
          </cell>
        </row>
        <row r="3704">
          <cell r="A3704" t="str">
            <v>ST168-311-76D-L</v>
          </cell>
          <cell r="B3704" t="str">
            <v>ST168</v>
          </cell>
        </row>
        <row r="3705">
          <cell r="A3705" t="str">
            <v>ST168-311-76D-M</v>
          </cell>
          <cell r="B3705" t="str">
            <v>ST168</v>
          </cell>
        </row>
        <row r="3706">
          <cell r="A3706" t="str">
            <v>ST168-311-76D-XL</v>
          </cell>
          <cell r="B3706" t="str">
            <v>ST168</v>
          </cell>
        </row>
        <row r="3707">
          <cell r="A3707" t="str">
            <v>ST168-HSJK-168A-L</v>
          </cell>
          <cell r="B3707" t="str">
            <v>ST168</v>
          </cell>
        </row>
        <row r="3708">
          <cell r="A3708" t="str">
            <v>ST168-HSJK-168A-M</v>
          </cell>
          <cell r="B3708" t="str">
            <v>ST168</v>
          </cell>
        </row>
        <row r="3709">
          <cell r="A3709" t="str">
            <v>ST168-HSJK-168A-XL</v>
          </cell>
          <cell r="B3709" t="str">
            <v>ST168</v>
          </cell>
        </row>
        <row r="3710">
          <cell r="A3710" t="str">
            <v>ST168-HSJK-168B-L</v>
          </cell>
          <cell r="B3710" t="str">
            <v>ST168</v>
          </cell>
        </row>
        <row r="3711">
          <cell r="A3711" t="str">
            <v>ST168-HSJK-168B-M</v>
          </cell>
          <cell r="B3711" t="str">
            <v>ST168</v>
          </cell>
        </row>
        <row r="3712">
          <cell r="A3712" t="str">
            <v>ST168-HSJK-168B-XL</v>
          </cell>
          <cell r="B3712" t="str">
            <v>ST168</v>
          </cell>
        </row>
        <row r="3713">
          <cell r="A3713" t="str">
            <v>ST168-HSJK-168C-L</v>
          </cell>
          <cell r="B3713" t="str">
            <v>ST168</v>
          </cell>
        </row>
        <row r="3714">
          <cell r="A3714" t="str">
            <v>ST168-HSJK-168C-M</v>
          </cell>
          <cell r="B3714" t="str">
            <v>ST168</v>
          </cell>
        </row>
        <row r="3715">
          <cell r="A3715" t="str">
            <v>ST168-HSJK-168C-XL</v>
          </cell>
          <cell r="B3715" t="str">
            <v>ST168</v>
          </cell>
        </row>
        <row r="3716">
          <cell r="A3716" t="str">
            <v>ST168-K77-1-L</v>
          </cell>
          <cell r="B3716" t="str">
            <v>ST168</v>
          </cell>
        </row>
        <row r="3717">
          <cell r="A3717" t="str">
            <v>ST168-K77-1-M</v>
          </cell>
          <cell r="B3717" t="str">
            <v>ST168</v>
          </cell>
        </row>
        <row r="3718">
          <cell r="A3718" t="str">
            <v>ST168-K77-1-XL</v>
          </cell>
          <cell r="B3718" t="str">
            <v>ST168</v>
          </cell>
        </row>
        <row r="3719">
          <cell r="A3719" t="str">
            <v>ST168-K77-2-L</v>
          </cell>
          <cell r="B3719" t="str">
            <v>ST168</v>
          </cell>
        </row>
        <row r="3720">
          <cell r="A3720" t="str">
            <v>ST168-K77-2-M</v>
          </cell>
          <cell r="B3720" t="str">
            <v>ST168</v>
          </cell>
        </row>
        <row r="3721">
          <cell r="A3721" t="str">
            <v>ST168-K77-2-XL</v>
          </cell>
          <cell r="B3721" t="str">
            <v>ST168</v>
          </cell>
        </row>
        <row r="3722">
          <cell r="A3722" t="str">
            <v>ST168-K77-4-L</v>
          </cell>
          <cell r="B3722" t="str">
            <v>ST168</v>
          </cell>
        </row>
        <row r="3723">
          <cell r="A3723" t="str">
            <v>ST168-K77-4-M</v>
          </cell>
          <cell r="B3723" t="str">
            <v>ST168</v>
          </cell>
        </row>
        <row r="3724">
          <cell r="A3724" t="str">
            <v>ST168-K77-4-XL</v>
          </cell>
          <cell r="B3724" t="str">
            <v>ST168</v>
          </cell>
        </row>
        <row r="3725">
          <cell r="A3725" t="str">
            <v>ST170-GN-L</v>
          </cell>
          <cell r="B3725" t="str">
            <v>ST170</v>
          </cell>
        </row>
        <row r="3726">
          <cell r="A3726" t="str">
            <v>ST170-GN-M</v>
          </cell>
          <cell r="B3726" t="str">
            <v>ST170</v>
          </cell>
        </row>
        <row r="3727">
          <cell r="A3727" t="str">
            <v>ST170-GN-S</v>
          </cell>
          <cell r="B3727" t="str">
            <v>ST170</v>
          </cell>
        </row>
        <row r="3728">
          <cell r="A3728" t="str">
            <v>ST170-GN-XL</v>
          </cell>
          <cell r="B3728" t="str">
            <v>ST170</v>
          </cell>
        </row>
        <row r="3729">
          <cell r="A3729" t="str">
            <v>ST170-GN-XXL</v>
          </cell>
          <cell r="B3729" t="str">
            <v>ST170</v>
          </cell>
        </row>
        <row r="3730">
          <cell r="A3730" t="str">
            <v>ST170-LB-L</v>
          </cell>
          <cell r="B3730" t="str">
            <v>ST170</v>
          </cell>
        </row>
        <row r="3731">
          <cell r="A3731" t="str">
            <v>ST170-LB-M</v>
          </cell>
          <cell r="B3731" t="str">
            <v>ST170</v>
          </cell>
        </row>
        <row r="3732">
          <cell r="A3732" t="str">
            <v>ST170-LB-S</v>
          </cell>
          <cell r="B3732" t="str">
            <v>ST170</v>
          </cell>
        </row>
        <row r="3733">
          <cell r="A3733" t="str">
            <v>ST170-LB-XL</v>
          </cell>
          <cell r="B3733" t="str">
            <v>ST170</v>
          </cell>
        </row>
        <row r="3734">
          <cell r="A3734" t="str">
            <v>ST170-LB-XXL</v>
          </cell>
          <cell r="B3734" t="str">
            <v>ST170</v>
          </cell>
        </row>
        <row r="3735">
          <cell r="A3735" t="str">
            <v>ST170-LG-L</v>
          </cell>
          <cell r="B3735" t="str">
            <v>ST170</v>
          </cell>
        </row>
        <row r="3736">
          <cell r="A3736" t="str">
            <v>ST170-LG-M</v>
          </cell>
          <cell r="B3736" t="str">
            <v>ST170</v>
          </cell>
        </row>
        <row r="3737">
          <cell r="A3737" t="str">
            <v>ST170-LG-S</v>
          </cell>
          <cell r="B3737" t="str">
            <v>ST170</v>
          </cell>
        </row>
        <row r="3738">
          <cell r="A3738" t="str">
            <v>ST170-LG-XL</v>
          </cell>
          <cell r="B3738" t="str">
            <v>ST170</v>
          </cell>
        </row>
        <row r="3739">
          <cell r="A3739" t="str">
            <v>ST170-LG-XXL</v>
          </cell>
          <cell r="B3739" t="str">
            <v>ST170</v>
          </cell>
        </row>
        <row r="3740">
          <cell r="A3740" t="str">
            <v>ST170-PK-L</v>
          </cell>
          <cell r="B3740" t="str">
            <v>ST170</v>
          </cell>
        </row>
        <row r="3741">
          <cell r="A3741" t="str">
            <v>ST170-PK-M</v>
          </cell>
          <cell r="B3741" t="str">
            <v>ST170</v>
          </cell>
        </row>
        <row r="3742">
          <cell r="A3742" t="str">
            <v>ST170-PK-S</v>
          </cell>
          <cell r="B3742" t="str">
            <v>ST170</v>
          </cell>
        </row>
        <row r="3743">
          <cell r="A3743" t="str">
            <v>ST170-PK-XL</v>
          </cell>
          <cell r="B3743" t="str">
            <v>ST170</v>
          </cell>
        </row>
        <row r="3744">
          <cell r="A3744" t="str">
            <v>ST170-PK-XXL</v>
          </cell>
          <cell r="B3744" t="str">
            <v>ST170</v>
          </cell>
        </row>
        <row r="3745">
          <cell r="A3745" t="str">
            <v>ST170-SA-L</v>
          </cell>
          <cell r="B3745" t="str">
            <v>ST170</v>
          </cell>
        </row>
        <row r="3746">
          <cell r="A3746" t="str">
            <v>ST170-SA-M</v>
          </cell>
          <cell r="B3746" t="str">
            <v>ST170</v>
          </cell>
        </row>
        <row r="3747">
          <cell r="A3747" t="str">
            <v>ST170-SA-S</v>
          </cell>
          <cell r="B3747" t="str">
            <v>ST170</v>
          </cell>
        </row>
        <row r="3748">
          <cell r="A3748" t="str">
            <v>ST170-SA-XL</v>
          </cell>
          <cell r="B3748" t="str">
            <v>ST170</v>
          </cell>
        </row>
        <row r="3749">
          <cell r="A3749" t="str">
            <v>ST170-SA-XXL</v>
          </cell>
          <cell r="B3749" t="str">
            <v>ST170</v>
          </cell>
        </row>
        <row r="3750">
          <cell r="A3750" t="str">
            <v>ST170-WR-L</v>
          </cell>
          <cell r="B3750" t="str">
            <v>ST170</v>
          </cell>
        </row>
        <row r="3751">
          <cell r="A3751" t="str">
            <v>ST170-WR-M</v>
          </cell>
          <cell r="B3751" t="str">
            <v>ST170</v>
          </cell>
        </row>
        <row r="3752">
          <cell r="A3752" t="str">
            <v>ST170-WR-S</v>
          </cell>
          <cell r="B3752" t="str">
            <v>ST170</v>
          </cell>
        </row>
        <row r="3753">
          <cell r="A3753" t="str">
            <v>ST170-WR-XL</v>
          </cell>
          <cell r="B3753" t="str">
            <v>ST170</v>
          </cell>
        </row>
        <row r="3754">
          <cell r="A3754" t="str">
            <v>ST170-WR-XXL</v>
          </cell>
          <cell r="B3754" t="str">
            <v>ST170</v>
          </cell>
        </row>
        <row r="3755">
          <cell r="A3755" t="str">
            <v>ST170-WT-L</v>
          </cell>
          <cell r="B3755" t="str">
            <v>ST170</v>
          </cell>
        </row>
        <row r="3756">
          <cell r="A3756" t="str">
            <v>ST170-WT-M</v>
          </cell>
          <cell r="B3756" t="str">
            <v>ST170</v>
          </cell>
        </row>
        <row r="3757">
          <cell r="A3757" t="str">
            <v>ST170-WT-S</v>
          </cell>
          <cell r="B3757" t="str">
            <v>ST170</v>
          </cell>
        </row>
        <row r="3758">
          <cell r="A3758" t="str">
            <v>ST170-WT-XL</v>
          </cell>
          <cell r="B3758" t="str">
            <v>ST170</v>
          </cell>
        </row>
        <row r="3759">
          <cell r="A3759" t="str">
            <v>ST170-WT-XXL</v>
          </cell>
          <cell r="B3759" t="str">
            <v>ST170</v>
          </cell>
        </row>
        <row r="3760">
          <cell r="A3760" t="str">
            <v>ST170-ZL-L</v>
          </cell>
          <cell r="B3760" t="str">
            <v>ST170</v>
          </cell>
        </row>
        <row r="3761">
          <cell r="A3761" t="str">
            <v>ST170-ZL-M</v>
          </cell>
          <cell r="B3761" t="str">
            <v>ST170</v>
          </cell>
        </row>
        <row r="3762">
          <cell r="A3762" t="str">
            <v>ST170-ZL-S</v>
          </cell>
          <cell r="B3762" t="str">
            <v>ST170</v>
          </cell>
        </row>
        <row r="3763">
          <cell r="A3763" t="str">
            <v>ST170-ZL-XL</v>
          </cell>
          <cell r="B3763" t="str">
            <v>ST170</v>
          </cell>
        </row>
        <row r="3764">
          <cell r="A3764" t="str">
            <v>ST170-ZL-XXL</v>
          </cell>
          <cell r="B3764" t="str">
            <v>ST170</v>
          </cell>
        </row>
        <row r="3765">
          <cell r="A3765" t="str">
            <v>ST171-G912-L</v>
          </cell>
          <cell r="B3765" t="str">
            <v>ST171</v>
          </cell>
        </row>
        <row r="3766">
          <cell r="A3766" t="str">
            <v>ST171-G912-M</v>
          </cell>
          <cell r="B3766" t="str">
            <v>ST171</v>
          </cell>
        </row>
        <row r="3767">
          <cell r="A3767" t="str">
            <v>ST171-G912-S</v>
          </cell>
          <cell r="B3767" t="str">
            <v>ST171</v>
          </cell>
        </row>
        <row r="3768">
          <cell r="A3768" t="str">
            <v>ST171-G912-XL</v>
          </cell>
          <cell r="B3768" t="str">
            <v>ST171</v>
          </cell>
        </row>
        <row r="3769">
          <cell r="A3769" t="str">
            <v>ST171-G912-XXL</v>
          </cell>
          <cell r="B3769" t="str">
            <v>ST171</v>
          </cell>
        </row>
        <row r="3770">
          <cell r="A3770" t="str">
            <v>ST171-LB916-L</v>
          </cell>
          <cell r="B3770" t="str">
            <v>ST171</v>
          </cell>
        </row>
        <row r="3771">
          <cell r="A3771" t="str">
            <v>ST171-LB916-M</v>
          </cell>
          <cell r="B3771" t="str">
            <v>ST171</v>
          </cell>
        </row>
        <row r="3772">
          <cell r="A3772" t="str">
            <v>ST171-LB916-S</v>
          </cell>
          <cell r="B3772" t="str">
            <v>ST171</v>
          </cell>
        </row>
        <row r="3773">
          <cell r="A3773" t="str">
            <v>ST171-LB916-XL</v>
          </cell>
          <cell r="B3773" t="str">
            <v>ST171</v>
          </cell>
        </row>
        <row r="3774">
          <cell r="A3774" t="str">
            <v>ST171-LB916-XXL</v>
          </cell>
          <cell r="B3774" t="str">
            <v>ST171</v>
          </cell>
        </row>
        <row r="3775">
          <cell r="A3775" t="str">
            <v>ST171-LG907-L</v>
          </cell>
          <cell r="B3775" t="str">
            <v>ST171</v>
          </cell>
        </row>
        <row r="3776">
          <cell r="A3776" t="str">
            <v>ST171-LG907-M</v>
          </cell>
          <cell r="B3776" t="str">
            <v>ST171</v>
          </cell>
        </row>
        <row r="3777">
          <cell r="A3777" t="str">
            <v>ST171-LG907-S</v>
          </cell>
          <cell r="B3777" t="str">
            <v>ST171</v>
          </cell>
        </row>
        <row r="3778">
          <cell r="A3778" t="str">
            <v>ST171-LG907-XL</v>
          </cell>
          <cell r="B3778" t="str">
            <v>ST171</v>
          </cell>
        </row>
        <row r="3779">
          <cell r="A3779" t="str">
            <v>ST171-LG907-XXL</v>
          </cell>
          <cell r="B3779" t="str">
            <v>ST171</v>
          </cell>
        </row>
        <row r="3780">
          <cell r="A3780" t="str">
            <v>ST171-PI908-L</v>
          </cell>
          <cell r="B3780" t="str">
            <v>ST171</v>
          </cell>
        </row>
        <row r="3781">
          <cell r="A3781" t="str">
            <v>ST171-PI908-M</v>
          </cell>
          <cell r="B3781" t="str">
            <v>ST171</v>
          </cell>
        </row>
        <row r="3782">
          <cell r="A3782" t="str">
            <v>ST171-PI908-S</v>
          </cell>
          <cell r="B3782" t="str">
            <v>ST171</v>
          </cell>
        </row>
        <row r="3783">
          <cell r="A3783" t="str">
            <v>ST171-PI908-XL</v>
          </cell>
          <cell r="B3783" t="str">
            <v>ST171</v>
          </cell>
        </row>
        <row r="3784">
          <cell r="A3784" t="str">
            <v>ST171-PI908-XXL</v>
          </cell>
          <cell r="B3784" t="str">
            <v>ST171</v>
          </cell>
        </row>
        <row r="3785">
          <cell r="A3785" t="str">
            <v>ST171-Sa911-L</v>
          </cell>
          <cell r="B3785" t="str">
            <v>ST171</v>
          </cell>
        </row>
        <row r="3786">
          <cell r="A3786" t="str">
            <v>ST171-Sa911-M</v>
          </cell>
          <cell r="B3786" t="str">
            <v>ST171</v>
          </cell>
        </row>
        <row r="3787">
          <cell r="A3787" t="str">
            <v>ST171-Sa911-S</v>
          </cell>
          <cell r="B3787" t="str">
            <v>ST171</v>
          </cell>
        </row>
        <row r="3788">
          <cell r="A3788" t="str">
            <v>ST171-Sa911-XL</v>
          </cell>
          <cell r="B3788" t="str">
            <v>ST171</v>
          </cell>
        </row>
        <row r="3789">
          <cell r="A3789" t="str">
            <v>ST171-Sa911-XXL</v>
          </cell>
          <cell r="B3789" t="str">
            <v>ST171</v>
          </cell>
        </row>
        <row r="3790">
          <cell r="A3790" t="str">
            <v>ST171-W902-L</v>
          </cell>
          <cell r="B3790" t="str">
            <v>ST171</v>
          </cell>
        </row>
        <row r="3791">
          <cell r="A3791" t="str">
            <v>ST171-W902-M</v>
          </cell>
          <cell r="B3791" t="str">
            <v>ST171</v>
          </cell>
        </row>
        <row r="3792">
          <cell r="A3792" t="str">
            <v>ST171-W902-S</v>
          </cell>
          <cell r="B3792" t="str">
            <v>ST171</v>
          </cell>
        </row>
        <row r="3793">
          <cell r="A3793" t="str">
            <v>ST171-W902-XL</v>
          </cell>
          <cell r="B3793" t="str">
            <v>ST171</v>
          </cell>
        </row>
        <row r="3794">
          <cell r="A3794" t="str">
            <v>ST171-W902-XXL</v>
          </cell>
          <cell r="B3794" t="str">
            <v>ST171</v>
          </cell>
        </row>
        <row r="3795">
          <cell r="A3795" t="str">
            <v>ST171-WR917-L</v>
          </cell>
          <cell r="B3795" t="str">
            <v>ST171</v>
          </cell>
        </row>
        <row r="3796">
          <cell r="A3796" t="str">
            <v>ST171-WR917-M</v>
          </cell>
          <cell r="B3796" t="str">
            <v>ST171</v>
          </cell>
        </row>
        <row r="3797">
          <cell r="A3797" t="str">
            <v>ST171-WR917-S</v>
          </cell>
          <cell r="B3797" t="str">
            <v>ST171</v>
          </cell>
        </row>
        <row r="3798">
          <cell r="A3798" t="str">
            <v>ST171-WR917-XL</v>
          </cell>
          <cell r="B3798" t="str">
            <v>ST171</v>
          </cell>
        </row>
        <row r="3799">
          <cell r="A3799" t="str">
            <v>ST171-WR917-XXL</v>
          </cell>
          <cell r="B3799" t="str">
            <v>ST171</v>
          </cell>
        </row>
        <row r="3800">
          <cell r="A3800" t="str">
            <v>ST171-ZL918-L</v>
          </cell>
          <cell r="B3800" t="str">
            <v>ST171</v>
          </cell>
        </row>
        <row r="3801">
          <cell r="A3801" t="str">
            <v>ST171-ZL918-M</v>
          </cell>
          <cell r="B3801" t="str">
            <v>ST171</v>
          </cell>
        </row>
        <row r="3802">
          <cell r="A3802" t="str">
            <v>ST171-ZL918-S</v>
          </cell>
          <cell r="B3802" t="str">
            <v>ST171</v>
          </cell>
        </row>
        <row r="3803">
          <cell r="A3803" t="str">
            <v>ST171-ZL918-XL</v>
          </cell>
          <cell r="B3803" t="str">
            <v>ST171</v>
          </cell>
        </row>
        <row r="3804">
          <cell r="A3804" t="str">
            <v>ST171-ZL918-XXL</v>
          </cell>
          <cell r="B3804" t="str">
            <v>ST171</v>
          </cell>
        </row>
        <row r="3805">
          <cell r="A3805" t="str">
            <v>ST172-BK-L</v>
          </cell>
          <cell r="B3805" t="str">
            <v>ST172</v>
          </cell>
        </row>
        <row r="3806">
          <cell r="A3806" t="str">
            <v>ST172-BK-M</v>
          </cell>
          <cell r="B3806" t="str">
            <v>ST172</v>
          </cell>
        </row>
        <row r="3807">
          <cell r="A3807" t="str">
            <v>ST172-BK-S</v>
          </cell>
          <cell r="B3807" t="str">
            <v>ST172</v>
          </cell>
        </row>
        <row r="3808">
          <cell r="A3808" t="str">
            <v>ST172-BK-XL</v>
          </cell>
          <cell r="B3808" t="str">
            <v>ST172</v>
          </cell>
        </row>
        <row r="3809">
          <cell r="A3809" t="str">
            <v>ST172-BK-XXL</v>
          </cell>
          <cell r="B3809" t="str">
            <v>ST172</v>
          </cell>
        </row>
        <row r="3810">
          <cell r="A3810" t="str">
            <v>ST172-BL-L</v>
          </cell>
          <cell r="B3810" t="str">
            <v>ST172</v>
          </cell>
        </row>
        <row r="3811">
          <cell r="A3811" t="str">
            <v>ST172-BL-M</v>
          </cell>
          <cell r="B3811" t="str">
            <v>ST172</v>
          </cell>
        </row>
        <row r="3812">
          <cell r="A3812" t="str">
            <v>ST172-BL-S</v>
          </cell>
          <cell r="B3812" t="str">
            <v>ST172</v>
          </cell>
        </row>
        <row r="3813">
          <cell r="A3813" t="str">
            <v>ST172-BL-XL</v>
          </cell>
          <cell r="B3813" t="str">
            <v>ST172</v>
          </cell>
        </row>
        <row r="3814">
          <cell r="A3814" t="str">
            <v>ST172-BL-XXL</v>
          </cell>
          <cell r="B3814" t="str">
            <v>ST172</v>
          </cell>
        </row>
        <row r="3815">
          <cell r="A3815" t="str">
            <v>ST172-GR-L</v>
          </cell>
          <cell r="B3815" t="str">
            <v>ST172</v>
          </cell>
        </row>
        <row r="3816">
          <cell r="A3816" t="str">
            <v>ST172-GR-M</v>
          </cell>
          <cell r="B3816" t="str">
            <v>ST172</v>
          </cell>
        </row>
        <row r="3817">
          <cell r="A3817" t="str">
            <v>ST172-GR-S</v>
          </cell>
          <cell r="B3817" t="str">
            <v>ST172</v>
          </cell>
        </row>
        <row r="3818">
          <cell r="A3818" t="str">
            <v>ST172-GR-XL</v>
          </cell>
          <cell r="B3818" t="str">
            <v>ST172</v>
          </cell>
        </row>
        <row r="3819">
          <cell r="A3819" t="str">
            <v>ST172-GR-XXL</v>
          </cell>
          <cell r="B3819" t="str">
            <v>ST172</v>
          </cell>
        </row>
        <row r="3820">
          <cell r="A3820" t="str">
            <v>ST172-NY-L</v>
          </cell>
          <cell r="B3820" t="str">
            <v>ST172</v>
          </cell>
        </row>
        <row r="3821">
          <cell r="A3821" t="str">
            <v>ST172-NY-M</v>
          </cell>
          <cell r="B3821" t="str">
            <v>ST172</v>
          </cell>
        </row>
        <row r="3822">
          <cell r="A3822" t="str">
            <v>ST172-NY-S</v>
          </cell>
          <cell r="B3822" t="str">
            <v>ST172</v>
          </cell>
        </row>
        <row r="3823">
          <cell r="A3823" t="str">
            <v>ST172-NY-XL</v>
          </cell>
          <cell r="B3823" t="str">
            <v>ST172</v>
          </cell>
        </row>
        <row r="3824">
          <cell r="A3824" t="str">
            <v>ST172-NY-XXL</v>
          </cell>
          <cell r="B3824" t="str">
            <v>ST172</v>
          </cell>
        </row>
        <row r="3825">
          <cell r="A3825" t="str">
            <v>ST172-PK-L</v>
          </cell>
          <cell r="B3825" t="str">
            <v>ST172</v>
          </cell>
        </row>
        <row r="3826">
          <cell r="A3826" t="str">
            <v>ST172-PK-M</v>
          </cell>
          <cell r="B3826" t="str">
            <v>ST172</v>
          </cell>
        </row>
        <row r="3827">
          <cell r="A3827" t="str">
            <v>ST172-PK-S</v>
          </cell>
          <cell r="B3827" t="str">
            <v>ST172</v>
          </cell>
        </row>
        <row r="3828">
          <cell r="A3828" t="str">
            <v>ST172-PK-XL</v>
          </cell>
          <cell r="B3828" t="str">
            <v>ST172</v>
          </cell>
        </row>
        <row r="3829">
          <cell r="A3829" t="str">
            <v>ST172-PK-XXL</v>
          </cell>
          <cell r="B3829" t="str">
            <v>ST172</v>
          </cell>
        </row>
        <row r="3830">
          <cell r="A3830" t="str">
            <v>ST172-PP-L</v>
          </cell>
          <cell r="B3830" t="str">
            <v>ST172</v>
          </cell>
        </row>
        <row r="3831">
          <cell r="A3831" t="str">
            <v>ST172-PP-M</v>
          </cell>
          <cell r="B3831" t="str">
            <v>ST172</v>
          </cell>
        </row>
        <row r="3832">
          <cell r="A3832" t="str">
            <v>ST172-PP-S</v>
          </cell>
          <cell r="B3832" t="str">
            <v>ST172</v>
          </cell>
        </row>
        <row r="3833">
          <cell r="A3833" t="str">
            <v>ST172-PP-XL</v>
          </cell>
          <cell r="B3833" t="str">
            <v>ST172</v>
          </cell>
        </row>
        <row r="3834">
          <cell r="A3834" t="str">
            <v>ST172-PP-XXL</v>
          </cell>
          <cell r="B3834" t="str">
            <v>ST172</v>
          </cell>
        </row>
        <row r="3835">
          <cell r="A3835" t="str">
            <v>ST172-WR-L</v>
          </cell>
          <cell r="B3835" t="str">
            <v>ST172</v>
          </cell>
        </row>
        <row r="3836">
          <cell r="A3836" t="str">
            <v>ST172-WR-M</v>
          </cell>
          <cell r="B3836" t="str">
            <v>ST172</v>
          </cell>
        </row>
        <row r="3837">
          <cell r="A3837" t="str">
            <v>ST172-WR-S</v>
          </cell>
          <cell r="B3837" t="str">
            <v>ST172</v>
          </cell>
        </row>
        <row r="3838">
          <cell r="A3838" t="str">
            <v>ST172-WR-XL</v>
          </cell>
          <cell r="B3838" t="str">
            <v>ST172</v>
          </cell>
        </row>
        <row r="3839">
          <cell r="A3839" t="str">
            <v>ST172-WR-XXL</v>
          </cell>
          <cell r="B3839" t="str">
            <v>ST172</v>
          </cell>
        </row>
        <row r="3840">
          <cell r="A3840" t="str">
            <v>ST172-WT1-L</v>
          </cell>
          <cell r="B3840" t="str">
            <v>ST172</v>
          </cell>
        </row>
        <row r="3841">
          <cell r="A3841" t="str">
            <v>ST172-WT1-M</v>
          </cell>
          <cell r="B3841" t="str">
            <v>ST172</v>
          </cell>
        </row>
        <row r="3842">
          <cell r="A3842" t="str">
            <v>ST172-WT1-S</v>
          </cell>
          <cell r="B3842" t="str">
            <v>ST172</v>
          </cell>
        </row>
        <row r="3843">
          <cell r="A3843" t="str">
            <v>ST172-WT1-XL</v>
          </cell>
          <cell r="B3843" t="str">
            <v>ST172</v>
          </cell>
        </row>
        <row r="3844">
          <cell r="A3844" t="str">
            <v>ST172-WT1-XXL</v>
          </cell>
          <cell r="B3844" t="str">
            <v>ST172</v>
          </cell>
        </row>
        <row r="3845">
          <cell r="A3845" t="str">
            <v>ST172-WT2-L</v>
          </cell>
          <cell r="B3845" t="str">
            <v>ST172</v>
          </cell>
        </row>
        <row r="3846">
          <cell r="A3846" t="str">
            <v>ST172-WT2-M</v>
          </cell>
          <cell r="B3846" t="str">
            <v>ST172</v>
          </cell>
        </row>
        <row r="3847">
          <cell r="A3847" t="str">
            <v>ST172-WT2-S</v>
          </cell>
          <cell r="B3847" t="str">
            <v>ST172</v>
          </cell>
        </row>
        <row r="3848">
          <cell r="A3848" t="str">
            <v>ST172-WT2-XL</v>
          </cell>
          <cell r="B3848" t="str">
            <v>ST172</v>
          </cell>
        </row>
        <row r="3849">
          <cell r="A3849" t="str">
            <v>ST172-WT2-XXL</v>
          </cell>
          <cell r="B3849" t="str">
            <v>ST172</v>
          </cell>
        </row>
        <row r="3850">
          <cell r="A3850" t="str">
            <v>ST173-BK-L</v>
          </cell>
          <cell r="B3850" t="str">
            <v>ST173</v>
          </cell>
        </row>
        <row r="3851">
          <cell r="A3851" t="str">
            <v>ST173-BK-M</v>
          </cell>
          <cell r="B3851" t="str">
            <v>ST173</v>
          </cell>
        </row>
        <row r="3852">
          <cell r="A3852" t="str">
            <v>ST173-BK-S</v>
          </cell>
          <cell r="B3852" t="str">
            <v>ST173</v>
          </cell>
        </row>
        <row r="3853">
          <cell r="A3853" t="str">
            <v>ST173-BK-XL</v>
          </cell>
          <cell r="B3853" t="str">
            <v>ST173</v>
          </cell>
        </row>
        <row r="3854">
          <cell r="A3854" t="str">
            <v>ST173-BK-XXL</v>
          </cell>
          <cell r="B3854" t="str">
            <v>ST173</v>
          </cell>
        </row>
        <row r="3855">
          <cell r="A3855" t="str">
            <v>ST173-BL-L</v>
          </cell>
          <cell r="B3855" t="str">
            <v>ST173</v>
          </cell>
        </row>
        <row r="3856">
          <cell r="A3856" t="str">
            <v>ST173-BL-M</v>
          </cell>
          <cell r="B3856" t="str">
            <v>ST173</v>
          </cell>
        </row>
        <row r="3857">
          <cell r="A3857" t="str">
            <v>ST173-BL-S</v>
          </cell>
          <cell r="B3857" t="str">
            <v>ST173</v>
          </cell>
        </row>
        <row r="3858">
          <cell r="A3858" t="str">
            <v>ST173-BL-XL</v>
          </cell>
          <cell r="B3858" t="str">
            <v>ST173</v>
          </cell>
        </row>
        <row r="3859">
          <cell r="A3859" t="str">
            <v>ST173-BL-XXL</v>
          </cell>
          <cell r="B3859" t="str">
            <v>ST173</v>
          </cell>
        </row>
        <row r="3860">
          <cell r="A3860" t="str">
            <v>ST173-GR-L</v>
          </cell>
          <cell r="B3860" t="str">
            <v>ST173</v>
          </cell>
        </row>
        <row r="3861">
          <cell r="A3861" t="str">
            <v>ST173-GR-M</v>
          </cell>
          <cell r="B3861" t="str">
            <v>ST173</v>
          </cell>
        </row>
        <row r="3862">
          <cell r="A3862" t="str">
            <v>ST173-GR-S</v>
          </cell>
          <cell r="B3862" t="str">
            <v>ST173</v>
          </cell>
        </row>
        <row r="3863">
          <cell r="A3863" t="str">
            <v>ST173-GR-XL</v>
          </cell>
          <cell r="B3863" t="str">
            <v>ST173</v>
          </cell>
        </row>
        <row r="3864">
          <cell r="A3864" t="str">
            <v>ST173-GR-XXL</v>
          </cell>
          <cell r="B3864" t="str">
            <v>ST173</v>
          </cell>
        </row>
        <row r="3865">
          <cell r="A3865" t="str">
            <v>ST173-NY-L</v>
          </cell>
          <cell r="B3865" t="str">
            <v>ST173</v>
          </cell>
        </row>
        <row r="3866">
          <cell r="A3866" t="str">
            <v>ST173-NY-M</v>
          </cell>
          <cell r="B3866" t="str">
            <v>ST173</v>
          </cell>
        </row>
        <row r="3867">
          <cell r="A3867" t="str">
            <v>ST173-NY-S</v>
          </cell>
          <cell r="B3867" t="str">
            <v>ST173</v>
          </cell>
        </row>
        <row r="3868">
          <cell r="A3868" t="str">
            <v>ST173-NY-XL</v>
          </cell>
          <cell r="B3868" t="str">
            <v>ST173</v>
          </cell>
        </row>
        <row r="3869">
          <cell r="A3869" t="str">
            <v>ST173-NY-XXL</v>
          </cell>
          <cell r="B3869" t="str">
            <v>ST173</v>
          </cell>
        </row>
        <row r="3870">
          <cell r="A3870" t="str">
            <v>ST173-PK-L</v>
          </cell>
          <cell r="B3870" t="str">
            <v>ST173</v>
          </cell>
        </row>
        <row r="3871">
          <cell r="A3871" t="str">
            <v>ST173-PK-M</v>
          </cell>
          <cell r="B3871" t="str">
            <v>ST173</v>
          </cell>
        </row>
        <row r="3872">
          <cell r="A3872" t="str">
            <v>ST173-PK-S</v>
          </cell>
          <cell r="B3872" t="str">
            <v>ST173</v>
          </cell>
        </row>
        <row r="3873">
          <cell r="A3873" t="str">
            <v>ST173-PK-XL</v>
          </cell>
          <cell r="B3873" t="str">
            <v>ST173</v>
          </cell>
        </row>
        <row r="3874">
          <cell r="A3874" t="str">
            <v>ST173-PK-XXL</v>
          </cell>
          <cell r="B3874" t="str">
            <v>ST173</v>
          </cell>
        </row>
        <row r="3875">
          <cell r="A3875" t="str">
            <v>ST173-PP-L</v>
          </cell>
          <cell r="B3875" t="str">
            <v>ST173</v>
          </cell>
        </row>
        <row r="3876">
          <cell r="A3876" t="str">
            <v>ST173-PP-M</v>
          </cell>
          <cell r="B3876" t="str">
            <v>ST173</v>
          </cell>
        </row>
        <row r="3877">
          <cell r="A3877" t="str">
            <v>ST173-PP-S</v>
          </cell>
          <cell r="B3877" t="str">
            <v>ST173</v>
          </cell>
        </row>
        <row r="3878">
          <cell r="A3878" t="str">
            <v>ST173-PP-XL</v>
          </cell>
          <cell r="B3878" t="str">
            <v>ST173</v>
          </cell>
        </row>
        <row r="3879">
          <cell r="A3879" t="str">
            <v>ST173-PP-XXL</v>
          </cell>
          <cell r="B3879" t="str">
            <v>ST173</v>
          </cell>
        </row>
        <row r="3880">
          <cell r="A3880" t="str">
            <v>ST173-WR-L</v>
          </cell>
          <cell r="B3880" t="str">
            <v>ST173</v>
          </cell>
        </row>
        <row r="3881">
          <cell r="A3881" t="str">
            <v>ST173-WR-M</v>
          </cell>
          <cell r="B3881" t="str">
            <v>ST173</v>
          </cell>
        </row>
        <row r="3882">
          <cell r="A3882" t="str">
            <v>ST173-WR-S</v>
          </cell>
          <cell r="B3882" t="str">
            <v>ST173</v>
          </cell>
        </row>
        <row r="3883">
          <cell r="A3883" t="str">
            <v>ST173-WR-XL</v>
          </cell>
          <cell r="B3883" t="str">
            <v>ST173</v>
          </cell>
        </row>
        <row r="3884">
          <cell r="A3884" t="str">
            <v>ST173-WR-XXL</v>
          </cell>
          <cell r="B3884" t="str">
            <v>ST173</v>
          </cell>
        </row>
        <row r="3885">
          <cell r="A3885" t="str">
            <v>ST173-WT1-L</v>
          </cell>
          <cell r="B3885" t="str">
            <v>ST173</v>
          </cell>
        </row>
        <row r="3886">
          <cell r="A3886" t="str">
            <v>ST173-WT1-M</v>
          </cell>
          <cell r="B3886" t="str">
            <v>ST173</v>
          </cell>
        </row>
        <row r="3887">
          <cell r="A3887" t="str">
            <v>ST173-WT1-S</v>
          </cell>
          <cell r="B3887" t="str">
            <v>ST173</v>
          </cell>
        </row>
        <row r="3888">
          <cell r="A3888" t="str">
            <v>ST173-WT1-XL</v>
          </cell>
          <cell r="B3888" t="str">
            <v>ST173</v>
          </cell>
        </row>
        <row r="3889">
          <cell r="A3889" t="str">
            <v>ST173-WT1-XXL</v>
          </cell>
          <cell r="B3889" t="str">
            <v>ST173</v>
          </cell>
        </row>
        <row r="3890">
          <cell r="A3890" t="str">
            <v>ST173-WT2-L</v>
          </cell>
          <cell r="B3890" t="str">
            <v>ST173</v>
          </cell>
        </row>
        <row r="3891">
          <cell r="A3891" t="str">
            <v>ST173-WT2-M</v>
          </cell>
          <cell r="B3891" t="str">
            <v>ST173</v>
          </cell>
        </row>
        <row r="3892">
          <cell r="A3892" t="str">
            <v>ST173-WT2-S</v>
          </cell>
          <cell r="B3892" t="str">
            <v>ST173</v>
          </cell>
        </row>
        <row r="3893">
          <cell r="A3893" t="str">
            <v>ST173-WT2-XL</v>
          </cell>
          <cell r="B3893" t="str">
            <v>ST173</v>
          </cell>
        </row>
        <row r="3894">
          <cell r="A3894" t="str">
            <v>ST173-WT2-XXL</v>
          </cell>
          <cell r="B3894" t="str">
            <v>ST173</v>
          </cell>
        </row>
        <row r="3895">
          <cell r="A3895" t="str">
            <v>ST181-G912-L</v>
          </cell>
          <cell r="B3895" t="str">
            <v>ST181</v>
          </cell>
        </row>
        <row r="3896">
          <cell r="A3896" t="str">
            <v>ST181-G912-M</v>
          </cell>
          <cell r="B3896" t="str">
            <v>ST181</v>
          </cell>
        </row>
        <row r="3897">
          <cell r="A3897" t="str">
            <v>ST181-G912-S</v>
          </cell>
          <cell r="B3897" t="str">
            <v>ST181</v>
          </cell>
        </row>
        <row r="3898">
          <cell r="A3898" t="str">
            <v>ST181-G912-XL</v>
          </cell>
          <cell r="B3898" t="str">
            <v>ST181</v>
          </cell>
        </row>
        <row r="3899">
          <cell r="A3899" t="str">
            <v>ST181-G912-XXL</v>
          </cell>
          <cell r="B3899" t="str">
            <v>ST181</v>
          </cell>
        </row>
        <row r="3900">
          <cell r="A3900" t="str">
            <v>ST181-LB916-L</v>
          </cell>
          <cell r="B3900" t="str">
            <v>ST181</v>
          </cell>
        </row>
        <row r="3901">
          <cell r="A3901" t="str">
            <v>ST181-LB916-M</v>
          </cell>
          <cell r="B3901" t="str">
            <v>ST181</v>
          </cell>
        </row>
        <row r="3902">
          <cell r="A3902" t="str">
            <v>ST181-LB916-S</v>
          </cell>
          <cell r="B3902" t="str">
            <v>ST181</v>
          </cell>
        </row>
        <row r="3903">
          <cell r="A3903" t="str">
            <v>ST181-LB916-XL</v>
          </cell>
          <cell r="B3903" t="str">
            <v>ST181</v>
          </cell>
        </row>
        <row r="3904">
          <cell r="A3904" t="str">
            <v>ST181-LB916-XXL</v>
          </cell>
          <cell r="B3904" t="str">
            <v>ST181</v>
          </cell>
        </row>
        <row r="3905">
          <cell r="A3905" t="str">
            <v>ST181-LG907-L</v>
          </cell>
          <cell r="B3905" t="str">
            <v>ST181</v>
          </cell>
        </row>
        <row r="3906">
          <cell r="A3906" t="str">
            <v>ST181-LG907-M</v>
          </cell>
          <cell r="B3906" t="str">
            <v>ST181</v>
          </cell>
        </row>
        <row r="3907">
          <cell r="A3907" t="str">
            <v>ST181-LG907-S</v>
          </cell>
          <cell r="B3907" t="str">
            <v>ST181</v>
          </cell>
        </row>
        <row r="3908">
          <cell r="A3908" t="str">
            <v>ST181-LG907-XL</v>
          </cell>
          <cell r="B3908" t="str">
            <v>ST181</v>
          </cell>
        </row>
        <row r="3909">
          <cell r="A3909" t="str">
            <v>ST181-LG907-XXL</v>
          </cell>
          <cell r="B3909" t="str">
            <v>ST181</v>
          </cell>
        </row>
        <row r="3910">
          <cell r="A3910" t="str">
            <v>ST181-PI908-L</v>
          </cell>
          <cell r="B3910" t="str">
            <v>ST181</v>
          </cell>
        </row>
        <row r="3911">
          <cell r="A3911" t="str">
            <v>ST181-PI908-M</v>
          </cell>
          <cell r="B3911" t="str">
            <v>ST181</v>
          </cell>
        </row>
        <row r="3912">
          <cell r="A3912" t="str">
            <v>ST181-PI908-S</v>
          </cell>
          <cell r="B3912" t="str">
            <v>ST181</v>
          </cell>
        </row>
        <row r="3913">
          <cell r="A3913" t="str">
            <v>ST181-PI908-XL</v>
          </cell>
          <cell r="B3913" t="str">
            <v>ST181</v>
          </cell>
        </row>
        <row r="3914">
          <cell r="A3914" t="str">
            <v>ST181-PI908-XXL</v>
          </cell>
          <cell r="B3914" t="str">
            <v>ST181</v>
          </cell>
        </row>
        <row r="3915">
          <cell r="A3915" t="str">
            <v>ST181-Sa911-L</v>
          </cell>
          <cell r="B3915" t="str">
            <v>ST181</v>
          </cell>
        </row>
        <row r="3916">
          <cell r="A3916" t="str">
            <v>ST181-Sa911-M</v>
          </cell>
          <cell r="B3916" t="str">
            <v>ST181</v>
          </cell>
        </row>
        <row r="3917">
          <cell r="A3917" t="str">
            <v>ST181-Sa911-S</v>
          </cell>
          <cell r="B3917" t="str">
            <v>ST181</v>
          </cell>
        </row>
        <row r="3918">
          <cell r="A3918" t="str">
            <v>ST181-Sa911-XL</v>
          </cell>
          <cell r="B3918" t="str">
            <v>ST181</v>
          </cell>
        </row>
        <row r="3919">
          <cell r="A3919" t="str">
            <v>ST181-Sa911-XXL</v>
          </cell>
          <cell r="B3919" t="str">
            <v>ST181</v>
          </cell>
        </row>
        <row r="3920">
          <cell r="A3920" t="str">
            <v>ST181-W902-L</v>
          </cell>
          <cell r="B3920" t="str">
            <v>ST181</v>
          </cell>
        </row>
        <row r="3921">
          <cell r="A3921" t="str">
            <v>ST181-W902-M</v>
          </cell>
          <cell r="B3921" t="str">
            <v>ST181</v>
          </cell>
        </row>
        <row r="3922">
          <cell r="A3922" t="str">
            <v>ST181-W902-S</v>
          </cell>
          <cell r="B3922" t="str">
            <v>ST181</v>
          </cell>
        </row>
        <row r="3923">
          <cell r="A3923" t="str">
            <v>ST181-W902-XL</v>
          </cell>
          <cell r="B3923" t="str">
            <v>ST181</v>
          </cell>
        </row>
        <row r="3924">
          <cell r="A3924" t="str">
            <v>ST181-W902-XXL</v>
          </cell>
          <cell r="B3924" t="str">
            <v>ST181</v>
          </cell>
        </row>
        <row r="3925">
          <cell r="A3925" t="str">
            <v>ST181-WR917-L</v>
          </cell>
          <cell r="B3925" t="str">
            <v>ST181</v>
          </cell>
        </row>
        <row r="3926">
          <cell r="A3926" t="str">
            <v>ST181-WR917-M</v>
          </cell>
          <cell r="B3926" t="str">
            <v>ST181</v>
          </cell>
        </row>
        <row r="3927">
          <cell r="A3927" t="str">
            <v>ST181-WR917-S</v>
          </cell>
          <cell r="B3927" t="str">
            <v>ST181</v>
          </cell>
        </row>
        <row r="3928">
          <cell r="A3928" t="str">
            <v>ST181-WR917-XL</v>
          </cell>
          <cell r="B3928" t="str">
            <v>ST181</v>
          </cell>
        </row>
        <row r="3929">
          <cell r="A3929" t="str">
            <v>ST181-WR917-XXL</v>
          </cell>
          <cell r="B3929" t="str">
            <v>ST181</v>
          </cell>
        </row>
        <row r="3930">
          <cell r="A3930" t="str">
            <v>ST181-ZL918-L</v>
          </cell>
          <cell r="B3930" t="str">
            <v>ST181</v>
          </cell>
        </row>
        <row r="3931">
          <cell r="A3931" t="str">
            <v>ST181-ZL918-M</v>
          </cell>
          <cell r="B3931" t="str">
            <v>ST181</v>
          </cell>
        </row>
        <row r="3932">
          <cell r="A3932" t="str">
            <v>ST181-ZL918-S</v>
          </cell>
          <cell r="B3932" t="str">
            <v>ST181</v>
          </cell>
        </row>
        <row r="3933">
          <cell r="A3933" t="str">
            <v>ST181-ZL918-XL</v>
          </cell>
          <cell r="B3933" t="str">
            <v>ST181</v>
          </cell>
        </row>
        <row r="3934">
          <cell r="A3934" t="str">
            <v>ST181-ZL918-XXL</v>
          </cell>
          <cell r="B3934" t="str">
            <v>ST181</v>
          </cell>
        </row>
        <row r="3935">
          <cell r="A3935" t="str">
            <v>STJ-1235</v>
          </cell>
          <cell r="B3935" t="str">
            <v>STJ-1235</v>
          </cell>
        </row>
        <row r="3936">
          <cell r="A3936" t="str">
            <v>STJ-1235W0</v>
          </cell>
          <cell r="B3936" t="str">
            <v>STJ-1235</v>
          </cell>
        </row>
        <row r="3937">
          <cell r="A3937" t="str">
            <v>STJ-CF1245-BK</v>
          </cell>
          <cell r="B3937" t="str">
            <v>STJ-CF1245</v>
          </cell>
        </row>
        <row r="3938">
          <cell r="A3938" t="str">
            <v>STJ-CF1245-SUMMERTIME-BK</v>
          </cell>
          <cell r="B3938" t="str">
            <v>STJ-CF1245</v>
          </cell>
        </row>
        <row r="3939">
          <cell r="A3939" t="str">
            <v>STJ-CF1245-SUMMERTIME-BUGR</v>
          </cell>
          <cell r="B3939" t="str">
            <v>STJ-CF1245</v>
          </cell>
        </row>
        <row r="3940">
          <cell r="A3940" t="str">
            <v>STJ-CF1245-SUMMERTIME-WH</v>
          </cell>
          <cell r="B3940" t="str">
            <v>STJ-CF1245</v>
          </cell>
        </row>
        <row r="3941">
          <cell r="A3941" t="str">
            <v>STJ-CF1245-WHOSAID-LTBU</v>
          </cell>
          <cell r="B3941" t="str">
            <v>STJ-CF1245</v>
          </cell>
        </row>
        <row r="3942">
          <cell r="A3942" t="str">
            <v>STJ-ZS55016B01X</v>
          </cell>
          <cell r="B3942" t="str">
            <v>STJ-ZS55016</v>
          </cell>
        </row>
        <row r="3943">
          <cell r="A3943" t="str">
            <v>STJ-ZS55016B0L</v>
          </cell>
          <cell r="B3943" t="str">
            <v>STJ-ZS55016</v>
          </cell>
        </row>
        <row r="3944">
          <cell r="A3944" t="str">
            <v>STJ-ZS55016B0M</v>
          </cell>
          <cell r="B3944" t="str">
            <v>STJ-ZS55016</v>
          </cell>
        </row>
        <row r="3945">
          <cell r="A3945" t="str">
            <v>STJ-ZS55016B0XL</v>
          </cell>
          <cell r="B3945" t="str">
            <v>STJ-ZS55016</v>
          </cell>
        </row>
        <row r="3946">
          <cell r="A3946" t="str">
            <v>STJ-ZS55016B31X</v>
          </cell>
          <cell r="B3946" t="str">
            <v>STJ-ZS55016</v>
          </cell>
        </row>
        <row r="3947">
          <cell r="A3947" t="str">
            <v>STJ-ZS55016B3L</v>
          </cell>
          <cell r="B3947" t="str">
            <v>STJ-ZS55016</v>
          </cell>
        </row>
        <row r="3948">
          <cell r="A3948" t="str">
            <v>STJ-ZS55016B3M</v>
          </cell>
          <cell r="B3948" t="str">
            <v>STJ-ZS55016</v>
          </cell>
        </row>
        <row r="3949">
          <cell r="A3949" t="str">
            <v>STJ-ZS55016B3XL</v>
          </cell>
          <cell r="B3949" t="str">
            <v>STJ-ZS55016</v>
          </cell>
        </row>
        <row r="3950">
          <cell r="A3950" t="str">
            <v>STJ-ZS55016G01X</v>
          </cell>
          <cell r="B3950" t="str">
            <v>STJ-ZS55016</v>
          </cell>
        </row>
        <row r="3951">
          <cell r="A3951" t="str">
            <v>STJ-ZS55016G0L</v>
          </cell>
          <cell r="B3951" t="str">
            <v>STJ-ZS55016</v>
          </cell>
        </row>
        <row r="3952">
          <cell r="A3952" t="str">
            <v>STJ-ZS55016G0M</v>
          </cell>
          <cell r="B3952" t="str">
            <v>STJ-ZS55016</v>
          </cell>
        </row>
        <row r="3953">
          <cell r="A3953" t="str">
            <v>STJ-ZS55016G0XL</v>
          </cell>
          <cell r="B3953" t="str">
            <v>STJ-ZS55016</v>
          </cell>
        </row>
        <row r="3954">
          <cell r="A3954" t="str">
            <v>STJ-ZS55016K01X</v>
          </cell>
          <cell r="B3954" t="str">
            <v>STJ-ZS55016</v>
          </cell>
        </row>
        <row r="3955">
          <cell r="A3955" t="str">
            <v>STJ-ZS55016K0L</v>
          </cell>
          <cell r="B3955" t="str">
            <v>STJ-ZS55016</v>
          </cell>
        </row>
        <row r="3956">
          <cell r="A3956" t="str">
            <v>STJ-ZS55016K0M</v>
          </cell>
          <cell r="B3956" t="str">
            <v>STJ-ZS55016</v>
          </cell>
        </row>
        <row r="3957">
          <cell r="A3957" t="str">
            <v>STJ-ZS55016K0XL</v>
          </cell>
          <cell r="B3957" t="str">
            <v>STJ-ZS55016</v>
          </cell>
        </row>
        <row r="3958">
          <cell r="A3958" t="str">
            <v>STJ-ZS55016R21X</v>
          </cell>
          <cell r="B3958" t="str">
            <v>STJ-ZS55016</v>
          </cell>
        </row>
        <row r="3959">
          <cell r="A3959" t="str">
            <v>STJ-ZS55016R2L</v>
          </cell>
          <cell r="B3959" t="str">
            <v>STJ-ZS55016</v>
          </cell>
        </row>
        <row r="3960">
          <cell r="A3960" t="str">
            <v>STJ-ZS55016R2M</v>
          </cell>
          <cell r="B3960" t="str">
            <v>STJ-ZS55016</v>
          </cell>
        </row>
        <row r="3961">
          <cell r="A3961" t="str">
            <v>STJ-ZS55016R2XL</v>
          </cell>
          <cell r="B3961" t="str">
            <v>STJ-ZS55016</v>
          </cell>
        </row>
        <row r="3962">
          <cell r="A3962" t="str">
            <v>STJ-ZS55016W01X</v>
          </cell>
          <cell r="B3962" t="str">
            <v>STJ-ZS55016</v>
          </cell>
        </row>
        <row r="3963">
          <cell r="A3963" t="str">
            <v>STJ-ZS55016W0L</v>
          </cell>
          <cell r="B3963" t="str">
            <v>STJ-ZS55016</v>
          </cell>
        </row>
        <row r="3964">
          <cell r="A3964" t="str">
            <v>STJ-ZS55016W0M</v>
          </cell>
          <cell r="B3964" t="str">
            <v>STJ-ZS55016</v>
          </cell>
        </row>
        <row r="3965">
          <cell r="A3965" t="str">
            <v>STJ-ZS55016W0XL</v>
          </cell>
          <cell r="B3965" t="str">
            <v>STJ-ZS55016</v>
          </cell>
        </row>
        <row r="3966">
          <cell r="A3966" t="str">
            <v>STJ-ZS55016Y01X</v>
          </cell>
          <cell r="B3966" t="str">
            <v>STJ-ZS55016</v>
          </cell>
        </row>
        <row r="3967">
          <cell r="A3967" t="str">
            <v>STJ-ZS55016Y0L</v>
          </cell>
          <cell r="B3967" t="str">
            <v>STJ-ZS55016</v>
          </cell>
        </row>
        <row r="3968">
          <cell r="A3968" t="str">
            <v>STJ-ZS55016Y0M</v>
          </cell>
          <cell r="B3968" t="str">
            <v>STJ-ZS55016</v>
          </cell>
        </row>
        <row r="3969">
          <cell r="A3969" t="str">
            <v>STJ-ZS55016Y0XL</v>
          </cell>
          <cell r="B3969" t="str">
            <v>STJ-ZS55016</v>
          </cell>
        </row>
        <row r="3970">
          <cell r="A3970" t="str">
            <v>ST-K157-AG-32</v>
          </cell>
          <cell r="B3970" t="str">
            <v>ST-K157</v>
          </cell>
        </row>
        <row r="3971">
          <cell r="A3971" t="str">
            <v>ST-K157-AG-34</v>
          </cell>
          <cell r="B3971" t="str">
            <v>ST-K157</v>
          </cell>
        </row>
        <row r="3972">
          <cell r="A3972" t="str">
            <v>ST-K157-AG-36</v>
          </cell>
          <cell r="B3972" t="str">
            <v>ST-K157</v>
          </cell>
        </row>
        <row r="3973">
          <cell r="A3973" t="str">
            <v>ST-K157-AG-38</v>
          </cell>
          <cell r="B3973" t="str">
            <v>ST-K157</v>
          </cell>
        </row>
        <row r="3974">
          <cell r="A3974" t="str">
            <v>ST-K157-AG-40</v>
          </cell>
          <cell r="B3974" t="str">
            <v>ST-K157</v>
          </cell>
        </row>
        <row r="3975">
          <cell r="A3975" t="str">
            <v>ST-K157-AG-42</v>
          </cell>
          <cell r="B3975" t="str">
            <v>ST-K157</v>
          </cell>
        </row>
        <row r="3976">
          <cell r="A3976" t="str">
            <v>ST-K157-AG-44</v>
          </cell>
          <cell r="B3976" t="str">
            <v>ST-K157</v>
          </cell>
        </row>
        <row r="3977">
          <cell r="A3977" t="str">
            <v>ST-K157-B0-32</v>
          </cell>
          <cell r="B3977" t="str">
            <v>ST-K157</v>
          </cell>
        </row>
        <row r="3978">
          <cell r="A3978" t="str">
            <v>ST-K157-B0-34</v>
          </cell>
          <cell r="B3978" t="str">
            <v>ST-K157</v>
          </cell>
        </row>
        <row r="3979">
          <cell r="A3979" t="str">
            <v>ST-K157-B0-36</v>
          </cell>
          <cell r="B3979" t="str">
            <v>ST-K157</v>
          </cell>
        </row>
        <row r="3980">
          <cell r="A3980" t="str">
            <v>ST-K157-B0-38</v>
          </cell>
          <cell r="B3980" t="str">
            <v>ST-K157</v>
          </cell>
        </row>
        <row r="3981">
          <cell r="A3981" t="str">
            <v>ST-K157-B0-40</v>
          </cell>
          <cell r="B3981" t="str">
            <v>ST-K157</v>
          </cell>
        </row>
        <row r="3982">
          <cell r="A3982" t="str">
            <v>ST-K157-B0-42</v>
          </cell>
          <cell r="B3982" t="str">
            <v>ST-K157</v>
          </cell>
        </row>
        <row r="3983">
          <cell r="A3983" t="str">
            <v>ST-K157-B0-44</v>
          </cell>
          <cell r="B3983" t="str">
            <v>ST-K157</v>
          </cell>
        </row>
        <row r="3984">
          <cell r="A3984" t="str">
            <v>ST-K157-K0-32</v>
          </cell>
          <cell r="B3984" t="str">
            <v>ST-K157</v>
          </cell>
        </row>
        <row r="3985">
          <cell r="A3985" t="str">
            <v>ST-K157-K0-34</v>
          </cell>
          <cell r="B3985" t="str">
            <v>ST-K157</v>
          </cell>
        </row>
        <row r="3986">
          <cell r="A3986" t="str">
            <v>ST-K157-K0-36</v>
          </cell>
          <cell r="B3986" t="str">
            <v>ST-K157</v>
          </cell>
        </row>
        <row r="3987">
          <cell r="A3987" t="str">
            <v>ST-K157-K0-38</v>
          </cell>
          <cell r="B3987" t="str">
            <v>ST-K157</v>
          </cell>
        </row>
        <row r="3988">
          <cell r="A3988" t="str">
            <v>ST-K157-K0-40</v>
          </cell>
          <cell r="B3988" t="str">
            <v>ST-K157</v>
          </cell>
        </row>
        <row r="3989">
          <cell r="A3989" t="str">
            <v>ST-K157-K0-42</v>
          </cell>
          <cell r="B3989" t="str">
            <v>ST-K157</v>
          </cell>
        </row>
        <row r="3990">
          <cell r="A3990" t="str">
            <v>ST-K157-K0-44</v>
          </cell>
          <cell r="B3990" t="str">
            <v>ST-K157</v>
          </cell>
        </row>
        <row r="3991">
          <cell r="A3991" t="str">
            <v>ST-K157-KQ-32</v>
          </cell>
          <cell r="B3991" t="str">
            <v>ST-K157</v>
          </cell>
        </row>
        <row r="3992">
          <cell r="A3992" t="str">
            <v>ST-K157-KQ-34</v>
          </cell>
          <cell r="B3992" t="str">
            <v>ST-K157</v>
          </cell>
        </row>
        <row r="3993">
          <cell r="A3993" t="str">
            <v>ST-K157-KQ-36</v>
          </cell>
          <cell r="B3993" t="str">
            <v>ST-K157</v>
          </cell>
        </row>
        <row r="3994">
          <cell r="A3994" t="str">
            <v>ST-K157-KQ-38</v>
          </cell>
          <cell r="B3994" t="str">
            <v>ST-K157</v>
          </cell>
        </row>
        <row r="3995">
          <cell r="A3995" t="str">
            <v>ST-K157-KQ-40</v>
          </cell>
          <cell r="B3995" t="str">
            <v>ST-K157</v>
          </cell>
        </row>
        <row r="3996">
          <cell r="A3996" t="str">
            <v>ST-K157-KQ-42</v>
          </cell>
          <cell r="B3996" t="str">
            <v>ST-K157</v>
          </cell>
        </row>
        <row r="3997">
          <cell r="A3997" t="str">
            <v>ST-K157-KQ-44</v>
          </cell>
          <cell r="B3997" t="str">
            <v>ST-K157</v>
          </cell>
        </row>
        <row r="3998">
          <cell r="A3998" t="str">
            <v>ST-K157-OR-32</v>
          </cell>
          <cell r="B3998" t="str">
            <v>ST-K157</v>
          </cell>
        </row>
        <row r="3999">
          <cell r="A3999" t="str">
            <v>ST-K157-OR-34</v>
          </cell>
          <cell r="B3999" t="str">
            <v>ST-K157</v>
          </cell>
        </row>
        <row r="4000">
          <cell r="A4000" t="str">
            <v>ST-K157-OR-36</v>
          </cell>
          <cell r="B4000" t="str">
            <v>ST-K157</v>
          </cell>
        </row>
        <row r="4001">
          <cell r="A4001" t="str">
            <v>ST-K157-OR-38</v>
          </cell>
          <cell r="B4001" t="str">
            <v>ST-K157</v>
          </cell>
        </row>
        <row r="4002">
          <cell r="A4002" t="str">
            <v>ST-K157-OR-40</v>
          </cell>
          <cell r="B4002" t="str">
            <v>ST-K157</v>
          </cell>
        </row>
        <row r="4003">
          <cell r="A4003" t="str">
            <v>ST-K157-OR-42</v>
          </cell>
          <cell r="B4003" t="str">
            <v>ST-K157</v>
          </cell>
        </row>
        <row r="4004">
          <cell r="A4004" t="str">
            <v>ST-K157-OR-44</v>
          </cell>
          <cell r="B4004" t="str">
            <v>ST-K157</v>
          </cell>
        </row>
        <row r="4005">
          <cell r="A4005" t="str">
            <v>ST-K518-B0-32</v>
          </cell>
          <cell r="B4005" t="str">
            <v>ST-K518</v>
          </cell>
        </row>
        <row r="4006">
          <cell r="A4006" t="str">
            <v>ST-K518-B0-34</v>
          </cell>
          <cell r="B4006" t="str">
            <v>ST-K518</v>
          </cell>
        </row>
        <row r="4007">
          <cell r="A4007" t="str">
            <v>ST-K518-B0-36</v>
          </cell>
          <cell r="B4007" t="str">
            <v>ST-K518</v>
          </cell>
        </row>
        <row r="4008">
          <cell r="A4008" t="str">
            <v>ST-K518-B0-38</v>
          </cell>
          <cell r="B4008" t="str">
            <v>ST-K518</v>
          </cell>
        </row>
        <row r="4009">
          <cell r="A4009" t="str">
            <v>ST-K518-B0-40</v>
          </cell>
          <cell r="B4009" t="str">
            <v>ST-K518</v>
          </cell>
        </row>
        <row r="4010">
          <cell r="A4010" t="str">
            <v>ST-K518-B0-42</v>
          </cell>
          <cell r="B4010" t="str">
            <v>ST-K518</v>
          </cell>
        </row>
        <row r="4011">
          <cell r="A4011" t="str">
            <v>ST-K518-B0-44</v>
          </cell>
          <cell r="B4011" t="str">
            <v>ST-K518</v>
          </cell>
        </row>
        <row r="4012">
          <cell r="A4012" t="str">
            <v>ST-K518-G0-32</v>
          </cell>
          <cell r="B4012" t="str">
            <v>ST-K518</v>
          </cell>
        </row>
        <row r="4013">
          <cell r="A4013" t="str">
            <v>ST-K518-G0-34</v>
          </cell>
          <cell r="B4013" t="str">
            <v>ST-K518</v>
          </cell>
        </row>
        <row r="4014">
          <cell r="A4014" t="str">
            <v>ST-K518-G0-36</v>
          </cell>
          <cell r="B4014" t="str">
            <v>ST-K518</v>
          </cell>
        </row>
        <row r="4015">
          <cell r="A4015" t="str">
            <v>ST-K518-G0-38</v>
          </cell>
          <cell r="B4015" t="str">
            <v>ST-K518</v>
          </cell>
        </row>
        <row r="4016">
          <cell r="A4016" t="str">
            <v>ST-K518-G0-40</v>
          </cell>
          <cell r="B4016" t="str">
            <v>ST-K518</v>
          </cell>
        </row>
        <row r="4017">
          <cell r="A4017" t="str">
            <v>ST-K518-G0-42</v>
          </cell>
          <cell r="B4017" t="str">
            <v>ST-K518</v>
          </cell>
        </row>
        <row r="4018">
          <cell r="A4018" t="str">
            <v>ST-K518-G0-44</v>
          </cell>
          <cell r="B4018" t="str">
            <v>ST-K518</v>
          </cell>
        </row>
        <row r="4019">
          <cell r="A4019" t="str">
            <v>ST-K518-K0-32</v>
          </cell>
          <cell r="B4019" t="str">
            <v>ST-K518</v>
          </cell>
        </row>
        <row r="4020">
          <cell r="A4020" t="str">
            <v>ST-K518-K0-34</v>
          </cell>
          <cell r="B4020" t="str">
            <v>ST-K518</v>
          </cell>
        </row>
        <row r="4021">
          <cell r="A4021" t="str">
            <v>ST-K518-K0-36</v>
          </cell>
          <cell r="B4021" t="str">
            <v>ST-K518</v>
          </cell>
        </row>
        <row r="4022">
          <cell r="A4022" t="str">
            <v>ST-K518-K0-38</v>
          </cell>
          <cell r="B4022" t="str">
            <v>ST-K518</v>
          </cell>
        </row>
        <row r="4023">
          <cell r="A4023" t="str">
            <v>ST-K518-K0-40</v>
          </cell>
          <cell r="B4023" t="str">
            <v>ST-K518</v>
          </cell>
        </row>
        <row r="4024">
          <cell r="A4024" t="str">
            <v>ST-K518-K0-42</v>
          </cell>
          <cell r="B4024" t="str">
            <v>ST-K518</v>
          </cell>
        </row>
        <row r="4025">
          <cell r="A4025" t="str">
            <v>ST-K518-K0-44</v>
          </cell>
          <cell r="B4025" t="str">
            <v>ST-K518</v>
          </cell>
        </row>
        <row r="4026">
          <cell r="A4026" t="str">
            <v>ST-K518-KQ-32</v>
          </cell>
          <cell r="B4026" t="str">
            <v>ST-K518</v>
          </cell>
        </row>
        <row r="4027">
          <cell r="A4027" t="str">
            <v>ST-K518-KQ-34</v>
          </cell>
          <cell r="B4027" t="str">
            <v>ST-K518</v>
          </cell>
        </row>
        <row r="4028">
          <cell r="A4028" t="str">
            <v>ST-K518-KQ-36</v>
          </cell>
          <cell r="B4028" t="str">
            <v>ST-K518</v>
          </cell>
        </row>
        <row r="4029">
          <cell r="A4029" t="str">
            <v>ST-K518-KQ-38</v>
          </cell>
          <cell r="B4029" t="str">
            <v>ST-K518</v>
          </cell>
        </row>
        <row r="4030">
          <cell r="A4030" t="str">
            <v>ST-K518-KQ-40</v>
          </cell>
          <cell r="B4030" t="str">
            <v>ST-K518</v>
          </cell>
        </row>
        <row r="4031">
          <cell r="A4031" t="str">
            <v>ST-K518-KQ-42</v>
          </cell>
          <cell r="B4031" t="str">
            <v>ST-K518</v>
          </cell>
        </row>
        <row r="4032">
          <cell r="A4032" t="str">
            <v>ST-K518-KQ-44</v>
          </cell>
          <cell r="B4032" t="str">
            <v>ST-K518</v>
          </cell>
        </row>
        <row r="4033">
          <cell r="A4033" t="str">
            <v>ST-K518-OR-32</v>
          </cell>
          <cell r="B4033" t="str">
            <v>ST-K518</v>
          </cell>
        </row>
        <row r="4034">
          <cell r="A4034" t="str">
            <v>ST-K518-OR-34</v>
          </cell>
          <cell r="B4034" t="str">
            <v>ST-K518</v>
          </cell>
        </row>
        <row r="4035">
          <cell r="A4035" t="str">
            <v>ST-K518-OR-36</v>
          </cell>
          <cell r="B4035" t="str">
            <v>ST-K518</v>
          </cell>
        </row>
        <row r="4036">
          <cell r="A4036" t="str">
            <v>ST-K518-OR-38</v>
          </cell>
          <cell r="B4036" t="str">
            <v>ST-K518</v>
          </cell>
        </row>
        <row r="4037">
          <cell r="A4037" t="str">
            <v>ST-K518-OR-40</v>
          </cell>
          <cell r="B4037" t="str">
            <v>ST-K518</v>
          </cell>
        </row>
        <row r="4038">
          <cell r="A4038" t="str">
            <v>ST-K518-OR-42</v>
          </cell>
          <cell r="B4038" t="str">
            <v>ST-K518</v>
          </cell>
        </row>
        <row r="4039">
          <cell r="A4039" t="str">
            <v>ST-K518-OR-44</v>
          </cell>
          <cell r="B4039" t="str">
            <v>ST-K518</v>
          </cell>
        </row>
        <row r="4040">
          <cell r="A4040" t="str">
            <v>ST-K559-K0-32</v>
          </cell>
          <cell r="B4040" t="str">
            <v>ST-K559</v>
          </cell>
        </row>
        <row r="4041">
          <cell r="A4041" t="str">
            <v>ST-K559-K0-34</v>
          </cell>
          <cell r="B4041" t="str">
            <v>ST-K559</v>
          </cell>
        </row>
        <row r="4042">
          <cell r="A4042" t="str">
            <v>ST-K559-K0-36</v>
          </cell>
          <cell r="B4042" t="str">
            <v>ST-K559</v>
          </cell>
        </row>
        <row r="4043">
          <cell r="A4043" t="str">
            <v>ST-K559-K0-38</v>
          </cell>
          <cell r="B4043" t="str">
            <v>ST-K559</v>
          </cell>
        </row>
        <row r="4044">
          <cell r="A4044" t="str">
            <v>ST-K559-K0-40</v>
          </cell>
          <cell r="B4044" t="str">
            <v>ST-K559</v>
          </cell>
        </row>
        <row r="4045">
          <cell r="A4045" t="str">
            <v>ST-K559-K0-42</v>
          </cell>
          <cell r="B4045" t="str">
            <v>ST-K559</v>
          </cell>
        </row>
        <row r="4046">
          <cell r="A4046" t="str">
            <v>ST-K559-K0-44</v>
          </cell>
          <cell r="B4046" t="str">
            <v>ST-K559</v>
          </cell>
        </row>
        <row r="4047">
          <cell r="A4047" t="str">
            <v>ST-K559-KQ-32</v>
          </cell>
          <cell r="B4047" t="str">
            <v>ST-K559</v>
          </cell>
        </row>
        <row r="4048">
          <cell r="A4048" t="str">
            <v>ST-K559-KQ-34</v>
          </cell>
          <cell r="B4048" t="str">
            <v>ST-K559</v>
          </cell>
        </row>
        <row r="4049">
          <cell r="A4049" t="str">
            <v>ST-K559-KQ-36</v>
          </cell>
          <cell r="B4049" t="str">
            <v>ST-K559</v>
          </cell>
        </row>
        <row r="4050">
          <cell r="A4050" t="str">
            <v>ST-K559-KQ-38</v>
          </cell>
          <cell r="B4050" t="str">
            <v>ST-K559</v>
          </cell>
        </row>
        <row r="4051">
          <cell r="A4051" t="str">
            <v>ST-K559-KQ-40</v>
          </cell>
          <cell r="B4051" t="str">
            <v>ST-K559</v>
          </cell>
        </row>
        <row r="4052">
          <cell r="A4052" t="str">
            <v>ST-K559-KQ-42</v>
          </cell>
          <cell r="B4052" t="str">
            <v>ST-K559</v>
          </cell>
        </row>
        <row r="4053">
          <cell r="A4053" t="str">
            <v>ST-K559-KQ-44</v>
          </cell>
          <cell r="B4053" t="str">
            <v>ST-K559</v>
          </cell>
        </row>
        <row r="4054">
          <cell r="A4054" t="str">
            <v>ST-K559-LB-32</v>
          </cell>
          <cell r="B4054" t="str">
            <v>ST-K559</v>
          </cell>
        </row>
        <row r="4055">
          <cell r="A4055" t="str">
            <v>ST-K559-LB-34</v>
          </cell>
          <cell r="B4055" t="str">
            <v>ST-K559</v>
          </cell>
        </row>
        <row r="4056">
          <cell r="A4056" t="str">
            <v>ST-K559-LB-36</v>
          </cell>
          <cell r="B4056" t="str">
            <v>ST-K559</v>
          </cell>
        </row>
        <row r="4057">
          <cell r="A4057" t="str">
            <v>ST-K559-LB-38</v>
          </cell>
          <cell r="B4057" t="str">
            <v>ST-K559</v>
          </cell>
        </row>
        <row r="4058">
          <cell r="A4058" t="str">
            <v>ST-K559-LB-40</v>
          </cell>
          <cell r="B4058" t="str">
            <v>ST-K559</v>
          </cell>
        </row>
        <row r="4059">
          <cell r="A4059" t="str">
            <v>ST-K559-LB-42</v>
          </cell>
          <cell r="B4059" t="str">
            <v>ST-K559</v>
          </cell>
        </row>
        <row r="4060">
          <cell r="A4060" t="str">
            <v>ST-K559-LB-44</v>
          </cell>
          <cell r="B4060" t="str">
            <v>ST-K559</v>
          </cell>
        </row>
        <row r="4061">
          <cell r="A4061" t="str">
            <v>ST-K559-OR-32</v>
          </cell>
          <cell r="B4061" t="str">
            <v>ST-K559</v>
          </cell>
        </row>
        <row r="4062">
          <cell r="A4062" t="str">
            <v>ST-K559-OR-34</v>
          </cell>
          <cell r="B4062" t="str">
            <v>ST-K559</v>
          </cell>
        </row>
        <row r="4063">
          <cell r="A4063" t="str">
            <v>ST-K559-OR-36</v>
          </cell>
          <cell r="B4063" t="str">
            <v>ST-K559</v>
          </cell>
        </row>
        <row r="4064">
          <cell r="A4064" t="str">
            <v>ST-K559-OR-38</v>
          </cell>
          <cell r="B4064" t="str">
            <v>ST-K559</v>
          </cell>
        </row>
        <row r="4065">
          <cell r="A4065" t="str">
            <v>ST-K559-OR-40</v>
          </cell>
          <cell r="B4065" t="str">
            <v>ST-K559</v>
          </cell>
        </row>
        <row r="4066">
          <cell r="A4066" t="str">
            <v>ST-K559-OR-42</v>
          </cell>
          <cell r="B4066" t="str">
            <v>ST-K559</v>
          </cell>
        </row>
        <row r="4067">
          <cell r="A4067" t="str">
            <v>ST-K559-OR-44</v>
          </cell>
          <cell r="B4067" t="str">
            <v>ST-K559</v>
          </cell>
        </row>
        <row r="4068">
          <cell r="A4068" t="str">
            <v>ST-K559-R0-32</v>
          </cell>
          <cell r="B4068" t="str">
            <v>ST-K559</v>
          </cell>
        </row>
        <row r="4069">
          <cell r="A4069" t="str">
            <v>ST-K559-R0-34</v>
          </cell>
          <cell r="B4069" t="str">
            <v>ST-K559</v>
          </cell>
        </row>
        <row r="4070">
          <cell r="A4070" t="str">
            <v>ST-K559-R0-36</v>
          </cell>
          <cell r="B4070" t="str">
            <v>ST-K559</v>
          </cell>
        </row>
        <row r="4071">
          <cell r="A4071" t="str">
            <v>ST-K559-R0-38</v>
          </cell>
          <cell r="B4071" t="str">
            <v>ST-K559</v>
          </cell>
        </row>
        <row r="4072">
          <cell r="A4072" t="str">
            <v>ST-K559-R0-40</v>
          </cell>
          <cell r="B4072" t="str">
            <v>ST-K559</v>
          </cell>
        </row>
        <row r="4073">
          <cell r="A4073" t="str">
            <v>ST-K559-R0-42</v>
          </cell>
          <cell r="B4073" t="str">
            <v>ST-K559</v>
          </cell>
        </row>
        <row r="4074">
          <cell r="A4074" t="str">
            <v>ST-K559-R0-44</v>
          </cell>
          <cell r="B4074" t="str">
            <v>ST-K559</v>
          </cell>
        </row>
        <row r="4075">
          <cell r="A4075" t="str">
            <v>SZ-IUYL002</v>
          </cell>
          <cell r="B4075" t="str">
            <v>SZ-IUYL002</v>
          </cell>
        </row>
        <row r="4076">
          <cell r="A4076" t="str">
            <v>Tee-MRG-VneckgreyXXL</v>
          </cell>
          <cell r="B4076" t="str">
            <v>Tee-MRG-Vneck</v>
          </cell>
        </row>
        <row r="4077">
          <cell r="A4077" t="str">
            <v>Tee-MRG-VneckHeiSXL</v>
          </cell>
          <cell r="B4077" t="str">
            <v>Tee-MRG-Vneck</v>
          </cell>
        </row>
        <row r="4078">
          <cell r="A4078" t="str">
            <v>Tee-MRG-VneckJHXL</v>
          </cell>
          <cell r="B4078" t="str">
            <v>Tee-MRG-Vneck</v>
          </cell>
        </row>
        <row r="4079">
          <cell r="A4079" t="str">
            <v>Tee-MRG-VneckJHXXL</v>
          </cell>
          <cell r="B4079" t="str">
            <v>Tee-MRG-Vneck</v>
          </cell>
        </row>
        <row r="4080">
          <cell r="A4080" t="str">
            <v>Tee-MRG-VneckZQXL</v>
          </cell>
          <cell r="B4080" t="str">
            <v>Tee-MRG-Vneck</v>
          </cell>
        </row>
        <row r="4081">
          <cell r="A4081" t="str">
            <v>Tee-MRG-VneckZQXXL</v>
          </cell>
          <cell r="B4081" t="str">
            <v>Tee-MRG-Vneck</v>
          </cell>
        </row>
        <row r="4082">
          <cell r="A4082" t="str">
            <v>TK-Ad413-GR-2XL</v>
          </cell>
          <cell r="B4082" t="str">
            <v>TK-Ad413</v>
          </cell>
        </row>
        <row r="4083">
          <cell r="A4083" t="str">
            <v>TK-Ad413-GR-L</v>
          </cell>
          <cell r="B4083" t="str">
            <v>TK-Ad413</v>
          </cell>
        </row>
        <row r="4084">
          <cell r="A4084" t="str">
            <v>TK-Ad413-GR-M</v>
          </cell>
          <cell r="B4084" t="str">
            <v>TK-Ad413</v>
          </cell>
        </row>
        <row r="4085">
          <cell r="A4085" t="str">
            <v>TK-Ad413-GR-XL</v>
          </cell>
          <cell r="B4085" t="str">
            <v>TK-Ad413</v>
          </cell>
        </row>
        <row r="4086">
          <cell r="A4086" t="str">
            <v>TK-Ad413-K0-2XL</v>
          </cell>
          <cell r="B4086" t="str">
            <v>TK-Ad413</v>
          </cell>
        </row>
        <row r="4087">
          <cell r="A4087" t="str">
            <v>TK-Ad413-K0-L</v>
          </cell>
          <cell r="B4087" t="str">
            <v>TK-Ad413</v>
          </cell>
        </row>
        <row r="4088">
          <cell r="A4088" t="str">
            <v>TK-Ad413-K0-M</v>
          </cell>
          <cell r="B4088" t="str">
            <v>TK-Ad413</v>
          </cell>
        </row>
        <row r="4089">
          <cell r="A4089" t="str">
            <v>TK-Ad413-K0-XL</v>
          </cell>
          <cell r="B4089" t="str">
            <v>TK-Ad413</v>
          </cell>
        </row>
        <row r="4090">
          <cell r="A4090" t="str">
            <v>TK-Ad413SH-2XL</v>
          </cell>
          <cell r="B4090" t="str">
            <v>TK-Ad413</v>
          </cell>
        </row>
        <row r="4091">
          <cell r="A4091" t="str">
            <v>TK-Ad413-SH-L</v>
          </cell>
          <cell r="B4091" t="str">
            <v>TK-Ad413</v>
          </cell>
        </row>
        <row r="4092">
          <cell r="A4092" t="str">
            <v>TK-Ad413-SH-M</v>
          </cell>
          <cell r="B4092" t="str">
            <v>TK-Ad413</v>
          </cell>
        </row>
        <row r="4093">
          <cell r="A4093" t="str">
            <v>TK-Ad413-SH-XL</v>
          </cell>
          <cell r="B4093" t="str">
            <v>TK-Ad413</v>
          </cell>
        </row>
        <row r="4094">
          <cell r="A4094" t="str">
            <v>TK-C412H</v>
          </cell>
          <cell r="B4094" t="str">
            <v>TK-C412H</v>
          </cell>
        </row>
        <row r="4095">
          <cell r="A4095" t="str">
            <v>TK-C412H-GR-2XL</v>
          </cell>
          <cell r="B4095" t="str">
            <v>TK-C412H</v>
          </cell>
        </row>
        <row r="4096">
          <cell r="A4096" t="str">
            <v>TK-C412H-GR-L</v>
          </cell>
          <cell r="B4096" t="str">
            <v>TK-C412H</v>
          </cell>
        </row>
        <row r="4097">
          <cell r="A4097" t="str">
            <v>TK-C412H-GR-M</v>
          </cell>
          <cell r="B4097" t="str">
            <v>TK-C412H</v>
          </cell>
        </row>
        <row r="4098">
          <cell r="A4098" t="str">
            <v>TK-C412H-GR-XL</v>
          </cell>
          <cell r="B4098" t="str">
            <v>TK-C412H</v>
          </cell>
        </row>
        <row r="4099">
          <cell r="A4099" t="str">
            <v>TK-C412H-K0-2XL</v>
          </cell>
          <cell r="B4099" t="str">
            <v>TK-C412H</v>
          </cell>
        </row>
        <row r="4100">
          <cell r="A4100" t="str">
            <v>TK-C412H-K0-L</v>
          </cell>
          <cell r="B4100" t="str">
            <v>TK-C412H</v>
          </cell>
        </row>
        <row r="4101">
          <cell r="A4101" t="str">
            <v>TK-C412H-K0-M</v>
          </cell>
          <cell r="B4101" t="str">
            <v>TK-C412H</v>
          </cell>
        </row>
        <row r="4102">
          <cell r="A4102" t="str">
            <v>TK-C412H-K0-XL</v>
          </cell>
          <cell r="B4102" t="str">
            <v>TK-C412H</v>
          </cell>
        </row>
        <row r="4103">
          <cell r="A4103" t="str">
            <v>TK-C412H-SH-2XL</v>
          </cell>
          <cell r="B4103" t="str">
            <v>TK-C412H</v>
          </cell>
        </row>
        <row r="4104">
          <cell r="A4104" t="str">
            <v>TK-C412H-SH-L</v>
          </cell>
          <cell r="B4104" t="str">
            <v>TK-C412H</v>
          </cell>
        </row>
        <row r="4105">
          <cell r="A4105" t="str">
            <v>TK-C412H-SH-M</v>
          </cell>
          <cell r="B4105" t="str">
            <v>TK-C412H</v>
          </cell>
        </row>
        <row r="4106">
          <cell r="A4106" t="str">
            <v>TK-C412H-SH-XL</v>
          </cell>
          <cell r="B4106" t="str">
            <v>TK-C412H</v>
          </cell>
        </row>
        <row r="4107">
          <cell r="A4107" t="str">
            <v>TK-J0102</v>
          </cell>
          <cell r="B4107" t="str">
            <v>TK-J0102</v>
          </cell>
        </row>
        <row r="4108">
          <cell r="A4108" t="str">
            <v>TK-J01H-GR-10/12</v>
          </cell>
          <cell r="B4108" t="str">
            <v>TK-J0102</v>
          </cell>
        </row>
        <row r="4109">
          <cell r="A4109" t="str">
            <v>TK-J01H-GR-14/16</v>
          </cell>
          <cell r="B4109" t="str">
            <v>TK-J0102</v>
          </cell>
        </row>
        <row r="4110">
          <cell r="A4110" t="str">
            <v>TK-J01H-GR-18/20</v>
          </cell>
          <cell r="B4110" t="str">
            <v>TK-J0102</v>
          </cell>
        </row>
        <row r="4111">
          <cell r="A4111" t="str">
            <v>TK-J01H-GR-2T</v>
          </cell>
          <cell r="B4111" t="str">
            <v>TK-J0102</v>
          </cell>
        </row>
        <row r="4112">
          <cell r="A4112" t="str">
            <v>TK-J01H-GR-3T</v>
          </cell>
          <cell r="B4112" t="str">
            <v>TK-J0102</v>
          </cell>
        </row>
        <row r="4113">
          <cell r="A4113" t="str">
            <v>TK-J01H-GR-4</v>
          </cell>
          <cell r="B4113" t="str">
            <v>TK-J0102</v>
          </cell>
        </row>
        <row r="4114">
          <cell r="A4114" t="str">
            <v>TK-J01H-GR-4T</v>
          </cell>
          <cell r="B4114" t="str">
            <v>TK-J0102</v>
          </cell>
        </row>
        <row r="4115">
          <cell r="A4115" t="str">
            <v>TK-J01H-GR-5/6</v>
          </cell>
          <cell r="B4115" t="str">
            <v>TK-J0102</v>
          </cell>
        </row>
        <row r="4116">
          <cell r="A4116" t="str">
            <v>TK-J01H-GR-7</v>
          </cell>
          <cell r="B4116" t="str">
            <v>TK-J0102</v>
          </cell>
        </row>
        <row r="4117">
          <cell r="A4117" t="str">
            <v>TK-J01H-GR-8</v>
          </cell>
          <cell r="B4117" t="str">
            <v>TK-J0102</v>
          </cell>
        </row>
        <row r="4118">
          <cell r="A4118" t="str">
            <v>TK-J01H-K0-10/12</v>
          </cell>
          <cell r="B4118" t="str">
            <v>TK-J0102</v>
          </cell>
        </row>
        <row r="4119">
          <cell r="A4119" t="str">
            <v>TK-J01H-K0-14/16</v>
          </cell>
          <cell r="B4119" t="str">
            <v>TK-J0102</v>
          </cell>
        </row>
        <row r="4120">
          <cell r="A4120" t="str">
            <v>TK-J01H-K0-18/20</v>
          </cell>
          <cell r="B4120" t="str">
            <v>TK-J0102</v>
          </cell>
        </row>
        <row r="4121">
          <cell r="A4121" t="str">
            <v>TK-J01H-K0-2T</v>
          </cell>
          <cell r="B4121" t="str">
            <v>TK-J0102</v>
          </cell>
        </row>
        <row r="4122">
          <cell r="A4122" t="str">
            <v>TK-J01H-K0-3T</v>
          </cell>
          <cell r="B4122" t="str">
            <v>TK-J0102</v>
          </cell>
        </row>
        <row r="4123">
          <cell r="A4123" t="str">
            <v>TK-J01H-K0-4</v>
          </cell>
          <cell r="B4123" t="str">
            <v>TK-J0102</v>
          </cell>
        </row>
        <row r="4124">
          <cell r="A4124" t="str">
            <v>TK-J01H-K0-4T</v>
          </cell>
          <cell r="B4124" t="str">
            <v>TK-J0102</v>
          </cell>
        </row>
        <row r="4125">
          <cell r="A4125" t="str">
            <v>TK-J01H-K0-5/6</v>
          </cell>
          <cell r="B4125" t="str">
            <v>TK-J0102</v>
          </cell>
        </row>
        <row r="4126">
          <cell r="A4126" t="str">
            <v>TK-J01H-K0-7</v>
          </cell>
          <cell r="B4126" t="str">
            <v>TK-J0102</v>
          </cell>
        </row>
        <row r="4127">
          <cell r="A4127" t="str">
            <v>TK-J01H-K0-8</v>
          </cell>
          <cell r="B4127" t="str">
            <v>TK-J0102</v>
          </cell>
        </row>
        <row r="4128">
          <cell r="A4128" t="str">
            <v>TK-J01H-SH-10/12</v>
          </cell>
          <cell r="B4128" t="str">
            <v>TK-J0102</v>
          </cell>
        </row>
        <row r="4129">
          <cell r="A4129" t="str">
            <v>TK-J01H-SH-14/16</v>
          </cell>
          <cell r="B4129" t="str">
            <v>TK-J0102</v>
          </cell>
        </row>
        <row r="4130">
          <cell r="A4130" t="str">
            <v>TK-J01H-SH-18/20</v>
          </cell>
          <cell r="B4130" t="str">
            <v>TK-J0102</v>
          </cell>
        </row>
        <row r="4131">
          <cell r="A4131" t="str">
            <v>TK-J01H-SH-2T</v>
          </cell>
          <cell r="B4131" t="str">
            <v>TK-J0102</v>
          </cell>
        </row>
        <row r="4132">
          <cell r="A4132" t="str">
            <v>TK-J01H-SH-3T</v>
          </cell>
          <cell r="B4132" t="str">
            <v>TK-J0102</v>
          </cell>
        </row>
        <row r="4133">
          <cell r="A4133" t="str">
            <v>TK-J01H-SH-4</v>
          </cell>
          <cell r="B4133" t="str">
            <v>TK-J0102</v>
          </cell>
        </row>
        <row r="4134">
          <cell r="A4134" t="str">
            <v>TK-J01H-SH-4T</v>
          </cell>
          <cell r="B4134" t="str">
            <v>TK-J0102</v>
          </cell>
        </row>
        <row r="4135">
          <cell r="A4135" t="str">
            <v>TK-J01H-SH-5/6</v>
          </cell>
          <cell r="B4135" t="str">
            <v>TK-J0102</v>
          </cell>
        </row>
        <row r="4136">
          <cell r="A4136" t="str">
            <v>TK-J01H-SH-7</v>
          </cell>
          <cell r="B4136" t="str">
            <v>TK-J0102</v>
          </cell>
        </row>
        <row r="4137">
          <cell r="A4137" t="str">
            <v>TK-J01H-SH-8</v>
          </cell>
          <cell r="B4137" t="str">
            <v>TK-J0102</v>
          </cell>
        </row>
        <row r="4138">
          <cell r="A4138" t="str">
            <v>TK-J02H-GR-10/12</v>
          </cell>
          <cell r="B4138" t="str">
            <v>TK-J0102</v>
          </cell>
        </row>
        <row r="4139">
          <cell r="A4139" t="str">
            <v>TK-J02H-GR-14/16</v>
          </cell>
          <cell r="B4139" t="str">
            <v>TK-J0102</v>
          </cell>
        </row>
        <row r="4140">
          <cell r="A4140" t="str">
            <v>TK-J02H-GR-18/20</v>
          </cell>
          <cell r="B4140" t="str">
            <v>TK-J0102</v>
          </cell>
        </row>
        <row r="4141">
          <cell r="A4141" t="str">
            <v>TK-J02H-GR-2T</v>
          </cell>
          <cell r="B4141" t="str">
            <v>TK-J0102</v>
          </cell>
        </row>
        <row r="4142">
          <cell r="A4142" t="str">
            <v>TK-J02H-GR-3T</v>
          </cell>
          <cell r="B4142" t="str">
            <v>TK-J0102</v>
          </cell>
        </row>
        <row r="4143">
          <cell r="A4143" t="str">
            <v>TK-J02H-GR-4</v>
          </cell>
          <cell r="B4143" t="str">
            <v>TK-J0102</v>
          </cell>
        </row>
        <row r="4144">
          <cell r="A4144" t="str">
            <v>TK-J02H-GR-4T</v>
          </cell>
          <cell r="B4144" t="str">
            <v>TK-J0102</v>
          </cell>
        </row>
        <row r="4145">
          <cell r="A4145" t="str">
            <v>TK-J02H-GR-5/6</v>
          </cell>
          <cell r="B4145" t="str">
            <v>TK-J0102</v>
          </cell>
        </row>
        <row r="4146">
          <cell r="A4146" t="str">
            <v>TK-J02H-GR-7</v>
          </cell>
          <cell r="B4146" t="str">
            <v>TK-J0102</v>
          </cell>
        </row>
        <row r="4147">
          <cell r="A4147" t="str">
            <v>TK-J02H-GR-8</v>
          </cell>
          <cell r="B4147" t="str">
            <v>TK-J0102</v>
          </cell>
        </row>
        <row r="4148">
          <cell r="A4148" t="str">
            <v>TK-J02H-K0-10/12</v>
          </cell>
          <cell r="B4148" t="str">
            <v>TK-J0102</v>
          </cell>
        </row>
        <row r="4149">
          <cell r="A4149" t="str">
            <v>TK-J02H-K0-14/16</v>
          </cell>
          <cell r="B4149" t="str">
            <v>TK-J0102</v>
          </cell>
        </row>
        <row r="4150">
          <cell r="A4150" t="str">
            <v>TK-J02H-K0-18/20</v>
          </cell>
          <cell r="B4150" t="str">
            <v>TK-J0102</v>
          </cell>
        </row>
        <row r="4151">
          <cell r="A4151" t="str">
            <v>TK-J02H-K0-2T</v>
          </cell>
          <cell r="B4151" t="str">
            <v>TK-J0102</v>
          </cell>
        </row>
        <row r="4152">
          <cell r="A4152" t="str">
            <v>TK-J02H-K0-3T</v>
          </cell>
          <cell r="B4152" t="str">
            <v>TK-J0102</v>
          </cell>
        </row>
        <row r="4153">
          <cell r="A4153" t="str">
            <v>TK-J02H-K0-4</v>
          </cell>
          <cell r="B4153" t="str">
            <v>TK-J0102</v>
          </cell>
        </row>
        <row r="4154">
          <cell r="A4154" t="str">
            <v>TK-J02H-K0-4T</v>
          </cell>
          <cell r="B4154" t="str">
            <v>TK-J0102</v>
          </cell>
        </row>
        <row r="4155">
          <cell r="A4155" t="str">
            <v>TK-J02H-K0-5/6</v>
          </cell>
          <cell r="B4155" t="str">
            <v>TK-J0102</v>
          </cell>
        </row>
        <row r="4156">
          <cell r="A4156" t="str">
            <v>TK-J02H-K0-7</v>
          </cell>
          <cell r="B4156" t="str">
            <v>TK-J0102</v>
          </cell>
        </row>
        <row r="4157">
          <cell r="A4157" t="str">
            <v>TK-J02H-K0-8</v>
          </cell>
          <cell r="B4157" t="str">
            <v>TK-J0102</v>
          </cell>
        </row>
        <row r="4158">
          <cell r="A4158" t="str">
            <v>TK-J02H-SH-10/12</v>
          </cell>
          <cell r="B4158" t="str">
            <v>TK-J0102</v>
          </cell>
        </row>
        <row r="4159">
          <cell r="A4159" t="str">
            <v>TK-J02H-SH-14/16</v>
          </cell>
          <cell r="B4159" t="str">
            <v>TK-J0102</v>
          </cell>
        </row>
        <row r="4160">
          <cell r="A4160" t="str">
            <v>TK-J02H-SH-18/20</v>
          </cell>
          <cell r="B4160" t="str">
            <v>TK-J0102</v>
          </cell>
        </row>
        <row r="4161">
          <cell r="A4161" t="str">
            <v>TK-J02H-SH-2T</v>
          </cell>
          <cell r="B4161" t="str">
            <v>TK-J0102</v>
          </cell>
        </row>
        <row r="4162">
          <cell r="A4162" t="str">
            <v>TK-J02H-SH-3T</v>
          </cell>
          <cell r="B4162" t="str">
            <v>TK-J0102</v>
          </cell>
        </row>
        <row r="4163">
          <cell r="A4163" t="str">
            <v>TK-J02H-SH-4</v>
          </cell>
          <cell r="B4163" t="str">
            <v>TK-J0102</v>
          </cell>
        </row>
        <row r="4164">
          <cell r="A4164" t="str">
            <v>TK-J02H-SH-4T</v>
          </cell>
          <cell r="B4164" t="str">
            <v>TK-J0102</v>
          </cell>
        </row>
        <row r="4165">
          <cell r="A4165" t="str">
            <v>TK-J02H-SH-5/6</v>
          </cell>
          <cell r="B4165" t="str">
            <v>TK-J0102</v>
          </cell>
        </row>
        <row r="4166">
          <cell r="A4166" t="str">
            <v>TK-J02H-SH-7</v>
          </cell>
          <cell r="B4166" t="str">
            <v>TK-J0102</v>
          </cell>
        </row>
        <row r="4167">
          <cell r="A4167" t="str">
            <v>TK-J02H-SH-8</v>
          </cell>
          <cell r="B4167" t="str">
            <v>TK-J0102</v>
          </cell>
        </row>
        <row r="4168">
          <cell r="A4168" t="str">
            <v>Top-5505LB-2XL</v>
          </cell>
          <cell r="B4168" t="str">
            <v>FT5505</v>
          </cell>
        </row>
        <row r="4169">
          <cell r="A4169" t="str">
            <v>Top-5505LB-L</v>
          </cell>
          <cell r="B4169" t="str">
            <v>FT5505</v>
          </cell>
        </row>
        <row r="4170">
          <cell r="A4170" t="str">
            <v>Top-5505LB-M</v>
          </cell>
          <cell r="B4170" t="str">
            <v>FT5505</v>
          </cell>
        </row>
        <row r="4171">
          <cell r="A4171" t="str">
            <v>Top-5505LB-S</v>
          </cell>
          <cell r="B4171" t="str">
            <v>FT5505</v>
          </cell>
        </row>
        <row r="4172">
          <cell r="A4172" t="str">
            <v>Top-5505LB-XL</v>
          </cell>
          <cell r="B4172" t="str">
            <v>FT5505</v>
          </cell>
        </row>
        <row r="4173">
          <cell r="A4173" t="str">
            <v>Top-5505LB-XS</v>
          </cell>
          <cell r="B4173" t="str">
            <v>FT5505</v>
          </cell>
        </row>
        <row r="4174">
          <cell r="A4174" t="str">
            <v>Top-5505PI-2XL</v>
          </cell>
          <cell r="B4174" t="str">
            <v>FT5505</v>
          </cell>
        </row>
        <row r="4175">
          <cell r="A4175" t="str">
            <v>Top-5505PI-L</v>
          </cell>
          <cell r="B4175" t="str">
            <v>FT5505</v>
          </cell>
        </row>
        <row r="4176">
          <cell r="A4176" t="str">
            <v>Top-5505PI-M</v>
          </cell>
          <cell r="B4176" t="str">
            <v>FT5505</v>
          </cell>
        </row>
        <row r="4177">
          <cell r="A4177" t="str">
            <v>Top-5505PI-S</v>
          </cell>
          <cell r="B4177" t="str">
            <v>FT5505</v>
          </cell>
        </row>
        <row r="4178">
          <cell r="A4178" t="str">
            <v>Top-5505PI-XL</v>
          </cell>
          <cell r="B4178" t="str">
            <v>FT5505</v>
          </cell>
        </row>
        <row r="4179">
          <cell r="A4179" t="str">
            <v>Top-5505PI-XS</v>
          </cell>
          <cell r="B4179" t="str">
            <v>FT5505</v>
          </cell>
        </row>
        <row r="4180">
          <cell r="A4180" t="str">
            <v>Top-5505ZL-2XL</v>
          </cell>
          <cell r="B4180" t="str">
            <v>FT5505</v>
          </cell>
        </row>
        <row r="4181">
          <cell r="A4181" t="str">
            <v>Top-5505ZL-L</v>
          </cell>
          <cell r="B4181" t="str">
            <v>FT5505</v>
          </cell>
        </row>
        <row r="4182">
          <cell r="A4182" t="str">
            <v>Top-5505ZL-M</v>
          </cell>
          <cell r="B4182" t="str">
            <v>FT5505</v>
          </cell>
        </row>
        <row r="4183">
          <cell r="A4183" t="str">
            <v>Top-5505ZL-S</v>
          </cell>
          <cell r="B4183" t="str">
            <v>FT5505</v>
          </cell>
        </row>
        <row r="4184">
          <cell r="A4184" t="str">
            <v>Top-5505ZL-XL</v>
          </cell>
          <cell r="B4184" t="str">
            <v>FT5505</v>
          </cell>
        </row>
        <row r="4185">
          <cell r="A4185" t="str">
            <v>Top-5505ZL-XS</v>
          </cell>
          <cell r="B4185" t="str">
            <v>FT5505</v>
          </cell>
        </row>
        <row r="4186">
          <cell r="A4186" t="str">
            <v>Top-HM7702</v>
          </cell>
          <cell r="B4186" t="str">
            <v>Top-HM7702</v>
          </cell>
        </row>
        <row r="4187">
          <cell r="A4187" t="str">
            <v>Top-HM7702-GZK0-2XL</v>
          </cell>
          <cell r="B4187" t="str">
            <v>Top-HM7702</v>
          </cell>
        </row>
        <row r="4188">
          <cell r="A4188" t="str">
            <v>Top-HM7702-GZK0-3XL</v>
          </cell>
          <cell r="B4188" t="str">
            <v>Top-HM7702</v>
          </cell>
        </row>
        <row r="4189">
          <cell r="A4189" t="str">
            <v>Top-HM7702-GZK0-L</v>
          </cell>
          <cell r="B4189" t="str">
            <v>Top-HM7702</v>
          </cell>
        </row>
        <row r="4190">
          <cell r="A4190" t="str">
            <v>Top-HM7702-GZK0-M</v>
          </cell>
          <cell r="B4190" t="str">
            <v>Top-HM7702</v>
          </cell>
        </row>
        <row r="4191">
          <cell r="A4191" t="str">
            <v>Top-HM7702-GZK0-S</v>
          </cell>
          <cell r="B4191" t="str">
            <v>Top-HM7702</v>
          </cell>
        </row>
        <row r="4192">
          <cell r="A4192" t="str">
            <v>Top-HM7702-GZK0-XL</v>
          </cell>
          <cell r="B4192" t="str">
            <v>Top-HM7702</v>
          </cell>
        </row>
        <row r="4193">
          <cell r="A4193" t="str">
            <v>Top-HM7702-GZR0-2XL</v>
          </cell>
          <cell r="B4193" t="str">
            <v>Top-HM7702</v>
          </cell>
        </row>
        <row r="4194">
          <cell r="A4194" t="str">
            <v>Top-HM7702-GZR0-3XL</v>
          </cell>
          <cell r="B4194" t="str">
            <v>Top-HM7702</v>
          </cell>
        </row>
        <row r="4195">
          <cell r="A4195" t="str">
            <v>Top-HM7702-GZR0-L</v>
          </cell>
          <cell r="B4195" t="str">
            <v>Top-HM7702</v>
          </cell>
        </row>
        <row r="4196">
          <cell r="A4196" t="str">
            <v>Top-HM7702-GZR0-M</v>
          </cell>
          <cell r="B4196" t="str">
            <v>Top-HM7702</v>
          </cell>
        </row>
        <row r="4197">
          <cell r="A4197" t="str">
            <v>Top-HM7702-GZR0-S</v>
          </cell>
          <cell r="B4197" t="str">
            <v>Top-HM7702</v>
          </cell>
        </row>
        <row r="4198">
          <cell r="A4198" t="str">
            <v>Top-HM7702-GZR0-XL</v>
          </cell>
          <cell r="B4198" t="str">
            <v>Top-HM7702</v>
          </cell>
        </row>
        <row r="4199">
          <cell r="A4199" t="str">
            <v>Top-HM7702-K0-2XL</v>
          </cell>
          <cell r="B4199" t="str">
            <v>Top-HM7702</v>
          </cell>
        </row>
        <row r="4200">
          <cell r="A4200" t="str">
            <v>Top-HM7702-K0-3XL</v>
          </cell>
          <cell r="B4200" t="str">
            <v>Top-HM7702</v>
          </cell>
        </row>
        <row r="4201">
          <cell r="A4201" t="str">
            <v>Top-HM7702-K0-L</v>
          </cell>
          <cell r="B4201" t="str">
            <v>Top-HM7702</v>
          </cell>
        </row>
        <row r="4202">
          <cell r="A4202" t="str">
            <v>Top-HM7702-K0-M</v>
          </cell>
          <cell r="B4202" t="str">
            <v>Top-HM7702</v>
          </cell>
        </row>
        <row r="4203">
          <cell r="A4203" t="str">
            <v>Top-HM7702-K0-S</v>
          </cell>
          <cell r="B4203" t="str">
            <v>Top-HM7702</v>
          </cell>
        </row>
        <row r="4204">
          <cell r="A4204" t="str">
            <v>Top-HM7702-K0-XL</v>
          </cell>
          <cell r="B4204" t="str">
            <v>Top-HM7702</v>
          </cell>
        </row>
        <row r="4205">
          <cell r="A4205" t="str">
            <v>Top-HM7702-W0-2XL</v>
          </cell>
          <cell r="B4205" t="str">
            <v>Top-HM7702</v>
          </cell>
        </row>
        <row r="4206">
          <cell r="A4206" t="str">
            <v>Top-HM7702-W0-3XL</v>
          </cell>
          <cell r="B4206" t="str">
            <v>Top-HM7702</v>
          </cell>
        </row>
        <row r="4207">
          <cell r="A4207" t="str">
            <v>Top-HM7702-W0-L</v>
          </cell>
          <cell r="B4207" t="str">
            <v>Top-HM7702</v>
          </cell>
        </row>
        <row r="4208">
          <cell r="A4208" t="str">
            <v>Top-HM7702-W0-M</v>
          </cell>
          <cell r="B4208" t="str">
            <v>Top-HM7702</v>
          </cell>
        </row>
        <row r="4209">
          <cell r="A4209" t="str">
            <v>Top-HM7702-W0-S</v>
          </cell>
          <cell r="B4209" t="str">
            <v>Top-HM7702</v>
          </cell>
        </row>
        <row r="4210">
          <cell r="A4210" t="str">
            <v>Top-HM7702-W0-XL</v>
          </cell>
          <cell r="B4210" t="str">
            <v>Top-HM7702</v>
          </cell>
        </row>
        <row r="4211">
          <cell r="A4211" t="str">
            <v>Top-HM7702-Y0-2XL</v>
          </cell>
          <cell r="B4211" t="str">
            <v>Top-HM7702</v>
          </cell>
        </row>
        <row r="4212">
          <cell r="A4212" t="str">
            <v>Top-HM7702-Y0-3XL</v>
          </cell>
          <cell r="B4212" t="str">
            <v>Top-HM7702</v>
          </cell>
        </row>
        <row r="4213">
          <cell r="A4213" t="str">
            <v>Top-HM7702-Y0-L</v>
          </cell>
          <cell r="B4213" t="str">
            <v>Top-HM7702</v>
          </cell>
        </row>
        <row r="4214">
          <cell r="A4214" t="str">
            <v>Top-HM7702-Y0-M</v>
          </cell>
          <cell r="B4214" t="str">
            <v>Top-HM7702</v>
          </cell>
        </row>
        <row r="4215">
          <cell r="A4215" t="str">
            <v>Top-HM7702-Y0-S</v>
          </cell>
          <cell r="B4215" t="str">
            <v>Top-HM7702</v>
          </cell>
        </row>
        <row r="4216">
          <cell r="A4216" t="str">
            <v>Top-HM7702-Y0-XL</v>
          </cell>
          <cell r="B4216" t="str">
            <v>Top-HM7702</v>
          </cell>
        </row>
        <row r="4217">
          <cell r="A4217" t="str">
            <v>TX-7223-CO-4041</v>
          </cell>
          <cell r="B4217" t="str">
            <v>XZ-YG7223-GM</v>
          </cell>
        </row>
        <row r="4218">
          <cell r="A4218" t="str">
            <v>TX-7223-CO-4243</v>
          </cell>
          <cell r="B4218" t="str">
            <v>XZ-YG7223-GM</v>
          </cell>
        </row>
        <row r="4219">
          <cell r="A4219" t="str">
            <v>TX-7223-CO-4445</v>
          </cell>
          <cell r="B4219" t="str">
            <v>XZ-YG7223-GM</v>
          </cell>
        </row>
        <row r="4220">
          <cell r="A4220" t="str">
            <v>TX-7223-Da-4041</v>
          </cell>
          <cell r="B4220" t="str">
            <v>XZ-YG7223-GM</v>
          </cell>
        </row>
        <row r="4221">
          <cell r="A4221" t="str">
            <v>TX-7223-Da-4243</v>
          </cell>
          <cell r="B4221" t="str">
            <v>XZ-YG7223-GM</v>
          </cell>
        </row>
        <row r="4222">
          <cell r="A4222" t="str">
            <v>TX-7223-Da-4445</v>
          </cell>
          <cell r="B4222" t="str">
            <v>XZ-YG7223-GM</v>
          </cell>
        </row>
        <row r="4223">
          <cell r="A4223" t="str">
            <v>TX-7223-Gr-3637</v>
          </cell>
          <cell r="B4223" t="str">
            <v>XZ-YG7223-GM</v>
          </cell>
        </row>
        <row r="4224">
          <cell r="A4224" t="str">
            <v>TX-7223-PI-3637</v>
          </cell>
          <cell r="B4224" t="str">
            <v>XZ-YG7223-GM</v>
          </cell>
        </row>
        <row r="4225">
          <cell r="A4225" t="str">
            <v>TX-7223-PI-3839</v>
          </cell>
          <cell r="B4225" t="str">
            <v>XZ-YG7223-GM</v>
          </cell>
        </row>
        <row r="4226">
          <cell r="A4226" t="str">
            <v>TX-7223-PI-4041</v>
          </cell>
          <cell r="B4226" t="str">
            <v>XZ-YG7223-GM</v>
          </cell>
        </row>
        <row r="4227">
          <cell r="A4227" t="str">
            <v>TX-7223-RB-3637</v>
          </cell>
          <cell r="B4227" t="str">
            <v>XZ-YG7223-GM</v>
          </cell>
        </row>
        <row r="4228">
          <cell r="A4228" t="str">
            <v>TX-7223-RB-3839</v>
          </cell>
          <cell r="B4228" t="str">
            <v>XZ-YG7223-GM</v>
          </cell>
        </row>
        <row r="4229">
          <cell r="A4229" t="str">
            <v>TX-7223-RB-4041</v>
          </cell>
          <cell r="B4229" t="str">
            <v>XZ-YG7223-GM</v>
          </cell>
        </row>
        <row r="4230">
          <cell r="A4230" t="str">
            <v>TX-SM-7223-Gr-3637</v>
          </cell>
          <cell r="B4230" t="str">
            <v>TX-SM-7223</v>
          </cell>
        </row>
        <row r="4231">
          <cell r="A4231" t="str">
            <v>TX-SM-7223-PI-3637</v>
          </cell>
          <cell r="B4231" t="str">
            <v>TX-SM-7223</v>
          </cell>
        </row>
        <row r="4232">
          <cell r="A4232" t="str">
            <v>TZ-IUYL240-BEAR-L</v>
          </cell>
          <cell r="B4232" t="str">
            <v>TZ-IUYL240</v>
          </cell>
        </row>
        <row r="4233">
          <cell r="A4233" t="str">
            <v>TZ-IUYL240-BEAR-M</v>
          </cell>
          <cell r="B4233" t="str">
            <v>TZ-IUYL240</v>
          </cell>
        </row>
        <row r="4234">
          <cell r="A4234" t="str">
            <v>TZ-IUYL240-BEAR-S</v>
          </cell>
          <cell r="B4234" t="str">
            <v>TZ-IUYL240</v>
          </cell>
        </row>
        <row r="4235">
          <cell r="A4235" t="str">
            <v>TZ-IUYL240-BONE-L</v>
          </cell>
          <cell r="B4235" t="str">
            <v>TZ-IUYL240</v>
          </cell>
        </row>
        <row r="4236">
          <cell r="A4236" t="str">
            <v>TZ-IUYL240-BONE-M</v>
          </cell>
          <cell r="B4236" t="str">
            <v>TZ-IUYL240</v>
          </cell>
        </row>
        <row r="4237">
          <cell r="A4237" t="str">
            <v>TZ-IUYL240-BONE-S</v>
          </cell>
          <cell r="B4237" t="str">
            <v>TZ-IUYL240</v>
          </cell>
        </row>
        <row r="4238">
          <cell r="A4238" t="str">
            <v>TZ-IUYL240-DOT2-L</v>
          </cell>
          <cell r="B4238" t="str">
            <v>TZ-IUYL240</v>
          </cell>
        </row>
        <row r="4239">
          <cell r="A4239" t="str">
            <v>TZ-IUYL240-DOT2-M</v>
          </cell>
          <cell r="B4239" t="str">
            <v>TZ-IUYL240</v>
          </cell>
        </row>
        <row r="4240">
          <cell r="A4240" t="str">
            <v>TZ-IUYL240-DOT2-S</v>
          </cell>
          <cell r="B4240" t="str">
            <v>TZ-IUYL240</v>
          </cell>
        </row>
        <row r="4241">
          <cell r="A4241" t="str">
            <v>TZ-IUYL240-DOT-L</v>
          </cell>
          <cell r="B4241" t="str">
            <v>TZ-IUYL240</v>
          </cell>
        </row>
        <row r="4242">
          <cell r="A4242" t="str">
            <v>TZ-IUYL240-DOT-M</v>
          </cell>
          <cell r="B4242" t="str">
            <v>TZ-IUYL240</v>
          </cell>
        </row>
        <row r="4243">
          <cell r="A4243" t="str">
            <v>TZ-IUYL240-DOT-S</v>
          </cell>
          <cell r="B4243" t="str">
            <v>TZ-IUYL240</v>
          </cell>
        </row>
        <row r="4244">
          <cell r="A4244" t="str">
            <v>TZ-IUYL240-ELPH-L</v>
          </cell>
          <cell r="B4244" t="str">
            <v>TZ-IUYL240</v>
          </cell>
        </row>
        <row r="4245">
          <cell r="A4245" t="str">
            <v>TZ-IUYL240-ELPH-M</v>
          </cell>
          <cell r="B4245" t="str">
            <v>TZ-IUYL240</v>
          </cell>
        </row>
        <row r="4246">
          <cell r="A4246" t="str">
            <v>TZ-IUYL240-ELPH-S</v>
          </cell>
          <cell r="B4246" t="str">
            <v>TZ-IUYL240</v>
          </cell>
        </row>
        <row r="4247">
          <cell r="A4247" t="str">
            <v>TZ-IUYL240LHY-BONE-L</v>
          </cell>
          <cell r="B4247" t="str">
            <v>TZ-IUYL240</v>
          </cell>
        </row>
        <row r="4248">
          <cell r="A4248" t="str">
            <v>TZ-IUYL240LHY-BONE-M</v>
          </cell>
          <cell r="B4248" t="str">
            <v>TZ-IUYL240</v>
          </cell>
        </row>
        <row r="4249">
          <cell r="A4249" t="str">
            <v>TZ-IUYL240LHY-BONE-S</v>
          </cell>
          <cell r="B4249" t="str">
            <v>TZ-IUYL240</v>
          </cell>
        </row>
        <row r="4250">
          <cell r="A4250" t="str">
            <v>TZ-IUYL240LHY-DOT-L</v>
          </cell>
          <cell r="B4250" t="str">
            <v>TZ-IUYL240</v>
          </cell>
        </row>
        <row r="4251">
          <cell r="A4251" t="str">
            <v>TZ-IUYL240LHY-DOT-M</v>
          </cell>
          <cell r="B4251" t="str">
            <v>TZ-IUYL240</v>
          </cell>
        </row>
        <row r="4252">
          <cell r="A4252" t="str">
            <v>TZ-IUYL240LHY-DOT-S</v>
          </cell>
          <cell r="B4252" t="str">
            <v>TZ-IUYL240</v>
          </cell>
        </row>
        <row r="4253">
          <cell r="A4253" t="str">
            <v>TZ-IUYL240LHY-ELPH-L</v>
          </cell>
          <cell r="B4253" t="str">
            <v>TZ-IUYL240</v>
          </cell>
        </row>
        <row r="4254">
          <cell r="A4254" t="str">
            <v>TZ-IUYL240LHY-ELPH-M</v>
          </cell>
          <cell r="B4254" t="str">
            <v>TZ-IUYL240</v>
          </cell>
        </row>
        <row r="4255">
          <cell r="A4255" t="str">
            <v>TZ-IUYL240LHY-ELPH-S</v>
          </cell>
          <cell r="B4255" t="str">
            <v>TZ-IUYL240</v>
          </cell>
        </row>
        <row r="4256">
          <cell r="A4256" t="str">
            <v>TZ-IUYL240LHY-PAW-L</v>
          </cell>
          <cell r="B4256" t="str">
            <v>TZ-IUYL240</v>
          </cell>
        </row>
        <row r="4257">
          <cell r="A4257" t="str">
            <v>TZ-IUYL240LHY-PAW-M</v>
          </cell>
          <cell r="B4257" t="str">
            <v>TZ-IUYL240</v>
          </cell>
        </row>
        <row r="4258">
          <cell r="A4258" t="str">
            <v>TZ-IUYL240LHY-PAW-S</v>
          </cell>
          <cell r="B4258" t="str">
            <v>TZ-IUYL240</v>
          </cell>
        </row>
        <row r="4259">
          <cell r="A4259" t="str">
            <v>TZ-IUYL240LHY-STAR-L</v>
          </cell>
          <cell r="B4259" t="str">
            <v>TZ-IUYL240</v>
          </cell>
        </row>
        <row r="4260">
          <cell r="A4260" t="str">
            <v>TZ-IUYL240LHY-STAR-M</v>
          </cell>
          <cell r="B4260" t="str">
            <v>TZ-IUYL240</v>
          </cell>
        </row>
        <row r="4261">
          <cell r="A4261" t="str">
            <v>TZ-IUYL240LHY-STAR-S</v>
          </cell>
          <cell r="B4261" t="str">
            <v>TZ-IUYL240</v>
          </cell>
        </row>
        <row r="4262">
          <cell r="A4262" t="str">
            <v>TZ-IUYL240LHY-STRAWBERRY-L</v>
          </cell>
          <cell r="B4262" t="str">
            <v>TZ-IUYL240</v>
          </cell>
        </row>
        <row r="4263">
          <cell r="A4263" t="str">
            <v>TZ-IUYL240LHY-STRAWBERRY-M</v>
          </cell>
          <cell r="B4263" t="str">
            <v>TZ-IUYL240</v>
          </cell>
        </row>
        <row r="4264">
          <cell r="A4264" t="str">
            <v>TZ-IUYL240LHY-STRAWBERRY-S</v>
          </cell>
          <cell r="B4264" t="str">
            <v>TZ-IUYL240</v>
          </cell>
        </row>
        <row r="4265">
          <cell r="A4265" t="str">
            <v>TZ-IUYL240-LOVE-L</v>
          </cell>
          <cell r="B4265" t="str">
            <v>TZ-IUYL240</v>
          </cell>
        </row>
        <row r="4266">
          <cell r="A4266" t="str">
            <v>TZ-IUYL240-LOVE-M</v>
          </cell>
          <cell r="B4266" t="str">
            <v>TZ-IUYL240</v>
          </cell>
        </row>
        <row r="4267">
          <cell r="A4267" t="str">
            <v>TZ-IUYL240-LOVE-S</v>
          </cell>
          <cell r="B4267" t="str">
            <v>TZ-IUYL240</v>
          </cell>
        </row>
        <row r="4268">
          <cell r="A4268" t="str">
            <v>TZ-IUYL240-PAW-L</v>
          </cell>
          <cell r="B4268" t="str">
            <v>TZ-IUYL240</v>
          </cell>
        </row>
        <row r="4269">
          <cell r="A4269" t="str">
            <v>TZ-IUYL240-PAW-M</v>
          </cell>
          <cell r="B4269" t="str">
            <v>TZ-IUYL240</v>
          </cell>
        </row>
        <row r="4270">
          <cell r="A4270" t="str">
            <v>TZ-IUYL240-PAW-S</v>
          </cell>
          <cell r="B4270" t="str">
            <v>TZ-IUYL240</v>
          </cell>
        </row>
        <row r="4271">
          <cell r="A4271" t="str">
            <v>TZ-IUYL240-RABBIT-L</v>
          </cell>
          <cell r="B4271" t="str">
            <v>TZ-IUYL240</v>
          </cell>
        </row>
        <row r="4272">
          <cell r="A4272" t="str">
            <v>TZ-IUYL240-RABBIT-M</v>
          </cell>
          <cell r="B4272" t="str">
            <v>TZ-IUYL240</v>
          </cell>
        </row>
        <row r="4273">
          <cell r="A4273" t="str">
            <v>TZ-IUYL240-RABBIT-S</v>
          </cell>
          <cell r="B4273" t="str">
            <v>TZ-IUYL240</v>
          </cell>
        </row>
        <row r="4274">
          <cell r="A4274" t="str">
            <v>TZ-IUYL240-STAR-L</v>
          </cell>
          <cell r="B4274" t="str">
            <v>TZ-IUYL240</v>
          </cell>
        </row>
        <row r="4275">
          <cell r="A4275" t="str">
            <v>TZ-IUYL240-STAR-M</v>
          </cell>
          <cell r="B4275" t="str">
            <v>TZ-IUYL240</v>
          </cell>
        </row>
        <row r="4276">
          <cell r="A4276" t="str">
            <v>TZ-IUYL240-STAR-S</v>
          </cell>
          <cell r="B4276" t="str">
            <v>TZ-IUYL240</v>
          </cell>
        </row>
        <row r="4277">
          <cell r="A4277" t="str">
            <v>TZ-IUYL240-STRAWBERRY-L</v>
          </cell>
          <cell r="B4277" t="str">
            <v>TZ-IUYL240</v>
          </cell>
        </row>
        <row r="4278">
          <cell r="A4278" t="str">
            <v>TZ-IUYL240-STRAWBERRY-M</v>
          </cell>
          <cell r="B4278" t="str">
            <v>TZ-IUYL240</v>
          </cell>
        </row>
        <row r="4279">
          <cell r="A4279" t="str">
            <v>TZ-IUYL240-STRAWBERRY-S</v>
          </cell>
          <cell r="B4279" t="str">
            <v>TZ-IUYL240</v>
          </cell>
        </row>
        <row r="4280">
          <cell r="A4280" t="str">
            <v>TZ-SY240-BONE-S</v>
          </cell>
          <cell r="B4280" t="str">
            <v>TZ-SY240</v>
          </cell>
        </row>
        <row r="4281">
          <cell r="A4281" t="str">
            <v>TZ-SY240-ELPH-S</v>
          </cell>
          <cell r="B4281" t="str">
            <v>TZ-SY240</v>
          </cell>
        </row>
        <row r="4282">
          <cell r="A4282" t="str">
            <v>TZ-SY240-STRAWBERRY-S</v>
          </cell>
          <cell r="B4282" t="str">
            <v>TZ-SY240</v>
          </cell>
        </row>
        <row r="4283">
          <cell r="A4283" t="str">
            <v>WJ-ZQ280-A6</v>
          </cell>
          <cell r="B4283" t="str">
            <v>WJ-ZQ280</v>
          </cell>
        </row>
        <row r="4284">
          <cell r="A4284" t="str">
            <v>WJ-ZQ650-C1</v>
          </cell>
          <cell r="B4284" t="str">
            <v>WJ-ZQ650</v>
          </cell>
        </row>
        <row r="4285">
          <cell r="A4285" t="str">
            <v>WJ-ZQ650-C10</v>
          </cell>
          <cell r="B4285" t="str">
            <v>WJ-ZQ650</v>
          </cell>
        </row>
        <row r="4286">
          <cell r="A4286" t="str">
            <v>WJ-ZQ650-C11</v>
          </cell>
          <cell r="B4286" t="str">
            <v>WJ-ZQ650</v>
          </cell>
        </row>
        <row r="4287">
          <cell r="A4287" t="str">
            <v>WJ-ZQ650-C2</v>
          </cell>
          <cell r="B4287" t="str">
            <v>WJ-ZQ650</v>
          </cell>
        </row>
        <row r="4288">
          <cell r="A4288" t="str">
            <v>WJ-ZQ650-C3</v>
          </cell>
          <cell r="B4288" t="str">
            <v>WJ-ZQ650</v>
          </cell>
        </row>
        <row r="4289">
          <cell r="A4289" t="str">
            <v>WJ-ZQ650-C4</v>
          </cell>
          <cell r="B4289" t="str">
            <v>WJ-ZQ650</v>
          </cell>
        </row>
        <row r="4290">
          <cell r="A4290" t="str">
            <v>WJ-ZQ650-C5</v>
          </cell>
          <cell r="B4290" t="str">
            <v>WJ-ZQ650</v>
          </cell>
        </row>
        <row r="4291">
          <cell r="A4291" t="str">
            <v>WJ-ZQ650-C6</v>
          </cell>
          <cell r="B4291" t="str">
            <v>WJ-ZQ650</v>
          </cell>
        </row>
        <row r="4292">
          <cell r="A4292" t="str">
            <v>WJ-ZQ650-C7</v>
          </cell>
          <cell r="B4292" t="str">
            <v>WJ-ZQ650</v>
          </cell>
        </row>
        <row r="4293">
          <cell r="A4293" t="str">
            <v>WJ-ZQ650-C8</v>
          </cell>
          <cell r="B4293" t="str">
            <v>WJ-ZQ650</v>
          </cell>
        </row>
        <row r="4294">
          <cell r="A4294" t="str">
            <v>WJ-ZQ650-C9</v>
          </cell>
          <cell r="B4294" t="str">
            <v>WJ-ZQ650</v>
          </cell>
        </row>
        <row r="4295">
          <cell r="A4295" t="str">
            <v>WM-ZQ5023-N0</v>
          </cell>
          <cell r="B4295" t="str">
            <v>WM-ZQ5023</v>
          </cell>
        </row>
        <row r="4296">
          <cell r="A4296" t="str">
            <v>WM-ZQ5023-R0</v>
          </cell>
          <cell r="B4296" t="str">
            <v>WM-ZQ5023</v>
          </cell>
        </row>
        <row r="4297">
          <cell r="A4297" t="str">
            <v>WM-ZQ5023-R1</v>
          </cell>
          <cell r="B4297" t="str">
            <v>WM-ZQ5023</v>
          </cell>
        </row>
        <row r="4298">
          <cell r="A4298" t="str">
            <v>WT-ZQ921-G7-2XL</v>
          </cell>
          <cell r="B4298" t="str">
            <v>WT-ZQ921</v>
          </cell>
        </row>
        <row r="4299">
          <cell r="A4299" t="str">
            <v>WT-ZQ921-G7-3XL</v>
          </cell>
          <cell r="B4299" t="str">
            <v>WT-ZQ921</v>
          </cell>
        </row>
        <row r="4300">
          <cell r="A4300" t="str">
            <v>WT-ZQ921-G7-4XL</v>
          </cell>
          <cell r="B4300" t="str">
            <v>WT-ZQ921</v>
          </cell>
        </row>
        <row r="4301">
          <cell r="A4301" t="str">
            <v>WT-ZQ921-G7-5XL</v>
          </cell>
          <cell r="B4301" t="str">
            <v>WT-ZQ921</v>
          </cell>
        </row>
        <row r="4302">
          <cell r="A4302" t="str">
            <v>WT-ZQ921-G7-L</v>
          </cell>
          <cell r="B4302" t="str">
            <v>WT-ZQ921</v>
          </cell>
        </row>
        <row r="4303">
          <cell r="A4303" t="str">
            <v>WT-ZQ921-G7-XL</v>
          </cell>
          <cell r="B4303" t="str">
            <v>WT-ZQ921</v>
          </cell>
        </row>
        <row r="4304">
          <cell r="A4304" t="str">
            <v>WT-ZQ921-K0-2XL</v>
          </cell>
          <cell r="B4304" t="str">
            <v>WT-ZQ921</v>
          </cell>
        </row>
        <row r="4305">
          <cell r="A4305" t="str">
            <v>WT-ZQ921-K0-3XL</v>
          </cell>
          <cell r="B4305" t="str">
            <v>WT-ZQ921</v>
          </cell>
        </row>
        <row r="4306">
          <cell r="A4306" t="str">
            <v>WT-ZQ921-K0-4XL</v>
          </cell>
          <cell r="B4306" t="str">
            <v>WT-ZQ921</v>
          </cell>
        </row>
        <row r="4307">
          <cell r="A4307" t="str">
            <v>WT-ZQ921-K0-5XL</v>
          </cell>
          <cell r="B4307" t="str">
            <v>WT-ZQ921</v>
          </cell>
        </row>
        <row r="4308">
          <cell r="A4308" t="str">
            <v>WT-ZQ921-K0-5XL-GM</v>
          </cell>
          <cell r="B4308" t="str">
            <v>WT-ZQ921</v>
          </cell>
        </row>
        <row r="4309">
          <cell r="A4309" t="str">
            <v>WT-ZQ921-K0-L</v>
          </cell>
          <cell r="B4309" t="str">
            <v>WT-ZQ921</v>
          </cell>
        </row>
        <row r="4310">
          <cell r="A4310" t="str">
            <v>WT-ZQ921-K0-XL</v>
          </cell>
          <cell r="B4310" t="str">
            <v>WT-ZQ921</v>
          </cell>
        </row>
        <row r="4311">
          <cell r="A4311" t="str">
            <v>WZ-LY152-A403</v>
          </cell>
          <cell r="B4311" t="str">
            <v>WZ-LY152</v>
          </cell>
        </row>
        <row r="4312">
          <cell r="A4312" t="str">
            <v>WZ-LY152-A404</v>
          </cell>
          <cell r="B4312" t="str">
            <v>WZ-LY152</v>
          </cell>
        </row>
        <row r="4313">
          <cell r="A4313" t="str">
            <v>WZ-LY152-A405</v>
          </cell>
          <cell r="B4313" t="str">
            <v>WZ-LY152</v>
          </cell>
        </row>
        <row r="4314">
          <cell r="A4314" t="str">
            <v>WZ-LY152-A407</v>
          </cell>
          <cell r="B4314" t="str">
            <v>WZ-LY152</v>
          </cell>
        </row>
        <row r="4315">
          <cell r="A4315" t="str">
            <v>WZ-LY152-DMNW</v>
          </cell>
          <cell r="B4315" t="str">
            <v>WZ-LY152</v>
          </cell>
        </row>
        <row r="4316">
          <cell r="A4316" t="str">
            <v>WZ-LY152-LA264</v>
          </cell>
          <cell r="B4316" t="str">
            <v>WZ-LY152</v>
          </cell>
        </row>
        <row r="4317">
          <cell r="A4317" t="str">
            <v>WZ-LY153-B069</v>
          </cell>
          <cell r="B4317" t="str">
            <v>WZ-LY153</v>
          </cell>
        </row>
        <row r="4318">
          <cell r="A4318" t="str">
            <v>WZ-LY153-B313</v>
          </cell>
          <cell r="B4318" t="str">
            <v>WZ-LY153</v>
          </cell>
        </row>
        <row r="4319">
          <cell r="A4319" t="str">
            <v>XQ-IUYL260-BK-M</v>
          </cell>
          <cell r="B4319" t="str">
            <v>XQ-IUYL260</v>
          </cell>
        </row>
        <row r="4320">
          <cell r="A4320" t="str">
            <v>XQ-IUYL260-BK-S</v>
          </cell>
          <cell r="B4320" t="str">
            <v>XQ-IUYL260</v>
          </cell>
        </row>
        <row r="4321">
          <cell r="A4321" t="str">
            <v>XQ-IUYL260-BL1-M</v>
          </cell>
          <cell r="B4321" t="str">
            <v>XQ-IUYL260</v>
          </cell>
        </row>
        <row r="4322">
          <cell r="A4322" t="str">
            <v>XQ-IUYL260-BL1-S</v>
          </cell>
          <cell r="B4322" t="str">
            <v>XQ-IUYL260</v>
          </cell>
        </row>
        <row r="4323">
          <cell r="A4323" t="str">
            <v>XQ-IUYL260-BL2-M</v>
          </cell>
          <cell r="B4323" t="str">
            <v>XQ-IUYL260</v>
          </cell>
        </row>
        <row r="4324">
          <cell r="A4324" t="str">
            <v>XQ-IUYL260-BL2-S</v>
          </cell>
          <cell r="B4324" t="str">
            <v>XQ-IUYL260</v>
          </cell>
        </row>
        <row r="4325">
          <cell r="A4325" t="str">
            <v>XQ-IUYL260-GN-M</v>
          </cell>
          <cell r="B4325" t="str">
            <v>XQ-IUYL260</v>
          </cell>
        </row>
        <row r="4326">
          <cell r="A4326" t="str">
            <v>XQ-IUYL260-GN-S</v>
          </cell>
          <cell r="B4326" t="str">
            <v>XQ-IUYL260</v>
          </cell>
        </row>
        <row r="4327">
          <cell r="A4327" t="str">
            <v>XQ-IUYL260-PK-M</v>
          </cell>
          <cell r="B4327" t="str">
            <v>XQ-IUYL260</v>
          </cell>
        </row>
        <row r="4328">
          <cell r="A4328" t="str">
            <v>XQ-IUYL260-PK-S</v>
          </cell>
          <cell r="B4328" t="str">
            <v>XQ-IUYL260</v>
          </cell>
        </row>
        <row r="4329">
          <cell r="A4329" t="str">
            <v>XQ-IUYL260-PP-M</v>
          </cell>
          <cell r="B4329" t="str">
            <v>XQ-IUYL260</v>
          </cell>
        </row>
        <row r="4330">
          <cell r="A4330" t="str">
            <v>XQ-IUYL260-PP-S</v>
          </cell>
          <cell r="B4330" t="str">
            <v>XQ-IUYL260</v>
          </cell>
        </row>
        <row r="4331">
          <cell r="A4331" t="str">
            <v>XQ-IUYL260-RD-M</v>
          </cell>
          <cell r="B4331" t="str">
            <v>XQ-IUYL260</v>
          </cell>
        </row>
        <row r="4332">
          <cell r="A4332" t="str">
            <v>XQ-IUYL260-RD-S</v>
          </cell>
          <cell r="B4332" t="str">
            <v>XQ-IUYL260</v>
          </cell>
        </row>
        <row r="4333">
          <cell r="A4333" t="str">
            <v>XQ-IUYL260-YL-M</v>
          </cell>
          <cell r="B4333" t="str">
            <v>XQ-IUYL260</v>
          </cell>
        </row>
        <row r="4334">
          <cell r="A4334" t="str">
            <v>XQ-IUYL260-YL-S</v>
          </cell>
          <cell r="B4334" t="str">
            <v>XQ-IUYL260</v>
          </cell>
        </row>
        <row r="4335">
          <cell r="A4335" t="str">
            <v>XQ-IUYL320-BK-L</v>
          </cell>
          <cell r="B4335" t="str">
            <v>XQ-IUYL320</v>
          </cell>
        </row>
        <row r="4336">
          <cell r="A4336" t="str">
            <v>XQ-IUYL320-BK-M</v>
          </cell>
          <cell r="B4336" t="str">
            <v>XQ-IUYL320</v>
          </cell>
        </row>
        <row r="4337">
          <cell r="A4337" t="str">
            <v>XQ-IUYL320-BK-S</v>
          </cell>
          <cell r="B4337" t="str">
            <v>XQ-IUYL320</v>
          </cell>
        </row>
        <row r="4338">
          <cell r="A4338" t="str">
            <v>XQ-IUYL320-BK-XL</v>
          </cell>
          <cell r="B4338" t="str">
            <v>XQ-IUYL320</v>
          </cell>
        </row>
        <row r="4339">
          <cell r="A4339" t="str">
            <v>XQ-IUYL320-BL-L</v>
          </cell>
          <cell r="B4339" t="str">
            <v>XQ-IUYL320</v>
          </cell>
        </row>
        <row r="4340">
          <cell r="A4340" t="str">
            <v>XQ-IUYL320-BL-M</v>
          </cell>
          <cell r="B4340" t="str">
            <v>XQ-IUYL320</v>
          </cell>
        </row>
        <row r="4341">
          <cell r="A4341" t="str">
            <v>XQ-IUYL320-BL-S</v>
          </cell>
          <cell r="B4341" t="str">
            <v>XQ-IUYL320</v>
          </cell>
        </row>
        <row r="4342">
          <cell r="A4342" t="str">
            <v>XQ-IUYL320-BL-XL</v>
          </cell>
          <cell r="B4342" t="str">
            <v>XQ-IUYL320</v>
          </cell>
        </row>
        <row r="4343">
          <cell r="A4343" t="str">
            <v>XQ-IUYL320-CF-L</v>
          </cell>
          <cell r="B4343" t="str">
            <v>XQ-IUYL320</v>
          </cell>
        </row>
        <row r="4344">
          <cell r="A4344" t="str">
            <v>XQ-IUYL320-CF-M</v>
          </cell>
          <cell r="B4344" t="str">
            <v>XQ-IUYL320</v>
          </cell>
        </row>
        <row r="4345">
          <cell r="A4345" t="str">
            <v>XQ-IUYL320-CF-S</v>
          </cell>
          <cell r="B4345" t="str">
            <v>XQ-IUYL320</v>
          </cell>
        </row>
        <row r="4346">
          <cell r="A4346" t="str">
            <v>XQ-IUYL320-CF-XL</v>
          </cell>
          <cell r="B4346" t="str">
            <v>XQ-IUYL320</v>
          </cell>
        </row>
        <row r="4347">
          <cell r="A4347" t="str">
            <v>XQ-IUYL320-DB-L</v>
          </cell>
          <cell r="B4347" t="str">
            <v>XQ-IUYL320</v>
          </cell>
        </row>
        <row r="4348">
          <cell r="A4348" t="str">
            <v>XQ-IUYL320-DB-M</v>
          </cell>
          <cell r="B4348" t="str">
            <v>XQ-IUYL320</v>
          </cell>
        </row>
        <row r="4349">
          <cell r="A4349" t="str">
            <v>XQ-IUYL320-DB-S</v>
          </cell>
          <cell r="B4349" t="str">
            <v>XQ-IUYL320</v>
          </cell>
        </row>
        <row r="4350">
          <cell r="A4350" t="str">
            <v>XQ-IUYL320-DB-XL</v>
          </cell>
          <cell r="B4350" t="str">
            <v>XQ-IUYL320</v>
          </cell>
        </row>
        <row r="4351">
          <cell r="A4351" t="str">
            <v>XQ-IUYL320-GN-L</v>
          </cell>
          <cell r="B4351" t="str">
            <v>XQ-IUYL320</v>
          </cell>
        </row>
        <row r="4352">
          <cell r="A4352" t="str">
            <v>XQ-IUYL320-GN-M</v>
          </cell>
          <cell r="B4352" t="str">
            <v>XQ-IUYL320</v>
          </cell>
        </row>
        <row r="4353">
          <cell r="A4353" t="str">
            <v>XQ-IUYL320-GN-S</v>
          </cell>
          <cell r="B4353" t="str">
            <v>XQ-IUYL320</v>
          </cell>
        </row>
        <row r="4354">
          <cell r="A4354" t="str">
            <v>XQ-IUYL320-GN-XL</v>
          </cell>
          <cell r="B4354" t="str">
            <v>XQ-IUYL320</v>
          </cell>
        </row>
        <row r="4355">
          <cell r="A4355" t="str">
            <v>XQ-IUYL320-PK-L</v>
          </cell>
          <cell r="B4355" t="str">
            <v>XQ-IUYL320</v>
          </cell>
        </row>
        <row r="4356">
          <cell r="A4356" t="str">
            <v>XQ-IUYL320-PK-M</v>
          </cell>
          <cell r="B4356" t="str">
            <v>XQ-IUYL320</v>
          </cell>
        </row>
        <row r="4357">
          <cell r="A4357" t="str">
            <v>XQ-IUYL320-PK-S</v>
          </cell>
          <cell r="B4357" t="str">
            <v>XQ-IUYL320</v>
          </cell>
        </row>
        <row r="4358">
          <cell r="A4358" t="str">
            <v>XQ-IUYL320-PK-XL</v>
          </cell>
          <cell r="B4358" t="str">
            <v>XQ-IUYL320</v>
          </cell>
        </row>
        <row r="4359">
          <cell r="A4359" t="str">
            <v>XQ-IUYL320-PP-L</v>
          </cell>
          <cell r="B4359" t="str">
            <v>XQ-IUYL320</v>
          </cell>
        </row>
        <row r="4360">
          <cell r="A4360" t="str">
            <v>XQ-IUYL320-PP-M</v>
          </cell>
          <cell r="B4360" t="str">
            <v>XQ-IUYL320</v>
          </cell>
        </row>
        <row r="4361">
          <cell r="A4361" t="str">
            <v>XQ-IUYL320-PP-S</v>
          </cell>
          <cell r="B4361" t="str">
            <v>XQ-IUYL320</v>
          </cell>
        </row>
        <row r="4362">
          <cell r="A4362" t="str">
            <v>XQ-IUYL320-PP-XL</v>
          </cell>
          <cell r="B4362" t="str">
            <v>XQ-IUYL320</v>
          </cell>
        </row>
        <row r="4363">
          <cell r="A4363" t="str">
            <v>XQ-IUYL320-RD-L</v>
          </cell>
          <cell r="B4363" t="str">
            <v>XQ-IUYL320</v>
          </cell>
        </row>
        <row r="4364">
          <cell r="A4364" t="str">
            <v>XQ-IUYL320-RD-M</v>
          </cell>
          <cell r="B4364" t="str">
            <v>XQ-IUYL320</v>
          </cell>
        </row>
        <row r="4365">
          <cell r="A4365" t="str">
            <v>XQ-IUYL320-RD-S</v>
          </cell>
          <cell r="B4365" t="str">
            <v>XQ-IUYL320</v>
          </cell>
        </row>
        <row r="4366">
          <cell r="A4366" t="str">
            <v>XQ-IUYL320-RD-XL</v>
          </cell>
          <cell r="B4366" t="str">
            <v>XQ-IUYL320</v>
          </cell>
        </row>
        <row r="4367">
          <cell r="A4367" t="str">
            <v>XQ-IUYL320-YL-L</v>
          </cell>
          <cell r="B4367" t="str">
            <v>XQ-IUYL320</v>
          </cell>
        </row>
        <row r="4368">
          <cell r="A4368" t="str">
            <v>XQ-IUYL320-YL-M</v>
          </cell>
          <cell r="B4368" t="str">
            <v>XQ-IUYL320</v>
          </cell>
        </row>
        <row r="4369">
          <cell r="A4369" t="str">
            <v>XQ-IUYL320-YL-S</v>
          </cell>
          <cell r="B4369" t="str">
            <v>XQ-IUYL320</v>
          </cell>
        </row>
        <row r="4370">
          <cell r="A4370" t="str">
            <v>XQ-IUYL320-YL-XL</v>
          </cell>
          <cell r="B4370" t="str">
            <v>XQ-IUYL320</v>
          </cell>
        </row>
        <row r="4371">
          <cell r="A4371" t="str">
            <v>XYZ-082-G0-L</v>
          </cell>
          <cell r="B4371" t="str">
            <v>XYZ-082</v>
          </cell>
        </row>
        <row r="4372">
          <cell r="A4372" t="str">
            <v>XYZ-082-G0-M</v>
          </cell>
          <cell r="B4372" t="str">
            <v>XYZ-082</v>
          </cell>
        </row>
        <row r="4373">
          <cell r="A4373" t="str">
            <v>XYZ-082-G0-S</v>
          </cell>
          <cell r="B4373" t="str">
            <v>XYZ-082</v>
          </cell>
        </row>
        <row r="4374">
          <cell r="A4374" t="str">
            <v>XYZ-082-G0-XL</v>
          </cell>
          <cell r="B4374" t="str">
            <v>XYZ-082</v>
          </cell>
        </row>
        <row r="4375">
          <cell r="A4375" t="str">
            <v>XYZ-082-G0-XXL</v>
          </cell>
          <cell r="B4375" t="str">
            <v>XYZ-082</v>
          </cell>
        </row>
        <row r="4376">
          <cell r="A4376" t="str">
            <v>XYZ-082-K0-L</v>
          </cell>
          <cell r="B4376" t="str">
            <v>XYZ-082</v>
          </cell>
        </row>
        <row r="4377">
          <cell r="A4377" t="str">
            <v>XYZ-082-K0-M</v>
          </cell>
          <cell r="B4377" t="str">
            <v>XYZ-082</v>
          </cell>
        </row>
        <row r="4378">
          <cell r="A4378" t="str">
            <v>XYZ-082-K0-S</v>
          </cell>
          <cell r="B4378" t="str">
            <v>XYZ-082</v>
          </cell>
        </row>
        <row r="4379">
          <cell r="A4379" t="str">
            <v>XYZ-082-K0-XL</v>
          </cell>
          <cell r="B4379" t="str">
            <v>XYZ-082</v>
          </cell>
        </row>
        <row r="4380">
          <cell r="A4380" t="str">
            <v>XYZ-082-K0-XXL</v>
          </cell>
          <cell r="B4380" t="str">
            <v>XYZ-082</v>
          </cell>
        </row>
        <row r="4381">
          <cell r="A4381" t="str">
            <v>XYZ-082-R0-L</v>
          </cell>
          <cell r="B4381" t="str">
            <v>XYZ-082</v>
          </cell>
        </row>
        <row r="4382">
          <cell r="A4382" t="str">
            <v>XYZ-082-R0-M</v>
          </cell>
          <cell r="B4382" t="str">
            <v>XYZ-082</v>
          </cell>
        </row>
        <row r="4383">
          <cell r="A4383" t="str">
            <v>XYZ-082-R0-S</v>
          </cell>
          <cell r="B4383" t="str">
            <v>XYZ-082</v>
          </cell>
        </row>
        <row r="4384">
          <cell r="A4384" t="str">
            <v>XYZ-082-R0-XL</v>
          </cell>
          <cell r="B4384" t="str">
            <v>XYZ-082</v>
          </cell>
        </row>
        <row r="4385">
          <cell r="A4385" t="str">
            <v>XYZ-082-R0-XXL</v>
          </cell>
          <cell r="B4385" t="str">
            <v>XYZ-082</v>
          </cell>
        </row>
        <row r="4386">
          <cell r="A4386" t="str">
            <v>XYZ-085-G912-L</v>
          </cell>
          <cell r="B4386" t="str">
            <v>XYZ-085</v>
          </cell>
        </row>
        <row r="4387">
          <cell r="A4387" t="str">
            <v>XYZ-085-G912-M</v>
          </cell>
          <cell r="B4387" t="str">
            <v>XYZ-085</v>
          </cell>
        </row>
        <row r="4388">
          <cell r="A4388" t="str">
            <v>XYZ-085-G912-S</v>
          </cell>
          <cell r="B4388" t="str">
            <v>XYZ-085</v>
          </cell>
        </row>
        <row r="4389">
          <cell r="A4389" t="str">
            <v>XYZ-085-G912-XL</v>
          </cell>
          <cell r="B4389" t="str">
            <v>XYZ-085</v>
          </cell>
        </row>
        <row r="4390">
          <cell r="A4390" t="str">
            <v>XYZ-085-G912-XXL</v>
          </cell>
          <cell r="B4390" t="str">
            <v>XYZ-085</v>
          </cell>
        </row>
        <row r="4391">
          <cell r="A4391" t="str">
            <v>XYZ-085-LB916-L</v>
          </cell>
          <cell r="B4391" t="str">
            <v>XYZ-085</v>
          </cell>
        </row>
        <row r="4392">
          <cell r="A4392" t="str">
            <v>XYZ-085-LB916-M</v>
          </cell>
          <cell r="B4392" t="str">
            <v>XYZ-085</v>
          </cell>
        </row>
        <row r="4393">
          <cell r="A4393" t="str">
            <v>XYZ-085-LB916-S</v>
          </cell>
          <cell r="B4393" t="str">
            <v>XYZ-085</v>
          </cell>
        </row>
        <row r="4394">
          <cell r="A4394" t="str">
            <v>XYZ-085-LB916-XL</v>
          </cell>
          <cell r="B4394" t="str">
            <v>XYZ-085</v>
          </cell>
        </row>
        <row r="4395">
          <cell r="A4395" t="str">
            <v>XYZ-085-LB916-XXL</v>
          </cell>
          <cell r="B4395" t="str">
            <v>XYZ-085</v>
          </cell>
        </row>
        <row r="4396">
          <cell r="A4396" t="str">
            <v>XYZ-085-LG907-L</v>
          </cell>
          <cell r="B4396" t="str">
            <v>XYZ-085</v>
          </cell>
        </row>
        <row r="4397">
          <cell r="A4397" t="str">
            <v>XYZ-085-LG907-M</v>
          </cell>
          <cell r="B4397" t="str">
            <v>XYZ-085</v>
          </cell>
        </row>
        <row r="4398">
          <cell r="A4398" t="str">
            <v>XYZ-085-LG907-S</v>
          </cell>
          <cell r="B4398" t="str">
            <v>XYZ-085</v>
          </cell>
        </row>
        <row r="4399">
          <cell r="A4399" t="str">
            <v>XYZ-085-LG907-XL</v>
          </cell>
          <cell r="B4399" t="str">
            <v>XYZ-085</v>
          </cell>
        </row>
        <row r="4400">
          <cell r="A4400" t="str">
            <v>XYZ-085-LG907-XXL</v>
          </cell>
          <cell r="B4400" t="str">
            <v>XYZ-085</v>
          </cell>
        </row>
        <row r="4401">
          <cell r="A4401" t="str">
            <v>XYZ-085-PI908-L</v>
          </cell>
          <cell r="B4401" t="str">
            <v>XYZ-085</v>
          </cell>
        </row>
        <row r="4402">
          <cell r="A4402" t="str">
            <v>XYZ-085-PI908-M</v>
          </cell>
          <cell r="B4402" t="str">
            <v>XYZ-085</v>
          </cell>
        </row>
        <row r="4403">
          <cell r="A4403" t="str">
            <v>XYZ-085-PI908-S</v>
          </cell>
          <cell r="B4403" t="str">
            <v>XYZ-085</v>
          </cell>
        </row>
        <row r="4404">
          <cell r="A4404" t="str">
            <v>XYZ-085-PI908-XL</v>
          </cell>
          <cell r="B4404" t="str">
            <v>XYZ-085</v>
          </cell>
        </row>
        <row r="4405">
          <cell r="A4405" t="str">
            <v>XYZ-085-PI908-XS</v>
          </cell>
          <cell r="B4405" t="str">
            <v>XYZ-085</v>
          </cell>
        </row>
        <row r="4406">
          <cell r="A4406" t="str">
            <v>XYZ-085-PI908-XXL</v>
          </cell>
          <cell r="B4406" t="str">
            <v>XYZ-085</v>
          </cell>
        </row>
        <row r="4407">
          <cell r="A4407" t="str">
            <v>XYZ-085-R901-L</v>
          </cell>
          <cell r="B4407" t="str">
            <v>XYZ-085</v>
          </cell>
        </row>
        <row r="4408">
          <cell r="A4408" t="str">
            <v>XYZ-085-R901-M</v>
          </cell>
          <cell r="B4408" t="str">
            <v>XYZ-085</v>
          </cell>
        </row>
        <row r="4409">
          <cell r="A4409" t="str">
            <v>XYZ-085-R901-S</v>
          </cell>
          <cell r="B4409" t="str">
            <v>XYZ-085</v>
          </cell>
        </row>
        <row r="4410">
          <cell r="A4410" t="str">
            <v>XYZ-085-R901-XL</v>
          </cell>
          <cell r="B4410" t="str">
            <v>XYZ-085</v>
          </cell>
        </row>
        <row r="4411">
          <cell r="A4411" t="str">
            <v>XYZ-085-R901-XXL</v>
          </cell>
          <cell r="B4411" t="str">
            <v>XYZ-085</v>
          </cell>
        </row>
        <row r="4412">
          <cell r="A4412" t="str">
            <v>XYZ-085-Sa911-L</v>
          </cell>
          <cell r="B4412" t="str">
            <v>XYZ-085</v>
          </cell>
        </row>
        <row r="4413">
          <cell r="A4413" t="str">
            <v>XYZ-085-Sa911-M</v>
          </cell>
          <cell r="B4413" t="str">
            <v>XYZ-085</v>
          </cell>
        </row>
        <row r="4414">
          <cell r="A4414" t="str">
            <v>XYZ-085-Sa911-S</v>
          </cell>
          <cell r="B4414" t="str">
            <v>XYZ-085</v>
          </cell>
        </row>
        <row r="4415">
          <cell r="A4415" t="str">
            <v>XYZ-085-Sa911-XL</v>
          </cell>
          <cell r="B4415" t="str">
            <v>XYZ-085</v>
          </cell>
        </row>
        <row r="4416">
          <cell r="A4416" t="str">
            <v>XYZ-085-Sa911-XXL</v>
          </cell>
          <cell r="B4416" t="str">
            <v>XYZ-085</v>
          </cell>
        </row>
        <row r="4417">
          <cell r="A4417" t="str">
            <v>XYZ-085-W902-L</v>
          </cell>
          <cell r="B4417" t="str">
            <v>XYZ-085</v>
          </cell>
        </row>
        <row r="4418">
          <cell r="A4418" t="str">
            <v>XYZ-085-W902-M</v>
          </cell>
          <cell r="B4418" t="str">
            <v>XYZ-085</v>
          </cell>
        </row>
        <row r="4419">
          <cell r="A4419" t="str">
            <v>XYZ-085-W902-S</v>
          </cell>
          <cell r="B4419" t="str">
            <v>XYZ-085</v>
          </cell>
        </row>
        <row r="4420">
          <cell r="A4420" t="str">
            <v>XYZ-085-W902-XL</v>
          </cell>
          <cell r="B4420" t="str">
            <v>XYZ-085</v>
          </cell>
        </row>
        <row r="4421">
          <cell r="A4421" t="str">
            <v>XYZ-085-W902-XXL</v>
          </cell>
          <cell r="B4421" t="str">
            <v>XYZ-085</v>
          </cell>
        </row>
        <row r="4422">
          <cell r="A4422" t="str">
            <v>XYZ-085-WR917-L</v>
          </cell>
          <cell r="B4422" t="str">
            <v>XYZ-085</v>
          </cell>
        </row>
        <row r="4423">
          <cell r="A4423" t="str">
            <v>XYZ-085-WR917-M</v>
          </cell>
          <cell r="B4423" t="str">
            <v>XYZ-085</v>
          </cell>
        </row>
        <row r="4424">
          <cell r="A4424" t="str">
            <v>XYZ-085-WR917-S</v>
          </cell>
          <cell r="B4424" t="str">
            <v>XYZ-085</v>
          </cell>
        </row>
        <row r="4425">
          <cell r="A4425" t="str">
            <v>XYZ-085-WR917-XL</v>
          </cell>
          <cell r="B4425" t="str">
            <v>XYZ-085</v>
          </cell>
        </row>
        <row r="4426">
          <cell r="A4426" t="str">
            <v>XYZ-085-WR917-XS</v>
          </cell>
          <cell r="B4426" t="str">
            <v>XYZ-085</v>
          </cell>
        </row>
        <row r="4427">
          <cell r="A4427" t="str">
            <v>XYZ-085-WR917-XXL</v>
          </cell>
          <cell r="B4427" t="str">
            <v>XYZ-085</v>
          </cell>
        </row>
        <row r="4428">
          <cell r="A4428" t="str">
            <v>XYZ-085-ZL918-L</v>
          </cell>
          <cell r="B4428" t="str">
            <v>XYZ-085</v>
          </cell>
        </row>
        <row r="4429">
          <cell r="A4429" t="str">
            <v>XYZ-085-ZL918-M</v>
          </cell>
          <cell r="B4429" t="str">
            <v>XYZ-085</v>
          </cell>
        </row>
        <row r="4430">
          <cell r="A4430" t="str">
            <v>XYZ-085-ZL918-S</v>
          </cell>
          <cell r="B4430" t="str">
            <v>XYZ-085</v>
          </cell>
        </row>
        <row r="4431">
          <cell r="A4431" t="str">
            <v>XYZ-085-ZL918-XL</v>
          </cell>
          <cell r="B4431" t="str">
            <v>XYZ-085</v>
          </cell>
        </row>
        <row r="4432">
          <cell r="A4432" t="str">
            <v>XYZ-085-ZL918-XS</v>
          </cell>
          <cell r="B4432" t="str">
            <v>XYZ-085</v>
          </cell>
        </row>
        <row r="4433">
          <cell r="A4433" t="str">
            <v>XYZ-085-ZL918-XXL</v>
          </cell>
          <cell r="B4433" t="str">
            <v>XYZ-085</v>
          </cell>
        </row>
        <row r="4434">
          <cell r="A4434" t="str">
            <v>XYZ-166-B28-1-L</v>
          </cell>
          <cell r="B4434" t="str">
            <v>XYZ-166</v>
          </cell>
        </row>
        <row r="4435">
          <cell r="A4435" t="str">
            <v>XYZ-166-B28-1-M</v>
          </cell>
          <cell r="B4435" t="str">
            <v>XYZ-166</v>
          </cell>
        </row>
        <row r="4436">
          <cell r="A4436" t="str">
            <v>XYZ-166-B28-1-S</v>
          </cell>
          <cell r="B4436" t="str">
            <v>XYZ-166</v>
          </cell>
        </row>
        <row r="4437">
          <cell r="A4437" t="str">
            <v>XYZ-166-B28-1-XL</v>
          </cell>
          <cell r="B4437" t="str">
            <v>XYZ-166</v>
          </cell>
        </row>
        <row r="4438">
          <cell r="A4438" t="str">
            <v>XYZ-166-B28-1-XXL</v>
          </cell>
          <cell r="B4438" t="str">
            <v>XYZ-166</v>
          </cell>
        </row>
        <row r="4439">
          <cell r="A4439" t="str">
            <v>XYZ-166-B28-3-L</v>
          </cell>
          <cell r="B4439" t="str">
            <v>XYZ-166</v>
          </cell>
        </row>
        <row r="4440">
          <cell r="A4440" t="str">
            <v>XYZ-166-B28-3-M</v>
          </cell>
          <cell r="B4440" t="str">
            <v>XYZ-166</v>
          </cell>
        </row>
        <row r="4441">
          <cell r="A4441" t="str">
            <v>XYZ-166-B28-3-S</v>
          </cell>
          <cell r="B4441" t="str">
            <v>XYZ-166</v>
          </cell>
        </row>
        <row r="4442">
          <cell r="A4442" t="str">
            <v>XYZ-166-B28-3-XL</v>
          </cell>
          <cell r="B4442" t="str">
            <v>XYZ-166</v>
          </cell>
        </row>
        <row r="4443">
          <cell r="A4443" t="str">
            <v>XYZ-166-B28-3-XXL</v>
          </cell>
          <cell r="B4443" t="str">
            <v>XYZ-166</v>
          </cell>
        </row>
        <row r="4444">
          <cell r="A4444" t="str">
            <v>XYZ-166-B28-4-L</v>
          </cell>
          <cell r="B4444" t="str">
            <v>XYZ-166</v>
          </cell>
        </row>
        <row r="4445">
          <cell r="A4445" t="str">
            <v>XYZ-166-B28-4-M</v>
          </cell>
          <cell r="B4445" t="str">
            <v>XYZ-166</v>
          </cell>
        </row>
        <row r="4446">
          <cell r="A4446" t="str">
            <v>XYZ-166-B28-4-S</v>
          </cell>
          <cell r="B4446" t="str">
            <v>XYZ-166</v>
          </cell>
        </row>
        <row r="4447">
          <cell r="A4447" t="str">
            <v>XYZ-166-B28-4-XL</v>
          </cell>
          <cell r="B4447" t="str">
            <v>XYZ-166</v>
          </cell>
        </row>
        <row r="4448">
          <cell r="A4448" t="str">
            <v>XYZ-166-B28-4-XXL</v>
          </cell>
          <cell r="B4448" t="str">
            <v>XYZ-166</v>
          </cell>
        </row>
        <row r="4449">
          <cell r="A4449" t="str">
            <v>XYZ-166-B28-5-L</v>
          </cell>
          <cell r="B4449" t="str">
            <v>XYZ-166</v>
          </cell>
        </row>
        <row r="4450">
          <cell r="A4450" t="str">
            <v>XYZ-166-B28-5-M</v>
          </cell>
          <cell r="B4450" t="str">
            <v>XYZ-166</v>
          </cell>
        </row>
        <row r="4451">
          <cell r="A4451" t="str">
            <v>XYZ-166-B28-5-S</v>
          </cell>
          <cell r="B4451" t="str">
            <v>XYZ-166</v>
          </cell>
        </row>
        <row r="4452">
          <cell r="A4452" t="str">
            <v>XYZ-166-B28-5-XL</v>
          </cell>
          <cell r="B4452" t="str">
            <v>XYZ-166</v>
          </cell>
        </row>
        <row r="4453">
          <cell r="A4453" t="str">
            <v>XYZ-166-B28-5-XXL</v>
          </cell>
          <cell r="B4453" t="str">
            <v>XYZ-166</v>
          </cell>
        </row>
        <row r="4454">
          <cell r="A4454" t="str">
            <v>XYZ-166-K33-1-L</v>
          </cell>
          <cell r="B4454" t="str">
            <v>XYZ-166</v>
          </cell>
        </row>
        <row r="4455">
          <cell r="A4455" t="str">
            <v>XYZ-166-K33-1-M</v>
          </cell>
          <cell r="B4455" t="str">
            <v>XYZ-166</v>
          </cell>
        </row>
        <row r="4456">
          <cell r="A4456" t="str">
            <v>XYZ-166-K33-1-S</v>
          </cell>
          <cell r="B4456" t="str">
            <v>XYZ-166</v>
          </cell>
        </row>
        <row r="4457">
          <cell r="A4457" t="str">
            <v>XYZ-166-K33-1-XL</v>
          </cell>
          <cell r="B4457" t="str">
            <v>XYZ-166</v>
          </cell>
        </row>
        <row r="4458">
          <cell r="A4458" t="str">
            <v>XYZ-166-K33-1-XXL</v>
          </cell>
          <cell r="B4458" t="str">
            <v>XYZ-166</v>
          </cell>
        </row>
        <row r="4459">
          <cell r="A4459" t="str">
            <v>XYZ-166-K33-2-L</v>
          </cell>
          <cell r="B4459" t="str">
            <v>XYZ-166</v>
          </cell>
        </row>
        <row r="4460">
          <cell r="A4460" t="str">
            <v>XYZ-166-K33-2-M</v>
          </cell>
          <cell r="B4460" t="str">
            <v>XYZ-166</v>
          </cell>
        </row>
        <row r="4461">
          <cell r="A4461" t="str">
            <v>XYZ-166-K33-2-S</v>
          </cell>
          <cell r="B4461" t="str">
            <v>XYZ-166</v>
          </cell>
        </row>
        <row r="4462">
          <cell r="A4462" t="str">
            <v>XYZ-166-K33-2-XL</v>
          </cell>
          <cell r="B4462" t="str">
            <v>XYZ-166</v>
          </cell>
        </row>
        <row r="4463">
          <cell r="A4463" t="str">
            <v>XYZ-166-K33-2-XXL</v>
          </cell>
          <cell r="B4463" t="str">
            <v>XYZ-166</v>
          </cell>
        </row>
        <row r="4464">
          <cell r="A4464" t="str">
            <v>XYZ-166-K33-4-L</v>
          </cell>
          <cell r="B4464" t="str">
            <v>XYZ-166</v>
          </cell>
        </row>
        <row r="4465">
          <cell r="A4465" t="str">
            <v>XYZ-166-K33-4-M</v>
          </cell>
          <cell r="B4465" t="str">
            <v>XYZ-166</v>
          </cell>
        </row>
        <row r="4466">
          <cell r="A4466" t="str">
            <v>XYZ-166-K33-4-S</v>
          </cell>
          <cell r="B4466" t="str">
            <v>XYZ-166</v>
          </cell>
        </row>
        <row r="4467">
          <cell r="A4467" t="str">
            <v>XYZ-166-K33-4-XL</v>
          </cell>
          <cell r="B4467" t="str">
            <v>XYZ-166</v>
          </cell>
        </row>
        <row r="4468">
          <cell r="A4468" t="str">
            <v>XYZ-166-K33-4-XXL</v>
          </cell>
          <cell r="B4468" t="str">
            <v>XYZ-166</v>
          </cell>
        </row>
        <row r="4469">
          <cell r="A4469" t="str">
            <v>XYZ-166-K73-1-L</v>
          </cell>
          <cell r="B4469" t="str">
            <v>XYZ-166</v>
          </cell>
        </row>
        <row r="4470">
          <cell r="A4470" t="str">
            <v>XYZ-166-K73-1-M</v>
          </cell>
          <cell r="B4470" t="str">
            <v>XYZ-166</v>
          </cell>
        </row>
        <row r="4471">
          <cell r="A4471" t="str">
            <v>XYZ-166-K73-1-S</v>
          </cell>
          <cell r="B4471" t="str">
            <v>XYZ-166</v>
          </cell>
        </row>
        <row r="4472">
          <cell r="A4472" t="str">
            <v>XYZ-166-K73-1-XL</v>
          </cell>
          <cell r="B4472" t="str">
            <v>XYZ-166</v>
          </cell>
        </row>
        <row r="4473">
          <cell r="A4473" t="str">
            <v>XYZ-166-K73-1-XXL</v>
          </cell>
          <cell r="B4473" t="str">
            <v>XYZ-166</v>
          </cell>
        </row>
        <row r="4474">
          <cell r="A4474" t="str">
            <v>XYZ-166-K73-2-L</v>
          </cell>
          <cell r="B4474" t="str">
            <v>XYZ-166</v>
          </cell>
        </row>
        <row r="4475">
          <cell r="A4475" t="str">
            <v>XYZ-166-K73-2-M</v>
          </cell>
          <cell r="B4475" t="str">
            <v>XYZ-166</v>
          </cell>
        </row>
        <row r="4476">
          <cell r="A4476" t="str">
            <v>XYZ-166-K73-2-S</v>
          </cell>
          <cell r="B4476" t="str">
            <v>XYZ-166</v>
          </cell>
        </row>
        <row r="4477">
          <cell r="A4477" t="str">
            <v>XYZ-166-K73-2-XL</v>
          </cell>
          <cell r="B4477" t="str">
            <v>XYZ-166</v>
          </cell>
        </row>
        <row r="4478">
          <cell r="A4478" t="str">
            <v>XYZ-166-K73-2-XXL</v>
          </cell>
          <cell r="B4478" t="str">
            <v>XYZ-166</v>
          </cell>
        </row>
        <row r="4479">
          <cell r="A4479" t="str">
            <v>XYZ-170-G912-L</v>
          </cell>
          <cell r="B4479" t="str">
            <v>XYZ-170</v>
          </cell>
        </row>
        <row r="4480">
          <cell r="A4480" t="str">
            <v>XYZ-170-G912-M</v>
          </cell>
          <cell r="B4480" t="str">
            <v>XYZ-170</v>
          </cell>
        </row>
        <row r="4481">
          <cell r="A4481" t="str">
            <v>XYZ-170-G912-S</v>
          </cell>
          <cell r="B4481" t="str">
            <v>XYZ-170</v>
          </cell>
        </row>
        <row r="4482">
          <cell r="A4482" t="str">
            <v>XYZ-170-G912-XL</v>
          </cell>
          <cell r="B4482" t="str">
            <v>XYZ-170</v>
          </cell>
        </row>
        <row r="4483">
          <cell r="A4483" t="str">
            <v>XYZ-170-G912-XXL</v>
          </cell>
          <cell r="B4483" t="str">
            <v>XYZ-170</v>
          </cell>
        </row>
        <row r="4484">
          <cell r="A4484" t="str">
            <v>XYZ-170-LB916-L</v>
          </cell>
          <cell r="B4484" t="str">
            <v>XYZ-170</v>
          </cell>
        </row>
        <row r="4485">
          <cell r="A4485" t="str">
            <v>XYZ-170-LB916-M</v>
          </cell>
          <cell r="B4485" t="str">
            <v>XYZ-170</v>
          </cell>
        </row>
        <row r="4486">
          <cell r="A4486" t="str">
            <v>XYZ-170-LB916-S</v>
          </cell>
          <cell r="B4486" t="str">
            <v>XYZ-170</v>
          </cell>
        </row>
        <row r="4487">
          <cell r="A4487" t="str">
            <v>XYZ-170-LB916-XL</v>
          </cell>
          <cell r="B4487" t="str">
            <v>XYZ-170</v>
          </cell>
        </row>
        <row r="4488">
          <cell r="A4488" t="str">
            <v>XYZ-170-LB916-XXL</v>
          </cell>
          <cell r="B4488" t="str">
            <v>XYZ-170</v>
          </cell>
        </row>
        <row r="4489">
          <cell r="A4489" t="str">
            <v>XYZ-170-LG907-L</v>
          </cell>
          <cell r="B4489" t="str">
            <v>XYZ-170</v>
          </cell>
        </row>
        <row r="4490">
          <cell r="A4490" t="str">
            <v>XYZ-170-LG907-M</v>
          </cell>
          <cell r="B4490" t="str">
            <v>XYZ-170</v>
          </cell>
        </row>
        <row r="4491">
          <cell r="A4491" t="str">
            <v>XYZ-170-LG907-S</v>
          </cell>
          <cell r="B4491" t="str">
            <v>XYZ-170</v>
          </cell>
        </row>
        <row r="4492">
          <cell r="A4492" t="str">
            <v>XYZ-170-LG907-XL</v>
          </cell>
          <cell r="B4492" t="str">
            <v>XYZ-170</v>
          </cell>
        </row>
        <row r="4493">
          <cell r="A4493" t="str">
            <v>XYZ-170-LG907-XXL</v>
          </cell>
          <cell r="B4493" t="str">
            <v>XYZ-170</v>
          </cell>
        </row>
        <row r="4494">
          <cell r="A4494" t="str">
            <v>XYZ-170-PI908-L</v>
          </cell>
          <cell r="B4494" t="str">
            <v>XYZ-170</v>
          </cell>
        </row>
        <row r="4495">
          <cell r="A4495" t="str">
            <v>XYZ-170-PI908-M</v>
          </cell>
          <cell r="B4495" t="str">
            <v>XYZ-170</v>
          </cell>
        </row>
        <row r="4496">
          <cell r="A4496" t="str">
            <v>XYZ-170-PI908-S</v>
          </cell>
          <cell r="B4496" t="str">
            <v>XYZ-170</v>
          </cell>
        </row>
        <row r="4497">
          <cell r="A4497" t="str">
            <v>XYZ-170-PI908-XL</v>
          </cell>
          <cell r="B4497" t="str">
            <v>XYZ-170</v>
          </cell>
        </row>
        <row r="4498">
          <cell r="A4498" t="str">
            <v>XYZ-170-PI908-XXL</v>
          </cell>
          <cell r="B4498" t="str">
            <v>XYZ-170</v>
          </cell>
        </row>
        <row r="4499">
          <cell r="A4499" t="str">
            <v>XYZ-170-Sa911-L</v>
          </cell>
          <cell r="B4499" t="str">
            <v>XYZ-170</v>
          </cell>
        </row>
        <row r="4500">
          <cell r="A4500" t="str">
            <v>XYZ-170-Sa911-M</v>
          </cell>
          <cell r="B4500" t="str">
            <v>XYZ-170</v>
          </cell>
        </row>
        <row r="4501">
          <cell r="A4501" t="str">
            <v>XYZ-170-Sa911-S</v>
          </cell>
          <cell r="B4501" t="str">
            <v>XYZ-170</v>
          </cell>
        </row>
        <row r="4502">
          <cell r="A4502" t="str">
            <v>XYZ-170-Sa911-XL</v>
          </cell>
          <cell r="B4502" t="str">
            <v>XYZ-170</v>
          </cell>
        </row>
        <row r="4503">
          <cell r="A4503" t="str">
            <v>XYZ-170-Sa911-XXL</v>
          </cell>
          <cell r="B4503" t="str">
            <v>XYZ-170</v>
          </cell>
        </row>
        <row r="4504">
          <cell r="A4504" t="str">
            <v>XYZ-170-W902-L</v>
          </cell>
          <cell r="B4504" t="str">
            <v>XYZ-170</v>
          </cell>
        </row>
        <row r="4505">
          <cell r="A4505" t="str">
            <v>XYZ-170-W902-M</v>
          </cell>
          <cell r="B4505" t="str">
            <v>XYZ-170</v>
          </cell>
        </row>
        <row r="4506">
          <cell r="A4506" t="str">
            <v>XYZ-170-W902-S</v>
          </cell>
          <cell r="B4506" t="str">
            <v>XYZ-170</v>
          </cell>
        </row>
        <row r="4507">
          <cell r="A4507" t="str">
            <v>XYZ-170-W902-XL</v>
          </cell>
          <cell r="B4507" t="str">
            <v>XYZ-170</v>
          </cell>
        </row>
        <row r="4508">
          <cell r="A4508" t="str">
            <v>XYZ-170-W902-XXL</v>
          </cell>
          <cell r="B4508" t="str">
            <v>XYZ-170</v>
          </cell>
        </row>
        <row r="4509">
          <cell r="A4509" t="str">
            <v>XYZ-170-WR917-L</v>
          </cell>
          <cell r="B4509" t="str">
            <v>XYZ-170</v>
          </cell>
        </row>
        <row r="4510">
          <cell r="A4510" t="str">
            <v>XYZ-170-WR917-M</v>
          </cell>
          <cell r="B4510" t="str">
            <v>XYZ-170</v>
          </cell>
        </row>
        <row r="4511">
          <cell r="A4511" t="str">
            <v>XYZ-170-WR917-S</v>
          </cell>
          <cell r="B4511" t="str">
            <v>XYZ-170</v>
          </cell>
        </row>
        <row r="4512">
          <cell r="A4512" t="str">
            <v>XYZ-170-WR917-XL</v>
          </cell>
          <cell r="B4512" t="str">
            <v>XYZ-170</v>
          </cell>
        </row>
        <row r="4513">
          <cell r="A4513" t="str">
            <v>XYZ-170-WR917-XXL</v>
          </cell>
          <cell r="B4513" t="str">
            <v>XYZ-170</v>
          </cell>
        </row>
        <row r="4514">
          <cell r="A4514" t="str">
            <v>XYZ-170-ZL918-L</v>
          </cell>
          <cell r="B4514" t="str">
            <v>XYZ-170</v>
          </cell>
        </row>
        <row r="4515">
          <cell r="A4515" t="str">
            <v>XYZ-170-ZL918-M</v>
          </cell>
          <cell r="B4515" t="str">
            <v>XYZ-170</v>
          </cell>
        </row>
        <row r="4516">
          <cell r="A4516" t="str">
            <v>XYZ-170-ZL918-S</v>
          </cell>
          <cell r="B4516" t="str">
            <v>XYZ-170</v>
          </cell>
        </row>
        <row r="4517">
          <cell r="A4517" t="str">
            <v>XYZ-170-ZL918-XL</v>
          </cell>
          <cell r="B4517" t="str">
            <v>XYZ-170</v>
          </cell>
        </row>
        <row r="4518">
          <cell r="A4518" t="str">
            <v>XYZ-170-ZL918-XXL</v>
          </cell>
          <cell r="B4518" t="str">
            <v>XYZ-170</v>
          </cell>
        </row>
        <row r="4519">
          <cell r="A4519" t="str">
            <v>XYZ-171-G912-L</v>
          </cell>
          <cell r="B4519" t="str">
            <v>XYZ-171</v>
          </cell>
        </row>
        <row r="4520">
          <cell r="A4520" t="str">
            <v>XYZ-171-G912-M</v>
          </cell>
          <cell r="B4520" t="str">
            <v>XYZ-171</v>
          </cell>
        </row>
        <row r="4521">
          <cell r="A4521" t="str">
            <v>XYZ-171-G912-S</v>
          </cell>
          <cell r="B4521" t="str">
            <v>XYZ-171</v>
          </cell>
        </row>
        <row r="4522">
          <cell r="A4522" t="str">
            <v>XYZ-171-G912-XL</v>
          </cell>
          <cell r="B4522" t="str">
            <v>XYZ-171</v>
          </cell>
        </row>
        <row r="4523">
          <cell r="A4523" t="str">
            <v>XYZ-171-G912-XXL</v>
          </cell>
          <cell r="B4523" t="str">
            <v>XYZ-171</v>
          </cell>
        </row>
        <row r="4524">
          <cell r="A4524" t="str">
            <v>XYZ-171-LB916-L</v>
          </cell>
          <cell r="B4524" t="str">
            <v>XYZ-171</v>
          </cell>
        </row>
        <row r="4525">
          <cell r="A4525" t="str">
            <v>XYZ-171-LB916-M</v>
          </cell>
          <cell r="B4525" t="str">
            <v>XYZ-171</v>
          </cell>
        </row>
        <row r="4526">
          <cell r="A4526" t="str">
            <v>XYZ-171-LB916-S</v>
          </cell>
          <cell r="B4526" t="str">
            <v>XYZ-171</v>
          </cell>
        </row>
        <row r="4527">
          <cell r="A4527" t="str">
            <v>XYZ-171-LB916-XL</v>
          </cell>
          <cell r="B4527" t="str">
            <v>XYZ-171</v>
          </cell>
        </row>
        <row r="4528">
          <cell r="A4528" t="str">
            <v>XYZ-171-LB916-XXL</v>
          </cell>
          <cell r="B4528" t="str">
            <v>XYZ-171</v>
          </cell>
        </row>
        <row r="4529">
          <cell r="A4529" t="str">
            <v>XYZ-171-LG907-L</v>
          </cell>
          <cell r="B4529" t="str">
            <v>XYZ-171</v>
          </cell>
        </row>
        <row r="4530">
          <cell r="A4530" t="str">
            <v>XYZ-171-LG907-M</v>
          </cell>
          <cell r="B4530" t="str">
            <v>XYZ-171</v>
          </cell>
        </row>
        <row r="4531">
          <cell r="A4531" t="str">
            <v>XYZ-171-LG907-S</v>
          </cell>
          <cell r="B4531" t="str">
            <v>XYZ-171</v>
          </cell>
        </row>
        <row r="4532">
          <cell r="A4532" t="str">
            <v>XYZ-171-LG907-XL</v>
          </cell>
          <cell r="B4532" t="str">
            <v>XYZ-171</v>
          </cell>
        </row>
        <row r="4533">
          <cell r="A4533" t="str">
            <v>XYZ-171-LG907-XXL</v>
          </cell>
          <cell r="B4533" t="str">
            <v>XYZ-171</v>
          </cell>
        </row>
        <row r="4534">
          <cell r="A4534" t="str">
            <v>XYZ-171-PI908-L</v>
          </cell>
          <cell r="B4534" t="str">
            <v>XYZ-171</v>
          </cell>
        </row>
        <row r="4535">
          <cell r="A4535" t="str">
            <v>XYZ-171-PI908-M</v>
          </cell>
          <cell r="B4535" t="str">
            <v>XYZ-171</v>
          </cell>
        </row>
        <row r="4536">
          <cell r="A4536" t="str">
            <v>XYZ-171-PI908-S</v>
          </cell>
          <cell r="B4536" t="str">
            <v>XYZ-171</v>
          </cell>
        </row>
        <row r="4537">
          <cell r="A4537" t="str">
            <v>XYZ-171-PI908-XL</v>
          </cell>
          <cell r="B4537" t="str">
            <v>XYZ-171</v>
          </cell>
        </row>
        <row r="4538">
          <cell r="A4538" t="str">
            <v>XYZ-171-PI908-XXL</v>
          </cell>
          <cell r="B4538" t="str">
            <v>XYZ-171</v>
          </cell>
        </row>
        <row r="4539">
          <cell r="A4539" t="str">
            <v>XYZ-171-Sa911-L</v>
          </cell>
          <cell r="B4539" t="str">
            <v>XYZ-171</v>
          </cell>
        </row>
        <row r="4540">
          <cell r="A4540" t="str">
            <v>XYZ-171-Sa911-M</v>
          </cell>
          <cell r="B4540" t="str">
            <v>XYZ-171</v>
          </cell>
        </row>
        <row r="4541">
          <cell r="A4541" t="str">
            <v>XYZ-171-Sa911-S</v>
          </cell>
          <cell r="B4541" t="str">
            <v>XYZ-171</v>
          </cell>
        </row>
        <row r="4542">
          <cell r="A4542" t="str">
            <v>XYZ-171-Sa911-XL</v>
          </cell>
          <cell r="B4542" t="str">
            <v>XYZ-171</v>
          </cell>
        </row>
        <row r="4543">
          <cell r="A4543" t="str">
            <v>XYZ-171-Sa911-XXL</v>
          </cell>
          <cell r="B4543" t="str">
            <v>XYZ-171</v>
          </cell>
        </row>
        <row r="4544">
          <cell r="A4544" t="str">
            <v>XYZ-171-W902-L</v>
          </cell>
          <cell r="B4544" t="str">
            <v>XYZ-171</v>
          </cell>
        </row>
        <row r="4545">
          <cell r="A4545" t="str">
            <v>XYZ-171-W902-M</v>
          </cell>
          <cell r="B4545" t="str">
            <v>XYZ-171</v>
          </cell>
        </row>
        <row r="4546">
          <cell r="A4546" t="str">
            <v>XYZ-171-W902-S</v>
          </cell>
          <cell r="B4546" t="str">
            <v>XYZ-171</v>
          </cell>
        </row>
        <row r="4547">
          <cell r="A4547" t="str">
            <v>XYZ-171-W902-XL</v>
          </cell>
          <cell r="B4547" t="str">
            <v>XYZ-171</v>
          </cell>
        </row>
        <row r="4548">
          <cell r="A4548" t="str">
            <v>XYZ-171-W902-XXL</v>
          </cell>
          <cell r="B4548" t="str">
            <v>XYZ-171</v>
          </cell>
        </row>
        <row r="4549">
          <cell r="A4549" t="str">
            <v>XYZ-171-WR917-L</v>
          </cell>
          <cell r="B4549" t="str">
            <v>XYZ-171</v>
          </cell>
        </row>
        <row r="4550">
          <cell r="A4550" t="str">
            <v>XYZ-171-WR917-M</v>
          </cell>
          <cell r="B4550" t="str">
            <v>XYZ-171</v>
          </cell>
        </row>
        <row r="4551">
          <cell r="A4551" t="str">
            <v>XYZ-171-WR917-S</v>
          </cell>
          <cell r="B4551" t="str">
            <v>XYZ-171</v>
          </cell>
        </row>
        <row r="4552">
          <cell r="A4552" t="str">
            <v>XYZ-171-WR917-XL</v>
          </cell>
          <cell r="B4552" t="str">
            <v>XYZ-171</v>
          </cell>
        </row>
        <row r="4553">
          <cell r="A4553" t="str">
            <v>XYZ-171-WR917-XXL</v>
          </cell>
          <cell r="B4553" t="str">
            <v>XYZ-171</v>
          </cell>
        </row>
        <row r="4554">
          <cell r="A4554" t="str">
            <v>XYZ-171-ZL918-L</v>
          </cell>
          <cell r="B4554" t="str">
            <v>XYZ-171</v>
          </cell>
        </row>
        <row r="4555">
          <cell r="A4555" t="str">
            <v>XYZ-171-ZL918-M</v>
          </cell>
          <cell r="B4555" t="str">
            <v>XYZ-171</v>
          </cell>
        </row>
        <row r="4556">
          <cell r="A4556" t="str">
            <v>XYZ-171-ZL918-S</v>
          </cell>
          <cell r="B4556" t="str">
            <v>XYZ-171</v>
          </cell>
        </row>
        <row r="4557">
          <cell r="A4557" t="str">
            <v>XYZ-171-ZL918-XL</v>
          </cell>
          <cell r="B4557" t="str">
            <v>XYZ-171</v>
          </cell>
        </row>
        <row r="4558">
          <cell r="A4558" t="str">
            <v>XYZ-171-ZL918-XXL</v>
          </cell>
          <cell r="B4558" t="str">
            <v>XYZ-171</v>
          </cell>
        </row>
        <row r="4559">
          <cell r="A4559" t="str">
            <v>XYZ-181-G912-L</v>
          </cell>
          <cell r="B4559" t="str">
            <v>XYZ-181</v>
          </cell>
        </row>
        <row r="4560">
          <cell r="A4560" t="str">
            <v>XYZ-181-G912-M</v>
          </cell>
          <cell r="B4560" t="str">
            <v>XYZ-181</v>
          </cell>
        </row>
        <row r="4561">
          <cell r="A4561" t="str">
            <v>XYZ-181-G912-S</v>
          </cell>
          <cell r="B4561" t="str">
            <v>XYZ-181</v>
          </cell>
        </row>
        <row r="4562">
          <cell r="A4562" t="str">
            <v>XYZ-181-G912-XL</v>
          </cell>
          <cell r="B4562" t="str">
            <v>XYZ-181</v>
          </cell>
        </row>
        <row r="4563">
          <cell r="A4563" t="str">
            <v>XYZ-181-G912-XXL</v>
          </cell>
          <cell r="B4563" t="str">
            <v>XYZ-181</v>
          </cell>
        </row>
        <row r="4564">
          <cell r="A4564" t="str">
            <v>XYZ-181-LB916-L</v>
          </cell>
          <cell r="B4564" t="str">
            <v>XYZ-181</v>
          </cell>
        </row>
        <row r="4565">
          <cell r="A4565" t="str">
            <v>XYZ-181-LB916-M</v>
          </cell>
          <cell r="B4565" t="str">
            <v>XYZ-181</v>
          </cell>
        </row>
        <row r="4566">
          <cell r="A4566" t="str">
            <v>XYZ-181-LB916-S</v>
          </cell>
          <cell r="B4566" t="str">
            <v>XYZ-181</v>
          </cell>
        </row>
        <row r="4567">
          <cell r="A4567" t="str">
            <v>XYZ-181-LB916-XL</v>
          </cell>
          <cell r="B4567" t="str">
            <v>XYZ-181</v>
          </cell>
        </row>
        <row r="4568">
          <cell r="A4568" t="str">
            <v>XYZ-181-LB916-XXL</v>
          </cell>
          <cell r="B4568" t="str">
            <v>XYZ-181</v>
          </cell>
        </row>
        <row r="4569">
          <cell r="A4569" t="str">
            <v>XYZ-181-LG907-L</v>
          </cell>
          <cell r="B4569" t="str">
            <v>XYZ-181</v>
          </cell>
        </row>
        <row r="4570">
          <cell r="A4570" t="str">
            <v>XYZ-181-LG907-M</v>
          </cell>
          <cell r="B4570" t="str">
            <v>XYZ-181</v>
          </cell>
        </row>
        <row r="4571">
          <cell r="A4571" t="str">
            <v>XYZ-181-LG907-S</v>
          </cell>
          <cell r="B4571" t="str">
            <v>XYZ-181</v>
          </cell>
        </row>
        <row r="4572">
          <cell r="A4572" t="str">
            <v>XYZ-181-LG907-XL</v>
          </cell>
          <cell r="B4572" t="str">
            <v>XYZ-181</v>
          </cell>
        </row>
        <row r="4573">
          <cell r="A4573" t="str">
            <v>XYZ-181-LG907-XXL</v>
          </cell>
          <cell r="B4573" t="str">
            <v>XYZ-181</v>
          </cell>
        </row>
        <row r="4574">
          <cell r="A4574" t="str">
            <v>XYZ-181-PI908-L</v>
          </cell>
          <cell r="B4574" t="str">
            <v>XYZ-181</v>
          </cell>
        </row>
        <row r="4575">
          <cell r="A4575" t="str">
            <v>XYZ-181-PI908-M</v>
          </cell>
          <cell r="B4575" t="str">
            <v>XYZ-181</v>
          </cell>
        </row>
        <row r="4576">
          <cell r="A4576" t="str">
            <v>XYZ-181-PI908-S</v>
          </cell>
          <cell r="B4576" t="str">
            <v>XYZ-181</v>
          </cell>
        </row>
        <row r="4577">
          <cell r="A4577" t="str">
            <v>XYZ-181-PI908-XL</v>
          </cell>
          <cell r="B4577" t="str">
            <v>XYZ-181</v>
          </cell>
        </row>
        <row r="4578">
          <cell r="A4578" t="str">
            <v>XYZ-181-PI908-XXL</v>
          </cell>
          <cell r="B4578" t="str">
            <v>XYZ-181</v>
          </cell>
        </row>
        <row r="4579">
          <cell r="A4579" t="str">
            <v>XYZ-181-Sa911-L</v>
          </cell>
          <cell r="B4579" t="str">
            <v>XYZ-181</v>
          </cell>
        </row>
        <row r="4580">
          <cell r="A4580" t="str">
            <v>XYZ-181-Sa911-M</v>
          </cell>
          <cell r="B4580" t="str">
            <v>XYZ-181</v>
          </cell>
        </row>
        <row r="4581">
          <cell r="A4581" t="str">
            <v>XYZ-181-Sa911-S</v>
          </cell>
          <cell r="B4581" t="str">
            <v>XYZ-181</v>
          </cell>
        </row>
        <row r="4582">
          <cell r="A4582" t="str">
            <v>XYZ-181-Sa911-XL</v>
          </cell>
          <cell r="B4582" t="str">
            <v>XYZ-181</v>
          </cell>
        </row>
        <row r="4583">
          <cell r="A4583" t="str">
            <v>XYZ-181-Sa911-XXL</v>
          </cell>
          <cell r="B4583" t="str">
            <v>XYZ-181</v>
          </cell>
        </row>
        <row r="4584">
          <cell r="A4584" t="str">
            <v>XYZ-181-W902-L</v>
          </cell>
          <cell r="B4584" t="str">
            <v>XYZ-181</v>
          </cell>
        </row>
        <row r="4585">
          <cell r="A4585" t="str">
            <v>XYZ-181-W902-M</v>
          </cell>
          <cell r="B4585" t="str">
            <v>XYZ-181</v>
          </cell>
        </row>
        <row r="4586">
          <cell r="A4586" t="str">
            <v>XYZ-181-W902-S</v>
          </cell>
          <cell r="B4586" t="str">
            <v>XYZ-181</v>
          </cell>
        </row>
        <row r="4587">
          <cell r="A4587" t="str">
            <v>XYZ-181-W902-XL</v>
          </cell>
          <cell r="B4587" t="str">
            <v>XYZ-181</v>
          </cell>
        </row>
        <row r="4588">
          <cell r="A4588" t="str">
            <v>XYZ-181-W902-XXL</v>
          </cell>
          <cell r="B4588" t="str">
            <v>XYZ-181</v>
          </cell>
        </row>
        <row r="4589">
          <cell r="A4589" t="str">
            <v>XYZ-181-WR917-L</v>
          </cell>
          <cell r="B4589" t="str">
            <v>XYZ-181</v>
          </cell>
        </row>
        <row r="4590">
          <cell r="A4590" t="str">
            <v>XYZ-181-WR917-M</v>
          </cell>
          <cell r="B4590" t="str">
            <v>XYZ-181</v>
          </cell>
        </row>
        <row r="4591">
          <cell r="A4591" t="str">
            <v>XYZ-181-WR917-S</v>
          </cell>
          <cell r="B4591" t="str">
            <v>XYZ-181</v>
          </cell>
        </row>
        <row r="4592">
          <cell r="A4592" t="str">
            <v>XYZ-181-WR917-XL</v>
          </cell>
          <cell r="B4592" t="str">
            <v>XYZ-181</v>
          </cell>
        </row>
        <row r="4593">
          <cell r="A4593" t="str">
            <v>XYZ-181-WR917-XXL</v>
          </cell>
          <cell r="B4593" t="str">
            <v>XYZ-181</v>
          </cell>
        </row>
        <row r="4594">
          <cell r="A4594" t="str">
            <v>XYZ-181-ZL918-L</v>
          </cell>
          <cell r="B4594" t="str">
            <v>XYZ-181</v>
          </cell>
        </row>
        <row r="4595">
          <cell r="A4595" t="str">
            <v>XYZ-181-ZL918-M</v>
          </cell>
          <cell r="B4595" t="str">
            <v>XYZ-181</v>
          </cell>
        </row>
        <row r="4596">
          <cell r="A4596" t="str">
            <v>XYZ-181-ZL918-S</v>
          </cell>
          <cell r="B4596" t="str">
            <v>XYZ-181</v>
          </cell>
        </row>
        <row r="4597">
          <cell r="A4597" t="str">
            <v>XYZ-181-ZL918-XL</v>
          </cell>
          <cell r="B4597" t="str">
            <v>XYZ-181</v>
          </cell>
        </row>
        <row r="4598">
          <cell r="A4598" t="str">
            <v>XYZ-181-ZL918-XXL</v>
          </cell>
          <cell r="B4598" t="str">
            <v>XYZ-181</v>
          </cell>
        </row>
        <row r="4599">
          <cell r="A4599" t="str">
            <v>XZ-001E0L</v>
          </cell>
          <cell r="B4599" t="str">
            <v>XZ-001</v>
          </cell>
        </row>
        <row r="4600">
          <cell r="A4600" t="str">
            <v>XZ-001E0M</v>
          </cell>
          <cell r="B4600" t="str">
            <v>XZ-001</v>
          </cell>
        </row>
        <row r="4601">
          <cell r="A4601" t="str">
            <v>XZ-001E0S</v>
          </cell>
          <cell r="B4601" t="str">
            <v>XZ-001</v>
          </cell>
        </row>
        <row r="4602">
          <cell r="A4602" t="str">
            <v>XZ-001W0L</v>
          </cell>
          <cell r="B4602" t="str">
            <v>XZ-001</v>
          </cell>
        </row>
        <row r="4603">
          <cell r="A4603" t="str">
            <v>XZ-001W0M</v>
          </cell>
          <cell r="B4603" t="str">
            <v>XZ-001</v>
          </cell>
        </row>
        <row r="4604">
          <cell r="A4604" t="str">
            <v>XZ-001W0S</v>
          </cell>
          <cell r="B4604" t="str">
            <v>XZ-001</v>
          </cell>
        </row>
        <row r="4605">
          <cell r="A4605" t="str">
            <v>XZ-001ZEL</v>
          </cell>
          <cell r="B4605" t="str">
            <v>XZ-001</v>
          </cell>
        </row>
        <row r="4606">
          <cell r="A4606" t="str">
            <v>XZ-001ZEM</v>
          </cell>
          <cell r="B4606" t="str">
            <v>XZ-001</v>
          </cell>
        </row>
        <row r="4607">
          <cell r="A4607" t="str">
            <v>XZ-001ZES</v>
          </cell>
          <cell r="B4607" t="str">
            <v>XZ-001</v>
          </cell>
        </row>
        <row r="4608">
          <cell r="A4608" t="str">
            <v>XZ-002CWL</v>
          </cell>
          <cell r="B4608" t="str">
            <v>XZ-002</v>
          </cell>
        </row>
        <row r="4609">
          <cell r="A4609" t="str">
            <v>XZ-002CWM</v>
          </cell>
          <cell r="B4609" t="str">
            <v>XZ-002</v>
          </cell>
        </row>
        <row r="4610">
          <cell r="A4610" t="str">
            <v>XZ-002CWS</v>
          </cell>
          <cell r="B4610" t="str">
            <v>XZ-002</v>
          </cell>
        </row>
        <row r="4611">
          <cell r="A4611" t="str">
            <v>XZ-002GRL</v>
          </cell>
          <cell r="B4611" t="str">
            <v>XZ-002</v>
          </cell>
        </row>
        <row r="4612">
          <cell r="A4612" t="str">
            <v>XZ-002GRM</v>
          </cell>
          <cell r="B4612" t="str">
            <v>XZ-002</v>
          </cell>
        </row>
        <row r="4613">
          <cell r="A4613" t="str">
            <v>XZ-002GRS</v>
          </cell>
          <cell r="B4613" t="str">
            <v>XZ-002</v>
          </cell>
        </row>
        <row r="4614">
          <cell r="A4614" t="str">
            <v>XZ-002W0L</v>
          </cell>
          <cell r="B4614" t="str">
            <v>XZ-002</v>
          </cell>
        </row>
        <row r="4615">
          <cell r="A4615" t="str">
            <v>XZ-003B0L</v>
          </cell>
          <cell r="B4615" t="str">
            <v>XZ-003</v>
          </cell>
        </row>
        <row r="4616">
          <cell r="A4616" t="str">
            <v>XZ-003B0M</v>
          </cell>
          <cell r="B4616" t="str">
            <v>XZ-003</v>
          </cell>
        </row>
        <row r="4617">
          <cell r="A4617" t="str">
            <v>XZ-003B0S</v>
          </cell>
          <cell r="B4617" t="str">
            <v>XZ-003</v>
          </cell>
        </row>
        <row r="4618">
          <cell r="A4618" t="str">
            <v>XZ-003R0L</v>
          </cell>
          <cell r="B4618" t="str">
            <v>XZ-003</v>
          </cell>
        </row>
        <row r="4619">
          <cell r="A4619" t="str">
            <v>XZ-003R0M</v>
          </cell>
          <cell r="B4619" t="str">
            <v>XZ-003</v>
          </cell>
        </row>
        <row r="4620">
          <cell r="A4620" t="str">
            <v>XZ-003R0S</v>
          </cell>
          <cell r="B4620" t="str">
            <v>XZ-003</v>
          </cell>
        </row>
        <row r="4621">
          <cell r="A4621" t="str">
            <v>XZ-004B0M</v>
          </cell>
          <cell r="B4621" t="str">
            <v>XZ-004</v>
          </cell>
        </row>
        <row r="4622">
          <cell r="A4622" t="str">
            <v>XZ-004B0S</v>
          </cell>
          <cell r="B4622" t="str">
            <v>XZ-004</v>
          </cell>
        </row>
        <row r="4623">
          <cell r="A4623" t="str">
            <v>XZ-004BOL</v>
          </cell>
          <cell r="B4623" t="str">
            <v>XZ-004</v>
          </cell>
        </row>
        <row r="4624">
          <cell r="A4624" t="str">
            <v>XZ-004G0L</v>
          </cell>
          <cell r="B4624" t="str">
            <v>XZ-004</v>
          </cell>
        </row>
        <row r="4625">
          <cell r="A4625" t="str">
            <v>XZ-004G0M</v>
          </cell>
          <cell r="B4625" t="str">
            <v>XZ-004</v>
          </cell>
        </row>
        <row r="4626">
          <cell r="A4626" t="str">
            <v>XZ-004G0S</v>
          </cell>
          <cell r="B4626" t="str">
            <v>XZ-004</v>
          </cell>
        </row>
        <row r="4627">
          <cell r="A4627" t="str">
            <v>XZ-004K0L</v>
          </cell>
          <cell r="B4627" t="str">
            <v>XZ-004</v>
          </cell>
        </row>
        <row r="4628">
          <cell r="A4628" t="str">
            <v>XZ-004K0M</v>
          </cell>
          <cell r="B4628" t="str">
            <v>XZ-004</v>
          </cell>
        </row>
        <row r="4629">
          <cell r="A4629" t="str">
            <v>XZ-004K0S</v>
          </cell>
          <cell r="B4629" t="str">
            <v>XZ-004</v>
          </cell>
        </row>
        <row r="4630">
          <cell r="A4630" t="str">
            <v>XZ-004R0L</v>
          </cell>
          <cell r="B4630" t="str">
            <v>XZ-004</v>
          </cell>
        </row>
        <row r="4631">
          <cell r="A4631" t="str">
            <v>XZ-004R0M</v>
          </cell>
          <cell r="B4631" t="str">
            <v>XZ-004</v>
          </cell>
        </row>
        <row r="4632">
          <cell r="A4632" t="str">
            <v>XZ-004R0S</v>
          </cell>
          <cell r="B4632" t="str">
            <v>XZ-004</v>
          </cell>
        </row>
        <row r="4633">
          <cell r="A4633" t="str">
            <v>XZ-004SLL</v>
          </cell>
          <cell r="B4633" t="str">
            <v>XZ-004</v>
          </cell>
        </row>
        <row r="4634">
          <cell r="A4634" t="str">
            <v>XZ-004SLM</v>
          </cell>
          <cell r="B4634" t="str">
            <v>XZ-004</v>
          </cell>
        </row>
        <row r="4635">
          <cell r="A4635" t="str">
            <v>XZ-004SLS</v>
          </cell>
          <cell r="B4635" t="str">
            <v>XZ-004</v>
          </cell>
        </row>
        <row r="4636">
          <cell r="A4636" t="str">
            <v>XZ-005</v>
          </cell>
          <cell r="B4636" t="str">
            <v>XZ-005</v>
          </cell>
        </row>
        <row r="4637">
          <cell r="A4637" t="str">
            <v>XZ-005GEL</v>
          </cell>
          <cell r="B4637" t="str">
            <v>XZ-005</v>
          </cell>
        </row>
        <row r="4638">
          <cell r="A4638" t="str">
            <v>XZ-005GEM</v>
          </cell>
          <cell r="B4638" t="str">
            <v>XZ-005</v>
          </cell>
        </row>
        <row r="4639">
          <cell r="A4639" t="str">
            <v>XZ-005GES</v>
          </cell>
          <cell r="B4639" t="str">
            <v>XZ-005</v>
          </cell>
        </row>
        <row r="4640">
          <cell r="A4640" t="str">
            <v>XZ-005P0L</v>
          </cell>
          <cell r="B4640" t="str">
            <v>XZ-005</v>
          </cell>
        </row>
        <row r="4641">
          <cell r="A4641" t="str">
            <v>XZ-005P0M</v>
          </cell>
          <cell r="B4641" t="str">
            <v>XZ-005</v>
          </cell>
        </row>
        <row r="4642">
          <cell r="A4642" t="str">
            <v>XZ-005P0S</v>
          </cell>
          <cell r="B4642" t="str">
            <v>XZ-005</v>
          </cell>
        </row>
        <row r="4643">
          <cell r="A4643" t="str">
            <v>XZ-005Y0L</v>
          </cell>
          <cell r="B4643" t="str">
            <v>XZ-005</v>
          </cell>
        </row>
        <row r="4644">
          <cell r="A4644" t="str">
            <v>XZ-005Y0M</v>
          </cell>
          <cell r="B4644" t="str">
            <v>XZ-005</v>
          </cell>
        </row>
        <row r="4645">
          <cell r="A4645" t="str">
            <v>XZ-005Y0S</v>
          </cell>
          <cell r="B4645" t="str">
            <v>XZ-005</v>
          </cell>
        </row>
        <row r="4646">
          <cell r="A4646" t="str">
            <v>XZ-006</v>
          </cell>
          <cell r="B4646" t="str">
            <v>XZ-006</v>
          </cell>
        </row>
        <row r="4647">
          <cell r="A4647" t="str">
            <v>XZ-006B0L</v>
          </cell>
          <cell r="B4647" t="str">
            <v>XZ-006</v>
          </cell>
        </row>
        <row r="4648">
          <cell r="A4648" t="str">
            <v>XZ-006B0M</v>
          </cell>
          <cell r="B4648" t="str">
            <v>XZ-006</v>
          </cell>
        </row>
        <row r="4649">
          <cell r="A4649" t="str">
            <v>XZ-006B0S</v>
          </cell>
          <cell r="B4649" t="str">
            <v>XZ-006</v>
          </cell>
        </row>
        <row r="4650">
          <cell r="A4650" t="str">
            <v>XZ-006GRL</v>
          </cell>
          <cell r="B4650" t="str">
            <v>XZ-006</v>
          </cell>
        </row>
        <row r="4651">
          <cell r="A4651" t="str">
            <v>XZ-006GRM</v>
          </cell>
          <cell r="B4651" t="str">
            <v>XZ-006</v>
          </cell>
        </row>
        <row r="4652">
          <cell r="A4652" t="str">
            <v>XZ-006GRS</v>
          </cell>
          <cell r="B4652" t="str">
            <v>XZ-006</v>
          </cell>
        </row>
        <row r="4653">
          <cell r="A4653" t="str">
            <v>XZ-006R0L</v>
          </cell>
          <cell r="B4653" t="str">
            <v>XZ-006</v>
          </cell>
        </row>
        <row r="4654">
          <cell r="A4654" t="str">
            <v>XZ-006R0M</v>
          </cell>
          <cell r="B4654" t="str">
            <v>XZ-006</v>
          </cell>
        </row>
        <row r="4655">
          <cell r="A4655" t="str">
            <v>XZ-006R0S</v>
          </cell>
          <cell r="B4655" t="str">
            <v>XZ-006</v>
          </cell>
        </row>
        <row r="4656">
          <cell r="A4656" t="str">
            <v>XZ-007</v>
          </cell>
          <cell r="B4656" t="str">
            <v>XZ-007</v>
          </cell>
        </row>
        <row r="4657">
          <cell r="A4657" t="str">
            <v>XZ-007GRL</v>
          </cell>
          <cell r="B4657" t="str">
            <v>XZ-007</v>
          </cell>
        </row>
        <row r="4658">
          <cell r="A4658" t="str">
            <v>XZ-007GRM</v>
          </cell>
          <cell r="B4658" t="str">
            <v>XZ-007</v>
          </cell>
        </row>
        <row r="4659">
          <cell r="A4659" t="str">
            <v>XZ-007GRS</v>
          </cell>
          <cell r="B4659" t="str">
            <v>XZ-007</v>
          </cell>
        </row>
        <row r="4660">
          <cell r="A4660" t="str">
            <v>XZ-007GRXL</v>
          </cell>
          <cell r="B4660" t="str">
            <v>XZ-007</v>
          </cell>
        </row>
        <row r="4661">
          <cell r="A4661" t="str">
            <v>XZ-007W0L</v>
          </cell>
          <cell r="B4661" t="str">
            <v>XZ-007</v>
          </cell>
        </row>
        <row r="4662">
          <cell r="A4662" t="str">
            <v>XZ-007W0M</v>
          </cell>
          <cell r="B4662" t="str">
            <v>XZ-007</v>
          </cell>
        </row>
        <row r="4663">
          <cell r="A4663" t="str">
            <v>XZ-007W0S</v>
          </cell>
          <cell r="B4663" t="str">
            <v>XZ-007</v>
          </cell>
        </row>
        <row r="4664">
          <cell r="A4664" t="str">
            <v>XZ-007W0XL</v>
          </cell>
          <cell r="B4664" t="str">
            <v>XZ-007</v>
          </cell>
        </row>
        <row r="4665">
          <cell r="A4665" t="str">
            <v>XZ-011</v>
          </cell>
          <cell r="B4665" t="str">
            <v>XZ-011</v>
          </cell>
        </row>
        <row r="4666">
          <cell r="A4666" t="str">
            <v>XZ-011CoL</v>
          </cell>
          <cell r="B4666" t="str">
            <v>XZ-011</v>
          </cell>
        </row>
        <row r="4667">
          <cell r="A4667" t="str">
            <v>XZ-011CoXL</v>
          </cell>
          <cell r="B4667" t="str">
            <v>XZ-011</v>
          </cell>
        </row>
        <row r="4668">
          <cell r="A4668" t="str">
            <v>XZ-011R6S</v>
          </cell>
          <cell r="B4668" t="str">
            <v>XZ-011</v>
          </cell>
        </row>
        <row r="4669">
          <cell r="A4669" t="str">
            <v>XZ-013</v>
          </cell>
          <cell r="B4669" t="str">
            <v>XZ-013</v>
          </cell>
        </row>
        <row r="4670">
          <cell r="A4670" t="str">
            <v>XZ-013-Cat-3637</v>
          </cell>
          <cell r="B4670" t="str">
            <v>XZ-013</v>
          </cell>
        </row>
        <row r="4671">
          <cell r="A4671" t="str">
            <v>XZ-013-Cat-3839</v>
          </cell>
          <cell r="B4671" t="str">
            <v>XZ-013</v>
          </cell>
        </row>
        <row r="4672">
          <cell r="A4672" t="str">
            <v>XZ-013-GR1-3637</v>
          </cell>
          <cell r="B4672" t="str">
            <v>XZ-013</v>
          </cell>
        </row>
        <row r="4673">
          <cell r="A4673" t="str">
            <v>XZ-013-GR1-3839</v>
          </cell>
          <cell r="B4673" t="str">
            <v>XZ-013</v>
          </cell>
        </row>
        <row r="4674">
          <cell r="A4674" t="str">
            <v>XZ-013-GR1-4041</v>
          </cell>
          <cell r="B4674" t="str">
            <v>XZ-013</v>
          </cell>
        </row>
        <row r="4675">
          <cell r="A4675" t="str">
            <v>XZ-013-GR1-4243</v>
          </cell>
          <cell r="B4675" t="str">
            <v>XZ-013</v>
          </cell>
        </row>
        <row r="4676">
          <cell r="A4676" t="str">
            <v>XZ-013GR1L</v>
          </cell>
          <cell r="B4676" t="str">
            <v>XZ-013</v>
          </cell>
        </row>
        <row r="4677">
          <cell r="A4677" t="str">
            <v>XZ-013GR1M</v>
          </cell>
          <cell r="B4677" t="str">
            <v>XZ-013</v>
          </cell>
        </row>
        <row r="4678">
          <cell r="A4678" t="str">
            <v>XZ-013GR1S</v>
          </cell>
          <cell r="B4678" t="str">
            <v>XZ-013</v>
          </cell>
        </row>
        <row r="4679">
          <cell r="A4679" t="str">
            <v>XZ-013GR1XL</v>
          </cell>
          <cell r="B4679" t="str">
            <v>XZ-013</v>
          </cell>
        </row>
        <row r="4680">
          <cell r="A4680" t="str">
            <v>XZ-013-GR2-3637</v>
          </cell>
          <cell r="B4680" t="str">
            <v>XZ-013</v>
          </cell>
        </row>
        <row r="4681">
          <cell r="A4681" t="str">
            <v>XZ-013-GR2-3839</v>
          </cell>
          <cell r="B4681" t="str">
            <v>XZ-013</v>
          </cell>
        </row>
        <row r="4682">
          <cell r="A4682" t="str">
            <v>XZ-013-GR2-4041</v>
          </cell>
          <cell r="B4682" t="str">
            <v>XZ-013</v>
          </cell>
        </row>
        <row r="4683">
          <cell r="A4683" t="str">
            <v>XZ-013-GR2-4243</v>
          </cell>
          <cell r="B4683" t="str">
            <v>XZ-013</v>
          </cell>
        </row>
        <row r="4684">
          <cell r="A4684" t="str">
            <v>XZ-013GR2L</v>
          </cell>
          <cell r="B4684" t="str">
            <v>XZ-013</v>
          </cell>
        </row>
        <row r="4685">
          <cell r="A4685" t="str">
            <v>XZ-013GR2M</v>
          </cell>
          <cell r="B4685" t="str">
            <v>XZ-013</v>
          </cell>
        </row>
        <row r="4686">
          <cell r="A4686" t="str">
            <v>XZ-013GR2S</v>
          </cell>
          <cell r="B4686" t="str">
            <v>XZ-013</v>
          </cell>
        </row>
        <row r="4687">
          <cell r="A4687" t="str">
            <v>XZ-013GR2XL</v>
          </cell>
          <cell r="B4687" t="str">
            <v>XZ-013</v>
          </cell>
        </row>
        <row r="4688">
          <cell r="A4688" t="str">
            <v>XZ-013GR3-2XL</v>
          </cell>
          <cell r="B4688" t="str">
            <v>XZ-013</v>
          </cell>
        </row>
        <row r="4689">
          <cell r="A4689" t="str">
            <v>XZ-013-GR3-3536</v>
          </cell>
          <cell r="B4689" t="str">
            <v>XZ-013</v>
          </cell>
        </row>
        <row r="4690">
          <cell r="A4690" t="str">
            <v>XZ-013-GR3-3738</v>
          </cell>
          <cell r="B4690" t="str">
            <v>XZ-013</v>
          </cell>
        </row>
        <row r="4691">
          <cell r="A4691" t="str">
            <v>XZ-013-GR3-3940</v>
          </cell>
          <cell r="B4691" t="str">
            <v>XZ-013</v>
          </cell>
        </row>
        <row r="4692">
          <cell r="A4692" t="str">
            <v>XZ-013-GR3-4142</v>
          </cell>
          <cell r="B4692" t="str">
            <v>XZ-013</v>
          </cell>
        </row>
        <row r="4693">
          <cell r="A4693" t="str">
            <v>XZ-013-GR3-4344</v>
          </cell>
          <cell r="B4693" t="str">
            <v>XZ-013</v>
          </cell>
        </row>
        <row r="4694">
          <cell r="A4694" t="str">
            <v>XZ-013GR3L</v>
          </cell>
          <cell r="B4694" t="str">
            <v>XZ-013</v>
          </cell>
        </row>
        <row r="4695">
          <cell r="A4695" t="str">
            <v>XZ-013GR3M</v>
          </cell>
          <cell r="B4695" t="str">
            <v>XZ-013</v>
          </cell>
        </row>
        <row r="4696">
          <cell r="A4696" t="str">
            <v>XZ-013GR3S</v>
          </cell>
          <cell r="B4696" t="str">
            <v>XZ-013</v>
          </cell>
        </row>
        <row r="4697">
          <cell r="A4697" t="str">
            <v>XZ-013GR3XL</v>
          </cell>
          <cell r="B4697" t="str">
            <v>XZ-013</v>
          </cell>
        </row>
        <row r="4698">
          <cell r="A4698" t="str">
            <v>XZ-013-Owl-3637</v>
          </cell>
          <cell r="B4698" t="str">
            <v>XZ-013</v>
          </cell>
        </row>
        <row r="4699">
          <cell r="A4699" t="str">
            <v>XZ-013-Owl-3839</v>
          </cell>
          <cell r="B4699" t="str">
            <v>XZ-013</v>
          </cell>
        </row>
        <row r="4700">
          <cell r="A4700" t="str">
            <v>XZ-013-PI3-3536</v>
          </cell>
          <cell r="B4700" t="str">
            <v>XZ-013</v>
          </cell>
        </row>
        <row r="4701">
          <cell r="A4701" t="str">
            <v>XZ-013-PI3-3738</v>
          </cell>
          <cell r="B4701" t="str">
            <v>XZ-013</v>
          </cell>
        </row>
        <row r="4702">
          <cell r="A4702" t="str">
            <v>XZ-013-PI3-3940</v>
          </cell>
          <cell r="B4702" t="str">
            <v>XZ-013</v>
          </cell>
        </row>
        <row r="4703">
          <cell r="A4703" t="str">
            <v>XZ-013PI3L</v>
          </cell>
          <cell r="B4703" t="str">
            <v>XZ-013</v>
          </cell>
        </row>
        <row r="4704">
          <cell r="A4704" t="str">
            <v>XZ-013PI3M</v>
          </cell>
          <cell r="B4704" t="str">
            <v>XZ-013</v>
          </cell>
        </row>
        <row r="4705">
          <cell r="A4705" t="str">
            <v>XZ-013PI3S</v>
          </cell>
          <cell r="B4705" t="str">
            <v>XZ-013</v>
          </cell>
        </row>
        <row r="4706">
          <cell r="A4706" t="str">
            <v>XZ-013-WH1-3637</v>
          </cell>
          <cell r="B4706" t="str">
            <v>XZ-013</v>
          </cell>
        </row>
        <row r="4707">
          <cell r="A4707" t="str">
            <v>XZ-013-WH1-3839</v>
          </cell>
          <cell r="B4707" t="str">
            <v>XZ-013</v>
          </cell>
        </row>
        <row r="4708">
          <cell r="A4708" t="str">
            <v>XZ-013WH1M</v>
          </cell>
          <cell r="B4708" t="str">
            <v>XZ-013</v>
          </cell>
        </row>
        <row r="4709">
          <cell r="A4709" t="str">
            <v>XZ-013WH1S</v>
          </cell>
          <cell r="B4709" t="str">
            <v>XZ-013</v>
          </cell>
        </row>
        <row r="4710">
          <cell r="A4710" t="str">
            <v>XZ-013-WH2-3637</v>
          </cell>
          <cell r="B4710" t="str">
            <v>XZ-013</v>
          </cell>
        </row>
        <row r="4711">
          <cell r="A4711" t="str">
            <v>XZ-013-WH2-3839</v>
          </cell>
          <cell r="B4711" t="str">
            <v>XZ-013</v>
          </cell>
        </row>
        <row r="4712">
          <cell r="A4712" t="str">
            <v>XZ-013WH2M</v>
          </cell>
          <cell r="B4712" t="str">
            <v>XZ-013</v>
          </cell>
        </row>
        <row r="4713">
          <cell r="A4713" t="str">
            <v>XZ-013WH2S</v>
          </cell>
          <cell r="B4713" t="str">
            <v>XZ-013</v>
          </cell>
        </row>
        <row r="4714">
          <cell r="A4714" t="str">
            <v>XZ-013-WH3-3536</v>
          </cell>
          <cell r="B4714" t="str">
            <v>XZ-013</v>
          </cell>
        </row>
        <row r="4715">
          <cell r="A4715" t="str">
            <v>XZ-013-WH3-3738</v>
          </cell>
          <cell r="B4715" t="str">
            <v>XZ-013</v>
          </cell>
        </row>
        <row r="4716">
          <cell r="A4716" t="str">
            <v>XZ-013-WH3-3940</v>
          </cell>
          <cell r="B4716" t="str">
            <v>XZ-013</v>
          </cell>
        </row>
        <row r="4717">
          <cell r="A4717" t="str">
            <v>XZ-013WH3L</v>
          </cell>
          <cell r="B4717" t="str">
            <v>XZ-013</v>
          </cell>
        </row>
        <row r="4718">
          <cell r="A4718" t="str">
            <v>XZ-013WH3M</v>
          </cell>
          <cell r="B4718" t="str">
            <v>XZ-013</v>
          </cell>
        </row>
        <row r="4719">
          <cell r="A4719" t="str">
            <v>XZ-013WH3S</v>
          </cell>
          <cell r="B4719" t="str">
            <v>XZ-013</v>
          </cell>
        </row>
        <row r="4720">
          <cell r="A4720" t="str">
            <v>XZ-056</v>
          </cell>
          <cell r="B4720" t="str">
            <v>XZ-056</v>
          </cell>
        </row>
        <row r="4721">
          <cell r="A4721" t="str">
            <v>XZ-056-G0-L</v>
          </cell>
          <cell r="B4721" t="str">
            <v>XZ-056</v>
          </cell>
        </row>
        <row r="4722">
          <cell r="A4722" t="str">
            <v>XZ-056-G0-M</v>
          </cell>
          <cell r="B4722" t="str">
            <v>XZ-056</v>
          </cell>
        </row>
        <row r="4723">
          <cell r="A4723" t="str">
            <v>XZ-056-G0-S</v>
          </cell>
          <cell r="B4723" t="str">
            <v>XZ-056</v>
          </cell>
        </row>
        <row r="4724">
          <cell r="A4724" t="str">
            <v>XZ-056-R3-L</v>
          </cell>
          <cell r="B4724" t="str">
            <v>XZ-056</v>
          </cell>
        </row>
        <row r="4725">
          <cell r="A4725" t="str">
            <v>XZ-056-R3-M</v>
          </cell>
          <cell r="B4725" t="str">
            <v>XZ-056</v>
          </cell>
        </row>
        <row r="4726">
          <cell r="A4726" t="str">
            <v>XZ-056-R3-S</v>
          </cell>
          <cell r="B4726" t="str">
            <v>XZ-056</v>
          </cell>
        </row>
        <row r="4727">
          <cell r="A4727" t="str">
            <v>XZ-056-W0-L</v>
          </cell>
          <cell r="B4727" t="str">
            <v>XZ-056</v>
          </cell>
        </row>
        <row r="4728">
          <cell r="A4728" t="str">
            <v>XZ-056-W0-M</v>
          </cell>
          <cell r="B4728" t="str">
            <v>XZ-056</v>
          </cell>
        </row>
        <row r="4729">
          <cell r="A4729" t="str">
            <v>XZ-056-W0-S</v>
          </cell>
          <cell r="B4729" t="str">
            <v>XZ-056</v>
          </cell>
        </row>
        <row r="4730">
          <cell r="A4730" t="str">
            <v>XZ-2115</v>
          </cell>
          <cell r="B4730" t="str">
            <v>XZ-2115</v>
          </cell>
        </row>
        <row r="4731">
          <cell r="A4731" t="str">
            <v>XZ-2115Gr35</v>
          </cell>
          <cell r="B4731" t="str">
            <v>XZ-2115</v>
          </cell>
        </row>
        <row r="4732">
          <cell r="A4732" t="str">
            <v>XZ-2115Gr36</v>
          </cell>
          <cell r="B4732" t="str">
            <v>XZ-2115</v>
          </cell>
        </row>
        <row r="4733">
          <cell r="A4733" t="str">
            <v>XZ-2115Gr38</v>
          </cell>
          <cell r="B4733" t="str">
            <v>XZ-2115</v>
          </cell>
        </row>
        <row r="4734">
          <cell r="A4734" t="str">
            <v>XZ-2115Li35</v>
          </cell>
          <cell r="B4734" t="str">
            <v>XZ-2115</v>
          </cell>
        </row>
        <row r="4735">
          <cell r="A4735" t="str">
            <v>XZ-2115Li36</v>
          </cell>
          <cell r="B4735" t="str">
            <v>XZ-2115</v>
          </cell>
        </row>
        <row r="4736">
          <cell r="A4736" t="str">
            <v>XZ-2115Li38</v>
          </cell>
          <cell r="B4736" t="str">
            <v>XZ-2115</v>
          </cell>
        </row>
        <row r="4737">
          <cell r="A4737" t="str">
            <v>XZ-2115Pi35</v>
          </cell>
          <cell r="B4737" t="str">
            <v>XZ-2115</v>
          </cell>
        </row>
        <row r="4738">
          <cell r="A4738" t="str">
            <v>XZ-2115Pi37</v>
          </cell>
          <cell r="B4738" t="str">
            <v>XZ-2115</v>
          </cell>
        </row>
        <row r="4739">
          <cell r="A4739" t="str">
            <v>XZ-2115Pi39</v>
          </cell>
          <cell r="B4739" t="str">
            <v>XZ-2115</v>
          </cell>
        </row>
        <row r="4740">
          <cell r="A4740" t="str">
            <v>XZ-2116BR42</v>
          </cell>
          <cell r="B4740" t="str">
            <v>XZ-2115</v>
          </cell>
        </row>
        <row r="4741">
          <cell r="A4741" t="str">
            <v>XZ-2116BR44</v>
          </cell>
          <cell r="B4741" t="str">
            <v>XZ-2115</v>
          </cell>
        </row>
        <row r="4742">
          <cell r="A4742" t="str">
            <v>XZ-2116G042</v>
          </cell>
          <cell r="B4742" t="str">
            <v>XZ-2115</v>
          </cell>
        </row>
        <row r="4743">
          <cell r="A4743" t="str">
            <v>XZ-2116G044</v>
          </cell>
          <cell r="B4743" t="str">
            <v>XZ-2115</v>
          </cell>
        </row>
        <row r="4744">
          <cell r="A4744" t="str">
            <v>XZ-2116Pi38</v>
          </cell>
          <cell r="B4744" t="str">
            <v>XZ-2115</v>
          </cell>
        </row>
        <row r="4745">
          <cell r="A4745" t="str">
            <v>XZ-2116Pi40</v>
          </cell>
          <cell r="B4745" t="str">
            <v>XZ-2115</v>
          </cell>
        </row>
        <row r="4746">
          <cell r="A4746" t="str">
            <v>XZ-2116R038</v>
          </cell>
          <cell r="B4746" t="str">
            <v>XZ-2115</v>
          </cell>
        </row>
        <row r="4747">
          <cell r="A4747" t="str">
            <v>XZ-2116R040</v>
          </cell>
          <cell r="B4747" t="str">
            <v>XZ-2115</v>
          </cell>
        </row>
        <row r="4748">
          <cell r="A4748" t="str">
            <v>XZ-2116Y038</v>
          </cell>
          <cell r="B4748" t="str">
            <v>XZ-2115</v>
          </cell>
        </row>
        <row r="4749">
          <cell r="A4749" t="str">
            <v>XZ-2116Y040</v>
          </cell>
          <cell r="B4749" t="str">
            <v>XZ-2115</v>
          </cell>
        </row>
        <row r="4750">
          <cell r="A4750" t="str">
            <v>XZ-7178</v>
          </cell>
          <cell r="B4750" t="str">
            <v>XZ-7178</v>
          </cell>
        </row>
        <row r="4751">
          <cell r="A4751" t="str">
            <v>XZ-7178-CG0-36-37</v>
          </cell>
          <cell r="B4751" t="str">
            <v>XZ-7178</v>
          </cell>
        </row>
        <row r="4752">
          <cell r="A4752" t="str">
            <v>XZ-7178-CG0-36-37-1</v>
          </cell>
          <cell r="B4752" t="str">
            <v>XZ-7178</v>
          </cell>
        </row>
        <row r="4753">
          <cell r="A4753" t="str">
            <v>XZ-7178-CG0-38-39</v>
          </cell>
          <cell r="B4753" t="str">
            <v>XZ-7178</v>
          </cell>
        </row>
        <row r="4754">
          <cell r="A4754" t="str">
            <v>XZ-7178-CG0-38-39-1</v>
          </cell>
          <cell r="B4754" t="str">
            <v>XZ-7178</v>
          </cell>
        </row>
        <row r="4755">
          <cell r="A4755" t="str">
            <v>XZ-7178-CG0-40-41</v>
          </cell>
          <cell r="B4755" t="str">
            <v>XZ-7178</v>
          </cell>
        </row>
        <row r="4756">
          <cell r="A4756" t="str">
            <v>XZ-7178-CG0-40-41-1</v>
          </cell>
          <cell r="B4756" t="str">
            <v>XZ-7178</v>
          </cell>
        </row>
        <row r="4757">
          <cell r="A4757" t="str">
            <v>XZ-7178-CP0-36-37</v>
          </cell>
          <cell r="B4757" t="str">
            <v>XZ-7178</v>
          </cell>
        </row>
        <row r="4758">
          <cell r="A4758" t="str">
            <v>XZ-7178-CP0-36-37-1</v>
          </cell>
          <cell r="B4758" t="str">
            <v>XZ-7178</v>
          </cell>
        </row>
        <row r="4759">
          <cell r="A4759" t="str">
            <v>XZ-7178-CP0-38-39</v>
          </cell>
          <cell r="B4759" t="str">
            <v>XZ-7178</v>
          </cell>
        </row>
        <row r="4760">
          <cell r="A4760" t="str">
            <v>XZ-7178-CP0-38-39-1</v>
          </cell>
          <cell r="B4760" t="str">
            <v>XZ-7178</v>
          </cell>
        </row>
        <row r="4761">
          <cell r="A4761" t="str">
            <v>XZ-7178-CP0-40-41</v>
          </cell>
          <cell r="B4761" t="str">
            <v>XZ-7178</v>
          </cell>
        </row>
        <row r="4762">
          <cell r="A4762" t="str">
            <v>XZ-7178-CP0-40-41-1</v>
          </cell>
          <cell r="B4762" t="str">
            <v>XZ-7178</v>
          </cell>
        </row>
        <row r="4763">
          <cell r="A4763" t="str">
            <v>XZ-7178-CY0-36-37</v>
          </cell>
          <cell r="B4763" t="str">
            <v>XZ-7178</v>
          </cell>
        </row>
        <row r="4764">
          <cell r="A4764" t="str">
            <v>XZ-7178-CY0-36-37-1</v>
          </cell>
          <cell r="B4764" t="str">
            <v>XZ-7178</v>
          </cell>
        </row>
        <row r="4765">
          <cell r="A4765" t="str">
            <v>XZ-7178-CY0-38-39</v>
          </cell>
          <cell r="B4765" t="str">
            <v>XZ-7178</v>
          </cell>
        </row>
        <row r="4766">
          <cell r="A4766" t="str">
            <v>XZ-7178-CY0-38-39-1</v>
          </cell>
          <cell r="B4766" t="str">
            <v>XZ-7178</v>
          </cell>
        </row>
        <row r="4767">
          <cell r="A4767" t="str">
            <v>XZ-7178-CY0-40-41</v>
          </cell>
          <cell r="B4767" t="str">
            <v>XZ-7178</v>
          </cell>
        </row>
        <row r="4768">
          <cell r="A4768" t="str">
            <v>XZ-7178-CY0-40-41-1</v>
          </cell>
          <cell r="B4768" t="str">
            <v>XZ-7178</v>
          </cell>
        </row>
        <row r="4769">
          <cell r="A4769" t="str">
            <v>XZ-CL01</v>
          </cell>
          <cell r="B4769" t="str">
            <v>XZ-CL01</v>
          </cell>
        </row>
        <row r="4770">
          <cell r="A4770" t="str">
            <v>XZ-CL01-E0-36/37</v>
          </cell>
          <cell r="B4770" t="str">
            <v>XZ-CL01</v>
          </cell>
        </row>
        <row r="4771">
          <cell r="A4771" t="str">
            <v>XZ-CL01-E0-38/39</v>
          </cell>
          <cell r="B4771" t="str">
            <v>XZ-CL01</v>
          </cell>
        </row>
        <row r="4772">
          <cell r="A4772" t="str">
            <v>XZ-CL01-E0-40/41</v>
          </cell>
          <cell r="B4772" t="str">
            <v>XZ-CL01</v>
          </cell>
        </row>
        <row r="4773">
          <cell r="A4773" t="str">
            <v>XZ-CL01-N0-36/37</v>
          </cell>
          <cell r="B4773" t="str">
            <v>XZ-CL01</v>
          </cell>
        </row>
        <row r="4774">
          <cell r="A4774" t="str">
            <v>XZ-CL01-N0-38/39</v>
          </cell>
          <cell r="B4774" t="str">
            <v>XZ-CL01</v>
          </cell>
        </row>
        <row r="4775">
          <cell r="A4775" t="str">
            <v>XZ-CL01-N0-40/41</v>
          </cell>
          <cell r="B4775" t="str">
            <v>XZ-CL01</v>
          </cell>
        </row>
        <row r="4776">
          <cell r="A4776" t="str">
            <v>XZ-CL01-R6-36/37</v>
          </cell>
          <cell r="B4776" t="str">
            <v>XZ-CL01</v>
          </cell>
        </row>
        <row r="4777">
          <cell r="A4777" t="str">
            <v>XZ-CL01-R6-38/39</v>
          </cell>
          <cell r="B4777" t="str">
            <v>XZ-CL01</v>
          </cell>
        </row>
        <row r="4778">
          <cell r="A4778" t="str">
            <v>XZ-CL01-R6-40/41</v>
          </cell>
          <cell r="B4778" t="str">
            <v>XZ-CL01</v>
          </cell>
        </row>
        <row r="4779">
          <cell r="A4779" t="str">
            <v>XZ-CL02</v>
          </cell>
          <cell r="B4779" t="str">
            <v>XZ-CL02</v>
          </cell>
        </row>
        <row r="4780">
          <cell r="A4780" t="str">
            <v>XZ-CL02-E0-41/42</v>
          </cell>
          <cell r="B4780" t="str">
            <v>XZ-CL02</v>
          </cell>
        </row>
        <row r="4781">
          <cell r="A4781" t="str">
            <v>XZ-CL02-E0-43/44</v>
          </cell>
          <cell r="B4781" t="str">
            <v>XZ-CL02</v>
          </cell>
        </row>
        <row r="4782">
          <cell r="A4782" t="str">
            <v>XZ-CL02-N0-41/42</v>
          </cell>
          <cell r="B4782" t="str">
            <v>XZ-CL02</v>
          </cell>
        </row>
        <row r="4783">
          <cell r="A4783" t="str">
            <v>XZ-CL02-N0-43/44</v>
          </cell>
          <cell r="B4783" t="str">
            <v>XZ-CL02</v>
          </cell>
        </row>
        <row r="4784">
          <cell r="A4784" t="str">
            <v>XZ-CL02-R2-35/36</v>
          </cell>
          <cell r="B4784" t="str">
            <v>XZ-CL02</v>
          </cell>
        </row>
        <row r="4785">
          <cell r="A4785" t="str">
            <v>XZ-CL02-R2-37/38</v>
          </cell>
          <cell r="B4785" t="str">
            <v>XZ-CL02</v>
          </cell>
        </row>
        <row r="4786">
          <cell r="A4786" t="str">
            <v>XZ-CL02-R2-39/40</v>
          </cell>
          <cell r="B4786" t="str">
            <v>XZ-CL02</v>
          </cell>
        </row>
        <row r="4787">
          <cell r="A4787" t="str">
            <v>XZ-CL02-R6-35/36</v>
          </cell>
          <cell r="B4787" t="str">
            <v>XZ-CL02</v>
          </cell>
        </row>
        <row r="4788">
          <cell r="A4788" t="str">
            <v>XZ-CL02-R6-37/38</v>
          </cell>
          <cell r="B4788" t="str">
            <v>XZ-CL02</v>
          </cell>
        </row>
        <row r="4789">
          <cell r="A4789" t="str">
            <v>XZ-CL02-R6-39/40</v>
          </cell>
          <cell r="B4789" t="str">
            <v>XZ-CL02</v>
          </cell>
        </row>
        <row r="4790">
          <cell r="A4790" t="str">
            <v>XZ-CL05</v>
          </cell>
          <cell r="B4790" t="str">
            <v>XZ-CL05</v>
          </cell>
        </row>
        <row r="4791">
          <cell r="A4791" t="str">
            <v>XZ-CL05-36/37</v>
          </cell>
          <cell r="B4791" t="str">
            <v>XZ-CL05</v>
          </cell>
        </row>
        <row r="4792">
          <cell r="A4792" t="str">
            <v>XZ-CL05-38/39</v>
          </cell>
          <cell r="B4792" t="str">
            <v>XZ-CL05</v>
          </cell>
        </row>
        <row r="4793">
          <cell r="A4793" t="str">
            <v>XZ-CL05-40/41</v>
          </cell>
          <cell r="B4793" t="str">
            <v>XZ-CL05</v>
          </cell>
        </row>
        <row r="4794">
          <cell r="A4794" t="str">
            <v>XZ-CL1055E0</v>
          </cell>
          <cell r="B4794" t="str">
            <v>XZ-CL1055</v>
          </cell>
        </row>
        <row r="4795">
          <cell r="A4795" t="str">
            <v>XZ-CL1055E2</v>
          </cell>
          <cell r="B4795" t="str">
            <v>XZ-CL1055</v>
          </cell>
        </row>
        <row r="4796">
          <cell r="A4796" t="str">
            <v>XZ-CL1055R6</v>
          </cell>
          <cell r="B4796" t="str">
            <v>XZ-CL1055</v>
          </cell>
        </row>
        <row r="4797">
          <cell r="A4797" t="str">
            <v>XZ-CL1055W0</v>
          </cell>
          <cell r="B4797" t="str">
            <v>XZ-CL1055</v>
          </cell>
        </row>
        <row r="4798">
          <cell r="A4798" t="str">
            <v>XZ-CL1537-CO-35/36</v>
          </cell>
          <cell r="B4798" t="str">
            <v>XZ-CL1537</v>
          </cell>
        </row>
        <row r="4799">
          <cell r="A4799" t="str">
            <v>XZ-CL1537-CO-37/38</v>
          </cell>
          <cell r="B4799" t="str">
            <v>XZ-CL1537</v>
          </cell>
        </row>
        <row r="4800">
          <cell r="A4800" t="str">
            <v>XZ-CL1537-CO-39/40</v>
          </cell>
          <cell r="B4800" t="str">
            <v>XZ-CL1537</v>
          </cell>
        </row>
        <row r="4801">
          <cell r="A4801" t="str">
            <v>XZ-CL1537-E0-41/42</v>
          </cell>
          <cell r="B4801" t="str">
            <v>XZ-CL1537</v>
          </cell>
        </row>
        <row r="4802">
          <cell r="A4802" t="str">
            <v>XZ-CL1537-E0-43/44</v>
          </cell>
          <cell r="B4802" t="str">
            <v>XZ-CL1537</v>
          </cell>
        </row>
        <row r="4803">
          <cell r="A4803" t="str">
            <v>XZ-CL1537-E0-45/46</v>
          </cell>
          <cell r="B4803" t="str">
            <v>XZ-CL1537</v>
          </cell>
        </row>
        <row r="4804">
          <cell r="A4804" t="str">
            <v>XZ-CL1537-KH-35/36</v>
          </cell>
          <cell r="B4804" t="str">
            <v>XZ-CL1537</v>
          </cell>
        </row>
        <row r="4805">
          <cell r="A4805" t="str">
            <v>XZ-CL1537-KH-37/38</v>
          </cell>
          <cell r="B4805" t="str">
            <v>XZ-CL1537</v>
          </cell>
        </row>
        <row r="4806">
          <cell r="A4806" t="str">
            <v>XZ-CL1537-KH-39/40</v>
          </cell>
          <cell r="B4806" t="str">
            <v>XZ-CL1537</v>
          </cell>
        </row>
        <row r="4807">
          <cell r="A4807" t="str">
            <v>XZ-CL1537-N5-41/42</v>
          </cell>
          <cell r="B4807" t="str">
            <v>XZ-CL1537</v>
          </cell>
        </row>
        <row r="4808">
          <cell r="A4808" t="str">
            <v>XZ-CL1537-N5-43/44</v>
          </cell>
          <cell r="B4808" t="str">
            <v>XZ-CL1537</v>
          </cell>
        </row>
        <row r="4809">
          <cell r="A4809" t="str">
            <v>XZ-CL1537-N5-45/46</v>
          </cell>
          <cell r="B4809" t="str">
            <v>XZ-CL1537</v>
          </cell>
        </row>
        <row r="4810">
          <cell r="A4810" t="str">
            <v>XZ-CL1537-PI-35/36</v>
          </cell>
          <cell r="B4810" t="str">
            <v>XZ-CL1537</v>
          </cell>
        </row>
        <row r="4811">
          <cell r="A4811" t="str">
            <v>XZ-CL1537-PI-37/38</v>
          </cell>
          <cell r="B4811" t="str">
            <v>XZ-CL1537</v>
          </cell>
        </row>
        <row r="4812">
          <cell r="A4812" t="str">
            <v>XZ-CL1537-PI-39/40</v>
          </cell>
          <cell r="B4812" t="str">
            <v>XZ-CL1537</v>
          </cell>
        </row>
        <row r="4813">
          <cell r="A4813" t="str">
            <v>XZ-CL16011</v>
          </cell>
          <cell r="B4813" t="str">
            <v>XZ-CL16011</v>
          </cell>
        </row>
        <row r="4814">
          <cell r="A4814" t="str">
            <v>XZ-CL16011-E0-42/43</v>
          </cell>
          <cell r="B4814" t="str">
            <v>XZ-CL16011</v>
          </cell>
        </row>
        <row r="4815">
          <cell r="A4815" t="str">
            <v>XZ-CL16011-E1-42/43</v>
          </cell>
          <cell r="B4815" t="str">
            <v>XZ-CL16011</v>
          </cell>
        </row>
        <row r="4816">
          <cell r="A4816" t="str">
            <v>XZ-CL16011-E2-40/41</v>
          </cell>
          <cell r="B4816" t="str">
            <v>XZ-CL16011</v>
          </cell>
        </row>
        <row r="4817">
          <cell r="A4817" t="str">
            <v>XZ-CL16011-N0-36/37</v>
          </cell>
          <cell r="B4817" t="str">
            <v>XZ-CL16011</v>
          </cell>
        </row>
        <row r="4818">
          <cell r="A4818" t="str">
            <v>XZ-CL16011-N0-38/39</v>
          </cell>
          <cell r="B4818" t="str">
            <v>XZ-CL16011</v>
          </cell>
        </row>
        <row r="4819">
          <cell r="A4819" t="str">
            <v>XZ-CL16011-N0-40/41</v>
          </cell>
          <cell r="B4819" t="str">
            <v>XZ-CL16011</v>
          </cell>
        </row>
        <row r="4820">
          <cell r="A4820" t="str">
            <v>XZ-CL16011-N0-42/43</v>
          </cell>
          <cell r="B4820" t="str">
            <v>XZ-CL16011</v>
          </cell>
        </row>
        <row r="4821">
          <cell r="A4821" t="str">
            <v>XZ-CL16011-N2-40/41</v>
          </cell>
          <cell r="B4821" t="str">
            <v>XZ-CL16011</v>
          </cell>
        </row>
        <row r="4822">
          <cell r="A4822" t="str">
            <v>XZ-CL16011-R0-36/37</v>
          </cell>
          <cell r="B4822" t="str">
            <v>XZ-CL16011</v>
          </cell>
        </row>
        <row r="4823">
          <cell r="A4823" t="str">
            <v>XZ-CL16011-R0-38/39</v>
          </cell>
          <cell r="B4823" t="str">
            <v>XZ-CL16011</v>
          </cell>
        </row>
        <row r="4824">
          <cell r="A4824" t="str">
            <v>XZ-CL16011-R0-40/41</v>
          </cell>
          <cell r="B4824" t="str">
            <v>XZ-CL16011</v>
          </cell>
        </row>
        <row r="4825">
          <cell r="A4825" t="str">
            <v>XZ-CL16011-R2-40/41</v>
          </cell>
          <cell r="B4825" t="str">
            <v>XZ-CL16011</v>
          </cell>
        </row>
        <row r="4826">
          <cell r="A4826" t="str">
            <v>XZ-CL16018</v>
          </cell>
          <cell r="B4826" t="str">
            <v>XZ-CL16018</v>
          </cell>
        </row>
        <row r="4827">
          <cell r="A4827" t="str">
            <v>XZ-CL16018-BC-36/37</v>
          </cell>
          <cell r="B4827" t="str">
            <v>XZ-CL16018</v>
          </cell>
        </row>
        <row r="4828">
          <cell r="A4828" t="str">
            <v>XZ-CL16018-BP-38/39</v>
          </cell>
          <cell r="B4828" t="str">
            <v>XZ-CL16018</v>
          </cell>
        </row>
        <row r="4829">
          <cell r="A4829" t="str">
            <v>XZ-CL16018-BP-40/41</v>
          </cell>
          <cell r="B4829" t="str">
            <v>XZ-CL16018</v>
          </cell>
        </row>
        <row r="4830">
          <cell r="A4830" t="str">
            <v>XZ-CL16018-BP-42/43</v>
          </cell>
          <cell r="B4830" t="str">
            <v>XZ-CL16018</v>
          </cell>
        </row>
        <row r="4831">
          <cell r="A4831" t="str">
            <v>XZ-CL16018-GC-36/37</v>
          </cell>
          <cell r="B4831" t="str">
            <v>XZ-CL16018</v>
          </cell>
        </row>
        <row r="4832">
          <cell r="A4832" t="str">
            <v>XZ-CL16018-GP-36-37</v>
          </cell>
          <cell r="B4832" t="str">
            <v>XZ-CL16018</v>
          </cell>
        </row>
        <row r="4833">
          <cell r="A4833" t="str">
            <v>XZ-CL16018-GP-38/39</v>
          </cell>
          <cell r="B4833" t="str">
            <v>XZ-CL16018</v>
          </cell>
        </row>
        <row r="4834">
          <cell r="A4834" t="str">
            <v>XZ-CL16018-GP-40/41</v>
          </cell>
          <cell r="B4834" t="str">
            <v>XZ-CL16018</v>
          </cell>
        </row>
        <row r="4835">
          <cell r="A4835" t="str">
            <v>XZ-CL16018-GP-42/43</v>
          </cell>
          <cell r="B4835" t="str">
            <v>XZ-CL16018</v>
          </cell>
        </row>
        <row r="4836">
          <cell r="A4836" t="str">
            <v>XZ-CL16018-PC-36/37</v>
          </cell>
          <cell r="B4836" t="str">
            <v>XZ-CL16018</v>
          </cell>
        </row>
        <row r="4837">
          <cell r="A4837" t="str">
            <v>XZ-CL16018-PC-38/39</v>
          </cell>
          <cell r="B4837" t="str">
            <v>XZ-CL16018</v>
          </cell>
        </row>
        <row r="4838">
          <cell r="A4838" t="str">
            <v>XZ-CL16018-PC-40/41</v>
          </cell>
          <cell r="B4838" t="str">
            <v>XZ-CL16018</v>
          </cell>
        </row>
        <row r="4839">
          <cell r="A4839" t="str">
            <v>XZ-CL16018-PP-36-37</v>
          </cell>
          <cell r="B4839" t="str">
            <v>XZ-CL16018</v>
          </cell>
        </row>
        <row r="4840">
          <cell r="A4840" t="str">
            <v>XZ-CL16018-PP-38/39</v>
          </cell>
          <cell r="B4840" t="str">
            <v>XZ-CL16018</v>
          </cell>
        </row>
        <row r="4841">
          <cell r="A4841" t="str">
            <v>XZ-CL16018-PP-40/41</v>
          </cell>
          <cell r="B4841" t="str">
            <v>XZ-CL16018</v>
          </cell>
        </row>
        <row r="4842">
          <cell r="A4842" t="str">
            <v>XZ-CL16022</v>
          </cell>
          <cell r="B4842" t="str">
            <v>XZ-CL16022</v>
          </cell>
        </row>
        <row r="4843">
          <cell r="A4843" t="str">
            <v>XZ-CL16022-E0-36/37</v>
          </cell>
          <cell r="B4843" t="str">
            <v>XZ-CL16022</v>
          </cell>
        </row>
        <row r="4844">
          <cell r="A4844" t="str">
            <v>XZ-CL16022-E0-38/39</v>
          </cell>
          <cell r="B4844" t="str">
            <v>XZ-CL16022</v>
          </cell>
        </row>
        <row r="4845">
          <cell r="A4845" t="str">
            <v>XZ-CL16022-E0-40/41</v>
          </cell>
          <cell r="B4845" t="str">
            <v>XZ-CL16022</v>
          </cell>
        </row>
        <row r="4846">
          <cell r="A4846" t="str">
            <v>XZ-CL16022-E0-42/43</v>
          </cell>
          <cell r="B4846" t="str">
            <v>XZ-CL16022</v>
          </cell>
        </row>
        <row r="4847">
          <cell r="A4847" t="str">
            <v>XZ-CL16022-K0-36/37</v>
          </cell>
          <cell r="B4847" t="str">
            <v>XZ-CL16022</v>
          </cell>
        </row>
        <row r="4848">
          <cell r="A4848" t="str">
            <v>XZ-CL16022-K0-38/39</v>
          </cell>
          <cell r="B4848" t="str">
            <v>XZ-CL16022</v>
          </cell>
        </row>
        <row r="4849">
          <cell r="A4849" t="str">
            <v>XZ-CL16022-K0-40/41</v>
          </cell>
          <cell r="B4849" t="str">
            <v>XZ-CL16022</v>
          </cell>
        </row>
        <row r="4850">
          <cell r="A4850" t="str">
            <v>XZ-CL16022-K0-42/43</v>
          </cell>
          <cell r="B4850" t="str">
            <v>XZ-CL16022</v>
          </cell>
        </row>
        <row r="4851">
          <cell r="A4851" t="str">
            <v>XZ-CL16022-R6-36/37</v>
          </cell>
          <cell r="B4851" t="str">
            <v>XZ-CL16022</v>
          </cell>
        </row>
        <row r="4852">
          <cell r="A4852" t="str">
            <v>XZ-CL16022-R6-38/39</v>
          </cell>
          <cell r="B4852" t="str">
            <v>XZ-CL16022</v>
          </cell>
        </row>
        <row r="4853">
          <cell r="A4853" t="str">
            <v>XZ-CL16022-R6-40/41</v>
          </cell>
          <cell r="B4853" t="str">
            <v>XZ-CL16022</v>
          </cell>
        </row>
        <row r="4854">
          <cell r="A4854" t="str">
            <v>XZ-CL16022-W1-36/37</v>
          </cell>
          <cell r="B4854" t="str">
            <v>XZ-CL16022</v>
          </cell>
        </row>
        <row r="4855">
          <cell r="A4855" t="str">
            <v>XZ-CL16022-W1-38/39</v>
          </cell>
          <cell r="B4855" t="str">
            <v>XZ-CL16022</v>
          </cell>
        </row>
        <row r="4856">
          <cell r="A4856" t="str">
            <v>XZ-CL16022-W1-40/41</v>
          </cell>
          <cell r="B4856" t="str">
            <v>XZ-CL16022</v>
          </cell>
        </row>
        <row r="4857">
          <cell r="A4857" t="str">
            <v>XZ-CLA1</v>
          </cell>
          <cell r="B4857" t="str">
            <v>XZ-CLA1</v>
          </cell>
        </row>
        <row r="4858">
          <cell r="A4858" t="str">
            <v>XZ-CLA1133DD</v>
          </cell>
          <cell r="B4858" t="str">
            <v>XZ-CLA1133</v>
          </cell>
        </row>
        <row r="4859">
          <cell r="A4859" t="str">
            <v>XZ-CLA1133R6</v>
          </cell>
          <cell r="B4859" t="str">
            <v>XZ-CLA1133</v>
          </cell>
        </row>
        <row r="4860">
          <cell r="A4860" t="str">
            <v>XZ-CLA1133W0</v>
          </cell>
          <cell r="B4860" t="str">
            <v>XZ-CLA1133</v>
          </cell>
        </row>
        <row r="4861">
          <cell r="A4861" t="str">
            <v>XZ-CLA177</v>
          </cell>
          <cell r="B4861" t="str">
            <v>XZ-CLA177</v>
          </cell>
        </row>
        <row r="4862">
          <cell r="A4862" t="str">
            <v>XZ-CLA177-DS-37/38</v>
          </cell>
          <cell r="B4862" t="str">
            <v>XZ-CLA177</v>
          </cell>
        </row>
        <row r="4863">
          <cell r="A4863" t="str">
            <v>XZ-CLA177-DS-39/40</v>
          </cell>
          <cell r="B4863" t="str">
            <v>XZ-CLA177</v>
          </cell>
        </row>
        <row r="4864">
          <cell r="A4864" t="str">
            <v>XZ-CLA177-E2-37/38</v>
          </cell>
          <cell r="B4864" t="str">
            <v>XZ-CLA177</v>
          </cell>
        </row>
        <row r="4865">
          <cell r="A4865" t="str">
            <v>XZ-CLA177-K0-41/42</v>
          </cell>
          <cell r="B4865" t="str">
            <v>XZ-CLA177</v>
          </cell>
        </row>
        <row r="4866">
          <cell r="A4866" t="str">
            <v>XZ-CLA177-K0-43/44</v>
          </cell>
          <cell r="B4866" t="str">
            <v>XZ-CLA177</v>
          </cell>
        </row>
        <row r="4867">
          <cell r="A4867" t="str">
            <v>XZ-CLA177-R6-37/38</v>
          </cell>
          <cell r="B4867" t="str">
            <v>XZ-CLA177</v>
          </cell>
        </row>
        <row r="4868">
          <cell r="A4868" t="str">
            <v>XZ-CLA177-R6-39/40</v>
          </cell>
          <cell r="B4868" t="str">
            <v>XZ-CLA177</v>
          </cell>
        </row>
        <row r="4869">
          <cell r="A4869" t="str">
            <v>XZ-CLA177-ZL-41/42</v>
          </cell>
          <cell r="B4869" t="str">
            <v>XZ-CLA177</v>
          </cell>
        </row>
        <row r="4870">
          <cell r="A4870" t="str">
            <v>XZ-CLA177-ZL-43/44</v>
          </cell>
          <cell r="B4870" t="str">
            <v>XZ-CLA177</v>
          </cell>
        </row>
        <row r="4871">
          <cell r="A4871" t="str">
            <v>XZ-CLA1-E0-35</v>
          </cell>
          <cell r="B4871" t="str">
            <v>XZ-CLA1</v>
          </cell>
        </row>
        <row r="4872">
          <cell r="A4872" t="str">
            <v>XZ-CLA1-E0-37</v>
          </cell>
          <cell r="B4872" t="str">
            <v>XZ-CLA1</v>
          </cell>
        </row>
        <row r="4873">
          <cell r="A4873" t="str">
            <v>XZ-CLA1-E0-38</v>
          </cell>
          <cell r="B4873" t="str">
            <v>XZ-CLA1</v>
          </cell>
        </row>
        <row r="4874">
          <cell r="A4874" t="str">
            <v>XZ-CLA1-E0-39</v>
          </cell>
          <cell r="B4874" t="str">
            <v>XZ-CLA1</v>
          </cell>
        </row>
        <row r="4875">
          <cell r="A4875" t="str">
            <v>XZ-CLA1-E0-40</v>
          </cell>
          <cell r="B4875" t="str">
            <v>XZ-CLA1</v>
          </cell>
        </row>
        <row r="4876">
          <cell r="A4876" t="str">
            <v>XZ-CLA1-K0-35</v>
          </cell>
          <cell r="B4876" t="str">
            <v>XZ-CLA1</v>
          </cell>
        </row>
        <row r="4877">
          <cell r="A4877" t="str">
            <v>XZ-CLA1-K0-36</v>
          </cell>
          <cell r="B4877" t="str">
            <v>XZ-CLA1</v>
          </cell>
        </row>
        <row r="4878">
          <cell r="A4878" t="str">
            <v>XZ-CLA1-K0-37</v>
          </cell>
          <cell r="B4878" t="str">
            <v>XZ-CLA1</v>
          </cell>
        </row>
        <row r="4879">
          <cell r="A4879" t="str">
            <v>XZ-CLA1-K0-38</v>
          </cell>
          <cell r="B4879" t="str">
            <v>XZ-CLA1</v>
          </cell>
        </row>
        <row r="4880">
          <cell r="A4880" t="str">
            <v>XZ-CLA1-K0-39</v>
          </cell>
          <cell r="B4880" t="str">
            <v>XZ-CLA1</v>
          </cell>
        </row>
        <row r="4881">
          <cell r="A4881" t="str">
            <v>XZ-CLA1-K0-40</v>
          </cell>
          <cell r="B4881" t="str">
            <v>XZ-CLA1</v>
          </cell>
        </row>
        <row r="4882">
          <cell r="A4882" t="str">
            <v>XZ-CLBH004</v>
          </cell>
          <cell r="B4882" t="str">
            <v>XZ-CLBH004</v>
          </cell>
        </row>
        <row r="4883">
          <cell r="A4883" t="str">
            <v>XZ-CLBH004-B0-L</v>
          </cell>
          <cell r="B4883" t="str">
            <v>XZ-CLBH004</v>
          </cell>
        </row>
        <row r="4884">
          <cell r="A4884" t="str">
            <v>XZ-CLBH004-B0-M</v>
          </cell>
          <cell r="B4884" t="str">
            <v>XZ-CLBH004</v>
          </cell>
        </row>
        <row r="4885">
          <cell r="A4885" t="str">
            <v>XZ-CLBH004-B0-S</v>
          </cell>
          <cell r="B4885" t="str">
            <v>XZ-CLBH004</v>
          </cell>
        </row>
        <row r="4886">
          <cell r="A4886" t="str">
            <v>XZ-CLBH004-R6-L</v>
          </cell>
          <cell r="B4886" t="str">
            <v>XZ-CLBH004</v>
          </cell>
        </row>
        <row r="4887">
          <cell r="A4887" t="str">
            <v>XZ-CLBH004-R6-M</v>
          </cell>
          <cell r="B4887" t="str">
            <v>XZ-CLBH004</v>
          </cell>
        </row>
        <row r="4888">
          <cell r="A4888" t="str">
            <v>XZ-CLBH004-R6-S</v>
          </cell>
          <cell r="B4888" t="str">
            <v>XZ-CLBH004</v>
          </cell>
        </row>
        <row r="4889">
          <cell r="A4889" t="str">
            <v>XZ-HM029</v>
          </cell>
          <cell r="B4889" t="str">
            <v>XZ-HM029</v>
          </cell>
        </row>
        <row r="4890">
          <cell r="A4890" t="str">
            <v>XZ-HM0299-GR-3637</v>
          </cell>
          <cell r="B4890" t="str">
            <v>XZ-HM029</v>
          </cell>
        </row>
        <row r="4891">
          <cell r="A4891" t="str">
            <v>XZ-HM0299-GR-3839</v>
          </cell>
          <cell r="B4891" t="str">
            <v>XZ-HM029</v>
          </cell>
        </row>
        <row r="4892">
          <cell r="A4892" t="str">
            <v>XZ-HM0299-GR-4041</v>
          </cell>
          <cell r="B4892" t="str">
            <v>XZ-HM029</v>
          </cell>
        </row>
        <row r="4893">
          <cell r="A4893" t="str">
            <v>XZ-HM0299-SH-4041</v>
          </cell>
          <cell r="B4893" t="str">
            <v>XZ-HM029</v>
          </cell>
        </row>
        <row r="4894">
          <cell r="A4894" t="str">
            <v>XZ-HM0299-SH-4243</v>
          </cell>
          <cell r="B4894" t="str">
            <v>XZ-HM029</v>
          </cell>
        </row>
        <row r="4895">
          <cell r="A4895" t="str">
            <v>XZ-HM0299-SH-4445</v>
          </cell>
          <cell r="B4895" t="str">
            <v>XZ-HM029</v>
          </cell>
        </row>
        <row r="4896">
          <cell r="A4896" t="str">
            <v>XZ-HM029-K0-41-42</v>
          </cell>
          <cell r="B4896" t="str">
            <v>XZ-HM029</v>
          </cell>
        </row>
        <row r="4897">
          <cell r="A4897" t="str">
            <v>XZ-HM029-K0-43-45</v>
          </cell>
          <cell r="B4897" t="str">
            <v>XZ-HM029</v>
          </cell>
        </row>
        <row r="4898">
          <cell r="A4898" t="str">
            <v>XZ-HM029-W0-35-37</v>
          </cell>
          <cell r="B4898" t="str">
            <v>XZ-HM029</v>
          </cell>
        </row>
        <row r="4899">
          <cell r="A4899" t="str">
            <v>XZ-HM029-W0-38-40</v>
          </cell>
          <cell r="B4899" t="str">
            <v>XZ-HM029</v>
          </cell>
        </row>
        <row r="4900">
          <cell r="A4900" t="str">
            <v>XZ-HM1200-BR-L</v>
          </cell>
          <cell r="B4900" t="str">
            <v>XZ-HM1200</v>
          </cell>
        </row>
        <row r="4901">
          <cell r="A4901" t="str">
            <v>XZ-HM1200-BR-M</v>
          </cell>
          <cell r="B4901" t="str">
            <v>XZ-HM1200</v>
          </cell>
        </row>
        <row r="4902">
          <cell r="A4902" t="str">
            <v>XZ-HM1200-BR-S</v>
          </cell>
          <cell r="B4902" t="str">
            <v>XZ-HM1200</v>
          </cell>
        </row>
        <row r="4903">
          <cell r="A4903" t="str">
            <v>XZ-HM1613</v>
          </cell>
          <cell r="B4903" t="str">
            <v>XZ-HM1613</v>
          </cell>
        </row>
        <row r="4904">
          <cell r="A4904" t="str">
            <v>XZ-HM1613-BR-L</v>
          </cell>
          <cell r="B4904" t="str">
            <v>XZ-HM1613</v>
          </cell>
        </row>
        <row r="4905">
          <cell r="A4905" t="str">
            <v>XZ-HM1613-BR-XL</v>
          </cell>
          <cell r="B4905" t="str">
            <v>XZ-HM1613</v>
          </cell>
        </row>
        <row r="4906">
          <cell r="A4906" t="str">
            <v>XZ-HM1613-GR-XL</v>
          </cell>
          <cell r="B4906" t="str">
            <v>XZ-HM1613</v>
          </cell>
        </row>
        <row r="4907">
          <cell r="A4907" t="str">
            <v>XZ-HM1613-W0-M</v>
          </cell>
          <cell r="B4907" t="str">
            <v>XZ-HM1613</v>
          </cell>
        </row>
        <row r="4908">
          <cell r="A4908" t="str">
            <v>XZ-HM1613-ZL-L</v>
          </cell>
          <cell r="B4908" t="str">
            <v>XZ-HM1613</v>
          </cell>
        </row>
        <row r="4909">
          <cell r="A4909" t="str">
            <v>XZ-HM1613-ZL-XL</v>
          </cell>
          <cell r="B4909" t="str">
            <v>XZ-HM1613</v>
          </cell>
        </row>
        <row r="4910">
          <cell r="A4910" t="str">
            <v>XZ-HM1657-DS-3536</v>
          </cell>
          <cell r="B4910" t="str">
            <v>XZ-HM1657</v>
          </cell>
        </row>
        <row r="4911">
          <cell r="A4911" t="str">
            <v>XZ-HM1657-DS-3738</v>
          </cell>
          <cell r="B4911" t="str">
            <v>XZ-HM1657</v>
          </cell>
        </row>
        <row r="4912">
          <cell r="A4912" t="str">
            <v>XZ-HM1657-DS-3940</v>
          </cell>
          <cell r="B4912" t="str">
            <v>XZ-HM1657</v>
          </cell>
        </row>
        <row r="4913">
          <cell r="A4913" t="str">
            <v>XZ-HM1657-E0-4142</v>
          </cell>
          <cell r="B4913" t="str">
            <v>XZ-HM1657</v>
          </cell>
        </row>
        <row r="4914">
          <cell r="A4914" t="str">
            <v>XZ-HM1657-E0-4344</v>
          </cell>
          <cell r="B4914" t="str">
            <v>XZ-HM1657</v>
          </cell>
        </row>
        <row r="4915">
          <cell r="A4915" t="str">
            <v>XZ-HM1657-N5-4142</v>
          </cell>
          <cell r="B4915" t="str">
            <v>XZ-HM1657</v>
          </cell>
        </row>
        <row r="4916">
          <cell r="A4916" t="str">
            <v>XZ-HM1657-N5-4344</v>
          </cell>
          <cell r="B4916" t="str">
            <v>XZ-HM1657</v>
          </cell>
        </row>
        <row r="4917">
          <cell r="A4917" t="str">
            <v>XZ-HM1657-PI-3536</v>
          </cell>
          <cell r="B4917" t="str">
            <v>XZ-HM1657</v>
          </cell>
        </row>
        <row r="4918">
          <cell r="A4918" t="str">
            <v>XZ-HM1657-PI-3738</v>
          </cell>
          <cell r="B4918" t="str">
            <v>XZ-HM1657</v>
          </cell>
        </row>
        <row r="4919">
          <cell r="A4919" t="str">
            <v>XZ-HM1657-PI-3940</v>
          </cell>
          <cell r="B4919" t="str">
            <v>XZ-HM1657</v>
          </cell>
        </row>
        <row r="4920">
          <cell r="A4920" t="str">
            <v>XZ-HM165-CO-L</v>
          </cell>
          <cell r="B4920" t="str">
            <v>XZ-HM165</v>
          </cell>
        </row>
        <row r="4921">
          <cell r="A4921" t="str">
            <v>XZ-HM168-CO-40/41</v>
          </cell>
          <cell r="B4921" t="str">
            <v>XZ-HM168</v>
          </cell>
        </row>
        <row r="4922">
          <cell r="A4922" t="str">
            <v>XZ-HM168-CO-40/41-GM</v>
          </cell>
          <cell r="B4922" t="str">
            <v>XZ-HM168</v>
          </cell>
        </row>
        <row r="4923">
          <cell r="A4923" t="str">
            <v>XZ-HM168-CO-42/43</v>
          </cell>
          <cell r="B4923" t="str">
            <v>XZ-HM168</v>
          </cell>
        </row>
        <row r="4924">
          <cell r="A4924" t="str">
            <v>XZ-HM168-P0-36/37-GM</v>
          </cell>
          <cell r="B4924" t="str">
            <v>XZ-HM168</v>
          </cell>
        </row>
        <row r="4925">
          <cell r="A4925" t="str">
            <v>XZ-HM168-P0-38/39-GM</v>
          </cell>
          <cell r="B4925" t="str">
            <v>XZ-HM168</v>
          </cell>
        </row>
        <row r="4926">
          <cell r="A4926" t="str">
            <v>XZ-HM168-R0-36/37-GM</v>
          </cell>
          <cell r="B4926" t="str">
            <v>XZ-HM168</v>
          </cell>
        </row>
        <row r="4927">
          <cell r="A4927" t="str">
            <v>XZ-HM219-GR-40-43</v>
          </cell>
          <cell r="B4927" t="str">
            <v>XZ-HM219</v>
          </cell>
        </row>
        <row r="4928">
          <cell r="A4928" t="str">
            <v>XZ-HM219-PI-35-39</v>
          </cell>
          <cell r="B4928" t="str">
            <v>XZ-HM219</v>
          </cell>
        </row>
        <row r="4929">
          <cell r="A4929" t="str">
            <v>XZ-HM3380-K0-3637</v>
          </cell>
          <cell r="B4929" t="str">
            <v>XZ-HM3380</v>
          </cell>
        </row>
        <row r="4930">
          <cell r="A4930" t="str">
            <v>XZ-HM3380-K0-3839</v>
          </cell>
          <cell r="B4930" t="str">
            <v>XZ-HM3380</v>
          </cell>
        </row>
        <row r="4931">
          <cell r="A4931" t="str">
            <v>XZ-HM3380-K0-4041</v>
          </cell>
          <cell r="B4931" t="str">
            <v>XZ-HM3380</v>
          </cell>
        </row>
        <row r="4932">
          <cell r="A4932" t="str">
            <v>XZ-HM3380-K0-4243</v>
          </cell>
          <cell r="B4932" t="str">
            <v>XZ-HM3380</v>
          </cell>
        </row>
        <row r="4933">
          <cell r="A4933" t="str">
            <v>XZ-HM3380-K0-4445</v>
          </cell>
          <cell r="B4933" t="str">
            <v>XZ-HM3380</v>
          </cell>
        </row>
        <row r="4934">
          <cell r="A4934" t="str">
            <v>XZ-HM3380-PI-4041</v>
          </cell>
          <cell r="B4934" t="str">
            <v>XZ-HM3380</v>
          </cell>
        </row>
        <row r="4935">
          <cell r="A4935" t="str">
            <v>XZ-HM3380-ZL-4041</v>
          </cell>
          <cell r="B4935" t="str">
            <v>XZ-HM3380</v>
          </cell>
        </row>
        <row r="4936">
          <cell r="A4936" t="str">
            <v>XZ-HM3380-ZL-4243</v>
          </cell>
          <cell r="B4936" t="str">
            <v>XZ-HM3380</v>
          </cell>
        </row>
        <row r="4937">
          <cell r="A4937" t="str">
            <v>XZ-HM3380-ZL-4445</v>
          </cell>
          <cell r="B4937" t="str">
            <v>XZ-HM3380</v>
          </cell>
        </row>
        <row r="4938">
          <cell r="A4938" t="str">
            <v>XZ-HM36-BE-L</v>
          </cell>
          <cell r="B4938" t="str">
            <v>XZ-HM36</v>
          </cell>
        </row>
        <row r="4939">
          <cell r="A4939" t="str">
            <v>XZ-HM36-BE-M</v>
          </cell>
          <cell r="B4939" t="str">
            <v>XZ-HM36</v>
          </cell>
        </row>
        <row r="4940">
          <cell r="A4940" t="str">
            <v>XZ-HM36-BE-XL</v>
          </cell>
          <cell r="B4940" t="str">
            <v>XZ-HM36</v>
          </cell>
        </row>
        <row r="4941">
          <cell r="A4941" t="str">
            <v>XZ-HM36-CO-L</v>
          </cell>
          <cell r="B4941" t="str">
            <v>XZ-HM36</v>
          </cell>
        </row>
        <row r="4942">
          <cell r="A4942" t="str">
            <v>XZ-HM36-CO-XL</v>
          </cell>
          <cell r="B4942" t="str">
            <v>XZ-HM36</v>
          </cell>
        </row>
        <row r="4943">
          <cell r="A4943" t="str">
            <v>XZ-HM36-PI-M</v>
          </cell>
          <cell r="B4943" t="str">
            <v>XZ-HM36</v>
          </cell>
        </row>
        <row r="4944">
          <cell r="A4944" t="str">
            <v>XZ-HM36-PI-S</v>
          </cell>
          <cell r="B4944" t="str">
            <v>XZ-HM36</v>
          </cell>
        </row>
        <row r="4945">
          <cell r="A4945" t="str">
            <v>XZ-HM6003</v>
          </cell>
          <cell r="B4945" t="str">
            <v>XZ-HM6003</v>
          </cell>
        </row>
        <row r="4946">
          <cell r="A4946" t="str">
            <v>XZ-HM6003-BR-4142</v>
          </cell>
          <cell r="B4946" t="str">
            <v>XZ-HM6003</v>
          </cell>
        </row>
        <row r="4947">
          <cell r="A4947" t="str">
            <v>XZ-HM6003-BR-4344</v>
          </cell>
          <cell r="B4947" t="str">
            <v>XZ-HM6003</v>
          </cell>
        </row>
        <row r="4948">
          <cell r="A4948" t="str">
            <v>XZ-HM6003-GR-4142</v>
          </cell>
          <cell r="B4948" t="str">
            <v>XZ-HM6003</v>
          </cell>
        </row>
        <row r="4949">
          <cell r="A4949" t="str">
            <v>XZ-HM6003-GR-4344</v>
          </cell>
          <cell r="B4949" t="str">
            <v>XZ-HM6003</v>
          </cell>
        </row>
        <row r="4950">
          <cell r="A4950" t="str">
            <v>XZ-HM6003-OR-3536</v>
          </cell>
          <cell r="B4950" t="str">
            <v>XZ-HM6003</v>
          </cell>
        </row>
        <row r="4951">
          <cell r="A4951" t="str">
            <v>XZ-HM6003-OR-3738</v>
          </cell>
          <cell r="B4951" t="str">
            <v>XZ-HM6003</v>
          </cell>
        </row>
        <row r="4952">
          <cell r="A4952" t="str">
            <v>XZ-HM6003-OR-3940</v>
          </cell>
          <cell r="B4952" t="str">
            <v>XZ-HM6003</v>
          </cell>
        </row>
        <row r="4953">
          <cell r="A4953" t="str">
            <v>XZ-HM6003-P0-3738</v>
          </cell>
          <cell r="B4953" t="str">
            <v>XZ-HM6003</v>
          </cell>
        </row>
        <row r="4954">
          <cell r="A4954" t="str">
            <v>XZ-HM6003-P0-3940</v>
          </cell>
          <cell r="B4954" t="str">
            <v>XZ-HM6003</v>
          </cell>
        </row>
        <row r="4955">
          <cell r="A4955" t="str">
            <v>XZ-HM6003-P2-3536</v>
          </cell>
          <cell r="B4955" t="str">
            <v>XZ-HM6003</v>
          </cell>
        </row>
        <row r="4956">
          <cell r="A4956" t="str">
            <v>XZ-HM6003-P2-3738</v>
          </cell>
          <cell r="B4956" t="str">
            <v>XZ-HM6003</v>
          </cell>
        </row>
        <row r="4957">
          <cell r="A4957" t="str">
            <v>XZ-HM6003-P2-3940</v>
          </cell>
          <cell r="B4957" t="str">
            <v>XZ-HM6003</v>
          </cell>
        </row>
        <row r="4958">
          <cell r="A4958" t="str">
            <v>XZ-HM801-Bear-CO-3637</v>
          </cell>
          <cell r="B4958" t="str">
            <v>XZ-HM801</v>
          </cell>
        </row>
        <row r="4959">
          <cell r="A4959" t="str">
            <v>XZ-HM801-Bear-CO-3839</v>
          </cell>
          <cell r="B4959" t="str">
            <v>XZ-HM801</v>
          </cell>
        </row>
        <row r="4960">
          <cell r="A4960" t="str">
            <v>XZ-HM801-Bear-CO-4041</v>
          </cell>
          <cell r="B4960" t="str">
            <v>XZ-HM801</v>
          </cell>
        </row>
        <row r="4961">
          <cell r="A4961" t="str">
            <v>XZ-HM801-PI-3637</v>
          </cell>
          <cell r="B4961" t="str">
            <v>XZ-HM801</v>
          </cell>
        </row>
        <row r="4962">
          <cell r="A4962" t="str">
            <v>XZ-HM801-PI-3839</v>
          </cell>
          <cell r="B4962" t="str">
            <v>XZ-HM801</v>
          </cell>
        </row>
        <row r="4963">
          <cell r="A4963" t="str">
            <v>XZ-HM801-PI-4041</v>
          </cell>
          <cell r="B4963" t="str">
            <v>XZ-HM801</v>
          </cell>
        </row>
        <row r="4964">
          <cell r="A4964" t="str">
            <v>XZ-HM8130</v>
          </cell>
          <cell r="B4964" t="str">
            <v>XZ-HM8130</v>
          </cell>
        </row>
        <row r="4965">
          <cell r="A4965" t="str">
            <v>XZ-HM8130-B0-3637</v>
          </cell>
          <cell r="B4965" t="str">
            <v>XZ-HM8130</v>
          </cell>
        </row>
        <row r="4966">
          <cell r="A4966" t="str">
            <v>XZ-HM8130-B0-3839</v>
          </cell>
          <cell r="B4966" t="str">
            <v>XZ-HM8130</v>
          </cell>
        </row>
        <row r="4967">
          <cell r="A4967" t="str">
            <v>XZ-HM8130-B0-4041</v>
          </cell>
          <cell r="B4967" t="str">
            <v>XZ-HM8130</v>
          </cell>
        </row>
        <row r="4968">
          <cell r="A4968" t="str">
            <v>XZ-HM8130-BR-4041</v>
          </cell>
          <cell r="B4968" t="str">
            <v>XZ-HM8130</v>
          </cell>
        </row>
        <row r="4969">
          <cell r="A4969" t="str">
            <v>XZ-HM8130-BR-4243</v>
          </cell>
          <cell r="B4969" t="str">
            <v>XZ-HM8130</v>
          </cell>
        </row>
        <row r="4970">
          <cell r="A4970" t="str">
            <v>XZ-HM8130-BR-4445</v>
          </cell>
          <cell r="B4970" t="str">
            <v>XZ-HM8130</v>
          </cell>
        </row>
        <row r="4971">
          <cell r="A4971" t="str">
            <v>XZ-HM8130-G0-3637</v>
          </cell>
          <cell r="B4971" t="str">
            <v>XZ-HM8130</v>
          </cell>
        </row>
        <row r="4972">
          <cell r="A4972" t="str">
            <v>XZ-HM8130-G0-3839</v>
          </cell>
          <cell r="B4972" t="str">
            <v>XZ-HM8130</v>
          </cell>
        </row>
        <row r="4973">
          <cell r="A4973" t="str">
            <v>XZ-HM8130-G0-4041</v>
          </cell>
          <cell r="B4973" t="str">
            <v>XZ-HM8130</v>
          </cell>
        </row>
        <row r="4974">
          <cell r="A4974" t="str">
            <v>XZ-HM8130-GR-4041</v>
          </cell>
          <cell r="B4974" t="str">
            <v>XZ-HM8130</v>
          </cell>
        </row>
        <row r="4975">
          <cell r="A4975" t="str">
            <v>XZ-HM8130-GR-4243</v>
          </cell>
          <cell r="B4975" t="str">
            <v>XZ-HM8130</v>
          </cell>
        </row>
        <row r="4976">
          <cell r="A4976" t="str">
            <v>XZ-HM8130-GR-4445</v>
          </cell>
          <cell r="B4976" t="str">
            <v>XZ-HM8130</v>
          </cell>
        </row>
        <row r="4977">
          <cell r="A4977" t="str">
            <v>XZ-HM8130-PI-3637</v>
          </cell>
          <cell r="B4977" t="str">
            <v>XZ-HM8130</v>
          </cell>
        </row>
        <row r="4978">
          <cell r="A4978" t="str">
            <v>XZ-HM8130-PI-3839</v>
          </cell>
          <cell r="B4978" t="str">
            <v>XZ-HM8130</v>
          </cell>
        </row>
        <row r="4979">
          <cell r="A4979" t="str">
            <v>XZ-HM8130-PI-4041</v>
          </cell>
          <cell r="B4979" t="str">
            <v>XZ-HM8130</v>
          </cell>
        </row>
        <row r="4980">
          <cell r="A4980" t="str">
            <v>XZ-HM8130-R0-3637</v>
          </cell>
          <cell r="B4980" t="str">
            <v>XZ-HM8130</v>
          </cell>
        </row>
        <row r="4981">
          <cell r="A4981" t="str">
            <v>XZ-HM8130-R0-3839</v>
          </cell>
          <cell r="B4981" t="str">
            <v>XZ-HM8130</v>
          </cell>
        </row>
        <row r="4982">
          <cell r="A4982" t="str">
            <v>XZ-HM8130-R0-4041</v>
          </cell>
          <cell r="B4982" t="str">
            <v>XZ-HM8130</v>
          </cell>
        </row>
        <row r="4983">
          <cell r="A4983" t="str">
            <v>XZ-HM8130-Y0-3637</v>
          </cell>
          <cell r="B4983" t="str">
            <v>XZ-HM8130</v>
          </cell>
        </row>
        <row r="4984">
          <cell r="A4984" t="str">
            <v>XZ-HM8130-Y0-3839</v>
          </cell>
          <cell r="B4984" t="str">
            <v>XZ-HM8130</v>
          </cell>
        </row>
        <row r="4985">
          <cell r="A4985" t="str">
            <v>XZ-HM8130-Y0-4041</v>
          </cell>
          <cell r="B4985" t="str">
            <v>XZ-HM8130</v>
          </cell>
        </row>
        <row r="4986">
          <cell r="A4986" t="str">
            <v>XZ-HMA119</v>
          </cell>
          <cell r="B4986" t="str">
            <v>XZ-HMA119</v>
          </cell>
        </row>
        <row r="4987">
          <cell r="A4987" t="str">
            <v>XZ-HMA119-GR-3738</v>
          </cell>
          <cell r="B4987" t="str">
            <v>XZ-HMA119</v>
          </cell>
        </row>
        <row r="4988">
          <cell r="A4988" t="str">
            <v>XZ-HMA119-GR-3940</v>
          </cell>
          <cell r="B4988" t="str">
            <v>XZ-HMA119</v>
          </cell>
        </row>
        <row r="4989">
          <cell r="A4989" t="str">
            <v>XZ-HMA119-Pi-3738</v>
          </cell>
          <cell r="B4989" t="str">
            <v>XZ-HMA119</v>
          </cell>
        </row>
        <row r="4990">
          <cell r="A4990" t="str">
            <v>XZ-HMA119-Pi-3940</v>
          </cell>
          <cell r="B4990" t="str">
            <v>XZ-HMA119</v>
          </cell>
        </row>
        <row r="4991">
          <cell r="A4991" t="str">
            <v>XZ-HMA119-SH-4344</v>
          </cell>
          <cell r="B4991" t="str">
            <v>XZ-HMA119</v>
          </cell>
        </row>
        <row r="4992">
          <cell r="A4992" t="str">
            <v>XZ-HMA119-ZL-4142</v>
          </cell>
          <cell r="B4992" t="str">
            <v>XZ-HMA119</v>
          </cell>
        </row>
        <row r="4993">
          <cell r="A4993" t="str">
            <v>XZ-HMA119-ZL-4344</v>
          </cell>
          <cell r="B4993" t="str">
            <v>XZ-HMA119</v>
          </cell>
        </row>
        <row r="4994">
          <cell r="A4994" t="str">
            <v>XZ-HMA185</v>
          </cell>
          <cell r="B4994" t="str">
            <v>XZ-HMA185</v>
          </cell>
        </row>
        <row r="4995">
          <cell r="A4995" t="str">
            <v>XZ-HMA185-BE-3738</v>
          </cell>
          <cell r="B4995" t="str">
            <v>XZ-HMA185</v>
          </cell>
        </row>
        <row r="4996">
          <cell r="A4996" t="str">
            <v>XZ-HMA185-BE-3940</v>
          </cell>
          <cell r="B4996" t="str">
            <v>XZ-HMA185</v>
          </cell>
        </row>
        <row r="4997">
          <cell r="A4997" t="str">
            <v>XZ-HMA185-CO-4142</v>
          </cell>
          <cell r="B4997" t="str">
            <v>XZ-HMA185</v>
          </cell>
        </row>
        <row r="4998">
          <cell r="A4998" t="str">
            <v>XZ-HMA185-CO-4344</v>
          </cell>
          <cell r="B4998" t="str">
            <v>XZ-HMA185</v>
          </cell>
        </row>
        <row r="4999">
          <cell r="A4999" t="str">
            <v>XZ-HMA185-GR-4142</v>
          </cell>
          <cell r="B4999" t="str">
            <v>XZ-HMA185</v>
          </cell>
        </row>
        <row r="5000">
          <cell r="A5000" t="str">
            <v>XZ-HMA185-GR-4344</v>
          </cell>
          <cell r="B5000" t="str">
            <v>XZ-HMA185</v>
          </cell>
        </row>
        <row r="5001">
          <cell r="A5001" t="str">
            <v>XZ-HMA185-P0-3738</v>
          </cell>
          <cell r="B5001" t="str">
            <v>XZ-HMA185</v>
          </cell>
        </row>
        <row r="5002">
          <cell r="A5002" t="str">
            <v>XZ-HMA185-P0-3940</v>
          </cell>
          <cell r="B5002" t="str">
            <v>XZ-HMA185</v>
          </cell>
        </row>
        <row r="5003">
          <cell r="A5003" t="str">
            <v>XZ-HMA185-Pi-3738</v>
          </cell>
          <cell r="B5003" t="str">
            <v>XZ-HMA185</v>
          </cell>
        </row>
        <row r="5004">
          <cell r="A5004" t="str">
            <v>XZ-HMA185-Pi-3940</v>
          </cell>
          <cell r="B5004" t="str">
            <v>XZ-HMA185</v>
          </cell>
        </row>
        <row r="5005">
          <cell r="A5005" t="str">
            <v>XZ-HMA190</v>
          </cell>
          <cell r="B5005" t="str">
            <v>XZ-HMA190</v>
          </cell>
        </row>
        <row r="5006">
          <cell r="A5006" t="str">
            <v>XZ-HMA190-B0-3738</v>
          </cell>
          <cell r="B5006" t="str">
            <v>XZ-HMA190</v>
          </cell>
        </row>
        <row r="5007">
          <cell r="A5007" t="str">
            <v>XZ-HMA190-B0-3940</v>
          </cell>
          <cell r="B5007" t="str">
            <v>XZ-HMA190</v>
          </cell>
        </row>
        <row r="5008">
          <cell r="A5008" t="str">
            <v>XZ-HMA190-BR-4142</v>
          </cell>
          <cell r="B5008" t="str">
            <v>XZ-HMA190</v>
          </cell>
        </row>
        <row r="5009">
          <cell r="A5009" t="str">
            <v>XZ-HMA190-BR-4344</v>
          </cell>
          <cell r="B5009" t="str">
            <v>XZ-HMA190</v>
          </cell>
        </row>
        <row r="5010">
          <cell r="A5010" t="str">
            <v>XZ-HMA190-CO-4142</v>
          </cell>
          <cell r="B5010" t="str">
            <v>XZ-HMA190</v>
          </cell>
        </row>
        <row r="5011">
          <cell r="A5011" t="str">
            <v>XZ-HMA190-CO-4344</v>
          </cell>
          <cell r="B5011" t="str">
            <v>XZ-HMA190</v>
          </cell>
        </row>
        <row r="5012">
          <cell r="A5012" t="str">
            <v>XZ-HMA190-CPi-3132</v>
          </cell>
          <cell r="B5012" t="str">
            <v>XZ-HMA190</v>
          </cell>
        </row>
        <row r="5013">
          <cell r="A5013" t="str">
            <v>XZ-HMA190-CPi-3334</v>
          </cell>
          <cell r="B5013" t="str">
            <v>XZ-HMA190</v>
          </cell>
        </row>
        <row r="5014">
          <cell r="A5014" t="str">
            <v>XZ-HMA190-CPi-3536</v>
          </cell>
          <cell r="B5014" t="str">
            <v>XZ-HMA190</v>
          </cell>
        </row>
        <row r="5015">
          <cell r="A5015" t="str">
            <v>XZ-HMA190-Gr-3738</v>
          </cell>
          <cell r="B5015" t="str">
            <v>XZ-HMA190</v>
          </cell>
        </row>
        <row r="5016">
          <cell r="A5016" t="str">
            <v>XZ-HMA190-MGR-4142</v>
          </cell>
          <cell r="B5016" t="str">
            <v>XZ-HMA190</v>
          </cell>
        </row>
        <row r="5017">
          <cell r="A5017" t="str">
            <v>XZ-HMA190-MGR-4344</v>
          </cell>
          <cell r="B5017" t="str">
            <v>XZ-HMA190</v>
          </cell>
        </row>
        <row r="5018">
          <cell r="A5018" t="str">
            <v>XZ-HMA190-P0-3738</v>
          </cell>
          <cell r="B5018" t="str">
            <v>XZ-HMA190</v>
          </cell>
        </row>
        <row r="5019">
          <cell r="A5019" t="str">
            <v>XZ-HMA190-P0-3940</v>
          </cell>
          <cell r="B5019" t="str">
            <v>XZ-HMA190</v>
          </cell>
        </row>
        <row r="5020">
          <cell r="A5020" t="str">
            <v>XZ-HMA190-Pi-3738</v>
          </cell>
          <cell r="B5020" t="str">
            <v>XZ-HMA190</v>
          </cell>
        </row>
        <row r="5021">
          <cell r="A5021" t="str">
            <v>XZ-HMA190-Pi-3940</v>
          </cell>
          <cell r="B5021" t="str">
            <v>XZ-HMA190</v>
          </cell>
        </row>
        <row r="5022">
          <cell r="A5022" t="str">
            <v>XZ-HMA190-W0-3132</v>
          </cell>
          <cell r="B5022" t="str">
            <v>XZ-HMA190</v>
          </cell>
        </row>
        <row r="5023">
          <cell r="A5023" t="str">
            <v>XZ-HMA190-W0-3334</v>
          </cell>
          <cell r="B5023" t="str">
            <v>XZ-HMA190</v>
          </cell>
        </row>
        <row r="5024">
          <cell r="A5024" t="str">
            <v>XZ-HMA190-W0-3536</v>
          </cell>
          <cell r="B5024" t="str">
            <v>XZ-HMA190</v>
          </cell>
        </row>
        <row r="5025">
          <cell r="A5025" t="str">
            <v>XZ-HMA190-W0-3738</v>
          </cell>
          <cell r="B5025" t="str">
            <v>XZ-HMA190</v>
          </cell>
        </row>
        <row r="5026">
          <cell r="A5026" t="str">
            <v>XZ-HMA190-W0-3940</v>
          </cell>
          <cell r="B5026" t="str">
            <v>XZ-HMA190</v>
          </cell>
        </row>
        <row r="5027">
          <cell r="A5027" t="str">
            <v>XZ-HMA194</v>
          </cell>
          <cell r="B5027" t="str">
            <v>XZ-HMA194</v>
          </cell>
        </row>
        <row r="5028">
          <cell r="A5028" t="str">
            <v>XZ-HMA194-B0-3738</v>
          </cell>
          <cell r="B5028" t="str">
            <v>XZ-HMA194</v>
          </cell>
        </row>
        <row r="5029">
          <cell r="A5029" t="str">
            <v>XZ-HMA194-B0-3940</v>
          </cell>
          <cell r="B5029" t="str">
            <v>XZ-HMA194</v>
          </cell>
        </row>
        <row r="5030">
          <cell r="A5030" t="str">
            <v>XZ-HMA194-CO-4142</v>
          </cell>
          <cell r="B5030" t="str">
            <v>XZ-HMA194</v>
          </cell>
        </row>
        <row r="5031">
          <cell r="A5031" t="str">
            <v>XZ-HMA194-CO-4344</v>
          </cell>
          <cell r="B5031" t="str">
            <v>XZ-HMA194</v>
          </cell>
        </row>
        <row r="5032">
          <cell r="A5032" t="str">
            <v>XZ-HMA194-GR-4142</v>
          </cell>
          <cell r="B5032" t="str">
            <v>XZ-HMA194</v>
          </cell>
        </row>
        <row r="5033">
          <cell r="A5033" t="str">
            <v>XZ-HMA194-GR-4344</v>
          </cell>
          <cell r="B5033" t="str">
            <v>XZ-HMA194</v>
          </cell>
        </row>
        <row r="5034">
          <cell r="A5034" t="str">
            <v>XZ-HMA194-KQ-4142</v>
          </cell>
          <cell r="B5034" t="str">
            <v>XZ-HMA194</v>
          </cell>
        </row>
        <row r="5035">
          <cell r="A5035" t="str">
            <v>XZ-HMA194-KQ-4344</v>
          </cell>
          <cell r="B5035" t="str">
            <v>XZ-HMA194</v>
          </cell>
        </row>
        <row r="5036">
          <cell r="A5036" t="str">
            <v>XZ-HMA194-Pi-3738</v>
          </cell>
          <cell r="B5036" t="str">
            <v>XZ-HMA194</v>
          </cell>
        </row>
        <row r="5037">
          <cell r="A5037" t="str">
            <v>XZ-HMA194-Pi-3940</v>
          </cell>
          <cell r="B5037" t="str">
            <v>XZ-HMA194</v>
          </cell>
        </row>
        <row r="5038">
          <cell r="A5038" t="str">
            <v>XZ-HMA194-R0-3738</v>
          </cell>
          <cell r="B5038" t="str">
            <v>XZ-HMA194</v>
          </cell>
        </row>
        <row r="5039">
          <cell r="A5039" t="str">
            <v>XZ-HMA194-R0-3940</v>
          </cell>
          <cell r="B5039" t="str">
            <v>XZ-HMA194</v>
          </cell>
        </row>
        <row r="5040">
          <cell r="A5040" t="str">
            <v>XZ-HMA195</v>
          </cell>
          <cell r="B5040" t="str">
            <v>XZ-HMA195</v>
          </cell>
        </row>
        <row r="5041">
          <cell r="A5041" t="str">
            <v>XZ-HMA195-B0-3738</v>
          </cell>
          <cell r="B5041" t="str">
            <v>XZ-HMA195</v>
          </cell>
        </row>
        <row r="5042">
          <cell r="A5042" t="str">
            <v>XZ-HMA195-B0-3940</v>
          </cell>
          <cell r="B5042" t="str">
            <v>XZ-HMA195</v>
          </cell>
        </row>
        <row r="5043">
          <cell r="A5043" t="str">
            <v>XZ-HMA195-Pi-3738</v>
          </cell>
          <cell r="B5043" t="str">
            <v>XZ-HMA195</v>
          </cell>
        </row>
        <row r="5044">
          <cell r="A5044" t="str">
            <v>XZ-HMA195-Pi-3940</v>
          </cell>
          <cell r="B5044" t="str">
            <v>XZ-HMA195</v>
          </cell>
        </row>
        <row r="5045">
          <cell r="A5045" t="str">
            <v>XZ-HMA204</v>
          </cell>
          <cell r="B5045" t="str">
            <v>XZ-HMA204</v>
          </cell>
        </row>
        <row r="5046">
          <cell r="A5046" t="str">
            <v>XZ-HMA204-B0-3738</v>
          </cell>
          <cell r="B5046" t="str">
            <v>XZ-HMA204</v>
          </cell>
        </row>
        <row r="5047">
          <cell r="A5047" t="str">
            <v>XZ-HMA204-B0-3940</v>
          </cell>
          <cell r="B5047" t="str">
            <v>XZ-HMA204</v>
          </cell>
        </row>
        <row r="5048">
          <cell r="A5048" t="str">
            <v>XZ-HMA204-Pi-3738</v>
          </cell>
          <cell r="B5048" t="str">
            <v>XZ-HMA204</v>
          </cell>
        </row>
        <row r="5049">
          <cell r="A5049" t="str">
            <v>XZ-HMA204-Pi-3940</v>
          </cell>
          <cell r="B5049" t="str">
            <v>XZ-HMA204</v>
          </cell>
        </row>
        <row r="5050">
          <cell r="A5050" t="str">
            <v>XZ-HMA204-R0-3738</v>
          </cell>
          <cell r="B5050" t="str">
            <v>XZ-HMA204</v>
          </cell>
        </row>
        <row r="5051">
          <cell r="A5051" t="str">
            <v>XZ-HMA204-R0-3940</v>
          </cell>
          <cell r="B5051" t="str">
            <v>XZ-HMA204</v>
          </cell>
        </row>
        <row r="5052">
          <cell r="A5052" t="str">
            <v>XZ-HMA204-W0-3738</v>
          </cell>
          <cell r="B5052" t="str">
            <v>XZ-HMA204</v>
          </cell>
        </row>
        <row r="5053">
          <cell r="A5053" t="str">
            <v>XZ-HMA204-W0-3940</v>
          </cell>
          <cell r="B5053" t="str">
            <v>XZ-HMA204</v>
          </cell>
        </row>
        <row r="5054">
          <cell r="A5054" t="str">
            <v>XZ-HMAS2002</v>
          </cell>
          <cell r="B5054" t="str">
            <v>XZ-HMAS2002</v>
          </cell>
        </row>
        <row r="5055">
          <cell r="A5055" t="str">
            <v>XZ-HMAS2002-BE-L</v>
          </cell>
          <cell r="B5055" t="str">
            <v>XZ-HMAS2002</v>
          </cell>
        </row>
        <row r="5056">
          <cell r="A5056" t="str">
            <v>XZ-HMAS2002-BE-XL</v>
          </cell>
          <cell r="B5056" t="str">
            <v>XZ-HMAS2002</v>
          </cell>
        </row>
        <row r="5057">
          <cell r="A5057" t="str">
            <v>XZ-HMAS2002-BR-L</v>
          </cell>
          <cell r="B5057" t="str">
            <v>XZ-HMAS2002</v>
          </cell>
        </row>
        <row r="5058">
          <cell r="A5058" t="str">
            <v>XZ-HMAS2002-BR-XL</v>
          </cell>
          <cell r="B5058" t="str">
            <v>XZ-HMAS2002</v>
          </cell>
        </row>
        <row r="5059">
          <cell r="A5059" t="str">
            <v>XZ-HMBH019</v>
          </cell>
          <cell r="B5059" t="str">
            <v>XZ-HMBH019</v>
          </cell>
        </row>
        <row r="5060">
          <cell r="A5060" t="str">
            <v>XZ-HMBH019-28-29</v>
          </cell>
          <cell r="B5060" t="str">
            <v>XZ-HMBH019</v>
          </cell>
        </row>
        <row r="5061">
          <cell r="A5061" t="str">
            <v>XZ-HMBH019-30-31</v>
          </cell>
          <cell r="B5061" t="str">
            <v>XZ-HMBH019</v>
          </cell>
        </row>
        <row r="5062">
          <cell r="A5062" t="str">
            <v>XZ-HMBH019-32-33</v>
          </cell>
          <cell r="B5062" t="str">
            <v>XZ-HMBH019</v>
          </cell>
        </row>
        <row r="5063">
          <cell r="A5063" t="str">
            <v>XZ-HMBH019-36-37</v>
          </cell>
          <cell r="B5063" t="str">
            <v>XZ-HMBH019</v>
          </cell>
        </row>
        <row r="5064">
          <cell r="A5064" t="str">
            <v>XZ-HMBH019-38-39</v>
          </cell>
          <cell r="B5064" t="str">
            <v>XZ-HMBH019</v>
          </cell>
        </row>
        <row r="5065">
          <cell r="A5065" t="str">
            <v>XZ-HMBH019-40-41</v>
          </cell>
          <cell r="B5065" t="str">
            <v>XZ-HMBH019</v>
          </cell>
        </row>
        <row r="5066">
          <cell r="A5066" t="str">
            <v>XZ-HMCAT250</v>
          </cell>
          <cell r="B5066" t="str">
            <v>XZ-HMCAT250</v>
          </cell>
        </row>
        <row r="5067">
          <cell r="A5067" t="str">
            <v>XZ-HMCAT250-CO-4041</v>
          </cell>
          <cell r="B5067" t="str">
            <v>XZ-HMCAT250</v>
          </cell>
        </row>
        <row r="5068">
          <cell r="A5068" t="str">
            <v>XZ-HMCAT250-CO-4243</v>
          </cell>
          <cell r="B5068" t="str">
            <v>XZ-HMCAT250</v>
          </cell>
        </row>
        <row r="5069">
          <cell r="A5069" t="str">
            <v>XZ-HMCAT250-CO-4445</v>
          </cell>
          <cell r="B5069" t="str">
            <v>XZ-HMCAT250</v>
          </cell>
        </row>
        <row r="5070">
          <cell r="A5070" t="str">
            <v>XZ-HMCAT250-GR-4041</v>
          </cell>
          <cell r="B5070" t="str">
            <v>XZ-HMCAT250</v>
          </cell>
        </row>
        <row r="5071">
          <cell r="A5071" t="str">
            <v>XZ-HMCAT250-GR-4243</v>
          </cell>
          <cell r="B5071" t="str">
            <v>XZ-HMCAT250</v>
          </cell>
        </row>
        <row r="5072">
          <cell r="A5072" t="str">
            <v>XZ-HMCAT250-GR-4445</v>
          </cell>
          <cell r="B5072" t="str">
            <v>XZ-HMCAT250</v>
          </cell>
        </row>
        <row r="5073">
          <cell r="A5073" t="str">
            <v>XZ-HMCAT250-Pi-3637</v>
          </cell>
          <cell r="B5073" t="str">
            <v>XZ-HMCAT250</v>
          </cell>
        </row>
        <row r="5074">
          <cell r="A5074" t="str">
            <v>XZ-HMCAT250-Pi-3839</v>
          </cell>
          <cell r="B5074" t="str">
            <v>XZ-HMCAT250</v>
          </cell>
        </row>
        <row r="5075">
          <cell r="A5075" t="str">
            <v>XZ-HMCAT250-Pi-4041</v>
          </cell>
          <cell r="B5075" t="str">
            <v>XZ-HMCAT250</v>
          </cell>
        </row>
        <row r="5076">
          <cell r="A5076" t="str">
            <v>XZ-HMCAT250-W0-3637</v>
          </cell>
          <cell r="B5076" t="str">
            <v>XZ-HMCAT250</v>
          </cell>
        </row>
        <row r="5077">
          <cell r="A5077" t="str">
            <v>XZ-HMCAT250-W0-3839</v>
          </cell>
          <cell r="B5077" t="str">
            <v>XZ-HMCAT250</v>
          </cell>
        </row>
        <row r="5078">
          <cell r="A5078" t="str">
            <v>XZ-HMCAT250-W0-4041</v>
          </cell>
          <cell r="B5078" t="str">
            <v>XZ-HMCAT250</v>
          </cell>
        </row>
        <row r="5079">
          <cell r="A5079" t="str">
            <v>XZ-HMCAT255</v>
          </cell>
          <cell r="B5079" t="str">
            <v>XZ-HMCAT255</v>
          </cell>
        </row>
        <row r="5080">
          <cell r="A5080" t="str">
            <v>XZ-HMCAT255-CO-4041</v>
          </cell>
          <cell r="B5080" t="str">
            <v>XZ-HMCAT255</v>
          </cell>
        </row>
        <row r="5081">
          <cell r="A5081" t="str">
            <v>XZ-HMCAT255-CO-4243</v>
          </cell>
          <cell r="B5081" t="str">
            <v>XZ-HMCAT255</v>
          </cell>
        </row>
        <row r="5082">
          <cell r="A5082" t="str">
            <v>XZ-HMCAT255-CO-4445</v>
          </cell>
          <cell r="B5082" t="str">
            <v>XZ-HMCAT255</v>
          </cell>
        </row>
        <row r="5083">
          <cell r="A5083" t="str">
            <v>XZ-HMCAT255-GR-4041</v>
          </cell>
          <cell r="B5083" t="str">
            <v>XZ-HMCAT255</v>
          </cell>
        </row>
        <row r="5084">
          <cell r="A5084" t="str">
            <v>XZ-HMCAT255-GR-4243</v>
          </cell>
          <cell r="B5084" t="str">
            <v>XZ-HMCAT255</v>
          </cell>
        </row>
        <row r="5085">
          <cell r="A5085" t="str">
            <v>XZ-HMCAT255-GR-4445</v>
          </cell>
          <cell r="B5085" t="str">
            <v>XZ-HMCAT255</v>
          </cell>
        </row>
        <row r="5086">
          <cell r="A5086" t="str">
            <v>XZ-HMCAT255-Pi-3637</v>
          </cell>
          <cell r="B5086" t="str">
            <v>XZ-HMCAT255</v>
          </cell>
        </row>
        <row r="5087">
          <cell r="A5087" t="str">
            <v>XZ-HMCAT255-Pi-3839</v>
          </cell>
          <cell r="B5087" t="str">
            <v>XZ-HMCAT255</v>
          </cell>
        </row>
        <row r="5088">
          <cell r="A5088" t="str">
            <v>XZ-HMCAT255-Pi-4041</v>
          </cell>
          <cell r="B5088" t="str">
            <v>XZ-HMCAT255</v>
          </cell>
        </row>
        <row r="5089">
          <cell r="A5089" t="str">
            <v>XZ-HMCAT255-W0-3637</v>
          </cell>
          <cell r="B5089" t="str">
            <v>XZ-HMCAT255</v>
          </cell>
        </row>
        <row r="5090">
          <cell r="A5090" t="str">
            <v>XZ-HMCAT255-W0-3839</v>
          </cell>
          <cell r="B5090" t="str">
            <v>XZ-HMCAT255</v>
          </cell>
        </row>
        <row r="5091">
          <cell r="A5091" t="str">
            <v>XZ-HMCAT255-W0-4041</v>
          </cell>
          <cell r="B5091" t="str">
            <v>XZ-HMCAT255</v>
          </cell>
        </row>
        <row r="5092">
          <cell r="A5092" t="str">
            <v>XZ-HMFox2200-B0-14/15</v>
          </cell>
          <cell r="B5092" t="str">
            <v>XZ-HMFox2200</v>
          </cell>
        </row>
        <row r="5093">
          <cell r="A5093" t="str">
            <v>XZ-HMFox2200-B0-16/17</v>
          </cell>
          <cell r="B5093" t="str">
            <v>XZ-HMFox2200</v>
          </cell>
        </row>
        <row r="5094">
          <cell r="A5094" t="str">
            <v>XZ-HMFox2200-B0-18/19</v>
          </cell>
          <cell r="B5094" t="str">
            <v>XZ-HMFox2200</v>
          </cell>
        </row>
        <row r="5095">
          <cell r="A5095" t="str">
            <v>XZ-HMFox2200-B0-20</v>
          </cell>
          <cell r="B5095" t="str">
            <v>XZ-HMFox2200</v>
          </cell>
        </row>
        <row r="5096">
          <cell r="A5096" t="str">
            <v>XZ-HMFox2200-CO-18/19</v>
          </cell>
          <cell r="B5096" t="str">
            <v>XZ-HMFox2200</v>
          </cell>
        </row>
        <row r="5097">
          <cell r="A5097" t="str">
            <v>XZ-HMFox2200-G0-16/17</v>
          </cell>
          <cell r="B5097" t="str">
            <v>XZ-HMFox2200</v>
          </cell>
        </row>
        <row r="5098">
          <cell r="A5098" t="str">
            <v>XZ-HMFox2200-G0-18/19</v>
          </cell>
          <cell r="B5098" t="str">
            <v>XZ-HMFox2200</v>
          </cell>
        </row>
        <row r="5099">
          <cell r="A5099" t="str">
            <v>XZ-HMFox2200-PI-18/19</v>
          </cell>
          <cell r="B5099" t="str">
            <v>XZ-HMFox2200</v>
          </cell>
        </row>
        <row r="5100">
          <cell r="A5100" t="str">
            <v>XZ-HMFox2200-R0-14/15</v>
          </cell>
          <cell r="B5100" t="str">
            <v>XZ-HMFox2200</v>
          </cell>
        </row>
        <row r="5101">
          <cell r="A5101" t="str">
            <v>XZ-HMFox2200-R0-16/17</v>
          </cell>
          <cell r="B5101" t="str">
            <v>XZ-HMFox2200</v>
          </cell>
        </row>
        <row r="5102">
          <cell r="A5102" t="str">
            <v>XZ-HMFox2200-R0-18/19</v>
          </cell>
          <cell r="B5102" t="str">
            <v>XZ-HMFox2200</v>
          </cell>
        </row>
        <row r="5103">
          <cell r="A5103" t="str">
            <v>XZ-HMFox2200-R0-20</v>
          </cell>
          <cell r="B5103" t="str">
            <v>XZ-HMFox2200</v>
          </cell>
        </row>
        <row r="5104">
          <cell r="A5104" t="str">
            <v>XZ-HMGG29</v>
          </cell>
          <cell r="B5104" t="str">
            <v>XZ-HMGG29</v>
          </cell>
        </row>
        <row r="5105">
          <cell r="A5105" t="str">
            <v>XZ-HMGG29-Y0-3637</v>
          </cell>
          <cell r="B5105" t="str">
            <v>XZ-HMGG29</v>
          </cell>
        </row>
        <row r="5106">
          <cell r="A5106" t="str">
            <v>XZ-HMGG29-Y0-3839</v>
          </cell>
          <cell r="B5106" t="str">
            <v>XZ-HMGG29</v>
          </cell>
        </row>
        <row r="5107">
          <cell r="A5107" t="str">
            <v>XZ-HMGR23</v>
          </cell>
          <cell r="B5107" t="str">
            <v>XZ-HMGR23</v>
          </cell>
        </row>
        <row r="5108">
          <cell r="A5108" t="str">
            <v>XZ-HMGR23-GR-3536</v>
          </cell>
          <cell r="B5108" t="str">
            <v>XZ-HMGR23</v>
          </cell>
        </row>
        <row r="5109">
          <cell r="A5109" t="str">
            <v>XZ-HMGR23-GR-3738</v>
          </cell>
          <cell r="B5109" t="str">
            <v>XZ-HMGR23</v>
          </cell>
        </row>
        <row r="5110">
          <cell r="A5110" t="str">
            <v>XZ-HMGR23-GR-3940</v>
          </cell>
          <cell r="B5110" t="str">
            <v>XZ-HMGR23</v>
          </cell>
        </row>
        <row r="5111">
          <cell r="A5111" t="str">
            <v>XZ-HMHM0133-W0-3637</v>
          </cell>
          <cell r="B5111" t="str">
            <v>XZ-HMHM0133</v>
          </cell>
        </row>
        <row r="5112">
          <cell r="A5112" t="str">
            <v>XZ-HMHM0133-W0-3839</v>
          </cell>
          <cell r="B5112" t="str">
            <v>XZ-HMHM0133</v>
          </cell>
        </row>
        <row r="5113">
          <cell r="A5113" t="str">
            <v>XZ-HMHX-ML299-B0-3536</v>
          </cell>
          <cell r="B5113" t="str">
            <v>XZ-HMHX-ML299</v>
          </cell>
        </row>
        <row r="5114">
          <cell r="A5114" t="str">
            <v>XZ-HMHX-ML299-B0-3738</v>
          </cell>
          <cell r="B5114" t="str">
            <v>XZ-HMHX-ML299</v>
          </cell>
        </row>
        <row r="5115">
          <cell r="A5115" t="str">
            <v>XZ-HMHX-ML299-B0-3940</v>
          </cell>
          <cell r="B5115" t="str">
            <v>XZ-HMHX-QE298</v>
          </cell>
        </row>
        <row r="5116">
          <cell r="A5116" t="str">
            <v>XZ-HMHX-ML299-PI-3536</v>
          </cell>
          <cell r="B5116" t="str">
            <v>XZ-HMHX-QE298</v>
          </cell>
        </row>
        <row r="5117">
          <cell r="A5117" t="str">
            <v>XZ-HMHX-ML299-PI-3738</v>
          </cell>
          <cell r="B5117" t="str">
            <v>XZ-HMHX-QE298</v>
          </cell>
        </row>
        <row r="5118">
          <cell r="A5118" t="str">
            <v>XZ-HMHX-ML299-PI-3940</v>
          </cell>
          <cell r="B5118" t="str">
            <v>XZ-HMHX-QE298</v>
          </cell>
        </row>
        <row r="5119">
          <cell r="A5119" t="str">
            <v>XZ-HMHX-ML299-PU-3536</v>
          </cell>
          <cell r="B5119" t="str">
            <v>XZ-HMHX-QE298</v>
          </cell>
        </row>
        <row r="5120">
          <cell r="A5120" t="str">
            <v>XZ-HMHX-ML299-PU-3738</v>
          </cell>
          <cell r="B5120" t="str">
            <v>XZ-HMHX-QE298</v>
          </cell>
        </row>
        <row r="5121">
          <cell r="A5121" t="str">
            <v>XZ-HMHX-ML299-PU-3940</v>
          </cell>
          <cell r="B5121" t="str">
            <v>XZ-HMHX-QE298</v>
          </cell>
        </row>
        <row r="5122">
          <cell r="A5122" t="str">
            <v>XZ-HMHX-ML299-PU-3940</v>
          </cell>
          <cell r="B5122" t="str">
            <v>XZ-HMHX-ML299</v>
          </cell>
        </row>
        <row r="5123">
          <cell r="A5123" t="str">
            <v>XZ-HMHX-QE004</v>
          </cell>
          <cell r="B5123" t="str">
            <v>XZ-HMHX-QE004</v>
          </cell>
        </row>
        <row r="5124">
          <cell r="A5124" t="str">
            <v>XZ-HMHX-QE004-GR-3536</v>
          </cell>
          <cell r="B5124" t="str">
            <v>XZ-HMHX-QE004</v>
          </cell>
        </row>
        <row r="5125">
          <cell r="A5125" t="str">
            <v>XZ-HMHX-QE004-GR-3738</v>
          </cell>
          <cell r="B5125" t="str">
            <v>XZ-HMHX-QE004</v>
          </cell>
        </row>
        <row r="5126">
          <cell r="A5126" t="str">
            <v>XZ-HMHX-QE004-GR-3940</v>
          </cell>
          <cell r="B5126" t="str">
            <v>XZ-HMHX-QE004</v>
          </cell>
        </row>
        <row r="5127">
          <cell r="A5127" t="str">
            <v>XZ-HMHX-QE004-GR-4142</v>
          </cell>
          <cell r="B5127" t="str">
            <v>XZ-HMHX-QE004</v>
          </cell>
        </row>
        <row r="5128">
          <cell r="A5128" t="str">
            <v>XZ-HMHX-QE004-GR-4344</v>
          </cell>
          <cell r="B5128" t="str">
            <v>XZ-HMHX-QE004</v>
          </cell>
        </row>
        <row r="5129">
          <cell r="A5129" t="str">
            <v>XZ-HMHX-QE004-K0-3536</v>
          </cell>
          <cell r="B5129" t="str">
            <v>XZ-HMHX-QE004</v>
          </cell>
        </row>
        <row r="5130">
          <cell r="A5130" t="str">
            <v>XZ-HMHX-QE004-K0-3738</v>
          </cell>
          <cell r="B5130" t="str">
            <v>XZ-HMHX-QE004</v>
          </cell>
        </row>
        <row r="5131">
          <cell r="A5131" t="str">
            <v>XZ-HMHX-QE004-K0-3940</v>
          </cell>
          <cell r="B5131" t="str">
            <v>XZ-HMHX-QE004</v>
          </cell>
        </row>
        <row r="5132">
          <cell r="A5132" t="str">
            <v>XZ-HMHX-QE004-K0-4142</v>
          </cell>
          <cell r="B5132" t="str">
            <v>XZ-HMHX-QE004</v>
          </cell>
        </row>
        <row r="5133">
          <cell r="A5133" t="str">
            <v>XZ-HMHX-QE004-K0-4344</v>
          </cell>
          <cell r="B5133" t="str">
            <v>XZ-HMHX-QE004</v>
          </cell>
        </row>
        <row r="5134">
          <cell r="A5134" t="str">
            <v>XZ-HMHX-QE004-PI-3536</v>
          </cell>
          <cell r="B5134" t="str">
            <v>XZ-HMHX-QE004</v>
          </cell>
        </row>
        <row r="5135">
          <cell r="A5135" t="str">
            <v>XZ-HMHX-QE004-PI-3738</v>
          </cell>
          <cell r="B5135" t="str">
            <v>XZ-HMHX-QE004</v>
          </cell>
        </row>
        <row r="5136">
          <cell r="A5136" t="str">
            <v>XZ-HMHX-QE004-PI-3940</v>
          </cell>
          <cell r="B5136" t="str">
            <v>XZ-HMHX-QE004</v>
          </cell>
        </row>
        <row r="5137">
          <cell r="A5137" t="str">
            <v>XZ-HMHX-QE298</v>
          </cell>
          <cell r="B5137" t="str">
            <v>XZ-HMHX-QE298</v>
          </cell>
        </row>
        <row r="5138">
          <cell r="A5138" t="str">
            <v>XZ-HMHX-TZ003-G0-3536</v>
          </cell>
          <cell r="B5138" t="str">
            <v>XZ-HMHX-TZ003</v>
          </cell>
        </row>
        <row r="5139">
          <cell r="A5139" t="str">
            <v>XZ-HMHX-TZ003-G0-3738</v>
          </cell>
          <cell r="B5139" t="str">
            <v>XZ-HMHX-TZ003</v>
          </cell>
        </row>
        <row r="5140">
          <cell r="A5140" t="str">
            <v>XZ-HMHX-TZ003-G0-3940</v>
          </cell>
          <cell r="B5140" t="str">
            <v>XZ-HMHX-TZ003</v>
          </cell>
        </row>
        <row r="5141">
          <cell r="A5141" t="str">
            <v>XZ-HMHX-TZ003-OR-3536</v>
          </cell>
          <cell r="B5141" t="str">
            <v>XZ-HMHX-TZ003</v>
          </cell>
        </row>
        <row r="5142">
          <cell r="A5142" t="str">
            <v>XZ-HMHX-TZ003-OR-3738</v>
          </cell>
          <cell r="B5142" t="str">
            <v>XZ-HMHX-TZ003</v>
          </cell>
        </row>
        <row r="5143">
          <cell r="A5143" t="str">
            <v>XZ-HMHX-TZ003-OR-3940</v>
          </cell>
          <cell r="B5143" t="str">
            <v>XZ-HMHX-TZ003</v>
          </cell>
        </row>
        <row r="5144">
          <cell r="A5144" t="str">
            <v>XZ-HMHX-TZ003-PI-3536</v>
          </cell>
          <cell r="B5144" t="str">
            <v>XZ-HMHX-TZ003</v>
          </cell>
        </row>
        <row r="5145">
          <cell r="A5145" t="str">
            <v>XZ-HMHX-TZ003-PI-3738</v>
          </cell>
          <cell r="B5145" t="str">
            <v>XZ-HMHX-TZ003</v>
          </cell>
        </row>
        <row r="5146">
          <cell r="A5146" t="str">
            <v>XZ-HMHX-TZ003-PI-3940</v>
          </cell>
          <cell r="B5146" t="str">
            <v>XZ-HMHX-TZ003</v>
          </cell>
        </row>
        <row r="5147">
          <cell r="A5147" t="str">
            <v>XZ-HMHX-TZ003-PU-3536</v>
          </cell>
          <cell r="B5147" t="str">
            <v>XZ-HMHX-TZ003</v>
          </cell>
        </row>
        <row r="5148">
          <cell r="A5148" t="str">
            <v>XZ-HMHX-TZ003-PU-3738</v>
          </cell>
          <cell r="B5148" t="str">
            <v>XZ-HMHX-TZ003</v>
          </cell>
        </row>
        <row r="5149">
          <cell r="A5149" t="str">
            <v>XZ-HMHX-TZ003-PU-3940</v>
          </cell>
          <cell r="B5149" t="str">
            <v>XZ-HMHX-TZ003</v>
          </cell>
        </row>
        <row r="5150">
          <cell r="A5150" t="str">
            <v>XZ-HMHX-YL001-PU-3940</v>
          </cell>
          <cell r="B5150" t="str">
            <v>XZ-HMHX-YL001</v>
          </cell>
        </row>
        <row r="5151">
          <cell r="A5151" t="str">
            <v>XZ-HMKid-XP04</v>
          </cell>
          <cell r="B5151" t="str">
            <v>XZ-HMKid-XP04</v>
          </cell>
        </row>
        <row r="5152">
          <cell r="A5152" t="str">
            <v>XZ-HMKid-XP04-BE-21</v>
          </cell>
          <cell r="B5152" t="str">
            <v>XZ-HMKid-XP04</v>
          </cell>
        </row>
        <row r="5153">
          <cell r="A5153" t="str">
            <v>XZ-HMKid-XP04-BE-22</v>
          </cell>
          <cell r="B5153" t="str">
            <v>XZ-HMKid-XP04</v>
          </cell>
        </row>
        <row r="5154">
          <cell r="A5154" t="str">
            <v>XZ-HMKid-XP04-CO-21</v>
          </cell>
          <cell r="B5154" t="str">
            <v>XZ-HMKid-XP04</v>
          </cell>
        </row>
        <row r="5155">
          <cell r="A5155" t="str">
            <v>XZ-HMKid-XP04-CO-22</v>
          </cell>
          <cell r="B5155" t="str">
            <v>XZ-HMKid-XP04</v>
          </cell>
        </row>
        <row r="5156">
          <cell r="A5156" t="str">
            <v>XZ-HMKid-XP04-PI-20</v>
          </cell>
          <cell r="B5156" t="str">
            <v>XZ-HMKid-XP04</v>
          </cell>
        </row>
        <row r="5157">
          <cell r="A5157" t="str">
            <v>XZ-HMKid-XP04-PI-21</v>
          </cell>
          <cell r="B5157" t="str">
            <v>XZ-HMKid-XP04</v>
          </cell>
        </row>
        <row r="5158">
          <cell r="A5158" t="str">
            <v>XZ-HMLion-3637</v>
          </cell>
          <cell r="B5158" t="str">
            <v>XZ-HMLion</v>
          </cell>
        </row>
        <row r="5159">
          <cell r="A5159" t="str">
            <v>XZ-HMLion-4041</v>
          </cell>
          <cell r="B5159" t="str">
            <v>XZ-HMLion</v>
          </cell>
        </row>
        <row r="5160">
          <cell r="A5160" t="str">
            <v>XZ-HMM311</v>
          </cell>
          <cell r="B5160" t="str">
            <v>XZ-HMM311</v>
          </cell>
        </row>
        <row r="5161">
          <cell r="A5161" t="str">
            <v>XZ-HMM311-B0-3637</v>
          </cell>
          <cell r="B5161" t="str">
            <v>XZ-HMM311</v>
          </cell>
        </row>
        <row r="5162">
          <cell r="A5162" t="str">
            <v>XZ-HMM311-B0-3839</v>
          </cell>
          <cell r="B5162" t="str">
            <v>XZ-HMM311</v>
          </cell>
        </row>
        <row r="5163">
          <cell r="A5163" t="str">
            <v>XZ-HMM311-B0-4041</v>
          </cell>
          <cell r="B5163" t="str">
            <v>XZ-HMM311</v>
          </cell>
        </row>
        <row r="5164">
          <cell r="A5164" t="str">
            <v>XZ-HMM311-GR-4243</v>
          </cell>
          <cell r="B5164" t="str">
            <v>XZ-HMM311</v>
          </cell>
        </row>
        <row r="5165">
          <cell r="A5165" t="str">
            <v>XZ-HMM311-GR-4445</v>
          </cell>
          <cell r="B5165" t="str">
            <v>XZ-HMM311</v>
          </cell>
        </row>
        <row r="5166">
          <cell r="A5166" t="str">
            <v>XZ-HMM311-KH-4243</v>
          </cell>
          <cell r="B5166" t="str">
            <v>XZ-HMM311</v>
          </cell>
        </row>
        <row r="5167">
          <cell r="A5167" t="str">
            <v>XZ-HMM311-KH-4445</v>
          </cell>
          <cell r="B5167" t="str">
            <v>XZ-HMM311</v>
          </cell>
        </row>
        <row r="5168">
          <cell r="A5168" t="str">
            <v>XZ-HMM311-PI-3637</v>
          </cell>
          <cell r="B5168" t="str">
            <v>XZ-HMM311</v>
          </cell>
        </row>
        <row r="5169">
          <cell r="A5169" t="str">
            <v>XZ-HMM311-PI-3839</v>
          </cell>
          <cell r="B5169" t="str">
            <v>XZ-HMM311</v>
          </cell>
        </row>
        <row r="5170">
          <cell r="A5170" t="str">
            <v>XZ-HMM311-PI-4041</v>
          </cell>
          <cell r="B5170" t="str">
            <v>XZ-HMM311</v>
          </cell>
        </row>
        <row r="5171">
          <cell r="A5171" t="str">
            <v>XZ-HMM311-W0-3637</v>
          </cell>
          <cell r="B5171" t="str">
            <v>XZ-HMM311</v>
          </cell>
        </row>
        <row r="5172">
          <cell r="A5172" t="str">
            <v>XZ-HMM311-W0-3839</v>
          </cell>
          <cell r="B5172" t="str">
            <v>XZ-HMM311</v>
          </cell>
        </row>
        <row r="5173">
          <cell r="A5173" t="str">
            <v>XZ-HMM311-W0-4041</v>
          </cell>
          <cell r="B5173" t="str">
            <v>XZ-HMM311</v>
          </cell>
        </row>
        <row r="5174">
          <cell r="A5174" t="str">
            <v>XZ-HMMC32-MC-3637</v>
          </cell>
          <cell r="B5174" t="str">
            <v>XZ-HMMC32</v>
          </cell>
        </row>
        <row r="5175">
          <cell r="A5175" t="str">
            <v>XZ-HMMC32-MC-3839</v>
          </cell>
          <cell r="B5175" t="str">
            <v>XZ-HMMC32</v>
          </cell>
        </row>
        <row r="5176">
          <cell r="A5176" t="str">
            <v>XZ-HMMC32-MC-4243</v>
          </cell>
          <cell r="B5176" t="str">
            <v>XZ-HMMC32</v>
          </cell>
        </row>
        <row r="5177">
          <cell r="A5177" t="str">
            <v>XZ-HMMC32-MC-4445</v>
          </cell>
          <cell r="B5177" t="str">
            <v>XZ-HMMC32</v>
          </cell>
        </row>
        <row r="5178">
          <cell r="A5178" t="str">
            <v>XZ-HMMG31-GR-37</v>
          </cell>
          <cell r="B5178" t="str">
            <v>XZ-HMMG31</v>
          </cell>
        </row>
        <row r="5179">
          <cell r="A5179" t="str">
            <v>XZ-HMMG60</v>
          </cell>
          <cell r="B5179" t="str">
            <v>XZ-HMMG60</v>
          </cell>
        </row>
        <row r="5180">
          <cell r="A5180" t="str">
            <v>XZ-HMMG60-GRH-30-31</v>
          </cell>
          <cell r="B5180" t="str">
            <v>XZ-HMMG60</v>
          </cell>
        </row>
        <row r="5181">
          <cell r="A5181" t="str">
            <v>XZ-HMMG60-GRH-32-33</v>
          </cell>
          <cell r="B5181" t="str">
            <v>XZ-HMMG60</v>
          </cell>
        </row>
        <row r="5182">
          <cell r="A5182" t="str">
            <v>XZ-HMMG60-GRH-34-35</v>
          </cell>
          <cell r="B5182" t="str">
            <v>XZ-HMMG60</v>
          </cell>
        </row>
        <row r="5183">
          <cell r="A5183" t="str">
            <v>XZ-HMMG60-GRH-40-41</v>
          </cell>
          <cell r="B5183" t="str">
            <v>XZ-HMMG60</v>
          </cell>
        </row>
        <row r="5184">
          <cell r="A5184" t="str">
            <v>XZ-HMMG60-GRH-42-43</v>
          </cell>
          <cell r="B5184" t="str">
            <v>XZ-HMMG60</v>
          </cell>
        </row>
        <row r="5185">
          <cell r="A5185" t="str">
            <v>XZ-HMMG60-PIB-34-35</v>
          </cell>
          <cell r="B5185" t="str">
            <v>XZ-HMMG60</v>
          </cell>
        </row>
        <row r="5186">
          <cell r="A5186" t="str">
            <v>XZ-HMMG60-PIH-34-35</v>
          </cell>
          <cell r="B5186" t="str">
            <v>XZ-HMMG60</v>
          </cell>
        </row>
        <row r="5187">
          <cell r="A5187" t="str">
            <v>XZ-HMMG60-PIH-36-37</v>
          </cell>
          <cell r="B5187" t="str">
            <v>XZ-HMMG60</v>
          </cell>
        </row>
        <row r="5188">
          <cell r="A5188" t="str">
            <v>XZ-HMMG60-PIH-38-39</v>
          </cell>
          <cell r="B5188" t="str">
            <v>XZ-HMMG60</v>
          </cell>
        </row>
        <row r="5189">
          <cell r="A5189" t="str">
            <v>XZ-HMMG60-PIH-40-41</v>
          </cell>
          <cell r="B5189" t="str">
            <v>XZ-HMMG60</v>
          </cell>
        </row>
        <row r="5190">
          <cell r="A5190" t="str">
            <v>XZ-HMMLD001-B0-3738</v>
          </cell>
          <cell r="B5190" t="str">
            <v>XZ-HMMLD001</v>
          </cell>
        </row>
        <row r="5191">
          <cell r="A5191" t="str">
            <v>XZ-HMMLD001-B0-3940</v>
          </cell>
          <cell r="B5191" t="str">
            <v>XZ-HMMLD001</v>
          </cell>
        </row>
        <row r="5192">
          <cell r="A5192" t="str">
            <v>XZ-HMMLD001-CO-4041</v>
          </cell>
          <cell r="B5192" t="str">
            <v>XZ-HMMLD001</v>
          </cell>
        </row>
        <row r="5193">
          <cell r="A5193" t="str">
            <v>XZ-HMMLD001-CO-4243</v>
          </cell>
          <cell r="B5193" t="str">
            <v>XZ-HMMLD001</v>
          </cell>
        </row>
        <row r="5194">
          <cell r="A5194" t="str">
            <v>XZ-HMMLD001-PI-3738</v>
          </cell>
          <cell r="B5194" t="str">
            <v>XZ-HMMLD001</v>
          </cell>
        </row>
        <row r="5195">
          <cell r="A5195" t="str">
            <v>XZ-HMMLD001-PI-3940</v>
          </cell>
          <cell r="B5195" t="str">
            <v>XZ-HMMLD001</v>
          </cell>
        </row>
        <row r="5196">
          <cell r="A5196" t="str">
            <v>XZ-HMMLD001-R0-3738</v>
          </cell>
          <cell r="B5196" t="str">
            <v>XZ-HMMLD001</v>
          </cell>
        </row>
        <row r="5197">
          <cell r="A5197" t="str">
            <v>XZ-HMMLD001-R0-3940</v>
          </cell>
          <cell r="B5197" t="str">
            <v>XZ-HMMLD001</v>
          </cell>
        </row>
        <row r="5198">
          <cell r="A5198" t="str">
            <v>XZ-HMMX360</v>
          </cell>
          <cell r="B5198" t="str">
            <v>XZ-HMMX360</v>
          </cell>
        </row>
        <row r="5199">
          <cell r="A5199" t="str">
            <v>XZ-HMMX360-GR-3637</v>
          </cell>
          <cell r="B5199" t="str">
            <v>XZ-HMMX360</v>
          </cell>
        </row>
        <row r="5200">
          <cell r="A5200" t="str">
            <v>XZ-HMMX360-GR-3839</v>
          </cell>
          <cell r="B5200" t="str">
            <v>XZ-HMMX360</v>
          </cell>
        </row>
        <row r="5201">
          <cell r="A5201" t="str">
            <v>XZ-HMMX360-GR-4041</v>
          </cell>
          <cell r="B5201" t="str">
            <v>XZ-HMMX360</v>
          </cell>
        </row>
        <row r="5202">
          <cell r="A5202" t="str">
            <v>XZ-HMSD269-K0-17</v>
          </cell>
          <cell r="B5202" t="str">
            <v>XZ-HMSD269</v>
          </cell>
        </row>
        <row r="5203">
          <cell r="A5203" t="str">
            <v>XZ-HMSD269-K0-19</v>
          </cell>
          <cell r="B5203" t="str">
            <v>XZ-HMSD269</v>
          </cell>
        </row>
        <row r="5204">
          <cell r="A5204" t="str">
            <v>XZ-HMSD269-K0-20</v>
          </cell>
          <cell r="B5204" t="str">
            <v>XZ-HMSD269</v>
          </cell>
        </row>
        <row r="5205">
          <cell r="A5205" t="str">
            <v>XZ-HMSD269-K0-21</v>
          </cell>
          <cell r="B5205" t="str">
            <v>XZ-HMSD269</v>
          </cell>
        </row>
        <row r="5206">
          <cell r="A5206" t="str">
            <v>XZ-HMSD269-K0-22</v>
          </cell>
          <cell r="B5206" t="str">
            <v>XZ-HMSD269</v>
          </cell>
        </row>
        <row r="5207">
          <cell r="A5207" t="str">
            <v>XZ-HMSD269-K0-24</v>
          </cell>
          <cell r="B5207" t="str">
            <v>XZ-HMSD269</v>
          </cell>
        </row>
        <row r="5208">
          <cell r="A5208" t="str">
            <v>XZ-HMSD269-R0-25</v>
          </cell>
          <cell r="B5208" t="str">
            <v>XZ-HMSD269</v>
          </cell>
        </row>
        <row r="5209">
          <cell r="A5209" t="str">
            <v>XZ-HMSD269-R0-26</v>
          </cell>
          <cell r="B5209" t="str">
            <v>XZ-HMSD269</v>
          </cell>
        </row>
        <row r="5210">
          <cell r="A5210" t="str">
            <v>XZ-HMSD269-R0-28</v>
          </cell>
          <cell r="B5210" t="str">
            <v>XZ-HMSD269</v>
          </cell>
        </row>
        <row r="5211">
          <cell r="A5211" t="str">
            <v>XZ-HMSD269-R0-29</v>
          </cell>
          <cell r="B5211" t="str">
            <v>XZ-HMSD269</v>
          </cell>
        </row>
        <row r="5212">
          <cell r="A5212" t="str">
            <v>XZ-HMTZ219</v>
          </cell>
          <cell r="B5212" t="str">
            <v>XZ-HMTZ219</v>
          </cell>
        </row>
        <row r="5213">
          <cell r="A5213" t="str">
            <v>XZ-HMTZ219-GR-4041</v>
          </cell>
          <cell r="B5213" t="str">
            <v>XZ-HMTZ219</v>
          </cell>
        </row>
        <row r="5214">
          <cell r="A5214" t="str">
            <v>XZ-HMTZ250</v>
          </cell>
          <cell r="B5214" t="str">
            <v>XZ-HMTZ250</v>
          </cell>
        </row>
        <row r="5215">
          <cell r="A5215" t="str">
            <v>XZ-HMTZ250-CO-4041</v>
          </cell>
          <cell r="B5215" t="str">
            <v>XZ-HMTZ250</v>
          </cell>
        </row>
        <row r="5216">
          <cell r="A5216" t="str">
            <v>XZ-HMTZ250-CO-4243</v>
          </cell>
          <cell r="B5216" t="str">
            <v>XZ-HMTZ250</v>
          </cell>
        </row>
        <row r="5217">
          <cell r="A5217" t="str">
            <v>XZ-HMTZ250-CO-4445</v>
          </cell>
          <cell r="B5217" t="str">
            <v>XZ-HMTZ250</v>
          </cell>
        </row>
        <row r="5218">
          <cell r="A5218" t="str">
            <v>XZ-HMTZ250-GR-4041</v>
          </cell>
          <cell r="B5218" t="str">
            <v>XZ-HMTZ250</v>
          </cell>
        </row>
        <row r="5219">
          <cell r="A5219" t="str">
            <v>XZ-HMTZ250-GR-4243</v>
          </cell>
          <cell r="B5219" t="str">
            <v>XZ-HMTZ250</v>
          </cell>
        </row>
        <row r="5220">
          <cell r="A5220" t="str">
            <v>XZ-HMTZ250-GR-4445</v>
          </cell>
          <cell r="B5220" t="str">
            <v>XZ-HMTZ250</v>
          </cell>
        </row>
        <row r="5221">
          <cell r="A5221" t="str">
            <v>XZ-HMTZ250-P0-3637</v>
          </cell>
          <cell r="B5221" t="str">
            <v>XZ-HMTZ250</v>
          </cell>
        </row>
        <row r="5222">
          <cell r="A5222" t="str">
            <v>XZ-HMTZ250-P0-3839</v>
          </cell>
          <cell r="B5222" t="str">
            <v>XZ-HMTZ250</v>
          </cell>
        </row>
        <row r="5223">
          <cell r="A5223" t="str">
            <v>XZ-HMTZ250-P0-4041</v>
          </cell>
          <cell r="B5223" t="str">
            <v>XZ-HMTZ250</v>
          </cell>
        </row>
        <row r="5224">
          <cell r="A5224" t="str">
            <v>XZ-HMTZ250-Pi-3637</v>
          </cell>
          <cell r="B5224" t="str">
            <v>XZ-HMTZ250</v>
          </cell>
        </row>
        <row r="5225">
          <cell r="A5225" t="str">
            <v>XZ-HMTZ250-Pi-3839</v>
          </cell>
          <cell r="B5225" t="str">
            <v>XZ-HMTZ250</v>
          </cell>
        </row>
        <row r="5226">
          <cell r="A5226" t="str">
            <v>XZ-HMTZ250-Pi-4041</v>
          </cell>
          <cell r="B5226" t="str">
            <v>XZ-HMTZ250</v>
          </cell>
        </row>
        <row r="5227">
          <cell r="A5227" t="str">
            <v>XZ-HMXX018</v>
          </cell>
          <cell r="B5227" t="str">
            <v>XZ-HMXX018</v>
          </cell>
        </row>
        <row r="5228">
          <cell r="A5228" t="str">
            <v>XZ-HMXX018-BR-3637</v>
          </cell>
          <cell r="B5228" t="str">
            <v>XZ-HMXX018</v>
          </cell>
        </row>
        <row r="5229">
          <cell r="A5229" t="str">
            <v>XZ-HMXX018-BR-3839</v>
          </cell>
          <cell r="B5229" t="str">
            <v>XZ-HMXX018</v>
          </cell>
        </row>
        <row r="5230">
          <cell r="A5230" t="str">
            <v>XZ-HMXX018-BR-4041</v>
          </cell>
          <cell r="B5230" t="str">
            <v>XZ-HMXX018</v>
          </cell>
        </row>
        <row r="5231">
          <cell r="A5231" t="str">
            <v>XZ-HMXX018-K0-3637</v>
          </cell>
          <cell r="B5231" t="str">
            <v>XZ-HMXX018</v>
          </cell>
        </row>
        <row r="5232">
          <cell r="A5232" t="str">
            <v>XZ-HMXX018-K0-3839</v>
          </cell>
          <cell r="B5232" t="str">
            <v>XZ-HMXX018</v>
          </cell>
        </row>
        <row r="5233">
          <cell r="A5233" t="str">
            <v>XZ-HMXX018-K0-3940</v>
          </cell>
          <cell r="B5233" t="str">
            <v>XZ-HMXX018</v>
          </cell>
        </row>
        <row r="5234">
          <cell r="A5234" t="str">
            <v>XZ-HMXX018-R0-3839</v>
          </cell>
          <cell r="B5234" t="str">
            <v>XZ-HMXX018</v>
          </cell>
        </row>
        <row r="5235">
          <cell r="A5235" t="str">
            <v>XZ-HMXX018-Y0-3637</v>
          </cell>
          <cell r="B5235" t="str">
            <v>XZ-HMXX018</v>
          </cell>
        </row>
        <row r="5236">
          <cell r="A5236" t="str">
            <v>XZ-HMXX018-Y0-3839</v>
          </cell>
          <cell r="B5236" t="str">
            <v>XZ-HMXX018</v>
          </cell>
        </row>
        <row r="5237">
          <cell r="A5237" t="str">
            <v>XZ-HMXX018-Y0-3940</v>
          </cell>
          <cell r="B5237" t="str">
            <v>XZ-HMXX018</v>
          </cell>
        </row>
        <row r="5238">
          <cell r="A5238" t="str">
            <v>XZ-HMXX390-Gird-P0-3637</v>
          </cell>
          <cell r="B5238" t="str">
            <v>XZ-HMXX390</v>
          </cell>
        </row>
        <row r="5239">
          <cell r="A5239" t="str">
            <v>XZ-HMXX390-Gird-P0-3839</v>
          </cell>
          <cell r="B5239" t="str">
            <v>XZ-HMXX390</v>
          </cell>
        </row>
        <row r="5240">
          <cell r="A5240" t="str">
            <v>XZ-HMXX390-Gird-YH-3637</v>
          </cell>
          <cell r="B5240" t="str">
            <v>XZ-HMXX390</v>
          </cell>
        </row>
        <row r="5241">
          <cell r="A5241" t="str">
            <v>XZ-HMXX390-Gird-YH-3839</v>
          </cell>
          <cell r="B5241" t="str">
            <v>XZ-HMXX390</v>
          </cell>
        </row>
        <row r="5242">
          <cell r="A5242" t="str">
            <v>XZ-HMXX390-Knit-BE-3637</v>
          </cell>
          <cell r="B5242" t="str">
            <v>XZ-HMXX390</v>
          </cell>
        </row>
        <row r="5243">
          <cell r="A5243" t="str">
            <v>XZ-HMXX390-Knit-BE-3839</v>
          </cell>
          <cell r="B5243" t="str">
            <v>XZ-HMXX390</v>
          </cell>
        </row>
        <row r="5244">
          <cell r="A5244" t="str">
            <v>XZ-HMXX390-Knit-P0-3637</v>
          </cell>
          <cell r="B5244" t="str">
            <v>XZ-HMXX390</v>
          </cell>
        </row>
        <row r="5245">
          <cell r="A5245" t="str">
            <v>XZ-HMXX390-Knit-P0-3839</v>
          </cell>
          <cell r="B5245" t="str">
            <v>XZ-HMXX390</v>
          </cell>
        </row>
        <row r="5246">
          <cell r="A5246" t="str">
            <v>XZ-HMXX390-Knit-PI-3637</v>
          </cell>
          <cell r="B5246" t="str">
            <v>XZ-HMXX390</v>
          </cell>
        </row>
        <row r="5247">
          <cell r="A5247" t="str">
            <v>XZ-HMXX390-Knit-PI-3839</v>
          </cell>
          <cell r="B5247" t="str">
            <v>XZ-HMXX390</v>
          </cell>
        </row>
        <row r="5248">
          <cell r="A5248" t="str">
            <v>XZ-HMXX390-Knit-QC-3637</v>
          </cell>
          <cell r="B5248" t="str">
            <v>XZ-HMXX390</v>
          </cell>
        </row>
        <row r="5249">
          <cell r="A5249" t="str">
            <v>XZ-HMXX390-Knit-QC-3839</v>
          </cell>
          <cell r="B5249" t="str">
            <v>XZ-HMXX390</v>
          </cell>
        </row>
        <row r="5250">
          <cell r="A5250" t="str">
            <v>XZ-HMXX390-Snow-R3-3637</v>
          </cell>
          <cell r="B5250" t="str">
            <v>XZ-HMXX390</v>
          </cell>
        </row>
        <row r="5251">
          <cell r="A5251" t="str">
            <v>XZ-HMXX390-Snow-R3-3839</v>
          </cell>
          <cell r="B5251" t="str">
            <v>XZ-HMXX390</v>
          </cell>
        </row>
        <row r="5252">
          <cell r="A5252" t="str">
            <v>XZ-HMXX390-Snow-W0-3637</v>
          </cell>
          <cell r="B5252" t="str">
            <v>XZ-HMXX390</v>
          </cell>
        </row>
        <row r="5253">
          <cell r="A5253" t="str">
            <v>XZ-HMXX390-Snow-W0-3839</v>
          </cell>
          <cell r="B5253" t="str">
            <v>XZ-HMXX390</v>
          </cell>
        </row>
        <row r="5254">
          <cell r="A5254" t="str">
            <v>XZ-HMXX390-Snow-ZL-3637</v>
          </cell>
          <cell r="B5254" t="str">
            <v>XZ-HMXX390</v>
          </cell>
        </row>
        <row r="5255">
          <cell r="A5255" t="str">
            <v>XZ-HMXX390-Snow-ZL-3839</v>
          </cell>
          <cell r="B5255" t="str">
            <v>XZ-HMXX390</v>
          </cell>
        </row>
        <row r="5256">
          <cell r="A5256" t="str">
            <v>XZ-HMXX390-Velet-P0-3637</v>
          </cell>
          <cell r="B5256" t="str">
            <v>XZ-HMXX390</v>
          </cell>
        </row>
        <row r="5257">
          <cell r="A5257" t="str">
            <v>XZ-HMXX390-Velet-P0-3839</v>
          </cell>
          <cell r="B5257" t="str">
            <v>XZ-HMXX390</v>
          </cell>
        </row>
        <row r="5258">
          <cell r="A5258" t="str">
            <v>XZ-HMXX390-Velet-R3-3637</v>
          </cell>
          <cell r="B5258" t="str">
            <v>XZ-HMXX390</v>
          </cell>
        </row>
        <row r="5259">
          <cell r="A5259" t="str">
            <v>XZ-HMXX390-Velet-R3-3839</v>
          </cell>
          <cell r="B5259" t="str">
            <v>XZ-HMXX390</v>
          </cell>
        </row>
        <row r="5260">
          <cell r="A5260" t="str">
            <v>XZ-HMXY21-R0-3637</v>
          </cell>
          <cell r="B5260" t="str">
            <v>XZ-HMXY21</v>
          </cell>
        </row>
        <row r="5261">
          <cell r="A5261" t="str">
            <v>XZ-HMXY21-R0-3839</v>
          </cell>
          <cell r="B5261" t="str">
            <v>XZ-HMXY21</v>
          </cell>
        </row>
        <row r="5262">
          <cell r="A5262" t="str">
            <v>XZ-HMXY21-ZL-4041</v>
          </cell>
          <cell r="B5262" t="str">
            <v>XZ-HMXY21</v>
          </cell>
        </row>
        <row r="5263">
          <cell r="A5263" t="str">
            <v>XZ-HMYZ22</v>
          </cell>
          <cell r="B5263" t="str">
            <v>XZ-HMYZ22</v>
          </cell>
        </row>
        <row r="5264">
          <cell r="A5264" t="str">
            <v>XZ-HMYZ22-GR-35(3)</v>
          </cell>
          <cell r="B5264" t="str">
            <v>XZ-HMYZ22</v>
          </cell>
        </row>
        <row r="5265">
          <cell r="A5265" t="str">
            <v>XZ-HMYZ22-GR-36(4)</v>
          </cell>
          <cell r="B5265" t="str">
            <v>XZ-HMYZ22</v>
          </cell>
        </row>
        <row r="5266">
          <cell r="A5266" t="str">
            <v>XZ-HMYZ22-GR-3637</v>
          </cell>
          <cell r="B5266" t="str">
            <v>XZ-HMYZ22</v>
          </cell>
        </row>
        <row r="5267">
          <cell r="A5267" t="str">
            <v>XZ-HMYZ22-GR-37(5)</v>
          </cell>
          <cell r="B5267" t="str">
            <v>XZ-HMYZ22</v>
          </cell>
        </row>
        <row r="5268">
          <cell r="A5268" t="str">
            <v>XZ-HMYZ22-GR-38(5.5)</v>
          </cell>
          <cell r="B5268" t="str">
            <v>XZ-HMYZ22</v>
          </cell>
        </row>
        <row r="5269">
          <cell r="A5269" t="str">
            <v>XZ-HMYZ22-GR-3839</v>
          </cell>
          <cell r="B5269" t="str">
            <v>XZ-HMYZ22</v>
          </cell>
        </row>
        <row r="5270">
          <cell r="A5270" t="str">
            <v>XZ-HMYZ22-GR-39(6)</v>
          </cell>
          <cell r="B5270" t="str">
            <v>XZ-HMYZ22</v>
          </cell>
        </row>
        <row r="5271">
          <cell r="A5271" t="str">
            <v>XZ-HMYZ22-GR-40(7)</v>
          </cell>
          <cell r="B5271" t="str">
            <v>XZ-HMYZ22</v>
          </cell>
        </row>
        <row r="5272">
          <cell r="A5272" t="str">
            <v>XZ-HMYZ22-GR-41(8)</v>
          </cell>
          <cell r="B5272" t="str">
            <v>XZ-HMYZ22</v>
          </cell>
        </row>
        <row r="5273">
          <cell r="A5273" t="str">
            <v>XZ-HMYZ22-GR-L</v>
          </cell>
          <cell r="B5273" t="str">
            <v>XZ-HMYZ22</v>
          </cell>
        </row>
        <row r="5274">
          <cell r="A5274" t="str">
            <v>XZ-HMYZ22-GR-M</v>
          </cell>
          <cell r="B5274" t="str">
            <v>XZ-HMYZ22</v>
          </cell>
        </row>
        <row r="5275">
          <cell r="A5275" t="str">
            <v>XZ-HMYZ22-GR-M+</v>
          </cell>
          <cell r="B5275" t="str">
            <v>XZ-HMYZ22</v>
          </cell>
        </row>
        <row r="5276">
          <cell r="A5276" t="str">
            <v>XZ-HMYZ22-GR-S</v>
          </cell>
          <cell r="B5276" t="str">
            <v>XZ-HMYZ22</v>
          </cell>
        </row>
        <row r="5277">
          <cell r="A5277" t="str">
            <v>XZ-HMYZ22-GR-XL</v>
          </cell>
          <cell r="B5277" t="str">
            <v>XZ-HMYZ22</v>
          </cell>
        </row>
        <row r="5278">
          <cell r="A5278" t="str">
            <v>XZ-HMYZ22-GR-XL+</v>
          </cell>
          <cell r="B5278" t="str">
            <v>XZ-HMYZ22</v>
          </cell>
        </row>
        <row r="5279">
          <cell r="A5279" t="str">
            <v>XZ-HMYZ22-PI-35(3)</v>
          </cell>
          <cell r="B5279" t="str">
            <v>XZ-HMYZ22</v>
          </cell>
        </row>
        <row r="5280">
          <cell r="A5280" t="str">
            <v>XZ-HMYZ22-PI-36(4)</v>
          </cell>
          <cell r="B5280" t="str">
            <v>XZ-HMYZ22</v>
          </cell>
        </row>
        <row r="5281">
          <cell r="A5281" t="str">
            <v>XZ-HMYZ22-PI-3637</v>
          </cell>
          <cell r="B5281" t="str">
            <v>XZ-HMYZ22</v>
          </cell>
        </row>
        <row r="5282">
          <cell r="A5282" t="str">
            <v>XZ-HMYZ22-PI-37(5)</v>
          </cell>
          <cell r="B5282" t="str">
            <v>XZ-HMYZ22</v>
          </cell>
        </row>
        <row r="5283">
          <cell r="A5283" t="str">
            <v>XZ-HMYZ22-PI-38(5.5)</v>
          </cell>
          <cell r="B5283" t="str">
            <v>XZ-HMYZ22</v>
          </cell>
        </row>
        <row r="5284">
          <cell r="A5284" t="str">
            <v>XZ-HMYZ22-PI-39(6)</v>
          </cell>
          <cell r="B5284" t="str">
            <v>XZ-HMYZ22</v>
          </cell>
        </row>
        <row r="5285">
          <cell r="A5285" t="str">
            <v>XZ-HMYZ22-PI-40(7)</v>
          </cell>
          <cell r="B5285" t="str">
            <v>XZ-HMYZ22</v>
          </cell>
        </row>
        <row r="5286">
          <cell r="A5286" t="str">
            <v>XZ-HMYZ22-PI-41(8)</v>
          </cell>
          <cell r="B5286" t="str">
            <v>XZ-HMYZ22</v>
          </cell>
        </row>
        <row r="5287">
          <cell r="A5287" t="str">
            <v>XZ-HMYZ22-PI-L</v>
          </cell>
          <cell r="B5287" t="str">
            <v>XZ-HMYZ22</v>
          </cell>
        </row>
        <row r="5288">
          <cell r="A5288" t="str">
            <v>XZ-HMYZ22-PI-M</v>
          </cell>
          <cell r="B5288" t="str">
            <v>XZ-HMYZ22</v>
          </cell>
        </row>
        <row r="5289">
          <cell r="A5289" t="str">
            <v>XZ-HMYZ22-PI-M+</v>
          </cell>
          <cell r="B5289" t="str">
            <v>XZ-HMYZ22</v>
          </cell>
        </row>
        <row r="5290">
          <cell r="A5290" t="str">
            <v>XZ-HMYZ22-PI-S</v>
          </cell>
          <cell r="B5290" t="str">
            <v>XZ-HMYZ22</v>
          </cell>
        </row>
        <row r="5291">
          <cell r="A5291" t="str">
            <v>XZ-HMYZ22-PI-XL</v>
          </cell>
          <cell r="B5291" t="str">
            <v>XZ-HMYZ22</v>
          </cell>
        </row>
        <row r="5292">
          <cell r="A5292" t="str">
            <v>XZ-HMYZ22-PI-XL+</v>
          </cell>
          <cell r="B5292" t="str">
            <v>XZ-HMYZ22</v>
          </cell>
        </row>
        <row r="5293">
          <cell r="A5293" t="str">
            <v>XZ-HMZJ23</v>
          </cell>
          <cell r="B5293" t="str">
            <v>XZ-HMZJ23</v>
          </cell>
        </row>
        <row r="5294">
          <cell r="A5294" t="str">
            <v>XZ-HMZJ23-GR-3637</v>
          </cell>
          <cell r="B5294" t="str">
            <v>XZ-HMZJ23</v>
          </cell>
        </row>
        <row r="5295">
          <cell r="A5295" t="str">
            <v>XZ-HMZJ23-GR-3839</v>
          </cell>
          <cell r="B5295" t="str">
            <v>XZ-HMZJ23</v>
          </cell>
        </row>
        <row r="5296">
          <cell r="A5296" t="str">
            <v>XZ-HMZJ23-GR-4041</v>
          </cell>
          <cell r="B5296" t="str">
            <v>XZ-HMZJ23</v>
          </cell>
        </row>
        <row r="5297">
          <cell r="A5297" t="str">
            <v>XZ-HMZJ23-GR-4243</v>
          </cell>
          <cell r="B5297" t="str">
            <v>XZ-HMZJ23</v>
          </cell>
        </row>
        <row r="5298">
          <cell r="A5298" t="str">
            <v>XZ-PW-1999-CO-37</v>
          </cell>
          <cell r="B5298" t="str">
            <v>XZ-PW-1999</v>
          </cell>
        </row>
        <row r="5299">
          <cell r="A5299" t="str">
            <v>XZ-PW-1999-CO-38</v>
          </cell>
          <cell r="B5299" t="str">
            <v>XZ-PW-1999</v>
          </cell>
        </row>
        <row r="5300">
          <cell r="A5300" t="str">
            <v>XZ-PW-1999-CO-39</v>
          </cell>
          <cell r="B5300" t="str">
            <v>XZ-PW-1999</v>
          </cell>
        </row>
        <row r="5301">
          <cell r="A5301" t="str">
            <v>XZ-PW-1999-CO-40</v>
          </cell>
          <cell r="B5301" t="str">
            <v>XZ-PW-1999</v>
          </cell>
        </row>
        <row r="5302">
          <cell r="A5302" t="str">
            <v>XZ-PW-1999-GR-36</v>
          </cell>
          <cell r="B5302" t="str">
            <v>XZ-PW-1999</v>
          </cell>
        </row>
        <row r="5303">
          <cell r="A5303" t="str">
            <v>XZ-PW-1999-GR-37</v>
          </cell>
          <cell r="B5303" t="str">
            <v>XZ-PW-1999</v>
          </cell>
        </row>
        <row r="5304">
          <cell r="A5304" t="str">
            <v>XZ-PW-1999-GR-38</v>
          </cell>
          <cell r="B5304" t="str">
            <v>XZ-PW-1999</v>
          </cell>
        </row>
        <row r="5305">
          <cell r="A5305" t="str">
            <v>XZ-PW-1999-GR-39</v>
          </cell>
          <cell r="B5305" t="str">
            <v>XZ-PW-1999</v>
          </cell>
        </row>
        <row r="5306">
          <cell r="A5306" t="str">
            <v>XZ-PW-1999-K0-36</v>
          </cell>
          <cell r="B5306" t="str">
            <v>XZ-PW-1999</v>
          </cell>
        </row>
        <row r="5307">
          <cell r="A5307" t="str">
            <v>XZ-PW-1999-K0-37</v>
          </cell>
          <cell r="B5307" t="str">
            <v>XZ-PW-1999</v>
          </cell>
        </row>
        <row r="5308">
          <cell r="A5308" t="str">
            <v>XZ-PW-1999-K0-38</v>
          </cell>
          <cell r="B5308" t="str">
            <v>XZ-PW-1999</v>
          </cell>
        </row>
        <row r="5309">
          <cell r="A5309" t="str">
            <v>XZ-PW-1999-K0-39</v>
          </cell>
          <cell r="B5309" t="str">
            <v>XZ-PW-1999</v>
          </cell>
        </row>
        <row r="5310">
          <cell r="A5310" t="str">
            <v>XZ-PW-1999-K0-40</v>
          </cell>
          <cell r="B5310" t="str">
            <v>XZ-PW-1999</v>
          </cell>
        </row>
        <row r="5311">
          <cell r="A5311" t="str">
            <v>XZ-PW-1999-LB-38</v>
          </cell>
          <cell r="B5311" t="str">
            <v>XZ-PW-1999</v>
          </cell>
        </row>
        <row r="5312">
          <cell r="A5312" t="str">
            <v>XZ-PW-1999-LB-39</v>
          </cell>
          <cell r="B5312" t="str">
            <v>XZ-PW-1999</v>
          </cell>
        </row>
        <row r="5313">
          <cell r="A5313" t="str">
            <v>XZ-PW-1999-LB-40</v>
          </cell>
          <cell r="B5313" t="str">
            <v>XZ-PW-1999</v>
          </cell>
        </row>
        <row r="5314">
          <cell r="A5314" t="str">
            <v>XZ-PW-1999-PU-40</v>
          </cell>
          <cell r="B5314" t="str">
            <v>XZ-PW-1999</v>
          </cell>
        </row>
        <row r="5315">
          <cell r="A5315" t="str">
            <v>XZ-PW-2001-BG-37</v>
          </cell>
          <cell r="B5315" t="str">
            <v>XZ-PW-2001</v>
          </cell>
        </row>
        <row r="5316">
          <cell r="A5316" t="str">
            <v>XZ-PW-2001-BG-38</v>
          </cell>
          <cell r="B5316" t="str">
            <v>XZ-PW-2001</v>
          </cell>
        </row>
        <row r="5317">
          <cell r="A5317" t="str">
            <v>XZ-PW-2001-C0-36</v>
          </cell>
          <cell r="B5317" t="str">
            <v>XZ-PW-2001</v>
          </cell>
        </row>
        <row r="5318">
          <cell r="A5318" t="str">
            <v>XZ-PW-2001-C0-37</v>
          </cell>
          <cell r="B5318" t="str">
            <v>XZ-PW-2001</v>
          </cell>
        </row>
        <row r="5319">
          <cell r="A5319" t="str">
            <v>XZ-PW-2001-G0-36</v>
          </cell>
          <cell r="B5319" t="str">
            <v>XZ-PW-2001</v>
          </cell>
        </row>
        <row r="5320">
          <cell r="A5320" t="str">
            <v>XZ-PW-2001-G0-37</v>
          </cell>
          <cell r="B5320" t="str">
            <v>XZ-PW-2001</v>
          </cell>
        </row>
        <row r="5321">
          <cell r="A5321" t="str">
            <v>XZ-PW-2001-G0-41</v>
          </cell>
          <cell r="B5321" t="str">
            <v>XZ-PW-2001</v>
          </cell>
        </row>
        <row r="5322">
          <cell r="A5322" t="str">
            <v>XZ-PW-2001-K0-36</v>
          </cell>
          <cell r="B5322" t="str">
            <v>XZ-PW-2001</v>
          </cell>
        </row>
        <row r="5323">
          <cell r="A5323" t="str">
            <v>XZ-PW-2001-K0-37</v>
          </cell>
          <cell r="B5323" t="str">
            <v>XZ-PW-2001</v>
          </cell>
        </row>
        <row r="5324">
          <cell r="A5324" t="str">
            <v>XZ-PW-2001-N0-36</v>
          </cell>
          <cell r="B5324" t="str">
            <v>XZ-PW-2001</v>
          </cell>
        </row>
        <row r="5325">
          <cell r="A5325" t="str">
            <v>XZ-PW-2001-N0-37</v>
          </cell>
          <cell r="B5325" t="str">
            <v>XZ-PW-2001</v>
          </cell>
        </row>
        <row r="5326">
          <cell r="A5326" t="str">
            <v>XZ-PW-2001-N0-38</v>
          </cell>
          <cell r="B5326" t="str">
            <v>XZ-PW-2001</v>
          </cell>
        </row>
        <row r="5327">
          <cell r="A5327" t="str">
            <v>XZ-PW-2001-R0-36</v>
          </cell>
          <cell r="B5327" t="str">
            <v>XZ-PW-2001</v>
          </cell>
        </row>
        <row r="5328">
          <cell r="A5328" t="str">
            <v>XZ-PW-2001-R0-37</v>
          </cell>
          <cell r="B5328" t="str">
            <v>XZ-PW-2001</v>
          </cell>
        </row>
        <row r="5329">
          <cell r="A5329" t="str">
            <v>XZ-SM-013GR1-S</v>
          </cell>
          <cell r="B5329" t="str">
            <v>XZ-SM-013</v>
          </cell>
        </row>
        <row r="5330">
          <cell r="A5330" t="str">
            <v>XZ-SM-013GR3-S</v>
          </cell>
          <cell r="B5330" t="str">
            <v>XZ-SM-013</v>
          </cell>
        </row>
        <row r="5331">
          <cell r="A5331" t="str">
            <v>XZ-SM-013PI3-M</v>
          </cell>
          <cell r="B5331" t="str">
            <v>XZ-SM-013</v>
          </cell>
        </row>
        <row r="5332">
          <cell r="A5332" t="str">
            <v>XZ-SM-013PI3-S</v>
          </cell>
          <cell r="B5332" t="str">
            <v>XZ-SM-013</v>
          </cell>
        </row>
        <row r="5333">
          <cell r="A5333" t="str">
            <v>XZ-SM-013WH1-S</v>
          </cell>
          <cell r="B5333" t="str">
            <v>XZ-SM-013</v>
          </cell>
        </row>
        <row r="5334">
          <cell r="A5334" t="str">
            <v>XZ-SM-013WH2-M</v>
          </cell>
          <cell r="B5334" t="str">
            <v>XZ-SM-013</v>
          </cell>
        </row>
        <row r="5335">
          <cell r="A5335" t="str">
            <v>XZ-SM-013WH2-S</v>
          </cell>
          <cell r="B5335" t="str">
            <v>XZ-SM-013</v>
          </cell>
        </row>
        <row r="5336">
          <cell r="A5336" t="str">
            <v>XZ-SM-013WH3-S</v>
          </cell>
          <cell r="B5336" t="str">
            <v>XZ-SM-013</v>
          </cell>
        </row>
        <row r="5337">
          <cell r="A5337" t="str">
            <v>XZ-SM-0299-SH-4243</v>
          </cell>
          <cell r="B5337" t="str">
            <v>XZ-SM-0299</v>
          </cell>
        </row>
        <row r="5338">
          <cell r="A5338" t="str">
            <v>XZ-SM-HMMF360-DB-L</v>
          </cell>
          <cell r="B5338" t="str">
            <v>XZ-SM-HMMF360</v>
          </cell>
        </row>
        <row r="5339">
          <cell r="A5339" t="str">
            <v>XZ-SM-HMMF360-LB-L</v>
          </cell>
          <cell r="B5339" t="str">
            <v>XZ-SM-HMMF360</v>
          </cell>
        </row>
        <row r="5340">
          <cell r="A5340" t="str">
            <v>XZ-SM-HMXX018-Y0-3839</v>
          </cell>
          <cell r="B5340" t="str">
            <v>XZ-SM-HMXX018</v>
          </cell>
        </row>
        <row r="5341">
          <cell r="A5341" t="str">
            <v>XZ-SM-YG7223Co4445</v>
          </cell>
          <cell r="B5341" t="str">
            <v>XZ-SM-YG7223</v>
          </cell>
        </row>
        <row r="5342">
          <cell r="A5342" t="str">
            <v>XZ-SM-YG7223Gr3637</v>
          </cell>
          <cell r="B5342" t="str">
            <v>XZ-SM-YG7223</v>
          </cell>
        </row>
        <row r="5343">
          <cell r="A5343" t="str">
            <v>XZ-SM-YG7223Gr3839</v>
          </cell>
          <cell r="B5343" t="str">
            <v>XZ-SM-YG7223</v>
          </cell>
        </row>
        <row r="5344">
          <cell r="A5344" t="str">
            <v>XZ-SM-YG7223Pu3637</v>
          </cell>
          <cell r="B5344" t="str">
            <v>XZ-SM-YG7223</v>
          </cell>
        </row>
        <row r="5345">
          <cell r="A5345" t="str">
            <v>XZ-SM-YG7223Pu3839</v>
          </cell>
          <cell r="B5345" t="str">
            <v>XZ-SM-YG7223</v>
          </cell>
        </row>
        <row r="5346">
          <cell r="A5346" t="str">
            <v>XZ-SM-ZQCB3056-B0-24</v>
          </cell>
          <cell r="B5346" t="str">
            <v>XZ-SM-ZQCB3056</v>
          </cell>
        </row>
        <row r="5347">
          <cell r="A5347" t="str">
            <v>XZ-SM-ZQCB3056-B0-25</v>
          </cell>
          <cell r="B5347" t="str">
            <v>XZ-SM-ZQCB3056</v>
          </cell>
        </row>
        <row r="5348">
          <cell r="A5348" t="str">
            <v>XZ-SM-ZQCB3056-E0-24</v>
          </cell>
          <cell r="B5348" t="str">
            <v>XZ-SM-ZQCB3056</v>
          </cell>
        </row>
        <row r="5349">
          <cell r="A5349" t="str">
            <v>XZ-SM-ZQCB3056-kQ-24</v>
          </cell>
          <cell r="B5349" t="str">
            <v>XZ-SM-ZQCB3056</v>
          </cell>
        </row>
        <row r="5350">
          <cell r="A5350" t="str">
            <v>XZ-SM-ZQCB3056-R1-24</v>
          </cell>
          <cell r="B5350" t="str">
            <v>XZ-SM-ZQCB3056</v>
          </cell>
        </row>
        <row r="5351">
          <cell r="A5351" t="str">
            <v>XZ-SM-ZQCB3056-R2-24</v>
          </cell>
          <cell r="B5351" t="str">
            <v>XZ-SM-ZQCB3056</v>
          </cell>
        </row>
        <row r="5352">
          <cell r="A5352" t="str">
            <v>XZ-SM-ZQCB3056-R2-25</v>
          </cell>
          <cell r="B5352" t="str">
            <v>XZ-SM-ZQCB3056</v>
          </cell>
        </row>
        <row r="5353">
          <cell r="A5353" t="str">
            <v>XZ-YG7223</v>
          </cell>
          <cell r="B5353" t="str">
            <v>XZ-YG7223-GM</v>
          </cell>
        </row>
        <row r="5354">
          <cell r="A5354" t="str">
            <v>XZ-YG7223Co4041</v>
          </cell>
          <cell r="B5354" t="str">
            <v>XZ-YG7223-GM</v>
          </cell>
        </row>
        <row r="5355">
          <cell r="A5355" t="str">
            <v>XZ-YG7223Co4243</v>
          </cell>
          <cell r="B5355" t="str">
            <v>XZ-YG7223-GM</v>
          </cell>
        </row>
        <row r="5356">
          <cell r="A5356" t="str">
            <v>XZ-YG7223Co4445</v>
          </cell>
          <cell r="B5356" t="str">
            <v>XZ-YG7223-GM</v>
          </cell>
        </row>
        <row r="5357">
          <cell r="A5357" t="str">
            <v>XZ-YG7223Da4041</v>
          </cell>
          <cell r="B5357" t="str">
            <v>XZ-YG7223-GM</v>
          </cell>
        </row>
        <row r="5358">
          <cell r="A5358" t="str">
            <v>XZ-YG7223Da4041-GM</v>
          </cell>
          <cell r="B5358" t="str">
            <v>XZ-YG7223-GM</v>
          </cell>
        </row>
        <row r="5359">
          <cell r="A5359" t="str">
            <v>XZ-YG7223Da4243</v>
          </cell>
          <cell r="B5359" t="str">
            <v>XZ-YG7223-GM</v>
          </cell>
        </row>
        <row r="5360">
          <cell r="A5360" t="str">
            <v>XZ-YG7223Da4445</v>
          </cell>
          <cell r="B5360" t="str">
            <v>XZ-YG7223-GM</v>
          </cell>
        </row>
        <row r="5361">
          <cell r="A5361" t="str">
            <v>XZ-YG7223Da4445-GM</v>
          </cell>
          <cell r="B5361" t="str">
            <v>XZ-YG7223-GM</v>
          </cell>
        </row>
        <row r="5362">
          <cell r="A5362" t="str">
            <v>XZ-YG7223-GM</v>
          </cell>
          <cell r="B5362" t="str">
            <v>XZ-YG7223-GM</v>
          </cell>
        </row>
        <row r="5363">
          <cell r="A5363" t="str">
            <v>XZ-YG7223Gr3637</v>
          </cell>
          <cell r="B5363" t="str">
            <v>XZ-YG7223-GM</v>
          </cell>
        </row>
        <row r="5364">
          <cell r="A5364" t="str">
            <v>XZ-YG7223Gr3839</v>
          </cell>
          <cell r="B5364" t="str">
            <v>XZ-YG7223-GM</v>
          </cell>
        </row>
        <row r="5365">
          <cell r="A5365" t="str">
            <v>XZ-YG7223Gr4041</v>
          </cell>
          <cell r="B5365" t="str">
            <v>XZ-YG7223-GM</v>
          </cell>
        </row>
        <row r="5366">
          <cell r="A5366" t="str">
            <v>XZ-YG7223Pu3637</v>
          </cell>
          <cell r="B5366" t="str">
            <v>XZ-YG7223-GM</v>
          </cell>
        </row>
        <row r="5367">
          <cell r="A5367" t="str">
            <v>XZ-YG7223Pu3839</v>
          </cell>
          <cell r="B5367" t="str">
            <v>XZ-YG7223-GM</v>
          </cell>
        </row>
        <row r="5368">
          <cell r="A5368" t="str">
            <v>XZ-YG7223Pu3839-GM</v>
          </cell>
          <cell r="B5368" t="str">
            <v>XZ-YG7223-GM</v>
          </cell>
        </row>
        <row r="5369">
          <cell r="A5369" t="str">
            <v>XZ-YG7223Pu3839-New</v>
          </cell>
          <cell r="B5369" t="str">
            <v>XZ-YG7223-GM</v>
          </cell>
        </row>
        <row r="5370">
          <cell r="A5370" t="str">
            <v>XZ-YG7223Pu4041</v>
          </cell>
          <cell r="B5370" t="str">
            <v>XZ-YG7223-GM</v>
          </cell>
        </row>
        <row r="5371">
          <cell r="A5371" t="str">
            <v>XZ-YG7223RB3637</v>
          </cell>
          <cell r="B5371" t="str">
            <v>XZ-YG7223-GM</v>
          </cell>
        </row>
        <row r="5372">
          <cell r="A5372" t="str">
            <v>XZ-YG7223RB3839</v>
          </cell>
          <cell r="B5372" t="str">
            <v>XZ-YG7223-GM</v>
          </cell>
        </row>
        <row r="5373">
          <cell r="A5373" t="str">
            <v>XZ-YG7223RB3839-GM</v>
          </cell>
          <cell r="B5373" t="str">
            <v>XZ-YG7223-GM</v>
          </cell>
        </row>
        <row r="5374">
          <cell r="A5374" t="str">
            <v>XZ-YG7223RB4041</v>
          </cell>
          <cell r="B5374" t="str">
            <v>XZ-YG7223-GM</v>
          </cell>
        </row>
        <row r="5375">
          <cell r="A5375" t="str">
            <v>XZ-ZQ1603-E0-270</v>
          </cell>
          <cell r="B5375" t="str">
            <v>XZ-ZQ1603</v>
          </cell>
        </row>
        <row r="5376">
          <cell r="A5376" t="str">
            <v>XZ-ZQ1603-KQ-240</v>
          </cell>
          <cell r="B5376" t="str">
            <v>XZ-ZQ1603</v>
          </cell>
        </row>
        <row r="5377">
          <cell r="A5377" t="str">
            <v>XZ-ZQ2176-B0-1415</v>
          </cell>
          <cell r="B5377" t="str">
            <v>XZ-ZQ2176</v>
          </cell>
        </row>
        <row r="5378">
          <cell r="A5378" t="str">
            <v>XZ-ZQ2176-B0-1617</v>
          </cell>
          <cell r="B5378" t="str">
            <v>XZ-ZQ2176</v>
          </cell>
        </row>
        <row r="5379">
          <cell r="A5379" t="str">
            <v>XZ-ZQ2176-B0-1819</v>
          </cell>
          <cell r="B5379" t="str">
            <v>XZ-ZQ2176</v>
          </cell>
        </row>
        <row r="5380">
          <cell r="A5380" t="str">
            <v>XZ-ZQ2176-B0-21</v>
          </cell>
          <cell r="B5380" t="str">
            <v>XZ-ZQ2176</v>
          </cell>
        </row>
        <row r="5381">
          <cell r="A5381" t="str">
            <v>XZ-ZQ2176-B0-22</v>
          </cell>
          <cell r="B5381" t="str">
            <v>XZ-ZQ2176</v>
          </cell>
        </row>
        <row r="5382">
          <cell r="A5382" t="str">
            <v>XZ-ZQ2176-B0-23</v>
          </cell>
          <cell r="B5382" t="str">
            <v>XZ-ZQ2176</v>
          </cell>
        </row>
        <row r="5383">
          <cell r="A5383" t="str">
            <v>XZ-ZQ2176-E0-1415</v>
          </cell>
          <cell r="B5383" t="str">
            <v>XZ-ZQ2176</v>
          </cell>
        </row>
        <row r="5384">
          <cell r="A5384" t="str">
            <v>XZ-ZQ2176-E0-1617</v>
          </cell>
          <cell r="B5384" t="str">
            <v>XZ-ZQ2176</v>
          </cell>
        </row>
        <row r="5385">
          <cell r="A5385" t="str">
            <v>XZ-ZQ2176-E0-1819</v>
          </cell>
          <cell r="B5385" t="str">
            <v>XZ-ZQ2176</v>
          </cell>
        </row>
        <row r="5386">
          <cell r="A5386" t="str">
            <v>XZ-ZQ2176-E0-20</v>
          </cell>
          <cell r="B5386" t="str">
            <v>XZ-ZQ2176</v>
          </cell>
        </row>
        <row r="5387">
          <cell r="A5387" t="str">
            <v>XZ-ZQ2176-E0-21</v>
          </cell>
          <cell r="B5387" t="str">
            <v>XZ-ZQ2176</v>
          </cell>
        </row>
        <row r="5388">
          <cell r="A5388" t="str">
            <v>XZ-ZQ2176-E0-22</v>
          </cell>
          <cell r="B5388" t="str">
            <v>XZ-ZQ2176</v>
          </cell>
        </row>
        <row r="5389">
          <cell r="A5389" t="str">
            <v>XZ-ZQ2176-E0-4041</v>
          </cell>
          <cell r="B5389" t="str">
            <v>XZ-ZQ2176</v>
          </cell>
        </row>
        <row r="5390">
          <cell r="A5390" t="str">
            <v>XZ-ZQ2176-E0-4243</v>
          </cell>
          <cell r="B5390" t="str">
            <v>XZ-ZQ2176</v>
          </cell>
        </row>
        <row r="5391">
          <cell r="A5391" t="str">
            <v>XZ-ZQ2176-E0-4445</v>
          </cell>
          <cell r="B5391" t="str">
            <v>XZ-ZQ2176</v>
          </cell>
        </row>
        <row r="5392">
          <cell r="A5392" t="str">
            <v>XZ-ZQ2176-K0-1415</v>
          </cell>
          <cell r="B5392" t="str">
            <v>XZ-ZQ2176</v>
          </cell>
        </row>
        <row r="5393">
          <cell r="A5393" t="str">
            <v>XZ-ZQ2176-K0-1617</v>
          </cell>
          <cell r="B5393" t="str">
            <v>XZ-ZQ2176</v>
          </cell>
        </row>
        <row r="5394">
          <cell r="A5394" t="str">
            <v>XZ-ZQ2176-K0-1819</v>
          </cell>
          <cell r="B5394" t="str">
            <v>XZ-ZQ2176</v>
          </cell>
        </row>
        <row r="5395">
          <cell r="A5395" t="str">
            <v>XZ-ZQ2176-K0-20</v>
          </cell>
          <cell r="B5395" t="str">
            <v>XZ-ZQ2176</v>
          </cell>
        </row>
        <row r="5396">
          <cell r="A5396" t="str">
            <v>XZ-ZQ2176-K0-21</v>
          </cell>
          <cell r="B5396" t="str">
            <v>XZ-ZQ2176</v>
          </cell>
        </row>
        <row r="5397">
          <cell r="A5397" t="str">
            <v>XZ-ZQ2176-K0-22</v>
          </cell>
          <cell r="B5397" t="str">
            <v>XZ-ZQ2176</v>
          </cell>
        </row>
        <row r="5398">
          <cell r="A5398" t="str">
            <v>XZ-ZQ2176-KQ-1415</v>
          </cell>
          <cell r="B5398" t="str">
            <v>XZ-ZQ2176</v>
          </cell>
        </row>
        <row r="5399">
          <cell r="A5399" t="str">
            <v>XZ-ZQ2176-KQ-1617</v>
          </cell>
          <cell r="B5399" t="str">
            <v>XZ-ZQ2176</v>
          </cell>
        </row>
        <row r="5400">
          <cell r="A5400" t="str">
            <v>XZ-ZQ2176-KQ-1819</v>
          </cell>
          <cell r="B5400" t="str">
            <v>XZ-ZQ2176</v>
          </cell>
        </row>
        <row r="5401">
          <cell r="A5401" t="str">
            <v>XZ-ZQ2176-KQ-20</v>
          </cell>
          <cell r="B5401" t="str">
            <v>XZ-ZQ2176</v>
          </cell>
        </row>
        <row r="5402">
          <cell r="A5402" t="str">
            <v>XZ-ZQ2176-KQ-21</v>
          </cell>
          <cell r="B5402" t="str">
            <v>XZ-ZQ2176</v>
          </cell>
        </row>
        <row r="5403">
          <cell r="A5403" t="str">
            <v>XZ-ZQ2176-KQ-22</v>
          </cell>
          <cell r="B5403" t="str">
            <v>XZ-ZQ2176</v>
          </cell>
        </row>
        <row r="5404">
          <cell r="A5404" t="str">
            <v>XZ-ZQ2176-KQ-4041</v>
          </cell>
          <cell r="B5404" t="str">
            <v>XZ-ZQ2176</v>
          </cell>
        </row>
        <row r="5405">
          <cell r="A5405" t="str">
            <v>XZ-ZQ2176-KQ-4243</v>
          </cell>
          <cell r="B5405" t="str">
            <v>XZ-ZQ2176</v>
          </cell>
        </row>
        <row r="5406">
          <cell r="A5406" t="str">
            <v>XZ-ZQ2176-KQ-4445</v>
          </cell>
          <cell r="B5406" t="str">
            <v>XZ-ZQ2176</v>
          </cell>
        </row>
        <row r="5407">
          <cell r="A5407" t="str">
            <v>XZ-ZQ2176-P0-1415</v>
          </cell>
          <cell r="B5407" t="str">
            <v>XZ-ZQ2176</v>
          </cell>
        </row>
        <row r="5408">
          <cell r="A5408" t="str">
            <v>XZ-ZQ2176-P0-1617</v>
          </cell>
          <cell r="B5408" t="str">
            <v>XZ-ZQ2176</v>
          </cell>
        </row>
        <row r="5409">
          <cell r="A5409" t="str">
            <v>XZ-ZQ2176-P0-1819</v>
          </cell>
          <cell r="B5409" t="str">
            <v>XZ-ZQ2176</v>
          </cell>
        </row>
        <row r="5410">
          <cell r="A5410" t="str">
            <v>XZ-ZQ2176-P0-20</v>
          </cell>
          <cell r="B5410" t="str">
            <v>XZ-ZQ2176</v>
          </cell>
        </row>
        <row r="5411">
          <cell r="A5411" t="str">
            <v>XZ-ZQ2176-P0-21</v>
          </cell>
          <cell r="B5411" t="str">
            <v>XZ-ZQ2176</v>
          </cell>
        </row>
        <row r="5412">
          <cell r="A5412" t="str">
            <v>XZ-ZQ2176-P0-22</v>
          </cell>
          <cell r="B5412" t="str">
            <v>XZ-ZQ2176</v>
          </cell>
        </row>
        <row r="5413">
          <cell r="A5413" t="str">
            <v>XZ-ZQ2176-P0-3637</v>
          </cell>
          <cell r="B5413" t="str">
            <v>XZ-ZQ2176</v>
          </cell>
        </row>
        <row r="5414">
          <cell r="A5414" t="str">
            <v>XZ-ZQ2176-P0-3839</v>
          </cell>
          <cell r="B5414" t="str">
            <v>XZ-ZQ2176</v>
          </cell>
        </row>
        <row r="5415">
          <cell r="A5415" t="str">
            <v>XZ-ZQ2176-P0-4041</v>
          </cell>
          <cell r="B5415" t="str">
            <v>XZ-ZQ2176</v>
          </cell>
        </row>
        <row r="5416">
          <cell r="A5416" t="str">
            <v>XZ-ZQ2176-R1-1415</v>
          </cell>
          <cell r="B5416" t="str">
            <v>XZ-ZQ2176</v>
          </cell>
        </row>
        <row r="5417">
          <cell r="A5417" t="str">
            <v>XZ-ZQ2176-R1-1617</v>
          </cell>
          <cell r="B5417" t="str">
            <v>XZ-ZQ2176</v>
          </cell>
        </row>
        <row r="5418">
          <cell r="A5418" t="str">
            <v>XZ-ZQ2176-R1-1617-GM</v>
          </cell>
          <cell r="B5418" t="str">
            <v>XZ-ZQ2176</v>
          </cell>
        </row>
        <row r="5419">
          <cell r="A5419" t="str">
            <v>XZ-ZQ2176-R1-1819</v>
          </cell>
          <cell r="B5419" t="str">
            <v>XZ-ZQ2176</v>
          </cell>
        </row>
        <row r="5420">
          <cell r="A5420" t="str">
            <v>XZ-ZQ2176-R1-20</v>
          </cell>
          <cell r="B5420" t="str">
            <v>XZ-ZQ2176</v>
          </cell>
        </row>
        <row r="5421">
          <cell r="A5421" t="str">
            <v>XZ-ZQ2176-R1-21</v>
          </cell>
          <cell r="B5421" t="str">
            <v>XZ-ZQ2176</v>
          </cell>
        </row>
        <row r="5422">
          <cell r="A5422" t="str">
            <v>XZ-ZQ2176-R1-22</v>
          </cell>
          <cell r="B5422" t="str">
            <v>XZ-ZQ2176</v>
          </cell>
        </row>
        <row r="5423">
          <cell r="A5423" t="str">
            <v>XZ-ZQ2176-R1-3637</v>
          </cell>
          <cell r="B5423" t="str">
            <v>XZ-ZQ2176</v>
          </cell>
        </row>
        <row r="5424">
          <cell r="A5424" t="str">
            <v>XZ-ZQ2176-R1-3839</v>
          </cell>
          <cell r="B5424" t="str">
            <v>XZ-ZQ2176</v>
          </cell>
        </row>
        <row r="5425">
          <cell r="A5425" t="str">
            <v>XZ-ZQ2176-R1-4041</v>
          </cell>
          <cell r="B5425" t="str">
            <v>XZ-ZQ2176</v>
          </cell>
        </row>
        <row r="5426">
          <cell r="A5426" t="str">
            <v>XZ-ZQ2182-B0-270</v>
          </cell>
          <cell r="B5426" t="str">
            <v>XZ-ZQ2182</v>
          </cell>
        </row>
        <row r="5427">
          <cell r="A5427" t="str">
            <v>XZ-ZQ2182-B0-280</v>
          </cell>
          <cell r="B5427" t="str">
            <v>XZ-ZQ2182</v>
          </cell>
        </row>
        <row r="5428">
          <cell r="A5428" t="str">
            <v>XZ-ZQ2182-B0-290</v>
          </cell>
          <cell r="B5428" t="str">
            <v>XZ-ZQ2182</v>
          </cell>
        </row>
        <row r="5429">
          <cell r="A5429" t="str">
            <v>XZ-ZQ2182-C0-270</v>
          </cell>
          <cell r="B5429" t="str">
            <v>XZ-ZQ2182</v>
          </cell>
        </row>
        <row r="5430">
          <cell r="A5430" t="str">
            <v>XZ-ZQ2182-C0-280</v>
          </cell>
          <cell r="B5430" t="str">
            <v>XZ-ZQ2182</v>
          </cell>
        </row>
        <row r="5431">
          <cell r="A5431" t="str">
            <v>XZ-ZQ2182-C0-290</v>
          </cell>
          <cell r="B5431" t="str">
            <v>XZ-ZQ2182</v>
          </cell>
        </row>
        <row r="5432">
          <cell r="A5432" t="str">
            <v>XZ-ZQ2182-E0-270</v>
          </cell>
          <cell r="B5432" t="str">
            <v>XZ-ZQ2182</v>
          </cell>
        </row>
        <row r="5433">
          <cell r="A5433" t="str">
            <v>XZ-ZQ2182-E0-280</v>
          </cell>
          <cell r="B5433" t="str">
            <v>XZ-ZQ2182</v>
          </cell>
        </row>
        <row r="5434">
          <cell r="A5434" t="str">
            <v>XZ-ZQ2182-E0-290</v>
          </cell>
          <cell r="B5434" t="str">
            <v>XZ-ZQ2182</v>
          </cell>
        </row>
        <row r="5435">
          <cell r="A5435" t="str">
            <v>XZ-ZQ2182-G0-3839</v>
          </cell>
          <cell r="B5435" t="str">
            <v>XZ-ZQ2182</v>
          </cell>
        </row>
        <row r="5436">
          <cell r="A5436" t="str">
            <v>XZ-ZQ2182-PI-3637</v>
          </cell>
          <cell r="B5436" t="str">
            <v>XZ-ZQ2182</v>
          </cell>
        </row>
        <row r="5437">
          <cell r="A5437" t="str">
            <v>XZ-ZQ2182-PI-3839</v>
          </cell>
          <cell r="B5437" t="str">
            <v>XZ-ZQ2182</v>
          </cell>
        </row>
        <row r="5438">
          <cell r="A5438" t="str">
            <v>XZ-ZQ2182-PI-4041</v>
          </cell>
          <cell r="B5438" t="str">
            <v>XZ-ZQ2182</v>
          </cell>
        </row>
        <row r="5439">
          <cell r="A5439" t="str">
            <v>XZ-ZQ2182-R0-3637</v>
          </cell>
          <cell r="B5439" t="str">
            <v>XZ-ZQ2182</v>
          </cell>
        </row>
        <row r="5440">
          <cell r="A5440" t="str">
            <v>XZ-ZQ2182-R0-3839</v>
          </cell>
          <cell r="B5440" t="str">
            <v>XZ-ZQ2182</v>
          </cell>
        </row>
        <row r="5441">
          <cell r="A5441" t="str">
            <v>XZ-ZQ2182-R0-4041</v>
          </cell>
          <cell r="B5441" t="str">
            <v>XZ-ZQ2182</v>
          </cell>
        </row>
        <row r="5442">
          <cell r="A5442" t="str">
            <v>XZ-ZQ2256-B0-1415</v>
          </cell>
          <cell r="B5442" t="str">
            <v>XZ-ZQ2256</v>
          </cell>
        </row>
        <row r="5443">
          <cell r="A5443" t="str">
            <v>XZ-ZQ2256-B0-1617</v>
          </cell>
          <cell r="B5443" t="str">
            <v>XZ-ZQ2256</v>
          </cell>
        </row>
        <row r="5444">
          <cell r="A5444" t="str">
            <v>XZ-ZQ2256-B0-1819</v>
          </cell>
          <cell r="B5444" t="str">
            <v>XZ-ZQ2256</v>
          </cell>
        </row>
        <row r="5445">
          <cell r="A5445" t="str">
            <v>XZ-ZQ2256-B0-20</v>
          </cell>
          <cell r="B5445" t="str">
            <v>XZ-ZQ2256</v>
          </cell>
        </row>
        <row r="5446">
          <cell r="A5446" t="str">
            <v>XZ-ZQ2256-B0-20-GM</v>
          </cell>
          <cell r="B5446" t="str">
            <v>XZ-ZQ2256</v>
          </cell>
        </row>
        <row r="5447">
          <cell r="A5447" t="str">
            <v>XZ-ZQ2256-B0-21</v>
          </cell>
          <cell r="B5447" t="str">
            <v>XZ-ZQ2256</v>
          </cell>
        </row>
        <row r="5448">
          <cell r="A5448" t="str">
            <v>XZ-ZQ2256-B0-21-GM</v>
          </cell>
          <cell r="B5448" t="str">
            <v>XZ-ZQ2256</v>
          </cell>
        </row>
        <row r="5449">
          <cell r="A5449" t="str">
            <v>XZ-ZQ2256-B0-22</v>
          </cell>
          <cell r="B5449" t="str">
            <v>XZ-ZQ2256</v>
          </cell>
        </row>
        <row r="5450">
          <cell r="A5450" t="str">
            <v>XZ-ZQ2256-B0-24</v>
          </cell>
          <cell r="B5450" t="str">
            <v>XZ-ZQ2256</v>
          </cell>
        </row>
        <row r="5451">
          <cell r="A5451" t="str">
            <v>XZ-ZQ2256-B0-24-GM</v>
          </cell>
          <cell r="B5451" t="str">
            <v>XZ-ZQ2256</v>
          </cell>
        </row>
        <row r="5452">
          <cell r="A5452" t="str">
            <v>XZ-ZQ2256-B0-25</v>
          </cell>
          <cell r="B5452" t="str">
            <v>XZ-ZQ2256</v>
          </cell>
        </row>
        <row r="5453">
          <cell r="A5453" t="str">
            <v>XZ-ZQ2256-B0-26</v>
          </cell>
          <cell r="B5453" t="str">
            <v>XZ-ZQ2256</v>
          </cell>
        </row>
        <row r="5454">
          <cell r="A5454" t="str">
            <v>XZ-ZQ2256-B0-27</v>
          </cell>
          <cell r="B5454" t="str">
            <v>XZ-ZQ2256</v>
          </cell>
        </row>
        <row r="5455">
          <cell r="A5455" t="str">
            <v>XZ-ZQ2256-B0-28</v>
          </cell>
          <cell r="B5455" t="str">
            <v>XZ-ZQ2256</v>
          </cell>
        </row>
        <row r="5456">
          <cell r="A5456" t="str">
            <v>XZ-ZQ2256-G0-1415</v>
          </cell>
          <cell r="B5456" t="str">
            <v>XZ-ZQ2256</v>
          </cell>
        </row>
        <row r="5457">
          <cell r="A5457" t="str">
            <v>XZ-ZQ2256-G0-1617</v>
          </cell>
          <cell r="B5457" t="str">
            <v>XZ-ZQ2256</v>
          </cell>
        </row>
        <row r="5458">
          <cell r="A5458" t="str">
            <v>XZ-ZQ2256-G0-1819</v>
          </cell>
          <cell r="B5458" t="str">
            <v>XZ-ZQ2256</v>
          </cell>
        </row>
        <row r="5459">
          <cell r="A5459" t="str">
            <v>XZ-ZQ2256-G0-20</v>
          </cell>
          <cell r="B5459" t="str">
            <v>XZ-ZQ2256</v>
          </cell>
        </row>
        <row r="5460">
          <cell r="A5460" t="str">
            <v>XZ-ZQ2256-G0-21</v>
          </cell>
          <cell r="B5460" t="str">
            <v>XZ-ZQ2256</v>
          </cell>
        </row>
        <row r="5461">
          <cell r="A5461" t="str">
            <v>XZ-ZQ2256-G0-22</v>
          </cell>
          <cell r="B5461" t="str">
            <v>XZ-ZQ2256</v>
          </cell>
        </row>
        <row r="5462">
          <cell r="A5462" t="str">
            <v>XZ-ZQ2256-G0-22-GM</v>
          </cell>
          <cell r="B5462" t="str">
            <v>XZ-ZQ2256</v>
          </cell>
        </row>
        <row r="5463">
          <cell r="A5463" t="str">
            <v>XZ-ZQ2256-G0-24</v>
          </cell>
          <cell r="B5463" t="str">
            <v>XZ-ZQ2256</v>
          </cell>
        </row>
        <row r="5464">
          <cell r="A5464" t="str">
            <v>XZ-ZQ2256-G0-25</v>
          </cell>
          <cell r="B5464" t="str">
            <v>XZ-ZQ2256</v>
          </cell>
        </row>
        <row r="5465">
          <cell r="A5465" t="str">
            <v>XZ-ZQ2256-G0-26</v>
          </cell>
          <cell r="B5465" t="str">
            <v>XZ-ZQ2256</v>
          </cell>
        </row>
        <row r="5466">
          <cell r="A5466" t="str">
            <v>XZ-ZQ2256-G0-27</v>
          </cell>
          <cell r="B5466" t="str">
            <v>XZ-ZQ2256</v>
          </cell>
        </row>
        <row r="5467">
          <cell r="A5467" t="str">
            <v>XZ-ZQ2256-G0-28</v>
          </cell>
          <cell r="B5467" t="str">
            <v>XZ-ZQ2256</v>
          </cell>
        </row>
        <row r="5468">
          <cell r="A5468" t="str">
            <v>XZ-ZQ2256-K0-1415</v>
          </cell>
          <cell r="B5468" t="str">
            <v>XZ-ZQ2256</v>
          </cell>
        </row>
        <row r="5469">
          <cell r="A5469" t="str">
            <v>XZ-ZQ2256-K0-1617</v>
          </cell>
          <cell r="B5469" t="str">
            <v>XZ-ZQ2256</v>
          </cell>
        </row>
        <row r="5470">
          <cell r="A5470" t="str">
            <v>XZ-ZQ2256-K0-1617-GM</v>
          </cell>
          <cell r="B5470" t="str">
            <v>XZ-ZQ2256</v>
          </cell>
        </row>
        <row r="5471">
          <cell r="A5471" t="str">
            <v>XZ-ZQ2256-K0-1819</v>
          </cell>
          <cell r="B5471" t="str">
            <v>XZ-ZQ2256</v>
          </cell>
        </row>
        <row r="5472">
          <cell r="A5472" t="str">
            <v>XZ-ZQ2256-K0-1819-GM</v>
          </cell>
          <cell r="B5472" t="str">
            <v>XZ-ZQ2256</v>
          </cell>
        </row>
        <row r="5473">
          <cell r="A5473" t="str">
            <v>XZ-ZQ2256-K0-20</v>
          </cell>
          <cell r="B5473" t="str">
            <v>XZ-ZQ2256</v>
          </cell>
        </row>
        <row r="5474">
          <cell r="A5474" t="str">
            <v>XZ-ZQ2256-K0-21</v>
          </cell>
          <cell r="B5474" t="str">
            <v>XZ-ZQ2256</v>
          </cell>
        </row>
        <row r="5475">
          <cell r="A5475" t="str">
            <v>XZ-ZQ2256-K0-22</v>
          </cell>
          <cell r="B5475" t="str">
            <v>XZ-ZQ2256</v>
          </cell>
        </row>
        <row r="5476">
          <cell r="A5476" t="str">
            <v>XZ-ZQ2256-K0-24</v>
          </cell>
          <cell r="B5476" t="str">
            <v>XZ-ZQ2256</v>
          </cell>
        </row>
        <row r="5477">
          <cell r="A5477" t="str">
            <v>XZ-ZQ2256-K0-24-GM</v>
          </cell>
          <cell r="B5477" t="str">
            <v>XZ-ZQ2256</v>
          </cell>
        </row>
        <row r="5478">
          <cell r="A5478" t="str">
            <v>XZ-ZQ2256-K0-25</v>
          </cell>
          <cell r="B5478" t="str">
            <v>XZ-ZQ2256</v>
          </cell>
        </row>
        <row r="5479">
          <cell r="A5479" t="str">
            <v>XZ-ZQ2256-K0-26</v>
          </cell>
          <cell r="B5479" t="str">
            <v>XZ-ZQ2256</v>
          </cell>
        </row>
        <row r="5480">
          <cell r="A5480" t="str">
            <v>XZ-ZQ2256-K0-27</v>
          </cell>
          <cell r="B5480" t="str">
            <v>XZ-ZQ2256</v>
          </cell>
        </row>
        <row r="5481">
          <cell r="A5481" t="str">
            <v>XZ-ZQ2256-K0-27-GM</v>
          </cell>
          <cell r="B5481" t="str">
            <v>XZ-ZQ2256</v>
          </cell>
        </row>
        <row r="5482">
          <cell r="A5482" t="str">
            <v>XZ-ZQ2256-K0-28</v>
          </cell>
          <cell r="B5482" t="str">
            <v>XZ-ZQ2256</v>
          </cell>
        </row>
        <row r="5483">
          <cell r="A5483" t="str">
            <v>XZ-ZQ2256-R0-1415</v>
          </cell>
          <cell r="B5483" t="str">
            <v>XZ-ZQ2256</v>
          </cell>
        </row>
        <row r="5484">
          <cell r="A5484" t="str">
            <v>XZ-ZQ2256-R0-1617</v>
          </cell>
          <cell r="B5484" t="str">
            <v>XZ-ZQ2256</v>
          </cell>
        </row>
        <row r="5485">
          <cell r="A5485" t="str">
            <v>XZ-ZQ2256-R0-1617-GM</v>
          </cell>
          <cell r="B5485" t="str">
            <v>XZ-ZQ2256</v>
          </cell>
        </row>
        <row r="5486">
          <cell r="A5486" t="str">
            <v>XZ-ZQ2256-R0-1819</v>
          </cell>
          <cell r="B5486" t="str">
            <v>XZ-ZQ2256</v>
          </cell>
        </row>
        <row r="5487">
          <cell r="A5487" t="str">
            <v>XZ-ZQ2256-R0-20</v>
          </cell>
          <cell r="B5487" t="str">
            <v>XZ-ZQ2256</v>
          </cell>
        </row>
        <row r="5488">
          <cell r="A5488" t="str">
            <v>XZ-ZQ2256-R0-21</v>
          </cell>
          <cell r="B5488" t="str">
            <v>XZ-ZQ2256</v>
          </cell>
        </row>
        <row r="5489">
          <cell r="A5489" t="str">
            <v>XZ-ZQ2256-R0-22</v>
          </cell>
          <cell r="B5489" t="str">
            <v>XZ-ZQ2256</v>
          </cell>
        </row>
        <row r="5490">
          <cell r="A5490" t="str">
            <v>XZ-ZQ2256-R0-22-GM</v>
          </cell>
          <cell r="B5490" t="str">
            <v>XZ-ZQ2256</v>
          </cell>
        </row>
        <row r="5491">
          <cell r="A5491" t="str">
            <v>XZ-ZQ2256-R0-24</v>
          </cell>
          <cell r="B5491" t="str">
            <v>XZ-ZQ2256</v>
          </cell>
        </row>
        <row r="5492">
          <cell r="A5492" t="str">
            <v>XZ-ZQ2256-R0-25</v>
          </cell>
          <cell r="B5492" t="str">
            <v>XZ-ZQ2256</v>
          </cell>
        </row>
        <row r="5493">
          <cell r="A5493" t="str">
            <v>XZ-ZQ2256-R0-26</v>
          </cell>
          <cell r="B5493" t="str">
            <v>XZ-ZQ2256</v>
          </cell>
        </row>
        <row r="5494">
          <cell r="A5494" t="str">
            <v>XZ-ZQ2256-R1-1415</v>
          </cell>
          <cell r="B5494" t="str">
            <v>XZ-ZQ2256</v>
          </cell>
        </row>
        <row r="5495">
          <cell r="A5495" t="str">
            <v>XZ-ZQ2256-R1-1617</v>
          </cell>
          <cell r="B5495" t="str">
            <v>XZ-ZQ2256</v>
          </cell>
        </row>
        <row r="5496">
          <cell r="A5496" t="str">
            <v>XZ-ZQ2256-R1-1819</v>
          </cell>
          <cell r="B5496" t="str">
            <v>XZ-ZQ2256</v>
          </cell>
        </row>
        <row r="5497">
          <cell r="A5497" t="str">
            <v>XZ-ZQ2256-R1-20</v>
          </cell>
          <cell r="B5497" t="str">
            <v>XZ-ZQ2256</v>
          </cell>
        </row>
        <row r="5498">
          <cell r="A5498" t="str">
            <v>XZ-ZQ2256-R1-21</v>
          </cell>
          <cell r="B5498" t="str">
            <v>XZ-ZQ2256</v>
          </cell>
        </row>
        <row r="5499">
          <cell r="A5499" t="str">
            <v>XZ-ZQ2256-R1-22</v>
          </cell>
          <cell r="B5499" t="str">
            <v>XZ-ZQ2256</v>
          </cell>
        </row>
        <row r="5500">
          <cell r="A5500" t="str">
            <v>XZ-ZQ2256-R1-24</v>
          </cell>
          <cell r="B5500" t="str">
            <v>XZ-ZQ2256</v>
          </cell>
        </row>
        <row r="5501">
          <cell r="A5501" t="str">
            <v>XZ-ZQ2256-R1-25</v>
          </cell>
          <cell r="B5501" t="str">
            <v>XZ-ZQ2256</v>
          </cell>
        </row>
        <row r="5502">
          <cell r="A5502" t="str">
            <v>XZ-ZQ2256-R1-26</v>
          </cell>
          <cell r="B5502" t="str">
            <v>XZ-ZQ2256</v>
          </cell>
        </row>
        <row r="5503">
          <cell r="A5503" t="str">
            <v>XZ-ZQ3115-B0-3738</v>
          </cell>
          <cell r="B5503" t="str">
            <v>XZ-ZQ3115</v>
          </cell>
        </row>
        <row r="5504">
          <cell r="A5504" t="str">
            <v>XZ-ZQ3115-B0-3940</v>
          </cell>
          <cell r="B5504" t="str">
            <v>XZ-ZQ3115</v>
          </cell>
        </row>
        <row r="5505">
          <cell r="A5505" t="str">
            <v>XZ-ZQ3115-B0-4142</v>
          </cell>
          <cell r="B5505" t="str">
            <v>XZ-ZQ3115</v>
          </cell>
        </row>
        <row r="5506">
          <cell r="A5506" t="str">
            <v>XZ-ZQ3115-B0-4344</v>
          </cell>
          <cell r="B5506" t="str">
            <v>XZ-ZQ3115</v>
          </cell>
        </row>
        <row r="5507">
          <cell r="A5507" t="str">
            <v>XZ-ZQ3115-C0-3738</v>
          </cell>
          <cell r="B5507" t="str">
            <v>XZ-ZQ3115</v>
          </cell>
        </row>
        <row r="5508">
          <cell r="A5508" t="str">
            <v>XZ-ZQ3115-C0-3940</v>
          </cell>
          <cell r="B5508" t="str">
            <v>XZ-ZQ3115</v>
          </cell>
        </row>
        <row r="5509">
          <cell r="A5509" t="str">
            <v>XZ-ZQ3115-C0-4142</v>
          </cell>
          <cell r="B5509" t="str">
            <v>XZ-ZQ3115</v>
          </cell>
        </row>
        <row r="5510">
          <cell r="A5510" t="str">
            <v>XZ-ZQ3115-C0-4344</v>
          </cell>
          <cell r="B5510" t="str">
            <v>XZ-ZQ3115</v>
          </cell>
        </row>
        <row r="5511">
          <cell r="A5511" t="str">
            <v>XZ-ZQ3115-R0-3738</v>
          </cell>
          <cell r="B5511" t="str">
            <v>XZ-ZQ3115</v>
          </cell>
        </row>
        <row r="5512">
          <cell r="A5512" t="str">
            <v>XZ-ZQ3115-R0-3940</v>
          </cell>
          <cell r="B5512" t="str">
            <v>XZ-ZQ3115</v>
          </cell>
        </row>
        <row r="5513">
          <cell r="A5513" t="str">
            <v>XZ-ZQ3115-R0-4142</v>
          </cell>
          <cell r="B5513" t="str">
            <v>XZ-ZQ3115</v>
          </cell>
        </row>
        <row r="5514">
          <cell r="A5514" t="str">
            <v>XZ-ZQ3115-R0-4344</v>
          </cell>
          <cell r="B5514" t="str">
            <v>XZ-ZQ3115</v>
          </cell>
        </row>
        <row r="5515">
          <cell r="A5515" t="str">
            <v>XZ-ZQ3115-R1-3738</v>
          </cell>
          <cell r="B5515" t="str">
            <v>XZ-ZQ3115</v>
          </cell>
        </row>
        <row r="5516">
          <cell r="A5516" t="str">
            <v>XZ-ZQ3115-R1-3940</v>
          </cell>
          <cell r="B5516" t="str">
            <v>XZ-ZQ3115</v>
          </cell>
        </row>
        <row r="5517">
          <cell r="A5517" t="str">
            <v>XZ-ZQ3115-R1-4142</v>
          </cell>
          <cell r="B5517" t="str">
            <v>XZ-ZQ3115</v>
          </cell>
        </row>
        <row r="5518">
          <cell r="A5518" t="str">
            <v>XZ-ZQ3115-R1-4344</v>
          </cell>
          <cell r="B5518" t="str">
            <v>XZ-ZQ3115</v>
          </cell>
        </row>
        <row r="5519">
          <cell r="A5519" t="str">
            <v>XZ-ZQ4176-GE-250</v>
          </cell>
          <cell r="B5519" t="str">
            <v>XZ-ZQ4176</v>
          </cell>
        </row>
        <row r="5520">
          <cell r="A5520" t="str">
            <v>XZ-ZQ4176-R2-240</v>
          </cell>
          <cell r="B5520" t="str">
            <v>XZ-ZQ4176</v>
          </cell>
        </row>
        <row r="5521">
          <cell r="A5521" t="str">
            <v>XZ-ZQ6001-B0-1415</v>
          </cell>
          <cell r="B5521" t="str">
            <v>XZ-ZQ6001</v>
          </cell>
        </row>
        <row r="5522">
          <cell r="A5522" t="str">
            <v>XZ-ZQ6001-B0-1617</v>
          </cell>
          <cell r="B5522" t="str">
            <v>XZ-ZQ6001</v>
          </cell>
        </row>
        <row r="5523">
          <cell r="A5523" t="str">
            <v>XZ-ZQ6001-B0-20</v>
          </cell>
          <cell r="B5523" t="str">
            <v>XZ-ZQ6001</v>
          </cell>
        </row>
        <row r="5524">
          <cell r="A5524" t="str">
            <v>XZ-ZQ6001-B0-21</v>
          </cell>
          <cell r="B5524" t="str">
            <v>XZ-ZQ6001</v>
          </cell>
        </row>
        <row r="5525">
          <cell r="A5525" t="str">
            <v>XZ-ZQ6001-B0-23</v>
          </cell>
          <cell r="B5525" t="str">
            <v>XZ-ZQ6001</v>
          </cell>
        </row>
        <row r="5526">
          <cell r="A5526" t="str">
            <v>XZ-ZQ6001-KQ-1415</v>
          </cell>
          <cell r="B5526" t="str">
            <v>XZ-ZQ6001</v>
          </cell>
        </row>
        <row r="5527">
          <cell r="A5527" t="str">
            <v>XZ-ZQ6001-KQ-20</v>
          </cell>
          <cell r="B5527" t="str">
            <v>XZ-ZQ6001</v>
          </cell>
        </row>
        <row r="5528">
          <cell r="A5528" t="str">
            <v>XZ-ZQ6001-KQ-21</v>
          </cell>
          <cell r="B5528" t="str">
            <v>XZ-ZQ6001</v>
          </cell>
        </row>
        <row r="5529">
          <cell r="A5529" t="str">
            <v>XZ-ZQ6001-KQ-22</v>
          </cell>
          <cell r="B5529" t="str">
            <v>XZ-ZQ6001</v>
          </cell>
        </row>
        <row r="5530">
          <cell r="A5530" t="str">
            <v>XZ-ZQ6001-R0-20</v>
          </cell>
          <cell r="B5530" t="str">
            <v>XZ-ZQ6001</v>
          </cell>
        </row>
        <row r="5531">
          <cell r="A5531" t="str">
            <v>XZ-ZQ6001-R0-21</v>
          </cell>
          <cell r="B5531" t="str">
            <v>XZ-ZQ6001</v>
          </cell>
        </row>
        <row r="5532">
          <cell r="A5532" t="str">
            <v>XZ-ZQ6001-R0-22</v>
          </cell>
          <cell r="B5532" t="str">
            <v>XZ-ZQ6001</v>
          </cell>
        </row>
        <row r="5533">
          <cell r="A5533" t="str">
            <v>XZ-ZQ6001-R1-1415</v>
          </cell>
          <cell r="B5533" t="str">
            <v>XZ-ZQ6001</v>
          </cell>
        </row>
        <row r="5534">
          <cell r="A5534" t="str">
            <v>XZ-ZQ6001-R1-1617</v>
          </cell>
          <cell r="B5534" t="str">
            <v>XZ-ZQ6001</v>
          </cell>
        </row>
        <row r="5535">
          <cell r="A5535" t="str">
            <v>XZ-ZQ6001-R1-1819</v>
          </cell>
          <cell r="B5535" t="str">
            <v>XZ-ZQ6001</v>
          </cell>
        </row>
        <row r="5536">
          <cell r="A5536" t="str">
            <v>XZ-ZQ6001-R1-20</v>
          </cell>
          <cell r="B5536" t="str">
            <v>XZ-ZQ6001</v>
          </cell>
        </row>
        <row r="5537">
          <cell r="A5537" t="str">
            <v>XZ-ZQ6001-R1-21</v>
          </cell>
          <cell r="B5537" t="str">
            <v>XZ-ZQ6001</v>
          </cell>
        </row>
        <row r="5538">
          <cell r="A5538" t="str">
            <v>XZ-ZQ6001-R1-22</v>
          </cell>
          <cell r="B5538" t="str">
            <v>XZ-ZQ6001</v>
          </cell>
        </row>
        <row r="5539">
          <cell r="A5539" t="str">
            <v>XZ-ZQ6102-K0-3637</v>
          </cell>
          <cell r="B5539" t="str">
            <v>XZ-ZQ6102</v>
          </cell>
        </row>
        <row r="5540">
          <cell r="A5540" t="str">
            <v>XZ-ZQ6102-K0-3839</v>
          </cell>
          <cell r="B5540" t="str">
            <v>XZ-ZQ6102</v>
          </cell>
        </row>
        <row r="5541">
          <cell r="A5541" t="str">
            <v>XZ-ZQ6102-K0-4041</v>
          </cell>
          <cell r="B5541" t="str">
            <v>XZ-ZQ6102</v>
          </cell>
        </row>
        <row r="5542">
          <cell r="A5542" t="str">
            <v>XZ-ZQ6102-K0-4243</v>
          </cell>
          <cell r="B5542" t="str">
            <v>XZ-ZQ6102</v>
          </cell>
        </row>
        <row r="5543">
          <cell r="A5543" t="str">
            <v>XZ-ZQ6102-K0-4445</v>
          </cell>
          <cell r="B5543" t="str">
            <v>XZ-ZQ6102</v>
          </cell>
        </row>
        <row r="5544">
          <cell r="A5544" t="str">
            <v>XZ-ZQ6102-KW-3637</v>
          </cell>
          <cell r="B5544" t="str">
            <v>XZ-ZQ6102</v>
          </cell>
        </row>
        <row r="5545">
          <cell r="A5545" t="str">
            <v>XZ-ZQ6102-KW-3839</v>
          </cell>
          <cell r="B5545" t="str">
            <v>XZ-ZQ6102</v>
          </cell>
        </row>
        <row r="5546">
          <cell r="A5546" t="str">
            <v>XZ-ZQ6102-KW-4041</v>
          </cell>
          <cell r="B5546" t="str">
            <v>XZ-ZQ6102</v>
          </cell>
        </row>
        <row r="5547">
          <cell r="A5547" t="str">
            <v>XZ-ZQ6102-KW-4243</v>
          </cell>
          <cell r="B5547" t="str">
            <v>XZ-ZQ6102</v>
          </cell>
        </row>
        <row r="5548">
          <cell r="A5548" t="str">
            <v>XZ-ZQ6102-KW-4445</v>
          </cell>
          <cell r="B5548" t="str">
            <v>XZ-ZQ6102</v>
          </cell>
        </row>
        <row r="5549">
          <cell r="A5549" t="str">
            <v>XZ-ZQ6102-N0-4041</v>
          </cell>
          <cell r="B5549" t="str">
            <v>XZ-ZQ6102</v>
          </cell>
        </row>
        <row r="5550">
          <cell r="A5550" t="str">
            <v>XZ-ZQ6102-N0-4243</v>
          </cell>
          <cell r="B5550" t="str">
            <v>XZ-ZQ6102</v>
          </cell>
        </row>
        <row r="5551">
          <cell r="A5551" t="str">
            <v>XZ-ZQ6102-N0-4445</v>
          </cell>
          <cell r="B5551" t="str">
            <v>XZ-ZQ6102</v>
          </cell>
        </row>
        <row r="5552">
          <cell r="A5552" t="str">
            <v>XZ-ZQ6102-R0-3637</v>
          </cell>
          <cell r="B5552" t="str">
            <v>XZ-ZQ6102</v>
          </cell>
        </row>
        <row r="5553">
          <cell r="A5553" t="str">
            <v>XZ-ZQ6102-R0-3839</v>
          </cell>
          <cell r="B5553" t="str">
            <v>XZ-ZQ6102</v>
          </cell>
        </row>
        <row r="5554">
          <cell r="A5554" t="str">
            <v>XZ-ZQ6102-R0-4041</v>
          </cell>
          <cell r="B5554" t="str">
            <v>XZ-ZQ6102</v>
          </cell>
        </row>
        <row r="5555">
          <cell r="A5555" t="str">
            <v>XZ-ZQ6102-R1-3637</v>
          </cell>
          <cell r="B5555" t="str">
            <v>XZ-ZQ6102</v>
          </cell>
        </row>
        <row r="5556">
          <cell r="A5556" t="str">
            <v>XZ-ZQ6102-R1-3839</v>
          </cell>
          <cell r="B5556" t="str">
            <v>XZ-ZQ6102</v>
          </cell>
        </row>
        <row r="5557">
          <cell r="A5557" t="str">
            <v>XZ-ZQ6102-R1-4041</v>
          </cell>
          <cell r="B5557" t="str">
            <v>XZ-ZQ6102</v>
          </cell>
        </row>
        <row r="5558">
          <cell r="A5558" t="str">
            <v>XZ-ZQ6102-W0-3637</v>
          </cell>
          <cell r="B5558" t="str">
            <v>XZ-ZQ6102</v>
          </cell>
        </row>
        <row r="5559">
          <cell r="A5559" t="str">
            <v>XZ-ZQ6102-W0-3839</v>
          </cell>
          <cell r="B5559" t="str">
            <v>XZ-ZQ6102</v>
          </cell>
        </row>
        <row r="5560">
          <cell r="A5560" t="str">
            <v>XZ-ZQ6102-W0-4041</v>
          </cell>
          <cell r="B5560" t="str">
            <v>XZ-ZQ6102</v>
          </cell>
        </row>
        <row r="5561">
          <cell r="A5561" t="str">
            <v>XZ-ZQ6102-W0-4243</v>
          </cell>
          <cell r="B5561" t="str">
            <v>XZ-ZQ6102</v>
          </cell>
        </row>
        <row r="5562">
          <cell r="A5562" t="str">
            <v>XZ-ZQ6102-W0-4445</v>
          </cell>
          <cell r="B5562" t="str">
            <v>XZ-ZQ6102</v>
          </cell>
        </row>
        <row r="5563">
          <cell r="A5563" t="str">
            <v>XZ-ZQ6102-W0-4445-New</v>
          </cell>
          <cell r="B5563" t="str">
            <v>XZ-ZQ6102</v>
          </cell>
        </row>
        <row r="5564">
          <cell r="A5564" t="str">
            <v>XZ-ZQ6603-B0-3637</v>
          </cell>
          <cell r="B5564" t="str">
            <v>XZ-ZQ6603</v>
          </cell>
        </row>
        <row r="5565">
          <cell r="A5565" t="str">
            <v>XZ-ZQ6603-E0-4243</v>
          </cell>
          <cell r="B5565" t="str">
            <v>XZ-ZQ6603</v>
          </cell>
        </row>
        <row r="5566">
          <cell r="A5566" t="str">
            <v>XZ-ZQ6606-C0-4041</v>
          </cell>
          <cell r="B5566" t="str">
            <v>XZ-ZQ6606</v>
          </cell>
        </row>
        <row r="5567">
          <cell r="A5567" t="str">
            <v>XZ-ZQ6606-C0-4243</v>
          </cell>
          <cell r="B5567" t="str">
            <v>XZ-ZQ6606</v>
          </cell>
        </row>
        <row r="5568">
          <cell r="A5568" t="str">
            <v>XZ-ZQ6606-C0-4445</v>
          </cell>
          <cell r="B5568" t="str">
            <v>XZ-ZQ6606</v>
          </cell>
        </row>
        <row r="5569">
          <cell r="A5569" t="str">
            <v>XZ-ZQ6606-E0-4041</v>
          </cell>
          <cell r="B5569" t="str">
            <v>XZ-ZQ6606</v>
          </cell>
        </row>
        <row r="5570">
          <cell r="A5570" t="str">
            <v>XZ-ZQ6606-E0-4243</v>
          </cell>
          <cell r="B5570" t="str">
            <v>XZ-ZQ6606</v>
          </cell>
        </row>
        <row r="5571">
          <cell r="A5571" t="str">
            <v>XZ-ZQ6606-E0-4445</v>
          </cell>
          <cell r="B5571" t="str">
            <v>XZ-ZQ6606</v>
          </cell>
        </row>
        <row r="5572">
          <cell r="A5572" t="str">
            <v>XZ-ZQ6606-E0-4445-GM</v>
          </cell>
          <cell r="B5572" t="str">
            <v>XZ-ZQ6606</v>
          </cell>
        </row>
        <row r="5573">
          <cell r="A5573" t="str">
            <v>XZ-ZQ6606-P0-3637</v>
          </cell>
          <cell r="B5573" t="str">
            <v>XZ-ZQ6606</v>
          </cell>
        </row>
        <row r="5574">
          <cell r="A5574" t="str">
            <v>XZ-ZQ6606-P0-3839</v>
          </cell>
          <cell r="B5574" t="str">
            <v>XZ-ZQ6606</v>
          </cell>
        </row>
        <row r="5575">
          <cell r="A5575" t="str">
            <v>XZ-ZQ6606-P0-4041</v>
          </cell>
          <cell r="B5575" t="str">
            <v>XZ-ZQ6606</v>
          </cell>
        </row>
        <row r="5576">
          <cell r="A5576" t="str">
            <v>XZ-ZQ6606-P2-3637</v>
          </cell>
          <cell r="B5576" t="str">
            <v>XZ-ZQ6606</v>
          </cell>
        </row>
        <row r="5577">
          <cell r="A5577" t="str">
            <v>XZ-ZQ6606-P2-3839</v>
          </cell>
          <cell r="B5577" t="str">
            <v>XZ-ZQ6606</v>
          </cell>
        </row>
        <row r="5578">
          <cell r="A5578" t="str">
            <v>XZ-ZQ6606-P2-4041</v>
          </cell>
          <cell r="B5578" t="str">
            <v>XZ-ZQ6606</v>
          </cell>
        </row>
        <row r="5579">
          <cell r="A5579" t="str">
            <v>XZ-ZQ6606-PI-3637</v>
          </cell>
          <cell r="B5579" t="str">
            <v>XZ-ZQ6606</v>
          </cell>
        </row>
        <row r="5580">
          <cell r="A5580" t="str">
            <v>XZ-ZQ6606-PI-3839</v>
          </cell>
          <cell r="B5580" t="str">
            <v>XZ-ZQ6606</v>
          </cell>
        </row>
        <row r="5581">
          <cell r="A5581" t="str">
            <v>XZ-ZQ6606-PI-4041</v>
          </cell>
          <cell r="B5581" t="str">
            <v>XZ-ZQ6606</v>
          </cell>
        </row>
        <row r="5582">
          <cell r="A5582" t="str">
            <v>XZ-ZQ6625-C0-4243</v>
          </cell>
          <cell r="B5582" t="str">
            <v>XZ-ZQ6625</v>
          </cell>
        </row>
        <row r="5583">
          <cell r="A5583" t="str">
            <v>XZ-ZQ6625-E0-4243</v>
          </cell>
          <cell r="B5583" t="str">
            <v>XZ-ZQ6625</v>
          </cell>
        </row>
        <row r="5584">
          <cell r="A5584" t="str">
            <v>XZ-ZQ6625-R2-3637</v>
          </cell>
          <cell r="B5584" t="str">
            <v>XZ-ZQ6625</v>
          </cell>
        </row>
        <row r="5585">
          <cell r="A5585" t="str">
            <v>XZ-ZQ6834-E0-14-15</v>
          </cell>
          <cell r="B5585" t="str">
            <v>XZ-ZQ6834</v>
          </cell>
        </row>
        <row r="5586">
          <cell r="A5586" t="str">
            <v>XZ-ZQ6834-E0-16-17</v>
          </cell>
          <cell r="B5586" t="str">
            <v>XZ-ZQ6834</v>
          </cell>
        </row>
        <row r="5587">
          <cell r="A5587" t="str">
            <v>XZ-ZQ6834-E0-18-19</v>
          </cell>
          <cell r="B5587" t="str">
            <v>XZ-ZQ6834</v>
          </cell>
        </row>
        <row r="5588">
          <cell r="A5588" t="str">
            <v>XZ-ZQ6834-E0-20</v>
          </cell>
          <cell r="B5588" t="str">
            <v>XZ-ZQ6834</v>
          </cell>
        </row>
        <row r="5589">
          <cell r="A5589" t="str">
            <v>XZ-ZQ6834-E0-21</v>
          </cell>
          <cell r="B5589" t="str">
            <v>XZ-ZQ6834</v>
          </cell>
        </row>
        <row r="5590">
          <cell r="A5590" t="str">
            <v>XZ-ZQ6834-E0-22</v>
          </cell>
          <cell r="B5590" t="str">
            <v>XZ-ZQ6834</v>
          </cell>
        </row>
        <row r="5591">
          <cell r="A5591" t="str">
            <v>XZ-ZQ6834-E0-22-GM</v>
          </cell>
          <cell r="B5591" t="str">
            <v>XZ-ZQ6834</v>
          </cell>
        </row>
        <row r="5592">
          <cell r="A5592" t="str">
            <v>XZ-ZQ6834-E0-270</v>
          </cell>
          <cell r="B5592" t="str">
            <v>XZ-ZQ6834</v>
          </cell>
        </row>
        <row r="5593">
          <cell r="A5593" t="str">
            <v>XZ-ZQ6834-E0-280</v>
          </cell>
          <cell r="B5593" t="str">
            <v>XZ-ZQ6834</v>
          </cell>
        </row>
        <row r="5594">
          <cell r="A5594" t="str">
            <v>XZ-ZQ6834-E0-290</v>
          </cell>
          <cell r="B5594" t="str">
            <v>XZ-ZQ6834</v>
          </cell>
        </row>
        <row r="5595">
          <cell r="A5595" t="str">
            <v>XZ-ZQ6834-GE-14-15</v>
          </cell>
          <cell r="B5595" t="str">
            <v>XZ-ZQ6834</v>
          </cell>
        </row>
        <row r="5596">
          <cell r="A5596" t="str">
            <v>XZ-ZQ6834-GE-16-17</v>
          </cell>
          <cell r="B5596" t="str">
            <v>XZ-ZQ6834</v>
          </cell>
        </row>
        <row r="5597">
          <cell r="A5597" t="str">
            <v>XZ-ZQ6834-GE-18-19</v>
          </cell>
          <cell r="B5597" t="str">
            <v>XZ-ZQ6834</v>
          </cell>
        </row>
        <row r="5598">
          <cell r="A5598" t="str">
            <v>XZ-ZQ6834-GE-20</v>
          </cell>
          <cell r="B5598" t="str">
            <v>XZ-ZQ6834</v>
          </cell>
        </row>
        <row r="5599">
          <cell r="A5599" t="str">
            <v>XZ-ZQ6834-GE-21</v>
          </cell>
          <cell r="B5599" t="str">
            <v>XZ-ZQ6834</v>
          </cell>
        </row>
        <row r="5600">
          <cell r="A5600" t="str">
            <v>XZ-ZQ6834-GE-22</v>
          </cell>
          <cell r="B5600" t="str">
            <v>XZ-ZQ6834</v>
          </cell>
        </row>
        <row r="5601">
          <cell r="A5601" t="str">
            <v>XZ-ZQ6834-GE-240</v>
          </cell>
          <cell r="B5601" t="str">
            <v>XZ-ZQ6834</v>
          </cell>
        </row>
        <row r="5602">
          <cell r="A5602" t="str">
            <v>XZ-ZQ6834-GE-250</v>
          </cell>
          <cell r="B5602" t="str">
            <v>XZ-ZQ6834</v>
          </cell>
        </row>
        <row r="5603">
          <cell r="A5603" t="str">
            <v>XZ-ZQ6834-GE-260</v>
          </cell>
          <cell r="B5603" t="str">
            <v>XZ-ZQ6834</v>
          </cell>
        </row>
        <row r="5604">
          <cell r="A5604" t="str">
            <v>XZ-ZQ6834-KQ-14-15</v>
          </cell>
          <cell r="B5604" t="str">
            <v>XZ-ZQ6834</v>
          </cell>
        </row>
        <row r="5605">
          <cell r="A5605" t="str">
            <v>XZ-ZQ6834-KQ-16-17</v>
          </cell>
          <cell r="B5605" t="str">
            <v>XZ-ZQ6834</v>
          </cell>
        </row>
        <row r="5606">
          <cell r="A5606" t="str">
            <v>XZ-ZQ6834-KQ-18-19</v>
          </cell>
          <cell r="B5606" t="str">
            <v>XZ-ZQ6834</v>
          </cell>
        </row>
        <row r="5607">
          <cell r="A5607" t="str">
            <v>XZ-ZQ6834-KQ-20</v>
          </cell>
          <cell r="B5607" t="str">
            <v>XZ-ZQ6834</v>
          </cell>
        </row>
        <row r="5608">
          <cell r="A5608" t="str">
            <v>XZ-ZQ6834-KQ-21</v>
          </cell>
          <cell r="B5608" t="str">
            <v>XZ-ZQ6834</v>
          </cell>
        </row>
        <row r="5609">
          <cell r="A5609" t="str">
            <v>XZ-ZQ6834-KQ-22</v>
          </cell>
          <cell r="B5609" t="str">
            <v>XZ-ZQ6834</v>
          </cell>
        </row>
        <row r="5610">
          <cell r="A5610" t="str">
            <v>XZ-ZQ6834-KQ-270</v>
          </cell>
          <cell r="B5610" t="str">
            <v>XZ-ZQ6834</v>
          </cell>
        </row>
        <row r="5611">
          <cell r="A5611" t="str">
            <v>XZ-ZQ6834-KQ-280</v>
          </cell>
          <cell r="B5611" t="str">
            <v>XZ-ZQ6834</v>
          </cell>
        </row>
        <row r="5612">
          <cell r="A5612" t="str">
            <v>XZ-ZQ6834-KQ-290</v>
          </cell>
          <cell r="B5612" t="str">
            <v>XZ-ZQ6834</v>
          </cell>
        </row>
        <row r="5613">
          <cell r="A5613" t="str">
            <v>XZ-ZQ6834-R1-14-15</v>
          </cell>
          <cell r="B5613" t="str">
            <v>XZ-ZQ6834</v>
          </cell>
        </row>
        <row r="5614">
          <cell r="A5614" t="str">
            <v>XZ-ZQ6834-R1-16-17</v>
          </cell>
          <cell r="B5614" t="str">
            <v>XZ-ZQ6834</v>
          </cell>
        </row>
        <row r="5615">
          <cell r="A5615" t="str">
            <v>XZ-ZQ6834-R1-18-19</v>
          </cell>
          <cell r="B5615" t="str">
            <v>XZ-ZQ6834</v>
          </cell>
        </row>
        <row r="5616">
          <cell r="A5616" t="str">
            <v>XZ-ZQ6834-R1-20</v>
          </cell>
          <cell r="B5616" t="str">
            <v>XZ-ZQ6834</v>
          </cell>
        </row>
        <row r="5617">
          <cell r="A5617" t="str">
            <v>XZ-ZQ6834-R1-21</v>
          </cell>
          <cell r="B5617" t="str">
            <v>XZ-ZQ6834</v>
          </cell>
        </row>
        <row r="5618">
          <cell r="A5618" t="str">
            <v>XZ-ZQ6834-R1-21-GM</v>
          </cell>
          <cell r="B5618" t="str">
            <v>XZ-ZQ6834</v>
          </cell>
        </row>
        <row r="5619">
          <cell r="A5619" t="str">
            <v>XZ-ZQ6834-R1-22</v>
          </cell>
          <cell r="B5619" t="str">
            <v>XZ-ZQ6834</v>
          </cell>
        </row>
        <row r="5620">
          <cell r="A5620" t="str">
            <v>XZ-ZQ6834-R1-240</v>
          </cell>
          <cell r="B5620" t="str">
            <v>XZ-ZQ6834</v>
          </cell>
        </row>
        <row r="5621">
          <cell r="A5621" t="str">
            <v>XZ-ZQ6834-R1-250</v>
          </cell>
          <cell r="B5621" t="str">
            <v>XZ-ZQ6834</v>
          </cell>
        </row>
        <row r="5622">
          <cell r="A5622" t="str">
            <v>XZ-ZQ6834-R1-260</v>
          </cell>
          <cell r="B5622" t="str">
            <v>XZ-ZQ6834</v>
          </cell>
        </row>
        <row r="5623">
          <cell r="A5623" t="str">
            <v>XZ-ZQ6834-R2-14-15</v>
          </cell>
          <cell r="B5623" t="str">
            <v>XZ-ZQ6834</v>
          </cell>
        </row>
        <row r="5624">
          <cell r="A5624" t="str">
            <v>XZ-ZQ6834-R2-16-17</v>
          </cell>
          <cell r="B5624" t="str">
            <v>XZ-ZQ6834</v>
          </cell>
        </row>
        <row r="5625">
          <cell r="A5625" t="str">
            <v>XZ-ZQ6834-R2-18-19</v>
          </cell>
          <cell r="B5625" t="str">
            <v>XZ-ZQ6834</v>
          </cell>
        </row>
        <row r="5626">
          <cell r="A5626" t="str">
            <v>XZ-ZQ6834-R2-20</v>
          </cell>
          <cell r="B5626" t="str">
            <v>XZ-ZQ6834</v>
          </cell>
        </row>
        <row r="5627">
          <cell r="A5627" t="str">
            <v>XZ-ZQ6834-R2-20-GM</v>
          </cell>
          <cell r="B5627" t="str">
            <v>XZ-ZQ6834</v>
          </cell>
        </row>
        <row r="5628">
          <cell r="A5628" t="str">
            <v>XZ-ZQ6834-R2-21</v>
          </cell>
          <cell r="B5628" t="str">
            <v>XZ-ZQ6834</v>
          </cell>
        </row>
        <row r="5629">
          <cell r="A5629" t="str">
            <v>XZ-ZQ6834-R2-22</v>
          </cell>
          <cell r="B5629" t="str">
            <v>XZ-ZQ6834</v>
          </cell>
        </row>
        <row r="5630">
          <cell r="A5630" t="str">
            <v>XZ-ZQ6834-R2-22-GM</v>
          </cell>
          <cell r="B5630" t="str">
            <v>XZ-ZQ6834</v>
          </cell>
        </row>
        <row r="5631">
          <cell r="A5631" t="str">
            <v>XZ-ZQ6834-R2-240</v>
          </cell>
          <cell r="B5631" t="str">
            <v>XZ-ZQ6834</v>
          </cell>
        </row>
        <row r="5632">
          <cell r="A5632" t="str">
            <v>XZ-ZQ6834-R2-240-GM</v>
          </cell>
          <cell r="B5632" t="str">
            <v>XZ-ZQ6834</v>
          </cell>
        </row>
        <row r="5633">
          <cell r="A5633" t="str">
            <v>XZ-ZQ6834-R2-250</v>
          </cell>
          <cell r="B5633" t="str">
            <v>XZ-ZQ6834</v>
          </cell>
        </row>
        <row r="5634">
          <cell r="A5634" t="str">
            <v>XZ-ZQ6834-R2-260</v>
          </cell>
          <cell r="B5634" t="str">
            <v>XZ-ZQ6834</v>
          </cell>
        </row>
        <row r="5635">
          <cell r="A5635" t="str">
            <v>XZ-ZQ6834-R3-14-15</v>
          </cell>
          <cell r="B5635" t="str">
            <v>XZ-ZQ6834</v>
          </cell>
        </row>
        <row r="5636">
          <cell r="A5636" t="str">
            <v>XZ-ZQ6834-R3-16-17</v>
          </cell>
          <cell r="B5636" t="str">
            <v>XZ-ZQ6834</v>
          </cell>
        </row>
        <row r="5637">
          <cell r="A5637" t="str">
            <v>XZ-ZQ6834-R3-18-19</v>
          </cell>
          <cell r="B5637" t="str">
            <v>XZ-ZQ6834</v>
          </cell>
        </row>
        <row r="5638">
          <cell r="A5638" t="str">
            <v>XZ-ZQ6834-R3-20</v>
          </cell>
          <cell r="B5638" t="str">
            <v>XZ-ZQ6834</v>
          </cell>
        </row>
        <row r="5639">
          <cell r="A5639" t="str">
            <v>XZ-ZQ6834-R3-21</v>
          </cell>
          <cell r="B5639" t="str">
            <v>XZ-ZQ6834</v>
          </cell>
        </row>
        <row r="5640">
          <cell r="A5640" t="str">
            <v>XZ-ZQ6834-R3-22</v>
          </cell>
          <cell r="B5640" t="str">
            <v>XZ-ZQ6834</v>
          </cell>
        </row>
        <row r="5641">
          <cell r="A5641" t="str">
            <v>XZ-ZQ6834-R3-240</v>
          </cell>
          <cell r="B5641" t="str">
            <v>XZ-ZQ6834</v>
          </cell>
        </row>
        <row r="5642">
          <cell r="A5642" t="str">
            <v>XZ-ZQ6834-R3-250</v>
          </cell>
          <cell r="B5642" t="str">
            <v>XZ-ZQ6834</v>
          </cell>
        </row>
        <row r="5643">
          <cell r="A5643" t="str">
            <v>XZ-ZQ6834-R3-260</v>
          </cell>
          <cell r="B5643" t="str">
            <v>XZ-ZQ6834</v>
          </cell>
        </row>
        <row r="5644">
          <cell r="A5644" t="str">
            <v>XZ-ZQ7032-B0-24</v>
          </cell>
          <cell r="B5644" t="str">
            <v>XZ-ZQ7032</v>
          </cell>
        </row>
        <row r="5645">
          <cell r="A5645" t="str">
            <v>XZ-ZQ7032-B0-26</v>
          </cell>
          <cell r="B5645" t="str">
            <v>XZ-ZQ7032</v>
          </cell>
        </row>
        <row r="5646">
          <cell r="A5646" t="str">
            <v>XZ-ZQ7032-K0-24</v>
          </cell>
          <cell r="B5646" t="str">
            <v>XZ-ZQ7032</v>
          </cell>
        </row>
        <row r="5647">
          <cell r="A5647" t="str">
            <v>XZ-ZQ7032-K0-25</v>
          </cell>
          <cell r="B5647" t="str">
            <v>XZ-ZQ7032</v>
          </cell>
        </row>
        <row r="5648">
          <cell r="A5648" t="str">
            <v>XZ-ZQ7032-K0-26</v>
          </cell>
          <cell r="B5648" t="str">
            <v>XZ-ZQ7032</v>
          </cell>
        </row>
        <row r="5649">
          <cell r="A5649" t="str">
            <v>XZ-ZQ7032-K0-27</v>
          </cell>
          <cell r="B5649" t="str">
            <v>XZ-ZQ7032</v>
          </cell>
        </row>
        <row r="5650">
          <cell r="A5650" t="str">
            <v>XZ-ZQ7032-K0-28</v>
          </cell>
          <cell r="B5650" t="str">
            <v>XZ-ZQ7032</v>
          </cell>
        </row>
        <row r="5651">
          <cell r="A5651" t="str">
            <v>XZ-ZQ8032-B0-1415</v>
          </cell>
          <cell r="B5651" t="str">
            <v>XZ-ZQ8032</v>
          </cell>
        </row>
        <row r="5652">
          <cell r="A5652" t="str">
            <v>XZ-ZQ8032-B0-1617</v>
          </cell>
          <cell r="B5652" t="str">
            <v>XZ-ZQ8032</v>
          </cell>
        </row>
        <row r="5653">
          <cell r="A5653" t="str">
            <v>XZ-ZQ8032-B0-1819</v>
          </cell>
          <cell r="B5653" t="str">
            <v>XZ-ZQ8032</v>
          </cell>
        </row>
        <row r="5654">
          <cell r="A5654" t="str">
            <v>XZ-ZQ8032-B0-20</v>
          </cell>
          <cell r="B5654" t="str">
            <v>XZ-ZQ8032</v>
          </cell>
        </row>
        <row r="5655">
          <cell r="A5655" t="str">
            <v>XZ-ZQ8032-B0-21</v>
          </cell>
          <cell r="B5655" t="str">
            <v>XZ-ZQ8032</v>
          </cell>
        </row>
        <row r="5656">
          <cell r="A5656" t="str">
            <v>XZ-ZQ8032-B0-22</v>
          </cell>
          <cell r="B5656" t="str">
            <v>XZ-ZQ8032</v>
          </cell>
        </row>
        <row r="5657">
          <cell r="A5657" t="str">
            <v>XZ-ZQ8032-B0-23</v>
          </cell>
          <cell r="B5657" t="str">
            <v>XZ-ZQ8032</v>
          </cell>
        </row>
        <row r="5658">
          <cell r="A5658" t="str">
            <v>XZ-ZQ8032-K0-1415</v>
          </cell>
          <cell r="B5658" t="str">
            <v>XZ-ZQ8032</v>
          </cell>
        </row>
        <row r="5659">
          <cell r="A5659" t="str">
            <v>XZ-ZQ8032-K0-1617</v>
          </cell>
          <cell r="B5659" t="str">
            <v>XZ-ZQ8032</v>
          </cell>
        </row>
        <row r="5660">
          <cell r="A5660" t="str">
            <v>XZ-ZQ8032-K0-1617-GM</v>
          </cell>
          <cell r="B5660" t="str">
            <v>XZ-ZQ8032</v>
          </cell>
        </row>
        <row r="5661">
          <cell r="A5661" t="str">
            <v>XZ-ZQ8032-K0-1819</v>
          </cell>
          <cell r="B5661" t="str">
            <v>XZ-ZQ8032</v>
          </cell>
        </row>
        <row r="5662">
          <cell r="A5662" t="str">
            <v>XZ-ZQ8032-K0-1819-GM</v>
          </cell>
          <cell r="B5662" t="str">
            <v>XZ-ZQ8032</v>
          </cell>
        </row>
        <row r="5663">
          <cell r="A5663" t="str">
            <v>XZ-ZQ8032-K0-20</v>
          </cell>
          <cell r="B5663" t="str">
            <v>XZ-ZQ8032</v>
          </cell>
        </row>
        <row r="5664">
          <cell r="A5664" t="str">
            <v>XZ-ZQ8032-K0-21</v>
          </cell>
          <cell r="B5664" t="str">
            <v>XZ-ZQ8032</v>
          </cell>
        </row>
        <row r="5665">
          <cell r="A5665" t="str">
            <v>XZ-ZQ8032-K0-22</v>
          </cell>
          <cell r="B5665" t="str">
            <v>XZ-ZQ8032</v>
          </cell>
        </row>
        <row r="5666">
          <cell r="A5666" t="str">
            <v>XZ-ZQ8032-K0-23</v>
          </cell>
          <cell r="B5666" t="str">
            <v>XZ-ZQ8032</v>
          </cell>
        </row>
        <row r="5667">
          <cell r="A5667" t="str">
            <v>XZ-ZQ8032-KQ-1415</v>
          </cell>
          <cell r="B5667" t="str">
            <v>XZ-ZQ8032</v>
          </cell>
        </row>
        <row r="5668">
          <cell r="A5668" t="str">
            <v>XZ-ZQ8032-KQ-1617</v>
          </cell>
          <cell r="B5668" t="str">
            <v>XZ-ZQ8032</v>
          </cell>
        </row>
        <row r="5669">
          <cell r="A5669" t="str">
            <v>XZ-ZQ8032-KQ-1819</v>
          </cell>
          <cell r="B5669" t="str">
            <v>XZ-ZQ8032</v>
          </cell>
        </row>
        <row r="5670">
          <cell r="A5670" t="str">
            <v>XZ-ZQ8032-KQ-20</v>
          </cell>
          <cell r="B5670" t="str">
            <v>XZ-ZQ8032</v>
          </cell>
        </row>
        <row r="5671">
          <cell r="A5671" t="str">
            <v>XZ-ZQ8032-KQ-21</v>
          </cell>
          <cell r="B5671" t="str">
            <v>XZ-ZQ8032</v>
          </cell>
        </row>
        <row r="5672">
          <cell r="A5672" t="str">
            <v>XZ-ZQ8032-KQ-22</v>
          </cell>
          <cell r="B5672" t="str">
            <v>XZ-ZQ8032</v>
          </cell>
        </row>
        <row r="5673">
          <cell r="A5673" t="str">
            <v>XZ-ZQ8032-KQ-23</v>
          </cell>
          <cell r="B5673" t="str">
            <v>XZ-ZQ8032</v>
          </cell>
        </row>
        <row r="5674">
          <cell r="A5674" t="str">
            <v>XZ-ZQ8032-R1-1415</v>
          </cell>
          <cell r="B5674" t="str">
            <v>XZ-ZQ8032</v>
          </cell>
        </row>
        <row r="5675">
          <cell r="A5675" t="str">
            <v>XZ-ZQ8032-R1-1617</v>
          </cell>
          <cell r="B5675" t="str">
            <v>XZ-ZQ8032</v>
          </cell>
        </row>
        <row r="5676">
          <cell r="A5676" t="str">
            <v>XZ-ZQ8032-R1-1819</v>
          </cell>
          <cell r="B5676" t="str">
            <v>XZ-ZQ8032</v>
          </cell>
        </row>
        <row r="5677">
          <cell r="A5677" t="str">
            <v>XZ-ZQ8032-R1-20</v>
          </cell>
          <cell r="B5677" t="str">
            <v>XZ-ZQ8032</v>
          </cell>
        </row>
        <row r="5678">
          <cell r="A5678" t="str">
            <v>XZ-ZQ8032-R1-21</v>
          </cell>
          <cell r="B5678" t="str">
            <v>XZ-ZQ8032</v>
          </cell>
        </row>
        <row r="5679">
          <cell r="A5679" t="str">
            <v>XZ-ZQ8032-R1-22</v>
          </cell>
          <cell r="B5679" t="str">
            <v>XZ-ZQ8032</v>
          </cell>
        </row>
        <row r="5680">
          <cell r="A5680" t="str">
            <v>XZ-ZQ8032-R1-23</v>
          </cell>
          <cell r="B5680" t="str">
            <v>XZ-ZQ8032</v>
          </cell>
        </row>
        <row r="5681">
          <cell r="A5681" t="str">
            <v>XZ-ZQ8812-K0-1415</v>
          </cell>
          <cell r="B5681" t="str">
            <v>XZ-ZQ8812</v>
          </cell>
        </row>
        <row r="5682">
          <cell r="A5682" t="str">
            <v>XZ-ZQ8812-K0-1617</v>
          </cell>
          <cell r="B5682" t="str">
            <v>XZ-ZQ8812</v>
          </cell>
        </row>
        <row r="5683">
          <cell r="A5683" t="str">
            <v>XZ-ZQ8812-K0-1819</v>
          </cell>
          <cell r="B5683" t="str">
            <v>XZ-ZQ8812</v>
          </cell>
        </row>
        <row r="5684">
          <cell r="A5684" t="str">
            <v>XZ-ZQ8812-K0-20</v>
          </cell>
          <cell r="B5684" t="str">
            <v>XZ-ZQ8812</v>
          </cell>
        </row>
        <row r="5685">
          <cell r="A5685" t="str">
            <v>XZ-ZQ8812-K0-21</v>
          </cell>
          <cell r="B5685" t="str">
            <v>XZ-ZQ8812</v>
          </cell>
        </row>
        <row r="5686">
          <cell r="A5686" t="str">
            <v>XZ-ZQ8812-K0-22</v>
          </cell>
          <cell r="B5686" t="str">
            <v>XZ-ZQ8812</v>
          </cell>
        </row>
        <row r="5687">
          <cell r="A5687" t="str">
            <v>XZ-ZQ8812-K0-240</v>
          </cell>
          <cell r="B5687" t="str">
            <v>XZ-ZQ8812</v>
          </cell>
        </row>
        <row r="5688">
          <cell r="A5688" t="str">
            <v>XZ-ZQ8812-K0-250</v>
          </cell>
          <cell r="B5688" t="str">
            <v>XZ-ZQ8812</v>
          </cell>
        </row>
        <row r="5689">
          <cell r="A5689" t="str">
            <v>XZ-ZQ8812-K0-260</v>
          </cell>
          <cell r="B5689" t="str">
            <v>XZ-ZQ8812</v>
          </cell>
        </row>
        <row r="5690">
          <cell r="A5690" t="str">
            <v>XZ-ZQ8812N-K0-260</v>
          </cell>
          <cell r="B5690" t="str">
            <v>XZ-ZQ8812</v>
          </cell>
        </row>
        <row r="5691">
          <cell r="A5691" t="str">
            <v>XZ-ZQ8812N-K0-270</v>
          </cell>
          <cell r="B5691" t="str">
            <v>XZ-ZQ8812</v>
          </cell>
        </row>
        <row r="5692">
          <cell r="A5692" t="str">
            <v>XZ-ZQ8812N-K0-280</v>
          </cell>
          <cell r="B5692" t="str">
            <v>XZ-ZQ8812</v>
          </cell>
        </row>
        <row r="5693">
          <cell r="A5693" t="str">
            <v>XZ-ZQ8812-R0-240</v>
          </cell>
          <cell r="B5693" t="str">
            <v>XZ-ZQ8812</v>
          </cell>
        </row>
        <row r="5694">
          <cell r="A5694" t="str">
            <v>XZ-ZQ8812-R0-250</v>
          </cell>
          <cell r="B5694" t="str">
            <v>XZ-ZQ8812</v>
          </cell>
        </row>
        <row r="5695">
          <cell r="A5695" t="str">
            <v>XZ-ZQ8812-R0-260</v>
          </cell>
          <cell r="B5695" t="str">
            <v>XZ-ZQ8812</v>
          </cell>
        </row>
        <row r="5696">
          <cell r="A5696" t="str">
            <v>XZ-ZQ8812-R1-1415</v>
          </cell>
          <cell r="B5696" t="str">
            <v>XZ-ZQ8812</v>
          </cell>
        </row>
        <row r="5697">
          <cell r="A5697" t="str">
            <v>XZ-ZQ8812-R1-1617</v>
          </cell>
          <cell r="B5697" t="str">
            <v>XZ-ZQ8812</v>
          </cell>
        </row>
        <row r="5698">
          <cell r="A5698" t="str">
            <v>XZ-ZQ8812-R1-1819</v>
          </cell>
          <cell r="B5698" t="str">
            <v>XZ-ZQ8812</v>
          </cell>
        </row>
        <row r="5699">
          <cell r="A5699" t="str">
            <v>XZ-ZQ8812-R1-20</v>
          </cell>
          <cell r="B5699" t="str">
            <v>XZ-ZQ8812</v>
          </cell>
        </row>
        <row r="5700">
          <cell r="A5700" t="str">
            <v>XZ-ZQ8812-R1-21</v>
          </cell>
          <cell r="B5700" t="str">
            <v>XZ-ZQ8812</v>
          </cell>
        </row>
        <row r="5701">
          <cell r="A5701" t="str">
            <v>XZ-ZQ8812-R1-22</v>
          </cell>
          <cell r="B5701" t="str">
            <v>XZ-ZQ8812</v>
          </cell>
        </row>
        <row r="5702">
          <cell r="A5702" t="str">
            <v>XZ-ZQ8812-R2-1415</v>
          </cell>
          <cell r="B5702" t="str">
            <v>XZ-ZQ8812</v>
          </cell>
        </row>
        <row r="5703">
          <cell r="A5703" t="str">
            <v>XZ-ZQ8812-R2-1617</v>
          </cell>
          <cell r="B5703" t="str">
            <v>XZ-ZQ8812</v>
          </cell>
        </row>
        <row r="5704">
          <cell r="A5704" t="str">
            <v>XZ-ZQ8812-R2-1819</v>
          </cell>
          <cell r="B5704" t="str">
            <v>XZ-ZQ8812</v>
          </cell>
        </row>
        <row r="5705">
          <cell r="A5705" t="str">
            <v>XZ-ZQ8812-R2-20</v>
          </cell>
          <cell r="B5705" t="str">
            <v>XZ-ZQ8812</v>
          </cell>
        </row>
        <row r="5706">
          <cell r="A5706" t="str">
            <v>XZ-ZQ8812-R2-21</v>
          </cell>
          <cell r="B5706" t="str">
            <v>XZ-ZQ8812</v>
          </cell>
        </row>
        <row r="5707">
          <cell r="A5707" t="str">
            <v>XZ-ZQ8812-R2-22</v>
          </cell>
          <cell r="B5707" t="str">
            <v>XZ-ZQ8812</v>
          </cell>
        </row>
        <row r="5708">
          <cell r="A5708" t="str">
            <v>XZ-ZQ9901-K0-240</v>
          </cell>
          <cell r="B5708" t="str">
            <v>XZ-ZQ9901</v>
          </cell>
        </row>
        <row r="5709">
          <cell r="A5709" t="str">
            <v>XZ-ZQ9901-K0-250</v>
          </cell>
          <cell r="B5709" t="str">
            <v>XZ-ZQ9901</v>
          </cell>
        </row>
        <row r="5710">
          <cell r="A5710" t="str">
            <v>XZ-ZQ9901-K0-260</v>
          </cell>
          <cell r="B5710" t="str">
            <v>XZ-ZQ9901</v>
          </cell>
        </row>
        <row r="5711">
          <cell r="A5711" t="str">
            <v>XZ-ZQ9901-K0-270</v>
          </cell>
          <cell r="B5711" t="str">
            <v>XZ-ZQ9901</v>
          </cell>
        </row>
        <row r="5712">
          <cell r="A5712" t="str">
            <v>XZ-ZQ9901-K0-280</v>
          </cell>
          <cell r="B5712" t="str">
            <v>XZ-ZQ9901</v>
          </cell>
        </row>
        <row r="5713">
          <cell r="A5713" t="str">
            <v>XZ-ZQ9901-KW-240</v>
          </cell>
          <cell r="B5713" t="str">
            <v>XZ-ZQ9901</v>
          </cell>
        </row>
        <row r="5714">
          <cell r="A5714" t="str">
            <v>XZ-ZQ9901-KW-250</v>
          </cell>
          <cell r="B5714" t="str">
            <v>XZ-ZQ9901</v>
          </cell>
        </row>
        <row r="5715">
          <cell r="A5715" t="str">
            <v>XZ-ZQ9901-KW-260</v>
          </cell>
          <cell r="B5715" t="str">
            <v>XZ-ZQ9901</v>
          </cell>
        </row>
        <row r="5716">
          <cell r="A5716" t="str">
            <v>XZ-ZQ9901-KW-270</v>
          </cell>
          <cell r="B5716" t="str">
            <v>XZ-ZQ9901</v>
          </cell>
        </row>
        <row r="5717">
          <cell r="A5717" t="str">
            <v>XZ-ZQ9901-KW-280</v>
          </cell>
          <cell r="B5717" t="str">
            <v>XZ-ZQ9901</v>
          </cell>
        </row>
        <row r="5718">
          <cell r="A5718" t="str">
            <v>XZ-ZQ9901-W0-240</v>
          </cell>
          <cell r="B5718" t="str">
            <v>XZ-ZQ9901</v>
          </cell>
        </row>
        <row r="5719">
          <cell r="A5719" t="str">
            <v>XZ-ZQ9901-W0-250</v>
          </cell>
          <cell r="B5719" t="str">
            <v>XZ-ZQ9901</v>
          </cell>
        </row>
        <row r="5720">
          <cell r="A5720" t="str">
            <v>XZ-ZQ9901-W0-260</v>
          </cell>
          <cell r="B5720" t="str">
            <v>XZ-ZQ9901</v>
          </cell>
        </row>
        <row r="5721">
          <cell r="A5721" t="str">
            <v>XZ-ZQ9901-W0-270</v>
          </cell>
          <cell r="B5721" t="str">
            <v>XZ-ZQ9901</v>
          </cell>
        </row>
        <row r="5722">
          <cell r="A5722" t="str">
            <v>XZ-ZQ9901-W0-280</v>
          </cell>
          <cell r="B5722" t="str">
            <v>XZ-ZQ9901</v>
          </cell>
        </row>
        <row r="5723">
          <cell r="A5723" t="str">
            <v>XZ-ZQCB1001-C0-40</v>
          </cell>
          <cell r="B5723" t="str">
            <v>XZ-ZQCB1001</v>
          </cell>
        </row>
        <row r="5724">
          <cell r="A5724" t="str">
            <v>XZ-ZQCB1001-C0-42</v>
          </cell>
          <cell r="B5724" t="str">
            <v>XZ-ZQCB1001</v>
          </cell>
        </row>
        <row r="5725">
          <cell r="A5725" t="str">
            <v>XZ-ZQCB1001-C0-44</v>
          </cell>
          <cell r="B5725" t="str">
            <v>XZ-ZQCB1001</v>
          </cell>
        </row>
        <row r="5726">
          <cell r="A5726" t="str">
            <v>XZ-ZQCB1001-K0-36</v>
          </cell>
          <cell r="B5726" t="str">
            <v>XZ-ZQCB1001</v>
          </cell>
        </row>
        <row r="5727">
          <cell r="A5727" t="str">
            <v>XZ-ZQCB1001-K0-38</v>
          </cell>
          <cell r="B5727" t="str">
            <v>XZ-ZQCB1001</v>
          </cell>
        </row>
        <row r="5728">
          <cell r="A5728" t="str">
            <v>XZ-ZQCB1001-K0-40</v>
          </cell>
          <cell r="B5728" t="str">
            <v>XZ-ZQCB1001</v>
          </cell>
        </row>
        <row r="5729">
          <cell r="A5729" t="str">
            <v>XZ-ZQCB1001-K0-42</v>
          </cell>
          <cell r="B5729" t="str">
            <v>XZ-ZQCB1001</v>
          </cell>
        </row>
        <row r="5730">
          <cell r="A5730" t="str">
            <v>XZ-ZQCB1001-K0-44</v>
          </cell>
          <cell r="B5730" t="str">
            <v>XZ-ZQCB1001</v>
          </cell>
        </row>
        <row r="5731">
          <cell r="A5731" t="str">
            <v>XZ-ZQCB1001-R1-36</v>
          </cell>
          <cell r="B5731" t="str">
            <v>XZ-ZQCB1001</v>
          </cell>
        </row>
        <row r="5732">
          <cell r="A5732" t="str">
            <v>XZ-ZQCB1001-R1-38</v>
          </cell>
          <cell r="B5732" t="str">
            <v>XZ-ZQCB1001</v>
          </cell>
        </row>
        <row r="5733">
          <cell r="A5733" t="str">
            <v>XZ-ZQCB1001-R1-40</v>
          </cell>
          <cell r="B5733" t="str">
            <v>XZ-ZQCB1001</v>
          </cell>
        </row>
        <row r="5734">
          <cell r="A5734" t="str">
            <v>XZ-ZQCB1001-R2-36</v>
          </cell>
          <cell r="B5734" t="str">
            <v>XZ-ZQCB1001</v>
          </cell>
        </row>
        <row r="5735">
          <cell r="A5735" t="str">
            <v>XZ-ZQCB1001-R2-38</v>
          </cell>
          <cell r="B5735" t="str">
            <v>XZ-ZQCB1001</v>
          </cell>
        </row>
        <row r="5736">
          <cell r="A5736" t="str">
            <v>XZ-ZQCB1001-R2-40</v>
          </cell>
          <cell r="B5736" t="str">
            <v>XZ-ZQCB1001</v>
          </cell>
        </row>
        <row r="5737">
          <cell r="A5737" t="str">
            <v>XZ-ZQCB2002-C0-40</v>
          </cell>
          <cell r="B5737" t="str">
            <v>XZ-ZQCB2002</v>
          </cell>
        </row>
        <row r="5738">
          <cell r="A5738" t="str">
            <v>XZ-ZQCB2002-C0-42</v>
          </cell>
          <cell r="B5738" t="str">
            <v>XZ-ZQCB2002</v>
          </cell>
        </row>
        <row r="5739">
          <cell r="A5739" t="str">
            <v>XZ-ZQCB2002-C0-44</v>
          </cell>
          <cell r="B5739" t="str">
            <v>XZ-ZQCB2002</v>
          </cell>
        </row>
        <row r="5740">
          <cell r="A5740" t="str">
            <v>XZ-ZQCB2002-K0-36</v>
          </cell>
          <cell r="B5740" t="str">
            <v>XZ-ZQCB2002</v>
          </cell>
        </row>
        <row r="5741">
          <cell r="A5741" t="str">
            <v>XZ-ZQCB2002-K0-38</v>
          </cell>
          <cell r="B5741" t="str">
            <v>XZ-ZQCB2002</v>
          </cell>
        </row>
        <row r="5742">
          <cell r="A5742" t="str">
            <v>XZ-ZQCB2002-K0-40</v>
          </cell>
          <cell r="B5742" t="str">
            <v>XZ-ZQCB2002</v>
          </cell>
        </row>
        <row r="5743">
          <cell r="A5743" t="str">
            <v>XZ-ZQCB2002-K0-42</v>
          </cell>
          <cell r="B5743" t="str">
            <v>XZ-ZQCB2002</v>
          </cell>
        </row>
        <row r="5744">
          <cell r="A5744" t="str">
            <v>XZ-ZQCB2002-K0-44</v>
          </cell>
          <cell r="B5744" t="str">
            <v>XZ-ZQCB2002</v>
          </cell>
        </row>
        <row r="5745">
          <cell r="A5745" t="str">
            <v>XZ-ZQCB2002-R1-36</v>
          </cell>
          <cell r="B5745" t="str">
            <v>XZ-ZQCB2002</v>
          </cell>
        </row>
        <row r="5746">
          <cell r="A5746" t="str">
            <v>XZ-ZQCB2002-R1-38</v>
          </cell>
          <cell r="B5746" t="str">
            <v>XZ-ZQCB2002</v>
          </cell>
        </row>
        <row r="5747">
          <cell r="A5747" t="str">
            <v>XZ-ZQCB2002-R1-40</v>
          </cell>
          <cell r="B5747" t="str">
            <v>XZ-ZQCB2002</v>
          </cell>
        </row>
        <row r="5748">
          <cell r="A5748" t="str">
            <v>XZ-ZQCB2002-R2-36</v>
          </cell>
          <cell r="B5748" t="str">
            <v>XZ-ZQCB2002</v>
          </cell>
        </row>
        <row r="5749">
          <cell r="A5749" t="str">
            <v>XZ-ZQCB2002-R2-38</v>
          </cell>
          <cell r="B5749" t="str">
            <v>XZ-ZQCB2002</v>
          </cell>
        </row>
        <row r="5750">
          <cell r="A5750" t="str">
            <v>XZ-ZQCB2002-R2-40</v>
          </cell>
          <cell r="B5750" t="str">
            <v>XZ-ZQCB2002</v>
          </cell>
        </row>
        <row r="5751">
          <cell r="A5751" t="str">
            <v>XZ-ZQCB2056-B0-1415</v>
          </cell>
          <cell r="B5751" t="str">
            <v>XZ-ZQCB3056</v>
          </cell>
        </row>
        <row r="5752">
          <cell r="A5752" t="str">
            <v>XZ-ZQCB2056-B0-1617</v>
          </cell>
          <cell r="B5752" t="str">
            <v>XZ-ZQCB3056</v>
          </cell>
        </row>
        <row r="5753">
          <cell r="A5753" t="str">
            <v>XZ-ZQCB2056-B0-1819</v>
          </cell>
          <cell r="B5753" t="str">
            <v>XZ-ZQCB3056</v>
          </cell>
        </row>
        <row r="5754">
          <cell r="A5754" t="str">
            <v>XZ-ZQCB2056-B0-21</v>
          </cell>
          <cell r="B5754" t="str">
            <v>XZ-ZQCB3056</v>
          </cell>
        </row>
        <row r="5755">
          <cell r="A5755" t="str">
            <v>XZ-ZQCB2056-B0-22</v>
          </cell>
          <cell r="B5755" t="str">
            <v>XZ-ZQCB3056</v>
          </cell>
        </row>
        <row r="5756">
          <cell r="A5756" t="str">
            <v>XZ-ZQCB2056-B0-22-CS</v>
          </cell>
          <cell r="B5756" t="str">
            <v>XZ-ZQCB3056</v>
          </cell>
        </row>
        <row r="5757">
          <cell r="A5757" t="str">
            <v>XZ-ZQCB2056-B0-23</v>
          </cell>
          <cell r="B5757" t="str">
            <v>XZ-ZQCB3056</v>
          </cell>
        </row>
        <row r="5758">
          <cell r="A5758" t="str">
            <v>XZ-ZQCB2056-E0-1415-GM</v>
          </cell>
          <cell r="B5758" t="str">
            <v>XZ-ZQCB3056</v>
          </cell>
        </row>
        <row r="5759">
          <cell r="A5759" t="str">
            <v>XZ-ZQCB2056-E0-1617</v>
          </cell>
          <cell r="B5759" t="str">
            <v>XZ-ZQCB3056</v>
          </cell>
        </row>
        <row r="5760">
          <cell r="A5760" t="str">
            <v>XZ-ZQCB2056-E0-1819</v>
          </cell>
          <cell r="B5760" t="str">
            <v>XZ-ZQCB3056</v>
          </cell>
        </row>
        <row r="5761">
          <cell r="A5761" t="str">
            <v>XZ-ZQCB2056-E0-21</v>
          </cell>
          <cell r="B5761" t="str">
            <v>XZ-ZQCB3056</v>
          </cell>
        </row>
        <row r="5762">
          <cell r="A5762" t="str">
            <v>XZ-ZQCB2056-E0-22</v>
          </cell>
          <cell r="B5762" t="str">
            <v>XZ-ZQCB3056</v>
          </cell>
        </row>
        <row r="5763">
          <cell r="A5763" t="str">
            <v>XZ-ZQCB2056-E0-23</v>
          </cell>
          <cell r="B5763" t="str">
            <v>XZ-ZQCB3056</v>
          </cell>
        </row>
        <row r="5764">
          <cell r="A5764" t="str">
            <v>XZ-ZQCB2056-E0-23-GM</v>
          </cell>
          <cell r="B5764" t="str">
            <v>XZ-ZQCB3056</v>
          </cell>
        </row>
        <row r="5765">
          <cell r="A5765" t="str">
            <v>XZ-ZQCB2056-KQ-1415</v>
          </cell>
          <cell r="B5765" t="str">
            <v>XZ-ZQCB3056</v>
          </cell>
        </row>
        <row r="5766">
          <cell r="A5766" t="str">
            <v>XZ-ZQCB2056-KQ-1617</v>
          </cell>
          <cell r="B5766" t="str">
            <v>XZ-ZQCB3056</v>
          </cell>
        </row>
        <row r="5767">
          <cell r="A5767" t="str">
            <v>XZ-ZQCB2056-KQ-1819</v>
          </cell>
          <cell r="B5767" t="str">
            <v>XZ-ZQCB3056</v>
          </cell>
        </row>
        <row r="5768">
          <cell r="A5768" t="str">
            <v>XZ-ZQCB2056-KQ-21</v>
          </cell>
          <cell r="B5768" t="str">
            <v>XZ-ZQCB3056</v>
          </cell>
        </row>
        <row r="5769">
          <cell r="A5769" t="str">
            <v>XZ-ZQCB2056-KQ-21-NEW</v>
          </cell>
          <cell r="B5769" t="str">
            <v>XZ-ZQCB3056</v>
          </cell>
        </row>
        <row r="5770">
          <cell r="A5770" t="str">
            <v>XZ-ZQCB2056-KQ-22</v>
          </cell>
          <cell r="B5770" t="str">
            <v>XZ-ZQCB3056</v>
          </cell>
        </row>
        <row r="5771">
          <cell r="A5771" t="str">
            <v>XZ-ZQCB2056-KQ-23</v>
          </cell>
          <cell r="B5771" t="str">
            <v>XZ-ZQCB3056</v>
          </cell>
        </row>
        <row r="5772">
          <cell r="A5772" t="str">
            <v>XZ-ZQCB2056-R1-1415</v>
          </cell>
          <cell r="B5772" t="str">
            <v>XZ-ZQCB3056</v>
          </cell>
        </row>
        <row r="5773">
          <cell r="A5773" t="str">
            <v>XZ-ZQCB2056-R1-1617</v>
          </cell>
          <cell r="B5773" t="str">
            <v>XZ-ZQCB3056</v>
          </cell>
        </row>
        <row r="5774">
          <cell r="A5774" t="str">
            <v>XZ-ZQCB2056-R1-1819</v>
          </cell>
          <cell r="B5774" t="str">
            <v>XZ-ZQCB3056</v>
          </cell>
        </row>
        <row r="5775">
          <cell r="A5775" t="str">
            <v>XZ-ZQCB2056-R1-21</v>
          </cell>
          <cell r="B5775" t="str">
            <v>XZ-ZQCB3056</v>
          </cell>
        </row>
        <row r="5776">
          <cell r="A5776" t="str">
            <v>XZ-ZQCB2056-R1-22</v>
          </cell>
          <cell r="B5776" t="str">
            <v>XZ-ZQCB3056</v>
          </cell>
        </row>
        <row r="5777">
          <cell r="A5777" t="str">
            <v>XZ-ZQCB2056-R1-22-CS</v>
          </cell>
          <cell r="B5777" t="str">
            <v>XZ-ZQCB3056</v>
          </cell>
        </row>
        <row r="5778">
          <cell r="A5778" t="str">
            <v>XZ-ZQCB2056-R1-23</v>
          </cell>
          <cell r="B5778" t="str">
            <v>XZ-ZQCB3056</v>
          </cell>
        </row>
        <row r="5779">
          <cell r="A5779" t="str">
            <v>XZ-ZQCB2056-R2-1415</v>
          </cell>
          <cell r="B5779" t="str">
            <v>XZ-ZQCB3056</v>
          </cell>
        </row>
        <row r="5780">
          <cell r="A5780" t="str">
            <v>XZ-ZQCB2056-R2-1617</v>
          </cell>
          <cell r="B5780" t="str">
            <v>XZ-ZQCB3056</v>
          </cell>
        </row>
        <row r="5781">
          <cell r="A5781" t="str">
            <v>XZ-ZQCB2056-R2-1617-GM</v>
          </cell>
          <cell r="B5781" t="str">
            <v>XZ-ZQCB3056</v>
          </cell>
        </row>
        <row r="5782">
          <cell r="A5782" t="str">
            <v>XZ-ZQCB2056-R2-1819</v>
          </cell>
          <cell r="B5782" t="str">
            <v>XZ-ZQCB3056</v>
          </cell>
        </row>
        <row r="5783">
          <cell r="A5783" t="str">
            <v>XZ-ZQCB2056-R2-1819-GM</v>
          </cell>
          <cell r="B5783" t="str">
            <v>XZ-ZQCB3056</v>
          </cell>
        </row>
        <row r="5784">
          <cell r="A5784" t="str">
            <v>XZ-ZQCB2056-R2-21</v>
          </cell>
          <cell r="B5784" t="str">
            <v>XZ-ZQCB3056</v>
          </cell>
        </row>
        <row r="5785">
          <cell r="A5785" t="str">
            <v>XZ-ZQCB2056-R2-21-CS</v>
          </cell>
          <cell r="B5785" t="str">
            <v>XZ-ZQCB3056</v>
          </cell>
        </row>
        <row r="5786">
          <cell r="A5786" t="str">
            <v>XZ-ZQCB2056-R2-22</v>
          </cell>
          <cell r="B5786" t="str">
            <v>XZ-ZQCB3056</v>
          </cell>
        </row>
        <row r="5787">
          <cell r="A5787" t="str">
            <v>XZ-ZQCB2056-R2-23</v>
          </cell>
          <cell r="B5787" t="str">
            <v>XZ-ZQCB3056</v>
          </cell>
        </row>
        <row r="5788">
          <cell r="A5788" t="str">
            <v>XZ-ZQCB3056-B0-24</v>
          </cell>
          <cell r="B5788" t="str">
            <v>XZ-ZQCB3056</v>
          </cell>
        </row>
        <row r="5789">
          <cell r="A5789" t="str">
            <v>XZ-ZQCB3056-B0-25</v>
          </cell>
          <cell r="B5789" t="str">
            <v>XZ-ZQCB3056</v>
          </cell>
        </row>
        <row r="5790">
          <cell r="A5790" t="str">
            <v>XZ-ZQCB3056-B0-26</v>
          </cell>
          <cell r="B5790" t="str">
            <v>XZ-ZQCB3056</v>
          </cell>
        </row>
        <row r="5791">
          <cell r="A5791" t="str">
            <v>XZ-ZQCB3056-B0-27</v>
          </cell>
          <cell r="B5791" t="str">
            <v>XZ-ZQCB3056</v>
          </cell>
        </row>
        <row r="5792">
          <cell r="A5792" t="str">
            <v>XZ-ZQCB3056-B0-28</v>
          </cell>
          <cell r="B5792" t="str">
            <v>XZ-ZQCB3056</v>
          </cell>
        </row>
        <row r="5793">
          <cell r="A5793" t="str">
            <v>XZ-ZQCB3056-E0-24</v>
          </cell>
          <cell r="B5793" t="str">
            <v>XZ-ZQCB3056</v>
          </cell>
        </row>
        <row r="5794">
          <cell r="A5794" t="str">
            <v>XZ-ZQCB3056-E0-25</v>
          </cell>
          <cell r="B5794" t="str">
            <v>XZ-ZQCB3056</v>
          </cell>
        </row>
        <row r="5795">
          <cell r="A5795" t="str">
            <v>XZ-ZQCB3056-E0-26</v>
          </cell>
          <cell r="B5795" t="str">
            <v>XZ-ZQCB3056</v>
          </cell>
        </row>
        <row r="5796">
          <cell r="A5796" t="str">
            <v>XZ-ZQCB3056-E0-27</v>
          </cell>
          <cell r="B5796" t="str">
            <v>XZ-ZQCB3056</v>
          </cell>
        </row>
        <row r="5797">
          <cell r="A5797" t="str">
            <v>XZ-ZQCB3056-E0-27-GM</v>
          </cell>
          <cell r="B5797" t="str">
            <v>XZ-ZQCB3056</v>
          </cell>
        </row>
        <row r="5798">
          <cell r="A5798" t="str">
            <v>XZ-ZQCB3056-E0-28</v>
          </cell>
          <cell r="B5798" t="str">
            <v>XZ-ZQCB3056</v>
          </cell>
        </row>
        <row r="5799">
          <cell r="A5799" t="str">
            <v>XZ-ZQCB3056-kQ-24</v>
          </cell>
          <cell r="B5799" t="str">
            <v>XZ-ZQCB3056</v>
          </cell>
        </row>
        <row r="5800">
          <cell r="A5800" t="str">
            <v>XZ-ZQCB3056-kQ-25</v>
          </cell>
          <cell r="B5800" t="str">
            <v>XZ-ZQCB3056</v>
          </cell>
        </row>
        <row r="5801">
          <cell r="A5801" t="str">
            <v>XZ-ZQCB3056-KQ-26</v>
          </cell>
          <cell r="B5801" t="str">
            <v>XZ-ZQCB3056</v>
          </cell>
        </row>
        <row r="5802">
          <cell r="A5802" t="str">
            <v>XZ-ZQCB3056-KQ-26-GM</v>
          </cell>
          <cell r="B5802" t="str">
            <v>XZ-ZQCB3056</v>
          </cell>
        </row>
        <row r="5803">
          <cell r="A5803" t="str">
            <v>XZ-ZQCB3056-kQ-27</v>
          </cell>
          <cell r="B5803" t="str">
            <v>XZ-ZQCB3056</v>
          </cell>
        </row>
        <row r="5804">
          <cell r="A5804" t="str">
            <v>XZ-ZQCB3056-KQ-28</v>
          </cell>
          <cell r="B5804" t="str">
            <v>XZ-ZQCB3056</v>
          </cell>
        </row>
        <row r="5805">
          <cell r="A5805" t="str">
            <v>XZ-ZQCB3056-R1-24</v>
          </cell>
          <cell r="B5805" t="str">
            <v>XZ-ZQCB3056</v>
          </cell>
        </row>
        <row r="5806">
          <cell r="A5806" t="str">
            <v>XZ-ZQCB3056-R1-24-New</v>
          </cell>
          <cell r="B5806" t="str">
            <v>XZ-ZQCB3056</v>
          </cell>
        </row>
        <row r="5807">
          <cell r="A5807" t="str">
            <v>XZ-ZQCB3056-R1-25</v>
          </cell>
          <cell r="B5807" t="str">
            <v>XZ-ZQCB3056</v>
          </cell>
        </row>
        <row r="5808">
          <cell r="A5808" t="str">
            <v>XZ-ZQCB3056-R1-26</v>
          </cell>
          <cell r="B5808" t="str">
            <v>XZ-ZQCB3056</v>
          </cell>
        </row>
        <row r="5809">
          <cell r="A5809" t="str">
            <v>XZ-ZQCB3056-R1-27</v>
          </cell>
          <cell r="B5809" t="str">
            <v>XZ-ZQCB3056</v>
          </cell>
        </row>
        <row r="5810">
          <cell r="A5810" t="str">
            <v>XZ-ZQCB3056-R1-28</v>
          </cell>
          <cell r="B5810" t="str">
            <v>XZ-ZQCB3056</v>
          </cell>
        </row>
        <row r="5811">
          <cell r="A5811" t="str">
            <v>XZ-ZQCB3056-R2-24</v>
          </cell>
          <cell r="B5811" t="str">
            <v>XZ-ZQCB3056</v>
          </cell>
        </row>
        <row r="5812">
          <cell r="A5812" t="str">
            <v>XZ-ZQCB3056-R2-25</v>
          </cell>
          <cell r="B5812" t="str">
            <v>XZ-ZQCB3056</v>
          </cell>
        </row>
        <row r="5813">
          <cell r="A5813" t="str">
            <v>XZ-ZQCB3056-R2-26</v>
          </cell>
          <cell r="B5813" t="str">
            <v>XZ-ZQCB3056</v>
          </cell>
        </row>
        <row r="5814">
          <cell r="A5814" t="str">
            <v>XZ-ZQCB3056-R2-27</v>
          </cell>
          <cell r="B5814" t="str">
            <v>XZ-ZQCB3056</v>
          </cell>
        </row>
        <row r="5815">
          <cell r="A5815" t="str">
            <v>XZ-ZQCB3056-R2-28</v>
          </cell>
          <cell r="B5815" t="str">
            <v>XZ-ZQCB3056</v>
          </cell>
        </row>
        <row r="5816">
          <cell r="A5816" t="str">
            <v>XZ-ZQFT720-C0-4243</v>
          </cell>
          <cell r="B5816" t="str">
            <v>XZ-ZQFT720</v>
          </cell>
        </row>
        <row r="5817">
          <cell r="A5817" t="str">
            <v>XZ-ZQFT720-PI-3839</v>
          </cell>
          <cell r="B5817" t="str">
            <v>XZ-ZQFT720</v>
          </cell>
        </row>
        <row r="5818">
          <cell r="A5818" t="str">
            <v>XZ-ZQFT730-B0-3637</v>
          </cell>
          <cell r="B5818" t="str">
            <v>XZ-ZQFT730</v>
          </cell>
        </row>
        <row r="5819">
          <cell r="A5819" t="str">
            <v>XZ-ZQFT730-B0-3839</v>
          </cell>
          <cell r="B5819" t="str">
            <v>XZ-ZQFT730</v>
          </cell>
        </row>
        <row r="5820">
          <cell r="A5820" t="str">
            <v>XZ-ZQFT730-B0-4041</v>
          </cell>
          <cell r="B5820" t="str">
            <v>XZ-ZQFT730</v>
          </cell>
        </row>
        <row r="5821">
          <cell r="A5821" t="str">
            <v>XZ-ZQFT730-C0-4243</v>
          </cell>
          <cell r="B5821" t="str">
            <v>XZ-ZQFT730</v>
          </cell>
        </row>
        <row r="5822">
          <cell r="A5822" t="str">
            <v>XZ-ZQFT730-C0-4445</v>
          </cell>
          <cell r="B5822" t="str">
            <v>XZ-ZQFT730</v>
          </cell>
        </row>
        <row r="5823">
          <cell r="A5823" t="str">
            <v>XZ-ZQFT730-C0-4647</v>
          </cell>
          <cell r="B5823" t="str">
            <v>XZ-ZQFT730</v>
          </cell>
        </row>
        <row r="5824">
          <cell r="A5824" t="str">
            <v>XZ-ZQFT730-E0-4243</v>
          </cell>
          <cell r="B5824" t="str">
            <v>XZ-ZQFT730</v>
          </cell>
        </row>
        <row r="5825">
          <cell r="A5825" t="str">
            <v>XZ-ZQFT730-E0-4445</v>
          </cell>
          <cell r="B5825" t="str">
            <v>XZ-ZQFT730</v>
          </cell>
        </row>
        <row r="5826">
          <cell r="A5826" t="str">
            <v>XZ-ZQFT730-E0-4647</v>
          </cell>
          <cell r="B5826" t="str">
            <v>XZ-ZQFT730</v>
          </cell>
        </row>
        <row r="5827">
          <cell r="A5827" t="str">
            <v>XZ-ZQFT730-K0-3637</v>
          </cell>
          <cell r="B5827" t="str">
            <v>XZ-ZQFT730</v>
          </cell>
        </row>
        <row r="5828">
          <cell r="A5828" t="str">
            <v>XZ-ZQFT730-K0-3839</v>
          </cell>
          <cell r="B5828" t="str">
            <v>XZ-ZQFT730</v>
          </cell>
        </row>
        <row r="5829">
          <cell r="A5829" t="str">
            <v>XZ-ZQFT730-K0-4041</v>
          </cell>
          <cell r="B5829" t="str">
            <v>XZ-ZQFT730</v>
          </cell>
        </row>
        <row r="5830">
          <cell r="A5830" t="str">
            <v>XZ-ZQFT730-K0-4243</v>
          </cell>
          <cell r="B5830" t="str">
            <v>XZ-ZQFT730</v>
          </cell>
        </row>
        <row r="5831">
          <cell r="A5831" t="str">
            <v>XZ-ZQFT730-K0-4445</v>
          </cell>
          <cell r="B5831" t="str">
            <v>XZ-ZQFT730</v>
          </cell>
        </row>
        <row r="5832">
          <cell r="A5832" t="str">
            <v>XZ-ZQFT730-K0-4647</v>
          </cell>
          <cell r="B5832" t="str">
            <v>XZ-ZQFT730</v>
          </cell>
        </row>
        <row r="5833">
          <cell r="A5833" t="str">
            <v>XZ-ZQFT730-P0-3637</v>
          </cell>
          <cell r="B5833" t="str">
            <v>XZ-ZQFT730</v>
          </cell>
        </row>
        <row r="5834">
          <cell r="A5834" t="str">
            <v>XZ-ZQFT730-P0-3839</v>
          </cell>
          <cell r="B5834" t="str">
            <v>XZ-ZQFT730</v>
          </cell>
        </row>
        <row r="5835">
          <cell r="A5835" t="str">
            <v>XZ-ZQFT730-P0-4041</v>
          </cell>
          <cell r="B5835" t="str">
            <v>XZ-ZQFT730</v>
          </cell>
        </row>
        <row r="5836">
          <cell r="A5836" t="str">
            <v>XZ-ZQFT730-PI-3637</v>
          </cell>
          <cell r="B5836" t="str">
            <v>XZ-ZQFT730</v>
          </cell>
        </row>
        <row r="5837">
          <cell r="A5837" t="str">
            <v>XZ-ZQFT730-PI-3839</v>
          </cell>
          <cell r="B5837" t="str">
            <v>XZ-ZQFT730</v>
          </cell>
        </row>
        <row r="5838">
          <cell r="A5838" t="str">
            <v>XZ-ZQFT730-PI-4041</v>
          </cell>
          <cell r="B5838" t="str">
            <v>XZ-ZQFT730</v>
          </cell>
        </row>
        <row r="5839">
          <cell r="A5839" t="str">
            <v>XZ-ZQFT730-R1-3637</v>
          </cell>
          <cell r="B5839" t="str">
            <v>XZ-ZQFT730</v>
          </cell>
        </row>
        <row r="5840">
          <cell r="A5840" t="str">
            <v>XZ-ZQFT730-R1-3839</v>
          </cell>
          <cell r="B5840" t="str">
            <v>XZ-ZQFT730</v>
          </cell>
        </row>
        <row r="5841">
          <cell r="A5841" t="str">
            <v>XZ-ZQFT730-R1-4041</v>
          </cell>
          <cell r="B5841" t="str">
            <v>XZ-ZQFT730</v>
          </cell>
        </row>
        <row r="5842">
          <cell r="A5842" t="str">
            <v>XZ-ZQFT730-R2-3637</v>
          </cell>
          <cell r="B5842" t="str">
            <v>XZ-ZQFT730</v>
          </cell>
        </row>
        <row r="5843">
          <cell r="A5843" t="str">
            <v>XZ-ZQFT730-R2-3839</v>
          </cell>
          <cell r="B5843" t="str">
            <v>XZ-ZQFT730</v>
          </cell>
        </row>
        <row r="5844">
          <cell r="A5844" t="str">
            <v>XZ-ZQFT730-R2-4041</v>
          </cell>
          <cell r="B5844" t="str">
            <v>XZ-ZQFT730</v>
          </cell>
        </row>
        <row r="5845">
          <cell r="A5845" t="str">
            <v>XZ-ZQFT730-ZL-4243</v>
          </cell>
          <cell r="B5845" t="str">
            <v>XZ-ZQFT730</v>
          </cell>
        </row>
        <row r="5846">
          <cell r="A5846" t="str">
            <v>XZ-ZQFT730-ZL-4445</v>
          </cell>
          <cell r="B5846" t="str">
            <v>XZ-ZQFT730</v>
          </cell>
        </row>
        <row r="5847">
          <cell r="A5847" t="str">
            <v>XZ-ZQFT730-ZL-4647</v>
          </cell>
          <cell r="B5847" t="str">
            <v>XZ-ZQFT730</v>
          </cell>
        </row>
        <row r="5848">
          <cell r="A5848" t="str">
            <v>XZ-ZQJZ100-C0-270</v>
          </cell>
          <cell r="B5848" t="str">
            <v>XZ-ZQJZ100</v>
          </cell>
        </row>
        <row r="5849">
          <cell r="A5849" t="str">
            <v>XZ-ZQJZ100-C0-280</v>
          </cell>
          <cell r="B5849" t="str">
            <v>XZ-ZQJZ100</v>
          </cell>
        </row>
        <row r="5850">
          <cell r="A5850" t="str">
            <v>XZ-ZQJZ100-C0-290</v>
          </cell>
          <cell r="B5850" t="str">
            <v>XZ-ZQJZ100</v>
          </cell>
        </row>
        <row r="5851">
          <cell r="A5851" t="str">
            <v>XZ-ZQJZ100-G0-250</v>
          </cell>
          <cell r="B5851" t="str">
            <v>XZ-ZQJZ100</v>
          </cell>
        </row>
        <row r="5852">
          <cell r="A5852" t="str">
            <v>XZ-ZQJZ100-G0-260</v>
          </cell>
          <cell r="B5852" t="str">
            <v>XZ-ZQJZ100</v>
          </cell>
        </row>
        <row r="5853">
          <cell r="A5853" t="str">
            <v>XZ-ZQJZ100-G0-270</v>
          </cell>
          <cell r="B5853" t="str">
            <v>XZ-ZQJZ100</v>
          </cell>
        </row>
        <row r="5854">
          <cell r="A5854" t="str">
            <v>XZ-ZQJZ100-P0-270</v>
          </cell>
          <cell r="B5854" t="str">
            <v>XZ-ZQJZ100</v>
          </cell>
        </row>
        <row r="5855">
          <cell r="A5855" t="str">
            <v>XZ-ZQJZ100-P0-280</v>
          </cell>
          <cell r="B5855" t="str">
            <v>XZ-ZQJZ100</v>
          </cell>
        </row>
        <row r="5856">
          <cell r="A5856" t="str">
            <v>XZ-ZQJZ100-P0-290</v>
          </cell>
          <cell r="B5856" t="str">
            <v>XZ-ZQJZ100</v>
          </cell>
        </row>
        <row r="5857">
          <cell r="A5857" t="str">
            <v>XZ-ZQJZ100-PI-250</v>
          </cell>
          <cell r="B5857" t="str">
            <v>XZ-ZQJZ100</v>
          </cell>
        </row>
        <row r="5858">
          <cell r="A5858" t="str">
            <v>XZ-ZQJZ100-PI-260</v>
          </cell>
          <cell r="B5858" t="str">
            <v>XZ-ZQJZ100</v>
          </cell>
        </row>
        <row r="5859">
          <cell r="A5859" t="str">
            <v>XZ-ZQJZ100-PI-270</v>
          </cell>
          <cell r="B5859" t="str">
            <v>XZ-ZQJZ100</v>
          </cell>
        </row>
        <row r="5860">
          <cell r="A5860" t="str">
            <v>XZ-ZQJZ100-R0-250</v>
          </cell>
          <cell r="B5860" t="str">
            <v>XZ-ZQJZ100</v>
          </cell>
        </row>
        <row r="5861">
          <cell r="A5861" t="str">
            <v>XZ-ZQJZ100-R0-260</v>
          </cell>
          <cell r="B5861" t="str">
            <v>XZ-ZQJZ100</v>
          </cell>
        </row>
        <row r="5862">
          <cell r="A5862" t="str">
            <v>XZ-ZQJZ100-R0-270</v>
          </cell>
          <cell r="B5862" t="str">
            <v>XZ-ZQJZ100</v>
          </cell>
        </row>
        <row r="5863">
          <cell r="A5863" t="str">
            <v>XZ-ZQJZ120-K0-250</v>
          </cell>
          <cell r="B5863" t="str">
            <v>XZ-ZQJZ120</v>
          </cell>
        </row>
        <row r="5864">
          <cell r="A5864" t="str">
            <v>XZ-ZQJZ120-K0-260</v>
          </cell>
          <cell r="B5864" t="str">
            <v>XZ-ZQJZ120</v>
          </cell>
        </row>
        <row r="5865">
          <cell r="A5865" t="str">
            <v>XZ-ZQJZ120-K0-270</v>
          </cell>
          <cell r="B5865" t="str">
            <v>XZ-ZQJZ120</v>
          </cell>
        </row>
        <row r="5866">
          <cell r="A5866" t="str">
            <v>XZ-ZQJZ120-KQ-250</v>
          </cell>
          <cell r="B5866" t="str">
            <v>XZ-ZQJZ120</v>
          </cell>
        </row>
        <row r="5867">
          <cell r="A5867" t="str">
            <v>XZ-ZQJZ120-KQ-260</v>
          </cell>
          <cell r="B5867" t="str">
            <v>XZ-ZQJZ120</v>
          </cell>
        </row>
        <row r="5868">
          <cell r="A5868" t="str">
            <v>XZ-ZQJZ120-KQ-270</v>
          </cell>
          <cell r="B5868" t="str">
            <v>XZ-ZQJZ120</v>
          </cell>
        </row>
        <row r="5869">
          <cell r="A5869" t="str">
            <v>XZ-ZQJZ120-PE-250</v>
          </cell>
          <cell r="B5869" t="str">
            <v>XZ-ZQJZ120</v>
          </cell>
        </row>
        <row r="5870">
          <cell r="A5870" t="str">
            <v>XZ-ZQJZ120-PE-260</v>
          </cell>
          <cell r="B5870" t="str">
            <v>XZ-ZQJZ120</v>
          </cell>
        </row>
        <row r="5871">
          <cell r="A5871" t="str">
            <v>XZ-ZQJZ120-PE-270</v>
          </cell>
          <cell r="B5871" t="str">
            <v>XZ-ZQJZ120</v>
          </cell>
        </row>
        <row r="5872">
          <cell r="A5872" t="str">
            <v>XZ-ZQJZ120-PR-250</v>
          </cell>
          <cell r="B5872" t="str">
            <v>XZ-ZQJZ120</v>
          </cell>
        </row>
        <row r="5873">
          <cell r="A5873" t="str">
            <v>XZ-ZQJZ120-PR-260</v>
          </cell>
          <cell r="B5873" t="str">
            <v>XZ-ZQJZ120</v>
          </cell>
        </row>
        <row r="5874">
          <cell r="A5874" t="str">
            <v>XZ-ZQJZ120-PR-270</v>
          </cell>
          <cell r="B5874" t="str">
            <v>XZ-ZQJZ120</v>
          </cell>
        </row>
        <row r="5875">
          <cell r="A5875" t="str">
            <v>XZ-ZQJZ609-BD-250</v>
          </cell>
          <cell r="B5875" t="str">
            <v>XZ-ZQJZ609</v>
          </cell>
        </row>
        <row r="5876">
          <cell r="A5876" t="str">
            <v>XZ-ZQJZ609-BD-260</v>
          </cell>
          <cell r="B5876" t="str">
            <v>XZ-ZQJZ609</v>
          </cell>
        </row>
        <row r="5877">
          <cell r="A5877" t="str">
            <v>XZ-ZQJZ609-BD-270</v>
          </cell>
          <cell r="B5877" t="str">
            <v>XZ-ZQJZ609</v>
          </cell>
        </row>
        <row r="5878">
          <cell r="A5878" t="str">
            <v>XZ-ZQJZ609-C0-270</v>
          </cell>
          <cell r="B5878" t="str">
            <v>XZ-ZQJZ609</v>
          </cell>
        </row>
        <row r="5879">
          <cell r="A5879" t="str">
            <v>XZ-ZQJZ609-C0-280</v>
          </cell>
          <cell r="B5879" t="str">
            <v>XZ-ZQJZ609</v>
          </cell>
        </row>
        <row r="5880">
          <cell r="A5880" t="str">
            <v>XZ-ZQJZ609-C0-290</v>
          </cell>
          <cell r="B5880" t="str">
            <v>XZ-ZQJZ609</v>
          </cell>
        </row>
        <row r="5881">
          <cell r="A5881" t="str">
            <v>XZ-ZQJZ609-E0-270</v>
          </cell>
          <cell r="B5881" t="str">
            <v>XZ-ZQJZ609</v>
          </cell>
        </row>
        <row r="5882">
          <cell r="A5882" t="str">
            <v>XZ-ZQJZ609-E0-280</v>
          </cell>
          <cell r="B5882" t="str">
            <v>XZ-ZQJZ609</v>
          </cell>
        </row>
        <row r="5883">
          <cell r="A5883" t="str">
            <v>XZ-ZQJZ609-E0-290</v>
          </cell>
          <cell r="B5883" t="str">
            <v>XZ-ZQJZ609</v>
          </cell>
        </row>
        <row r="5884">
          <cell r="A5884" t="str">
            <v>XZ-ZQJZ609-P0-250</v>
          </cell>
          <cell r="B5884" t="str">
            <v>XZ-ZQJZ609</v>
          </cell>
        </row>
        <row r="5885">
          <cell r="A5885" t="str">
            <v>XZ-ZQJZ609-P0-260</v>
          </cell>
          <cell r="B5885" t="str">
            <v>XZ-ZQJZ609</v>
          </cell>
        </row>
        <row r="5886">
          <cell r="A5886" t="str">
            <v>XZ-ZQJZ609-P0-270</v>
          </cell>
          <cell r="B5886" t="str">
            <v>XZ-ZQJZ609</v>
          </cell>
        </row>
        <row r="5887">
          <cell r="A5887" t="str">
            <v>XZ-ZQJZ609-PI-250</v>
          </cell>
          <cell r="B5887" t="str">
            <v>XZ-ZQJZ609</v>
          </cell>
        </row>
        <row r="5888">
          <cell r="A5888" t="str">
            <v>XZ-ZQJZ609-PI-260</v>
          </cell>
          <cell r="B5888" t="str">
            <v>XZ-ZQJZ609</v>
          </cell>
        </row>
        <row r="5889">
          <cell r="A5889" t="str">
            <v>XZ-ZQJZ609-PI-270</v>
          </cell>
          <cell r="B5889" t="str">
            <v>XZ-ZQJZ609</v>
          </cell>
        </row>
        <row r="5890">
          <cell r="A5890" t="str">
            <v>YZ1458</v>
          </cell>
          <cell r="B5890" t="str">
            <v>YZ1458</v>
          </cell>
        </row>
        <row r="5891">
          <cell r="A5891" t="str">
            <v>YZ1458FB3XL</v>
          </cell>
          <cell r="B5891" t="str">
            <v>YZ1458</v>
          </cell>
        </row>
        <row r="5892">
          <cell r="A5892" t="str">
            <v>YZ1458FB4XL</v>
          </cell>
          <cell r="B5892" t="str">
            <v>YZ1458</v>
          </cell>
        </row>
        <row r="5893">
          <cell r="A5893" t="str">
            <v>YZ1458FB5XL</v>
          </cell>
          <cell r="B5893" t="str">
            <v>YZ1458</v>
          </cell>
        </row>
        <row r="5894">
          <cell r="A5894" t="str">
            <v>YZ1458K03XL</v>
          </cell>
          <cell r="B5894" t="str">
            <v>YZ1458</v>
          </cell>
        </row>
        <row r="5895">
          <cell r="A5895" t="str">
            <v>YZ1458K04XL</v>
          </cell>
          <cell r="B5895" t="str">
            <v>YZ1458</v>
          </cell>
        </row>
        <row r="5896">
          <cell r="A5896" t="str">
            <v>YZ1458K05XL</v>
          </cell>
          <cell r="B5896" t="str">
            <v>YZ1458</v>
          </cell>
        </row>
        <row r="5897">
          <cell r="A5897" t="str">
            <v>YZ1458R23XL</v>
          </cell>
          <cell r="B5897" t="str">
            <v>YZ1458</v>
          </cell>
        </row>
        <row r="5898">
          <cell r="A5898" t="str">
            <v>YZ1458R24XL</v>
          </cell>
          <cell r="B5898" t="str">
            <v>YZ1458</v>
          </cell>
        </row>
        <row r="5899">
          <cell r="A5899" t="str">
            <v>YZ1458R25XL</v>
          </cell>
          <cell r="B5899" t="str">
            <v>YZ1458</v>
          </cell>
        </row>
        <row r="5900">
          <cell r="A5900" t="str">
            <v>YZ-160301</v>
          </cell>
          <cell r="B5900" t="str">
            <v>YZ-160301</v>
          </cell>
        </row>
        <row r="5901">
          <cell r="A5901" t="str">
            <v>YZ2216</v>
          </cell>
          <cell r="B5901" t="str">
            <v>YZ2216</v>
          </cell>
        </row>
        <row r="5902">
          <cell r="A5902" t="str">
            <v>YZ2216K0</v>
          </cell>
          <cell r="B5902" t="str">
            <v>YZ2216</v>
          </cell>
        </row>
        <row r="5903">
          <cell r="A5903" t="str">
            <v>YZ2216K01L</v>
          </cell>
          <cell r="B5903" t="str">
            <v>YZ2216</v>
          </cell>
        </row>
        <row r="5904">
          <cell r="A5904" t="str">
            <v>YZ2216K0L</v>
          </cell>
          <cell r="B5904" t="str">
            <v>YZ2216</v>
          </cell>
        </row>
        <row r="5905">
          <cell r="A5905" t="str">
            <v>YZ2216K0M</v>
          </cell>
          <cell r="B5905" t="str">
            <v>YZ2216</v>
          </cell>
        </row>
        <row r="5906">
          <cell r="A5906" t="str">
            <v>YZ2216K0S</v>
          </cell>
          <cell r="B5906" t="str">
            <v>YZ2216</v>
          </cell>
        </row>
        <row r="5907">
          <cell r="A5907" t="str">
            <v>YZ2216R6</v>
          </cell>
          <cell r="B5907" t="str">
            <v>YZ2216</v>
          </cell>
        </row>
        <row r="5908">
          <cell r="A5908" t="str">
            <v>YZ5060B2</v>
          </cell>
          <cell r="B5908" t="str">
            <v>YZ5060</v>
          </cell>
        </row>
        <row r="5909">
          <cell r="A5909" t="str">
            <v>YZ5060B21L</v>
          </cell>
          <cell r="B5909" t="str">
            <v>YZ5060</v>
          </cell>
        </row>
        <row r="5910">
          <cell r="A5910" t="str">
            <v>YZ5060B21L-GM</v>
          </cell>
          <cell r="B5910" t="str">
            <v>YZ5060</v>
          </cell>
        </row>
        <row r="5911">
          <cell r="A5911" t="str">
            <v>YZ5060B21L-MX</v>
          </cell>
          <cell r="B5911" t="str">
            <v>YZ5060</v>
          </cell>
        </row>
        <row r="5912">
          <cell r="A5912" t="str">
            <v>YZ5060B2L</v>
          </cell>
          <cell r="B5912" t="str">
            <v>YZ5060</v>
          </cell>
        </row>
        <row r="5913">
          <cell r="A5913" t="str">
            <v>YZ5060B2M</v>
          </cell>
          <cell r="B5913" t="str">
            <v>YZ5060</v>
          </cell>
        </row>
        <row r="5914">
          <cell r="A5914" t="str">
            <v>YZ5060B2-MX</v>
          </cell>
          <cell r="B5914" t="str">
            <v>YZ5060</v>
          </cell>
        </row>
        <row r="5915">
          <cell r="A5915" t="str">
            <v>YZ5060B2S</v>
          </cell>
          <cell r="B5915" t="str">
            <v>YZ5060</v>
          </cell>
        </row>
        <row r="5916">
          <cell r="A5916" t="str">
            <v>YZ5060B2S-MX</v>
          </cell>
          <cell r="B5916" t="str">
            <v>YZ5060</v>
          </cell>
        </row>
        <row r="5917">
          <cell r="A5917" t="str">
            <v>YZ5060B3</v>
          </cell>
          <cell r="B5917" t="str">
            <v>YZ5060</v>
          </cell>
        </row>
        <row r="5918">
          <cell r="A5918" t="str">
            <v>YZ5060R2</v>
          </cell>
          <cell r="B5918" t="str">
            <v>YZ5060</v>
          </cell>
        </row>
        <row r="5919">
          <cell r="A5919" t="str">
            <v>YZ5060R21L</v>
          </cell>
          <cell r="B5919" t="str">
            <v>YZ5060</v>
          </cell>
        </row>
        <row r="5920">
          <cell r="A5920" t="str">
            <v>YZ5060R21L-MX</v>
          </cell>
          <cell r="B5920" t="str">
            <v>YZ5060</v>
          </cell>
        </row>
        <row r="5921">
          <cell r="A5921" t="str">
            <v>YZ5060R2L</v>
          </cell>
          <cell r="B5921" t="str">
            <v>YZ5060</v>
          </cell>
        </row>
        <row r="5922">
          <cell r="A5922" t="str">
            <v>YZ5060R2M</v>
          </cell>
          <cell r="B5922" t="str">
            <v>YZ5060</v>
          </cell>
        </row>
        <row r="5923">
          <cell r="A5923" t="str">
            <v>YZ5060R2M-MX</v>
          </cell>
          <cell r="B5923" t="str">
            <v>YZ5060</v>
          </cell>
        </row>
        <row r="5924">
          <cell r="A5924" t="str">
            <v>YZ5060R2-MX</v>
          </cell>
          <cell r="B5924" t="str">
            <v>YZ5060</v>
          </cell>
        </row>
        <row r="5925">
          <cell r="A5925" t="str">
            <v>YZ5060R2S</v>
          </cell>
          <cell r="B5925" t="str">
            <v>YZ5060</v>
          </cell>
        </row>
        <row r="5926">
          <cell r="A5926" t="str">
            <v>YZ5060R2S-MX</v>
          </cell>
          <cell r="B5926" t="str">
            <v>YZ5060</v>
          </cell>
        </row>
        <row r="5927">
          <cell r="A5927" t="str">
            <v>YZ5060Y0</v>
          </cell>
          <cell r="B5927" t="str">
            <v>YZ5060</v>
          </cell>
        </row>
        <row r="5928">
          <cell r="A5928" t="str">
            <v>YZ5060Y01L</v>
          </cell>
          <cell r="B5928" t="str">
            <v>YZ5060</v>
          </cell>
        </row>
        <row r="5929">
          <cell r="A5929" t="str">
            <v>YZ5060Y01L-GM</v>
          </cell>
          <cell r="B5929" t="str">
            <v>YZ5060</v>
          </cell>
        </row>
        <row r="5930">
          <cell r="A5930" t="str">
            <v>YZ5060Y01L-MX</v>
          </cell>
          <cell r="B5930" t="str">
            <v>YZ5060</v>
          </cell>
        </row>
        <row r="5931">
          <cell r="A5931" t="str">
            <v>YZ5060Y0L</v>
          </cell>
          <cell r="B5931" t="str">
            <v>YZ5060</v>
          </cell>
        </row>
        <row r="5932">
          <cell r="A5932" t="str">
            <v>YZ5060Y0L-MX</v>
          </cell>
          <cell r="B5932" t="str">
            <v>YZ5060</v>
          </cell>
        </row>
        <row r="5933">
          <cell r="A5933" t="str">
            <v>YZ5060Y0M</v>
          </cell>
          <cell r="B5933" t="str">
            <v>YZ5060</v>
          </cell>
        </row>
        <row r="5934">
          <cell r="A5934" t="str">
            <v>YZ5060Y0-MX</v>
          </cell>
          <cell r="B5934" t="str">
            <v>YZ5060</v>
          </cell>
        </row>
        <row r="5935">
          <cell r="A5935" t="str">
            <v>YZ5060Y0S</v>
          </cell>
          <cell r="B5935" t="str">
            <v>YZ5060</v>
          </cell>
        </row>
        <row r="5936">
          <cell r="A5936" t="str">
            <v>YZ5060Y0S-MX</v>
          </cell>
          <cell r="B5936" t="str">
            <v>YZ5060</v>
          </cell>
        </row>
        <row r="5937">
          <cell r="A5937" t="str">
            <v>YZ5110B0</v>
          </cell>
          <cell r="B5937" t="str">
            <v>YZ5060</v>
          </cell>
        </row>
        <row r="5938">
          <cell r="A5938" t="str">
            <v>YZ5110R0</v>
          </cell>
          <cell r="B5938" t="str">
            <v>YZ5060</v>
          </cell>
        </row>
        <row r="5939">
          <cell r="A5939" t="str">
            <v>YZ5110Y0</v>
          </cell>
          <cell r="B5939" t="str">
            <v>YZ5060</v>
          </cell>
        </row>
        <row r="5940">
          <cell r="A5940" t="str">
            <v>YZ5118</v>
          </cell>
          <cell r="B5940" t="str">
            <v>YZ5118</v>
          </cell>
        </row>
        <row r="5941">
          <cell r="A5941" t="str">
            <v>YZ5118Da0L</v>
          </cell>
          <cell r="B5941" t="str">
            <v>YZ5118</v>
          </cell>
        </row>
        <row r="5942">
          <cell r="A5942" t="str">
            <v>YZ5118Da1L</v>
          </cell>
          <cell r="B5942" t="str">
            <v>YZ5118</v>
          </cell>
        </row>
        <row r="5943">
          <cell r="A5943" t="str">
            <v>YZ5118DaM</v>
          </cell>
          <cell r="B5943" t="str">
            <v>YZ5118</v>
          </cell>
        </row>
        <row r="5944">
          <cell r="A5944" t="str">
            <v>YZ5118DaS</v>
          </cell>
          <cell r="B5944" t="str">
            <v>YZ5118</v>
          </cell>
        </row>
        <row r="5945">
          <cell r="A5945" t="str">
            <v>YZ5118DaXS</v>
          </cell>
          <cell r="B5945" t="str">
            <v>YZ5118</v>
          </cell>
        </row>
        <row r="5946">
          <cell r="A5946" t="str">
            <v>YZ5505</v>
          </cell>
          <cell r="B5946" t="str">
            <v>YZ5505</v>
          </cell>
        </row>
        <row r="5947">
          <cell r="A5947" t="str">
            <v>YZ5505Da</v>
          </cell>
          <cell r="B5947" t="str">
            <v>YZ5505</v>
          </cell>
        </row>
        <row r="5948">
          <cell r="A5948" t="str">
            <v>YZ5505Da2L</v>
          </cell>
          <cell r="B5948" t="str">
            <v>YZ5505</v>
          </cell>
        </row>
        <row r="5949">
          <cell r="A5949" t="str">
            <v>YZ5505Da2L-Non Prime</v>
          </cell>
          <cell r="B5949" t="str">
            <v>YZ5505</v>
          </cell>
        </row>
        <row r="5950">
          <cell r="A5950" t="str">
            <v>YZ5505DaL</v>
          </cell>
          <cell r="B5950" t="str">
            <v>YZ5505</v>
          </cell>
        </row>
        <row r="5951">
          <cell r="A5951" t="str">
            <v>YZ5505DaL-GM</v>
          </cell>
          <cell r="B5951" t="str">
            <v>YZ5505</v>
          </cell>
        </row>
        <row r="5952">
          <cell r="A5952" t="str">
            <v>YZ5505DaL-Non Prime</v>
          </cell>
          <cell r="B5952" t="str">
            <v>YZ5505</v>
          </cell>
        </row>
        <row r="5953">
          <cell r="A5953" t="str">
            <v>YZ5505DaM</v>
          </cell>
          <cell r="B5953" t="str">
            <v>YZ5505</v>
          </cell>
        </row>
        <row r="5954">
          <cell r="A5954" t="str">
            <v>YZ5505DaM-Non Prime</v>
          </cell>
          <cell r="B5954" t="str">
            <v>YZ5505</v>
          </cell>
        </row>
        <row r="5955">
          <cell r="A5955" t="str">
            <v>YZ5505Da-Non Prime</v>
          </cell>
          <cell r="B5955" t="str">
            <v>YZ5505</v>
          </cell>
        </row>
        <row r="5956">
          <cell r="A5956" t="str">
            <v>YZ5505DaS</v>
          </cell>
          <cell r="B5956" t="str">
            <v>YZ5505</v>
          </cell>
        </row>
        <row r="5957">
          <cell r="A5957" t="str">
            <v>YZ5505DaS-Non Prime</v>
          </cell>
          <cell r="B5957" t="str">
            <v>YZ5505</v>
          </cell>
        </row>
        <row r="5958">
          <cell r="A5958" t="str">
            <v>YZ5505DaXL</v>
          </cell>
          <cell r="B5958" t="str">
            <v>YZ5505</v>
          </cell>
        </row>
        <row r="5959">
          <cell r="A5959" t="str">
            <v>YZ5505DaXL-Non Prime</v>
          </cell>
          <cell r="B5959" t="str">
            <v>YZ5505</v>
          </cell>
        </row>
        <row r="5960">
          <cell r="A5960" t="str">
            <v>YZ5505DaXS-FBM</v>
          </cell>
          <cell r="B5960" t="str">
            <v>YZ5505</v>
          </cell>
        </row>
        <row r="5961">
          <cell r="A5961" t="str">
            <v>YZ5505JR</v>
          </cell>
          <cell r="B5961" t="str">
            <v>YZ5505</v>
          </cell>
        </row>
        <row r="5962">
          <cell r="A5962" t="str">
            <v>YZ5505JR0L</v>
          </cell>
          <cell r="B5962" t="str">
            <v>YZ5505</v>
          </cell>
        </row>
        <row r="5963">
          <cell r="A5963" t="str">
            <v>YZ5505JR0S</v>
          </cell>
          <cell r="B5963" t="str">
            <v>YZ5505</v>
          </cell>
        </row>
        <row r="5964">
          <cell r="A5964" t="str">
            <v>YZ5505JR2L</v>
          </cell>
          <cell r="B5964" t="str">
            <v>YZ5505</v>
          </cell>
        </row>
        <row r="5965">
          <cell r="A5965" t="str">
            <v>YZ5505JR2L-GM</v>
          </cell>
          <cell r="B5965" t="str">
            <v>YZ5505</v>
          </cell>
        </row>
        <row r="5966">
          <cell r="A5966" t="str">
            <v>YZ5505JR2L-Non Prime</v>
          </cell>
          <cell r="B5966" t="str">
            <v>YZ5505</v>
          </cell>
        </row>
        <row r="5967">
          <cell r="A5967" t="str">
            <v>YZ5505JRL</v>
          </cell>
          <cell r="B5967" t="str">
            <v>YZ5505</v>
          </cell>
        </row>
        <row r="5968">
          <cell r="A5968" t="str">
            <v>YZ5505JRL-GM</v>
          </cell>
          <cell r="B5968" t="str">
            <v>YZ5505</v>
          </cell>
        </row>
        <row r="5969">
          <cell r="A5969" t="str">
            <v>YZ5505JRL-Non Prime</v>
          </cell>
          <cell r="B5969" t="str">
            <v>YZ5505</v>
          </cell>
        </row>
        <row r="5970">
          <cell r="A5970" t="str">
            <v>YZ5505JRM</v>
          </cell>
          <cell r="B5970" t="str">
            <v>YZ5505</v>
          </cell>
        </row>
        <row r="5971">
          <cell r="A5971" t="str">
            <v>YZ5505JRM-Non Prime</v>
          </cell>
          <cell r="B5971" t="str">
            <v>YZ5505</v>
          </cell>
        </row>
        <row r="5972">
          <cell r="A5972" t="str">
            <v>YZ5505JR-Non Prime</v>
          </cell>
          <cell r="B5972" t="str">
            <v>YZ5505</v>
          </cell>
        </row>
        <row r="5973">
          <cell r="A5973" t="str">
            <v>YZ5505JRS</v>
          </cell>
          <cell r="B5973" t="str">
            <v>YZ5505</v>
          </cell>
        </row>
        <row r="5974">
          <cell r="A5974" t="str">
            <v>YZ5505JRS-Non Prime</v>
          </cell>
          <cell r="B5974" t="str">
            <v>YZ5505</v>
          </cell>
        </row>
        <row r="5975">
          <cell r="A5975" t="str">
            <v>YZ5505JRXL</v>
          </cell>
          <cell r="B5975" t="str">
            <v>YZ5505</v>
          </cell>
        </row>
        <row r="5976">
          <cell r="A5976" t="str">
            <v>YZ5505JRXL-Non Prime</v>
          </cell>
          <cell r="B5976" t="str">
            <v>YZ5505</v>
          </cell>
        </row>
        <row r="5977">
          <cell r="A5977" t="str">
            <v>YZ5505JRXS</v>
          </cell>
          <cell r="B5977" t="str">
            <v>YZ5505</v>
          </cell>
        </row>
        <row r="5978">
          <cell r="A5978" t="str">
            <v>YZ5505K0-2XL</v>
          </cell>
          <cell r="B5978" t="str">
            <v>YZ5505</v>
          </cell>
        </row>
        <row r="5979">
          <cell r="A5979" t="str">
            <v>YZ5505K0-2XL-Non Prime</v>
          </cell>
          <cell r="B5979" t="str">
            <v>YZ5505</v>
          </cell>
        </row>
        <row r="5980">
          <cell r="A5980" t="str">
            <v>YZ5505K0-L</v>
          </cell>
          <cell r="B5980" t="str">
            <v>YZ5505</v>
          </cell>
        </row>
        <row r="5981">
          <cell r="A5981" t="str">
            <v>YZ5505K0-L-Non Prime</v>
          </cell>
          <cell r="B5981" t="str">
            <v>YZ5505</v>
          </cell>
        </row>
        <row r="5982">
          <cell r="A5982" t="str">
            <v>YZ5505K0-M</v>
          </cell>
          <cell r="B5982" t="str">
            <v>YZ5505</v>
          </cell>
        </row>
        <row r="5983">
          <cell r="A5983" t="str">
            <v>YZ5505K0-M-Non Prime</v>
          </cell>
          <cell r="B5983" t="str">
            <v>YZ5505</v>
          </cell>
        </row>
        <row r="5984">
          <cell r="A5984" t="str">
            <v>YZ5505K0-S</v>
          </cell>
          <cell r="B5984" t="str">
            <v>YZ5505</v>
          </cell>
        </row>
        <row r="5985">
          <cell r="A5985" t="str">
            <v>YZ5505K0-S-Non Prime</v>
          </cell>
          <cell r="B5985" t="str">
            <v>YZ5505</v>
          </cell>
        </row>
        <row r="5986">
          <cell r="A5986" t="str">
            <v>YZ5505K0-XL</v>
          </cell>
          <cell r="B5986" t="str">
            <v>YZ5505</v>
          </cell>
        </row>
        <row r="5987">
          <cell r="A5987" t="str">
            <v>YZ5505K0-XL-Non Prime</v>
          </cell>
          <cell r="B5987" t="str">
            <v>YZ5505</v>
          </cell>
        </row>
        <row r="5988">
          <cell r="A5988" t="str">
            <v>YZ5505K0-XS</v>
          </cell>
          <cell r="B5988" t="str">
            <v>YZ5505</v>
          </cell>
        </row>
        <row r="5989">
          <cell r="A5989" t="str">
            <v>YZ5505K0-XS-Non Prime</v>
          </cell>
          <cell r="B5989" t="str">
            <v>YZ5505</v>
          </cell>
        </row>
        <row r="5990">
          <cell r="A5990" t="str">
            <v>YZ5505LB</v>
          </cell>
          <cell r="B5990" t="str">
            <v>YZ5505</v>
          </cell>
        </row>
        <row r="5991">
          <cell r="A5991" t="str">
            <v>YZ5505Lb0XS</v>
          </cell>
          <cell r="B5991" t="str">
            <v>YZ5505</v>
          </cell>
        </row>
        <row r="5992">
          <cell r="A5992" t="str">
            <v>YZ5505Lb0XS-MX</v>
          </cell>
          <cell r="B5992" t="str">
            <v>YZ5505</v>
          </cell>
        </row>
        <row r="5993">
          <cell r="A5993" t="str">
            <v>YZ5505Lb0XS-Non Prime</v>
          </cell>
          <cell r="B5993" t="str">
            <v>YZ5505</v>
          </cell>
        </row>
        <row r="5994">
          <cell r="A5994" t="str">
            <v>YZ5505LbL</v>
          </cell>
          <cell r="B5994" t="str">
            <v>YZ5505</v>
          </cell>
        </row>
        <row r="5995">
          <cell r="A5995" t="str">
            <v>YZ5505LbL-MX</v>
          </cell>
          <cell r="B5995" t="str">
            <v>YZ5505</v>
          </cell>
        </row>
        <row r="5996">
          <cell r="A5996" t="str">
            <v>YZ5505LbL-Non Prime</v>
          </cell>
          <cell r="B5996" t="str">
            <v>YZ5505</v>
          </cell>
        </row>
        <row r="5997">
          <cell r="A5997" t="str">
            <v>YZ5505LbM</v>
          </cell>
          <cell r="B5997" t="str">
            <v>YZ5505</v>
          </cell>
        </row>
        <row r="5998">
          <cell r="A5998" t="str">
            <v>YZ5505LbM-MX</v>
          </cell>
          <cell r="B5998" t="str">
            <v>YZ5505</v>
          </cell>
        </row>
        <row r="5999">
          <cell r="A5999" t="str">
            <v>YZ5505LbM-Non Prime</v>
          </cell>
          <cell r="B5999" t="str">
            <v>YZ5505</v>
          </cell>
        </row>
        <row r="6000">
          <cell r="A6000" t="str">
            <v>YZ5505LbS</v>
          </cell>
          <cell r="B6000" t="str">
            <v>YZ5505</v>
          </cell>
        </row>
        <row r="6001">
          <cell r="A6001" t="str">
            <v>YZ5505LbS-MX</v>
          </cell>
          <cell r="B6001" t="str">
            <v>YZ5505</v>
          </cell>
        </row>
        <row r="6002">
          <cell r="A6002" t="str">
            <v>YZ5505LbS-Non Prime</v>
          </cell>
          <cell r="B6002" t="str">
            <v>YZ5505</v>
          </cell>
        </row>
        <row r="6003">
          <cell r="A6003" t="str">
            <v>YZ5505LbXL</v>
          </cell>
          <cell r="B6003" t="str">
            <v>YZ5505</v>
          </cell>
        </row>
        <row r="6004">
          <cell r="A6004" t="str">
            <v>YZ5505LbXL-MX</v>
          </cell>
          <cell r="B6004" t="str">
            <v>YZ5505</v>
          </cell>
        </row>
        <row r="6005">
          <cell r="A6005" t="str">
            <v>YZ5505LbXL-Non Prime</v>
          </cell>
          <cell r="B6005" t="str">
            <v>YZ5505</v>
          </cell>
        </row>
        <row r="6006">
          <cell r="A6006" t="str">
            <v>YZ5505LbXXL</v>
          </cell>
          <cell r="B6006" t="str">
            <v>YZ5505</v>
          </cell>
        </row>
        <row r="6007">
          <cell r="A6007" t="str">
            <v>YZ5505LbXXL-MX</v>
          </cell>
          <cell r="B6007" t="str">
            <v>YZ5505</v>
          </cell>
        </row>
        <row r="6008">
          <cell r="A6008" t="str">
            <v>YZ5505LbXXL-Non Prime</v>
          </cell>
          <cell r="B6008" t="str">
            <v>YZ5505</v>
          </cell>
        </row>
        <row r="6009">
          <cell r="A6009" t="str">
            <v>YZ5505R0-2X</v>
          </cell>
          <cell r="B6009" t="str">
            <v>YZ5505</v>
          </cell>
        </row>
        <row r="6010">
          <cell r="A6010" t="str">
            <v>YZ5505R0-2X-MX</v>
          </cell>
          <cell r="B6010" t="str">
            <v>YZ5505</v>
          </cell>
        </row>
        <row r="6011">
          <cell r="A6011" t="str">
            <v>YZ5505R0-2X-Non Prime</v>
          </cell>
          <cell r="B6011" t="str">
            <v>YZ5505</v>
          </cell>
        </row>
        <row r="6012">
          <cell r="A6012" t="str">
            <v>YZ5505R0-L</v>
          </cell>
          <cell r="B6012" t="str">
            <v>YZ5505</v>
          </cell>
        </row>
        <row r="6013">
          <cell r="A6013" t="str">
            <v>YZ5505R0-L-GM</v>
          </cell>
          <cell r="B6013" t="str">
            <v>YZ5505</v>
          </cell>
        </row>
        <row r="6014">
          <cell r="A6014" t="str">
            <v>YZ5505R0-L-MX</v>
          </cell>
          <cell r="B6014" t="str">
            <v>YZ5505</v>
          </cell>
        </row>
        <row r="6015">
          <cell r="A6015" t="str">
            <v>YZ5505R0-L-Non Prime</v>
          </cell>
          <cell r="B6015" t="str">
            <v>YZ5505</v>
          </cell>
        </row>
        <row r="6016">
          <cell r="A6016" t="str">
            <v>YZ5505R0-M</v>
          </cell>
          <cell r="B6016" t="str">
            <v>YZ5505</v>
          </cell>
        </row>
        <row r="6017">
          <cell r="A6017" t="str">
            <v>YZ5505R0-M-GM</v>
          </cell>
          <cell r="B6017" t="str">
            <v>YZ5505</v>
          </cell>
        </row>
        <row r="6018">
          <cell r="A6018" t="str">
            <v>YZ5505R0-M-MX</v>
          </cell>
          <cell r="B6018" t="str">
            <v>YZ5505</v>
          </cell>
        </row>
        <row r="6019">
          <cell r="A6019" t="str">
            <v>YZ5505R0-M-Non Prime</v>
          </cell>
          <cell r="B6019" t="str">
            <v>YZ5505</v>
          </cell>
        </row>
        <row r="6020">
          <cell r="A6020" t="str">
            <v>YZ5505R0-S</v>
          </cell>
          <cell r="B6020" t="str">
            <v>YZ5505</v>
          </cell>
        </row>
        <row r="6021">
          <cell r="A6021" t="str">
            <v>YZ5505R0-S-Non Prime</v>
          </cell>
          <cell r="B6021" t="str">
            <v>YZ5505</v>
          </cell>
        </row>
        <row r="6022">
          <cell r="A6022" t="str">
            <v>YZ5505R0-XL</v>
          </cell>
          <cell r="B6022" t="str">
            <v>YZ5505</v>
          </cell>
        </row>
        <row r="6023">
          <cell r="A6023" t="str">
            <v>YZ5505R0-XL-MX</v>
          </cell>
          <cell r="B6023" t="str">
            <v>YZ5505</v>
          </cell>
        </row>
        <row r="6024">
          <cell r="A6024" t="str">
            <v>YZ5505R0-XL-Non Prime</v>
          </cell>
          <cell r="B6024" t="str">
            <v>YZ5505</v>
          </cell>
        </row>
        <row r="6025">
          <cell r="A6025" t="str">
            <v>YZ5505R0-XS</v>
          </cell>
          <cell r="B6025" t="str">
            <v>YZ5505</v>
          </cell>
        </row>
        <row r="6026">
          <cell r="A6026" t="str">
            <v>YZ5505R0-XS-GM</v>
          </cell>
          <cell r="B6026" t="str">
            <v>YZ5505</v>
          </cell>
        </row>
        <row r="6027">
          <cell r="A6027" t="str">
            <v>YZ5505R0-XS-Non Prime</v>
          </cell>
          <cell r="B6027" t="str">
            <v>YZ5505</v>
          </cell>
        </row>
        <row r="6028">
          <cell r="A6028" t="str">
            <v>YZ-6010B0-L</v>
          </cell>
          <cell r="B6028" t="str">
            <v>YZ-6010</v>
          </cell>
        </row>
        <row r="6029">
          <cell r="A6029" t="str">
            <v>YZ-6010B0-XL</v>
          </cell>
          <cell r="B6029" t="str">
            <v>YZ-6010</v>
          </cell>
        </row>
        <row r="6030">
          <cell r="A6030" t="str">
            <v>YZ-6010R6-2XL</v>
          </cell>
          <cell r="B6030" t="str">
            <v>YZ-6010</v>
          </cell>
        </row>
        <row r="6031">
          <cell r="A6031" t="str">
            <v>YZ-6010R6-L</v>
          </cell>
          <cell r="B6031" t="str">
            <v>YZ-6010</v>
          </cell>
        </row>
        <row r="6032">
          <cell r="A6032" t="str">
            <v>YZ7438B04XL</v>
          </cell>
          <cell r="B6032" t="str">
            <v>YZ7438</v>
          </cell>
        </row>
        <row r="6033">
          <cell r="A6033" t="str">
            <v>YZ7438B0L</v>
          </cell>
          <cell r="B6033" t="str">
            <v>YZ7438</v>
          </cell>
        </row>
        <row r="6034">
          <cell r="A6034" t="str">
            <v>YZ7438B0M</v>
          </cell>
          <cell r="B6034" t="str">
            <v>YZ7438</v>
          </cell>
        </row>
        <row r="6035">
          <cell r="A6035" t="str">
            <v>YZ7438B0XL</v>
          </cell>
          <cell r="B6035" t="str">
            <v>YZ7438</v>
          </cell>
        </row>
        <row r="6036">
          <cell r="A6036" t="str">
            <v>YZ7438B0XXL</v>
          </cell>
          <cell r="B6036" t="str">
            <v>YZ7438</v>
          </cell>
        </row>
        <row r="6037">
          <cell r="A6037" t="str">
            <v>YZ7438B0XXXL</v>
          </cell>
          <cell r="B6037" t="str">
            <v>YZ7438</v>
          </cell>
        </row>
        <row r="6038">
          <cell r="A6038" t="str">
            <v>YZ7438K04xL</v>
          </cell>
          <cell r="B6038" t="str">
            <v>YZ7438</v>
          </cell>
        </row>
        <row r="6039">
          <cell r="A6039" t="str">
            <v>YZ7438K0-L</v>
          </cell>
          <cell r="B6039" t="str">
            <v>YZ7438</v>
          </cell>
        </row>
        <row r="6040">
          <cell r="A6040" t="str">
            <v>YZ7438K0M</v>
          </cell>
          <cell r="B6040" t="str">
            <v>YZ7438</v>
          </cell>
        </row>
        <row r="6041">
          <cell r="A6041" t="str">
            <v>YZ7438K0XL</v>
          </cell>
          <cell r="B6041" t="str">
            <v>YZ7438</v>
          </cell>
        </row>
        <row r="6042">
          <cell r="A6042" t="str">
            <v>YZ7438K0XXL</v>
          </cell>
          <cell r="B6042" t="str">
            <v>YZ7438</v>
          </cell>
        </row>
        <row r="6043">
          <cell r="A6043" t="str">
            <v>YZ7438K0XXXL</v>
          </cell>
          <cell r="B6043" t="str">
            <v>YZ7438</v>
          </cell>
        </row>
        <row r="6044">
          <cell r="A6044" t="str">
            <v>YZ-BD16-3XL</v>
          </cell>
          <cell r="B6044" t="str">
            <v>YZ-BD16</v>
          </cell>
        </row>
        <row r="6045">
          <cell r="A6045" t="str">
            <v>YZ-BD16-4XL</v>
          </cell>
          <cell r="B6045" t="str">
            <v>YZ-BD16</v>
          </cell>
        </row>
        <row r="6046">
          <cell r="A6046" t="str">
            <v>YZ-BD16-S</v>
          </cell>
          <cell r="B6046" t="str">
            <v>YZ-BD16</v>
          </cell>
        </row>
        <row r="6047">
          <cell r="A6047" t="str">
            <v>YZ-BD16-XL</v>
          </cell>
          <cell r="B6047" t="str">
            <v>YZ-BD16</v>
          </cell>
        </row>
        <row r="6048">
          <cell r="A6048" t="str">
            <v>YZ-BD1704-K0-2XL</v>
          </cell>
          <cell r="B6048" t="str">
            <v>YZ-BD1704</v>
          </cell>
        </row>
        <row r="6049">
          <cell r="A6049" t="str">
            <v>YZ-BD1704-K0-L</v>
          </cell>
          <cell r="B6049" t="str">
            <v>YZ-BD1704</v>
          </cell>
        </row>
        <row r="6050">
          <cell r="A6050" t="str">
            <v>YZ-BD1704-K0-M</v>
          </cell>
          <cell r="B6050" t="str">
            <v>YZ-BD1704</v>
          </cell>
        </row>
        <row r="6051">
          <cell r="A6051" t="str">
            <v>YZ-BD1704-K0-S</v>
          </cell>
          <cell r="B6051" t="str">
            <v>YZ-BD1704</v>
          </cell>
        </row>
        <row r="6052">
          <cell r="A6052" t="str">
            <v>YZ-BD1704-K0-XL</v>
          </cell>
          <cell r="B6052" t="str">
            <v>YZ-BD1704</v>
          </cell>
        </row>
        <row r="6053">
          <cell r="A6053" t="str">
            <v>YZ-BD1704-K0-XS</v>
          </cell>
          <cell r="B6053" t="str">
            <v>YZ-BD1704</v>
          </cell>
        </row>
        <row r="6054">
          <cell r="A6054" t="str">
            <v>YZ-BS11112R0XL</v>
          </cell>
          <cell r="B6054" t="str">
            <v>YZ-BS11112</v>
          </cell>
        </row>
        <row r="6055">
          <cell r="A6055" t="str">
            <v>YZ-BS5119ZL2XL</v>
          </cell>
          <cell r="B6055" t="str">
            <v>YZ-BShyl5119</v>
          </cell>
        </row>
        <row r="6056">
          <cell r="A6056" t="str">
            <v>YZ-BS5119ZL2XL-GM</v>
          </cell>
          <cell r="B6056" t="str">
            <v>YZ-BShyl5119</v>
          </cell>
        </row>
        <row r="6057">
          <cell r="A6057" t="str">
            <v>YZ-BS5119ZL3XL</v>
          </cell>
          <cell r="B6057" t="str">
            <v>YZ-BShyl5119</v>
          </cell>
        </row>
        <row r="6058">
          <cell r="A6058" t="str">
            <v>YZ-BS5119ZL4XL</v>
          </cell>
          <cell r="B6058" t="str">
            <v>YZ-BShyl5119</v>
          </cell>
        </row>
        <row r="6059">
          <cell r="A6059" t="str">
            <v>YZ-BS5119ZL5XL</v>
          </cell>
          <cell r="B6059" t="str">
            <v>YZ-BShyl5119</v>
          </cell>
        </row>
        <row r="6060">
          <cell r="A6060" t="str">
            <v>YZ-BS5119ZLXL</v>
          </cell>
          <cell r="B6060" t="str">
            <v>YZ-BShyl5119</v>
          </cell>
        </row>
        <row r="6061">
          <cell r="A6061" t="str">
            <v>YZ-BSA160301B02XL</v>
          </cell>
          <cell r="B6061" t="str">
            <v>YZ-BSA160301</v>
          </cell>
        </row>
        <row r="6062">
          <cell r="A6062" t="str">
            <v>YZ-BSA160301B03XL</v>
          </cell>
          <cell r="B6062" t="str">
            <v>YZ-BSA160301</v>
          </cell>
        </row>
        <row r="6063">
          <cell r="A6063" t="str">
            <v>YZ-BSA160301B0L</v>
          </cell>
          <cell r="B6063" t="str">
            <v>YZ-BSA160301</v>
          </cell>
        </row>
        <row r="6064">
          <cell r="A6064" t="str">
            <v>YZ-BSA160301B0M</v>
          </cell>
          <cell r="B6064" t="str">
            <v>YZ-BSA160301</v>
          </cell>
        </row>
        <row r="6065">
          <cell r="A6065" t="str">
            <v>YZ-BSA160301B0XL</v>
          </cell>
          <cell r="B6065" t="str">
            <v>YZ-BSA160301</v>
          </cell>
        </row>
        <row r="6066">
          <cell r="A6066" t="str">
            <v>YZ-BSA160301K02XL</v>
          </cell>
          <cell r="B6066" t="str">
            <v>YZ-BSA160301</v>
          </cell>
        </row>
        <row r="6067">
          <cell r="A6067" t="str">
            <v>YZ-BSA160301K03XL</v>
          </cell>
          <cell r="B6067" t="str">
            <v>YZ-BSA160301</v>
          </cell>
        </row>
        <row r="6068">
          <cell r="A6068" t="str">
            <v>YZ-BSA160301K0L</v>
          </cell>
          <cell r="B6068" t="str">
            <v>YZ-BSA160301</v>
          </cell>
        </row>
        <row r="6069">
          <cell r="A6069" t="str">
            <v>YZ-BSA160301K0M</v>
          </cell>
          <cell r="B6069" t="str">
            <v>YZ-BSA160301</v>
          </cell>
        </row>
        <row r="6070">
          <cell r="A6070" t="str">
            <v>YZ-BSA160301K0XL</v>
          </cell>
          <cell r="B6070" t="str">
            <v>YZ-BSA160301</v>
          </cell>
        </row>
        <row r="6071">
          <cell r="A6071" t="str">
            <v>YZ-BSA160301R02XL</v>
          </cell>
          <cell r="B6071" t="str">
            <v>YZ-BSA160301</v>
          </cell>
        </row>
        <row r="6072">
          <cell r="A6072" t="str">
            <v>YZ-BSA160301R03XL</v>
          </cell>
          <cell r="B6072" t="str">
            <v>YZ-BSA160301</v>
          </cell>
        </row>
        <row r="6073">
          <cell r="A6073" t="str">
            <v>YZ-BSA160301R0L</v>
          </cell>
          <cell r="B6073" t="str">
            <v>YZ-BSA160301</v>
          </cell>
        </row>
        <row r="6074">
          <cell r="A6074" t="str">
            <v>YZ-BSA160301R0M</v>
          </cell>
          <cell r="B6074" t="str">
            <v>YZ-BSA160301</v>
          </cell>
        </row>
        <row r="6075">
          <cell r="A6075" t="str">
            <v>YZ-BSA160301R0XL</v>
          </cell>
          <cell r="B6075" t="str">
            <v>YZ-BSA160301</v>
          </cell>
        </row>
        <row r="6076">
          <cell r="A6076" t="str">
            <v>YZ-BShyl5119K02XL</v>
          </cell>
          <cell r="B6076" t="str">
            <v>YZ-BShyl5119</v>
          </cell>
        </row>
        <row r="6077">
          <cell r="A6077" t="str">
            <v>YZ-BShyl5119K03XL</v>
          </cell>
          <cell r="B6077" t="str">
            <v>YZ-BShyl5119</v>
          </cell>
        </row>
        <row r="6078">
          <cell r="A6078" t="str">
            <v>YZ-BShyl5119K0L</v>
          </cell>
          <cell r="B6078" t="str">
            <v>YZ-BShyl5119</v>
          </cell>
        </row>
        <row r="6079">
          <cell r="A6079" t="str">
            <v>YZ-BShyl5119K0M</v>
          </cell>
          <cell r="B6079" t="str">
            <v>YZ-BShyl5119</v>
          </cell>
        </row>
        <row r="6080">
          <cell r="A6080" t="str">
            <v>YZ-BShyl5119K0XL</v>
          </cell>
          <cell r="B6080" t="str">
            <v>YZ-BShyl5119</v>
          </cell>
        </row>
        <row r="6081">
          <cell r="A6081" t="str">
            <v>YZ-BShyl5119-YH-2XL</v>
          </cell>
          <cell r="B6081" t="str">
            <v>YZ-BShyl5119</v>
          </cell>
        </row>
        <row r="6082">
          <cell r="A6082" t="str">
            <v>YZ-BShyl5119-YH-3XL</v>
          </cell>
          <cell r="B6082" t="str">
            <v>YZ-BShyl5119</v>
          </cell>
        </row>
        <row r="6083">
          <cell r="A6083" t="str">
            <v>YZ-BShyl5119-YH-4XL</v>
          </cell>
          <cell r="B6083" t="str">
            <v>YZ-BShyl5119</v>
          </cell>
        </row>
        <row r="6084">
          <cell r="A6084" t="str">
            <v>YZ-BShyl5119-YH-5XL</v>
          </cell>
          <cell r="B6084" t="str">
            <v>YZ-BShyl5119</v>
          </cell>
        </row>
        <row r="6085">
          <cell r="A6085" t="str">
            <v>YZ-BShyl5119-YH-XL</v>
          </cell>
          <cell r="B6085" t="str">
            <v>YZ-BShyl5119</v>
          </cell>
        </row>
        <row r="6086">
          <cell r="A6086" t="str">
            <v>YZ-BShyl5119-YT-2XL</v>
          </cell>
          <cell r="B6086" t="str">
            <v>YZ-BShyl5119</v>
          </cell>
        </row>
        <row r="6087">
          <cell r="A6087" t="str">
            <v>YZ-BShyl5119-YT-3XL</v>
          </cell>
          <cell r="B6087" t="str">
            <v>YZ-BShyl5119</v>
          </cell>
        </row>
        <row r="6088">
          <cell r="A6088" t="str">
            <v>YZ-BShyl5119-YT-3XL-GM</v>
          </cell>
          <cell r="B6088" t="str">
            <v>YZ-BShyl5119</v>
          </cell>
        </row>
        <row r="6089">
          <cell r="A6089" t="str">
            <v>YZ-BShyl5119-YT-4XL</v>
          </cell>
          <cell r="B6089" t="str">
            <v>YZ-BShyl5119</v>
          </cell>
        </row>
        <row r="6090">
          <cell r="A6090" t="str">
            <v>YZ-BShyl5119-YT-5XL</v>
          </cell>
          <cell r="B6090" t="str">
            <v>YZ-BShyl5119</v>
          </cell>
        </row>
        <row r="6091">
          <cell r="A6091" t="str">
            <v>YZ-BShyl5119-YT-XL</v>
          </cell>
          <cell r="B6091" t="str">
            <v>YZ-BShyl5119</v>
          </cell>
        </row>
        <row r="6092">
          <cell r="A6092" t="str">
            <v>YZ-BSLLHT2XL</v>
          </cell>
          <cell r="B6092" t="str">
            <v>YZ-BSLL</v>
          </cell>
        </row>
        <row r="6093">
          <cell r="A6093" t="str">
            <v>YZ-BSLLHT3XL</v>
          </cell>
          <cell r="B6093" t="str">
            <v>YZ-BSLL</v>
          </cell>
        </row>
        <row r="6094">
          <cell r="A6094" t="str">
            <v>YZ-BSLLHT4XL</v>
          </cell>
          <cell r="B6094" t="str">
            <v>YZ-BSLL</v>
          </cell>
        </row>
        <row r="6095">
          <cell r="A6095" t="str">
            <v>YZ-BSLLHTL</v>
          </cell>
          <cell r="B6095" t="str">
            <v>YZ-BSLL</v>
          </cell>
        </row>
        <row r="6096">
          <cell r="A6096" t="str">
            <v>YZ-BSLLHTM</v>
          </cell>
          <cell r="B6096" t="str">
            <v>YZ-BSLL</v>
          </cell>
        </row>
        <row r="6097">
          <cell r="A6097" t="str">
            <v>YZ-BSLLHTM-GM</v>
          </cell>
          <cell r="B6097" t="str">
            <v>YZ-BSLL</v>
          </cell>
        </row>
        <row r="6098">
          <cell r="A6098" t="str">
            <v>YZ-BSLLHTS</v>
          </cell>
          <cell r="B6098" t="str">
            <v>YZ-BSLL</v>
          </cell>
        </row>
        <row r="6099">
          <cell r="A6099" t="str">
            <v>YZ-BSLLHTXL</v>
          </cell>
          <cell r="B6099" t="str">
            <v>YZ-BSLL</v>
          </cell>
        </row>
        <row r="6100">
          <cell r="A6100" t="str">
            <v>YZ-BSLLIT2XL</v>
          </cell>
          <cell r="B6100" t="str">
            <v>YZ-BSLL</v>
          </cell>
        </row>
        <row r="6101">
          <cell r="A6101" t="str">
            <v>YZ-BSLLIT3XL</v>
          </cell>
          <cell r="B6101" t="str">
            <v>YZ-BSLL</v>
          </cell>
        </row>
        <row r="6102">
          <cell r="A6102" t="str">
            <v>YZ-BSLLIT4XL</v>
          </cell>
          <cell r="B6102" t="str">
            <v>YZ-BSLL</v>
          </cell>
        </row>
        <row r="6103">
          <cell r="A6103" t="str">
            <v>YZ-BSLLITL</v>
          </cell>
          <cell r="B6103" t="str">
            <v>YZ-BSLL</v>
          </cell>
        </row>
        <row r="6104">
          <cell r="A6104" t="str">
            <v>YZ-BSLLITM</v>
          </cell>
          <cell r="B6104" t="str">
            <v>YZ-BSLL</v>
          </cell>
        </row>
        <row r="6105">
          <cell r="A6105" t="str">
            <v>YZ-BSLLITS</v>
          </cell>
          <cell r="B6105" t="str">
            <v>YZ-BSLL</v>
          </cell>
        </row>
        <row r="6106">
          <cell r="A6106" t="str">
            <v>YZ-BSLLITXL</v>
          </cell>
          <cell r="B6106" t="str">
            <v>YZ-BSLL</v>
          </cell>
        </row>
        <row r="6107">
          <cell r="A6107" t="str">
            <v>YZ-BSLLK02XL</v>
          </cell>
          <cell r="B6107" t="str">
            <v>YZ-BSLL</v>
          </cell>
        </row>
        <row r="6108">
          <cell r="A6108" t="str">
            <v>YZ-BSLLK03XL</v>
          </cell>
          <cell r="B6108" t="str">
            <v>YZ-BSLL</v>
          </cell>
        </row>
        <row r="6109">
          <cell r="A6109" t="str">
            <v>YZ-BSLLK04XL</v>
          </cell>
          <cell r="B6109" t="str">
            <v>YZ-BSLL</v>
          </cell>
        </row>
        <row r="6110">
          <cell r="A6110" t="str">
            <v>YZ-BSLLK0L</v>
          </cell>
          <cell r="B6110" t="str">
            <v>YZ-BSLL</v>
          </cell>
        </row>
        <row r="6111">
          <cell r="A6111" t="str">
            <v>YZ-BSLLK0M</v>
          </cell>
          <cell r="B6111" t="str">
            <v>YZ-BSLL</v>
          </cell>
        </row>
        <row r="6112">
          <cell r="A6112" t="str">
            <v>YZ-BSLLK0XL</v>
          </cell>
          <cell r="B6112" t="str">
            <v>YZ-BSLL</v>
          </cell>
        </row>
        <row r="6113">
          <cell r="A6113" t="str">
            <v>YZ-BSY97Z2L</v>
          </cell>
          <cell r="B6113" t="str">
            <v>YZ-BSY97</v>
          </cell>
        </row>
        <row r="6114">
          <cell r="A6114" t="str">
            <v>YZ-BSY97Z2M</v>
          </cell>
          <cell r="B6114" t="str">
            <v>YZ-BSY97</v>
          </cell>
        </row>
        <row r="6115">
          <cell r="A6115" t="str">
            <v>YZ-BSY97Z2XL</v>
          </cell>
          <cell r="B6115" t="str">
            <v>YZ-BSY97</v>
          </cell>
        </row>
        <row r="6116">
          <cell r="A6116" t="str">
            <v>YZ-BSY97Z3L</v>
          </cell>
          <cell r="B6116" t="str">
            <v>YZ-BSY97</v>
          </cell>
        </row>
        <row r="6117">
          <cell r="A6117" t="str">
            <v>YZ-BSY97Z3M</v>
          </cell>
          <cell r="B6117" t="str">
            <v>YZ-BSY97</v>
          </cell>
        </row>
        <row r="6118">
          <cell r="A6118" t="str">
            <v>YZ-BSY97Z3XL</v>
          </cell>
          <cell r="B6118" t="str">
            <v>YZ-BSY97</v>
          </cell>
        </row>
        <row r="6119">
          <cell r="A6119" t="str">
            <v>YZ-BX1443Bl0L</v>
          </cell>
          <cell r="B6119" t="str">
            <v>YZ-BX1443</v>
          </cell>
        </row>
        <row r="6120">
          <cell r="A6120" t="str">
            <v>YZ-BX1443Bl2L</v>
          </cell>
          <cell r="B6120" t="str">
            <v>YZ-BX1443</v>
          </cell>
        </row>
        <row r="6121">
          <cell r="A6121" t="str">
            <v>YZ-BX1443Bl3XL</v>
          </cell>
          <cell r="B6121" t="str">
            <v>YZ-BX1443</v>
          </cell>
        </row>
        <row r="6122">
          <cell r="A6122" t="str">
            <v>YZ-BX1443BlM</v>
          </cell>
          <cell r="B6122" t="str">
            <v>YZ-BX1443</v>
          </cell>
        </row>
        <row r="6123">
          <cell r="A6123" t="str">
            <v>YZ-BX1443BlXL</v>
          </cell>
          <cell r="B6123" t="str">
            <v>YZ-BX1443</v>
          </cell>
        </row>
        <row r="6124">
          <cell r="A6124" t="str">
            <v>YZ-BX1443Cl0L</v>
          </cell>
          <cell r="B6124" t="str">
            <v>YZ-BX1443</v>
          </cell>
        </row>
        <row r="6125">
          <cell r="A6125" t="str">
            <v>YZ-BX1443Cl2L</v>
          </cell>
          <cell r="B6125" t="str">
            <v>YZ-BX1443</v>
          </cell>
        </row>
        <row r="6126">
          <cell r="A6126" t="str">
            <v>YZ-BX1443Cl3L</v>
          </cell>
          <cell r="B6126" t="str">
            <v>YZ-BX1443</v>
          </cell>
        </row>
        <row r="6127">
          <cell r="A6127" t="str">
            <v>YZ-BX1443ClM</v>
          </cell>
          <cell r="B6127" t="str">
            <v>YZ-BX1443</v>
          </cell>
        </row>
        <row r="6128">
          <cell r="A6128" t="str">
            <v>YZ-BX1443ClXL</v>
          </cell>
          <cell r="B6128" t="str">
            <v>YZ-BX1443</v>
          </cell>
        </row>
        <row r="6129">
          <cell r="A6129" t="str">
            <v>YZ-BX1443Pi0L</v>
          </cell>
          <cell r="B6129" t="str">
            <v>YZ-BX1443</v>
          </cell>
        </row>
        <row r="6130">
          <cell r="A6130" t="str">
            <v>YZ-BX1443Pi2L</v>
          </cell>
          <cell r="B6130" t="str">
            <v>YZ-BX1443</v>
          </cell>
        </row>
        <row r="6131">
          <cell r="A6131" t="str">
            <v>YZ-BX1443Pi3L</v>
          </cell>
          <cell r="B6131" t="str">
            <v>YZ-BX1443</v>
          </cell>
        </row>
        <row r="6132">
          <cell r="A6132" t="str">
            <v>YZ-BX1443PiM</v>
          </cell>
          <cell r="B6132" t="str">
            <v>YZ-BX1443</v>
          </cell>
        </row>
        <row r="6133">
          <cell r="A6133" t="str">
            <v>YZ-BX1443PiXL</v>
          </cell>
          <cell r="B6133" t="str">
            <v>YZ-BX1443</v>
          </cell>
        </row>
        <row r="6134">
          <cell r="A6134" t="str">
            <v>YZ-BZ1707-B0-2XL</v>
          </cell>
          <cell r="B6134" t="str">
            <v>YZ-BZ1707</v>
          </cell>
        </row>
        <row r="6135">
          <cell r="A6135" t="str">
            <v>YZ-BZ1707-B0-L</v>
          </cell>
          <cell r="B6135" t="str">
            <v>YZ-BZ1707</v>
          </cell>
        </row>
        <row r="6136">
          <cell r="A6136" t="str">
            <v>YZ-BZ1707-B0-M</v>
          </cell>
          <cell r="B6136" t="str">
            <v>YZ-BZ1707</v>
          </cell>
        </row>
        <row r="6137">
          <cell r="A6137" t="str">
            <v>YZ-BZ1707-B0-S</v>
          </cell>
          <cell r="B6137" t="str">
            <v>YZ-BZ1707</v>
          </cell>
        </row>
        <row r="6138">
          <cell r="A6138" t="str">
            <v>YZ-BZ1707-B0-XL</v>
          </cell>
          <cell r="B6138" t="str">
            <v>YZ-BZ1707</v>
          </cell>
        </row>
        <row r="6139">
          <cell r="A6139" t="str">
            <v>YZ-BZ1707-B0-XS</v>
          </cell>
          <cell r="B6139" t="str">
            <v>YZ-BZ1707</v>
          </cell>
        </row>
        <row r="6140">
          <cell r="A6140" t="str">
            <v>YZ-CA1245001L</v>
          </cell>
          <cell r="B6140" t="str">
            <v>YZ-CA1245</v>
          </cell>
        </row>
        <row r="6141">
          <cell r="A6141" t="str">
            <v>YZ-CA1245003L</v>
          </cell>
          <cell r="B6141" t="str">
            <v>YZ-CA1245</v>
          </cell>
        </row>
        <row r="6142">
          <cell r="A6142" t="str">
            <v>YZ-CA124500L</v>
          </cell>
          <cell r="B6142" t="str">
            <v>YZ-CA1245</v>
          </cell>
        </row>
        <row r="6143">
          <cell r="A6143" t="str">
            <v>YZ-CA124500M</v>
          </cell>
          <cell r="B6143" t="str">
            <v>YZ-CA1245</v>
          </cell>
        </row>
        <row r="6144">
          <cell r="A6144" t="str">
            <v>YZ-CA1245G01L</v>
          </cell>
          <cell r="B6144" t="str">
            <v>YZ-CA1245</v>
          </cell>
        </row>
        <row r="6145">
          <cell r="A6145" t="str">
            <v>YZ-CA1245G02L</v>
          </cell>
          <cell r="B6145" t="str">
            <v>YZ-CA1245</v>
          </cell>
        </row>
        <row r="6146">
          <cell r="A6146" t="str">
            <v>YZ-CA1245G03L</v>
          </cell>
          <cell r="B6146" t="str">
            <v>YZ-CA1245</v>
          </cell>
        </row>
        <row r="6147">
          <cell r="A6147" t="str">
            <v>YZ-CA1245G0L</v>
          </cell>
          <cell r="B6147" t="str">
            <v>YZ-CA1245</v>
          </cell>
        </row>
        <row r="6148">
          <cell r="A6148" t="str">
            <v>YZ-CA1245G0M</v>
          </cell>
          <cell r="B6148" t="str">
            <v>YZ-CA1245</v>
          </cell>
        </row>
        <row r="6149">
          <cell r="A6149" t="str">
            <v>YZ-CA1245W01L</v>
          </cell>
          <cell r="B6149" t="str">
            <v>YZ-CA1245</v>
          </cell>
        </row>
        <row r="6150">
          <cell r="A6150" t="str">
            <v>YZ-CA1245W02L</v>
          </cell>
          <cell r="B6150" t="str">
            <v>YZ-CA1245</v>
          </cell>
        </row>
        <row r="6151">
          <cell r="A6151" t="str">
            <v>YZ-CA1245W03L</v>
          </cell>
          <cell r="B6151" t="str">
            <v>YZ-CA1245</v>
          </cell>
        </row>
        <row r="6152">
          <cell r="A6152" t="str">
            <v>YZ-CA1245W0L</v>
          </cell>
          <cell r="B6152" t="str">
            <v>YZ-CA1245</v>
          </cell>
        </row>
        <row r="6153">
          <cell r="A6153" t="str">
            <v>YZ-CA1245W0M</v>
          </cell>
          <cell r="B6153" t="str">
            <v>YZ-CA1245</v>
          </cell>
        </row>
        <row r="6154">
          <cell r="A6154" t="str">
            <v>YZ-CA160301K02XL</v>
          </cell>
          <cell r="B6154" t="str">
            <v>YZ-CA160301</v>
          </cell>
        </row>
        <row r="6155">
          <cell r="A6155" t="str">
            <v>YZ-CA160301K0L</v>
          </cell>
          <cell r="B6155" t="str">
            <v>YZ-CA160301</v>
          </cell>
        </row>
        <row r="6156">
          <cell r="A6156" t="str">
            <v>YZ-CA160301K0M</v>
          </cell>
          <cell r="B6156" t="str">
            <v>YZ-CA160301</v>
          </cell>
        </row>
        <row r="6157">
          <cell r="A6157" t="str">
            <v>YZ-CA160301K0XL</v>
          </cell>
          <cell r="B6157" t="str">
            <v>YZ-CA160301</v>
          </cell>
        </row>
        <row r="6158">
          <cell r="A6158" t="str">
            <v>YZ-CA2000-2XL</v>
          </cell>
          <cell r="B6158" t="str">
            <v>YZ-CA2000</v>
          </cell>
        </row>
        <row r="6159">
          <cell r="A6159" t="str">
            <v>YZ-CA2000-3XL</v>
          </cell>
          <cell r="B6159" t="str">
            <v>YZ-CA2000</v>
          </cell>
        </row>
        <row r="6160">
          <cell r="A6160" t="str">
            <v>YZ-CA2000-M</v>
          </cell>
          <cell r="B6160" t="str">
            <v>YZ-CA2000</v>
          </cell>
        </row>
        <row r="6161">
          <cell r="A6161" t="str">
            <v>YZ-CA2000-XL</v>
          </cell>
          <cell r="B6161" t="str">
            <v>YZ-CA2000</v>
          </cell>
        </row>
        <row r="6162">
          <cell r="A6162" t="str">
            <v>YZ-CA233-K0-XS</v>
          </cell>
          <cell r="B6162" t="str">
            <v>YZ-CA233</v>
          </cell>
        </row>
        <row r="6163">
          <cell r="A6163" t="str">
            <v>YZ-CA30CH-K0-L</v>
          </cell>
          <cell r="B6163" t="str">
            <v>YZ-CA30CH</v>
          </cell>
        </row>
        <row r="6164">
          <cell r="A6164" t="str">
            <v>YZ-CA30CH-K0-M</v>
          </cell>
          <cell r="B6164" t="str">
            <v>YZ-CA30CH</v>
          </cell>
        </row>
        <row r="6165">
          <cell r="A6165" t="str">
            <v>YZ-CA30CH-L</v>
          </cell>
          <cell r="B6165" t="str">
            <v>YZ-CA30CH</v>
          </cell>
        </row>
        <row r="6166">
          <cell r="A6166" t="str">
            <v>YZ-CA30CH-M</v>
          </cell>
          <cell r="B6166" t="str">
            <v>YZ-CA30CH</v>
          </cell>
        </row>
        <row r="6167">
          <cell r="A6167" t="str">
            <v>YZ-CA30CH-S</v>
          </cell>
          <cell r="B6167" t="str">
            <v>YZ-CA30CH</v>
          </cell>
        </row>
        <row r="6168">
          <cell r="A6168" t="str">
            <v>YZ-CA30CH-XL</v>
          </cell>
          <cell r="B6168" t="str">
            <v>YZ-CA30CH</v>
          </cell>
        </row>
        <row r="6169">
          <cell r="A6169" t="str">
            <v>YZ-CAA160301K03XL</v>
          </cell>
          <cell r="B6169" t="str">
            <v>YZ-CAA160301</v>
          </cell>
        </row>
        <row r="6170">
          <cell r="A6170" t="str">
            <v>YZ-CAY97Z2M</v>
          </cell>
          <cell r="B6170" t="str">
            <v>YZ-CAY97</v>
          </cell>
        </row>
        <row r="6171">
          <cell r="A6171" t="str">
            <v>YZ-CAY97Z2XL</v>
          </cell>
          <cell r="B6171" t="str">
            <v>YZ-CAY97</v>
          </cell>
        </row>
        <row r="6172">
          <cell r="A6172" t="str">
            <v>YZ-CF41998-BU-XL</v>
          </cell>
          <cell r="B6172" t="str">
            <v>YZ-CF41998</v>
          </cell>
        </row>
        <row r="6173">
          <cell r="A6173" t="str">
            <v>YZ-CFAM005-ARGR-M</v>
          </cell>
          <cell r="B6173" t="str">
            <v>YZ-CFAM005</v>
          </cell>
        </row>
        <row r="6174">
          <cell r="A6174" t="str">
            <v>YZ-CFAM005-LABUGR-L</v>
          </cell>
          <cell r="B6174" t="str">
            <v>YZ-CFAM005</v>
          </cell>
        </row>
        <row r="6175">
          <cell r="A6175" t="str">
            <v>YZ-CFAM005-LABUGR-M</v>
          </cell>
          <cell r="B6175" t="str">
            <v>YZ-CFAM005</v>
          </cell>
        </row>
        <row r="6176">
          <cell r="A6176" t="str">
            <v>YZ-CFAM005-LABUGR-S</v>
          </cell>
          <cell r="B6176" t="str">
            <v>YZ-CFAM005</v>
          </cell>
        </row>
        <row r="6177">
          <cell r="A6177" t="str">
            <v>YZ-CL0001-R0-XS</v>
          </cell>
          <cell r="B6177" t="str">
            <v>YZ-CL0001</v>
          </cell>
        </row>
        <row r="6178">
          <cell r="A6178" t="str">
            <v>YZ-CL0001-R1-S</v>
          </cell>
          <cell r="B6178" t="str">
            <v>YZ-CL0001</v>
          </cell>
        </row>
        <row r="6179">
          <cell r="A6179" t="str">
            <v>YZ-CL0001-R2-M</v>
          </cell>
          <cell r="B6179" t="str">
            <v>YZ-CL0001</v>
          </cell>
        </row>
        <row r="6180">
          <cell r="A6180" t="str">
            <v>YZ-CL0001-R3-L</v>
          </cell>
          <cell r="B6180" t="str">
            <v>YZ-CL0001</v>
          </cell>
        </row>
        <row r="6181">
          <cell r="A6181" t="str">
            <v>YZ-CL0001-R4-XL</v>
          </cell>
          <cell r="B6181" t="str">
            <v>YZ-CL0001</v>
          </cell>
        </row>
        <row r="6182">
          <cell r="A6182" t="str">
            <v>YZ-CL0393-B0-L</v>
          </cell>
          <cell r="B6182" t="str">
            <v>YZ-CL0393</v>
          </cell>
        </row>
        <row r="6183">
          <cell r="A6183" t="str">
            <v>YZ-CL0393-B0-M</v>
          </cell>
          <cell r="B6183" t="str">
            <v>YZ-CL0393</v>
          </cell>
        </row>
        <row r="6184">
          <cell r="A6184" t="str">
            <v>YZ-CL0393-B0-XL</v>
          </cell>
          <cell r="B6184" t="str">
            <v>YZ-CL0393</v>
          </cell>
        </row>
        <row r="6185">
          <cell r="A6185" t="str">
            <v>YZ-CL060-L</v>
          </cell>
          <cell r="B6185" t="str">
            <v>YZ-CL060</v>
          </cell>
        </row>
        <row r="6186">
          <cell r="A6186" t="str">
            <v>YZ-CL060-XL</v>
          </cell>
          <cell r="B6186" t="str">
            <v>YZ-CL060</v>
          </cell>
        </row>
        <row r="6187">
          <cell r="A6187" t="str">
            <v>YZ-CL1609-MU-L</v>
          </cell>
          <cell r="B6187" t="str">
            <v>YZ-CL1609</v>
          </cell>
        </row>
        <row r="6188">
          <cell r="A6188" t="str">
            <v>YZ-CL1609-MU-M</v>
          </cell>
          <cell r="B6188" t="str">
            <v>YZ-CL1609</v>
          </cell>
        </row>
        <row r="6189">
          <cell r="A6189" t="str">
            <v>YZ-CL1609-MU-S</v>
          </cell>
          <cell r="B6189" t="str">
            <v>YZ-CL1609</v>
          </cell>
        </row>
        <row r="6190">
          <cell r="A6190" t="str">
            <v>YZ-CL1609-MU-XL</v>
          </cell>
          <cell r="B6190" t="str">
            <v>YZ-CL1609</v>
          </cell>
        </row>
        <row r="6191">
          <cell r="A6191" t="str">
            <v>YZ-CL1704-B0-S</v>
          </cell>
          <cell r="B6191" t="str">
            <v>YZ-CL1704</v>
          </cell>
        </row>
        <row r="6192">
          <cell r="A6192" t="str">
            <v>YZ-CL1704-G0-L</v>
          </cell>
          <cell r="B6192" t="str">
            <v>YZ-CL1704</v>
          </cell>
        </row>
        <row r="6193">
          <cell r="A6193" t="str">
            <v>YZ-CL1704-G0-M</v>
          </cell>
          <cell r="B6193" t="str">
            <v>YZ-CL1704</v>
          </cell>
        </row>
        <row r="6194">
          <cell r="A6194" t="str">
            <v>YZ-CL1704-G0-S</v>
          </cell>
          <cell r="B6194" t="str">
            <v>YZ-CL1704</v>
          </cell>
        </row>
        <row r="6195">
          <cell r="A6195" t="str">
            <v>YZ-CL1704-G0-XL</v>
          </cell>
          <cell r="B6195" t="str">
            <v>YZ-CL1704</v>
          </cell>
        </row>
        <row r="6196">
          <cell r="A6196" t="str">
            <v>YZ-CL1704-R0-M</v>
          </cell>
          <cell r="B6196" t="str">
            <v>YZ-CL1704</v>
          </cell>
        </row>
        <row r="6197">
          <cell r="A6197" t="str">
            <v>YZ-CL1704-R0-S</v>
          </cell>
          <cell r="B6197" t="str">
            <v>YZ-CL1704</v>
          </cell>
        </row>
        <row r="6198">
          <cell r="A6198" t="str">
            <v>YZ-CL1717-W0-L</v>
          </cell>
          <cell r="B6198" t="str">
            <v>YZ-CL1717</v>
          </cell>
        </row>
        <row r="6199">
          <cell r="A6199" t="str">
            <v>YZ-CL1717-W0-M</v>
          </cell>
          <cell r="B6199" t="str">
            <v>YZ-CL1717</v>
          </cell>
        </row>
        <row r="6200">
          <cell r="A6200" t="str">
            <v>YZ-CL1717-W0-S</v>
          </cell>
          <cell r="B6200" t="str">
            <v>YZ-CL1717</v>
          </cell>
        </row>
        <row r="6201">
          <cell r="A6201" t="str">
            <v>YZ-CL7042-R0-L</v>
          </cell>
          <cell r="B6201" t="str">
            <v>YZ-CL7042</v>
          </cell>
        </row>
        <row r="6202">
          <cell r="A6202" t="str">
            <v>YZ-CL7042-R0-M</v>
          </cell>
          <cell r="B6202" t="str">
            <v>YZ-CL7042</v>
          </cell>
        </row>
        <row r="6203">
          <cell r="A6203" t="str">
            <v>YZ-CL7042-ZL-M</v>
          </cell>
          <cell r="B6203" t="str">
            <v>YZ-CL7042</v>
          </cell>
        </row>
        <row r="6204">
          <cell r="A6204" t="str">
            <v>YZ-CL912-BD-L</v>
          </cell>
          <cell r="B6204" t="str">
            <v>YZ-CL912</v>
          </cell>
        </row>
        <row r="6205">
          <cell r="A6205" t="str">
            <v>YZ-CL912-BD-M</v>
          </cell>
          <cell r="B6205" t="str">
            <v>YZ-CL912</v>
          </cell>
        </row>
        <row r="6206">
          <cell r="A6206" t="str">
            <v>YZ-CL912-BD-XL</v>
          </cell>
          <cell r="B6206" t="str">
            <v>YZ-CL912</v>
          </cell>
        </row>
        <row r="6207">
          <cell r="A6207" t="str">
            <v>YZ-CL912-BS-L</v>
          </cell>
          <cell r="B6207" t="str">
            <v>YZ-CL912</v>
          </cell>
        </row>
        <row r="6208">
          <cell r="A6208" t="str">
            <v>YZ-CL912-BS-M</v>
          </cell>
          <cell r="B6208" t="str">
            <v>YZ-CL912</v>
          </cell>
        </row>
        <row r="6209">
          <cell r="A6209" t="str">
            <v>YZ-CL912-FB-L</v>
          </cell>
          <cell r="B6209" t="str">
            <v>YZ-CL912</v>
          </cell>
        </row>
        <row r="6210">
          <cell r="A6210" t="str">
            <v>YZ-CL912-FB-M</v>
          </cell>
          <cell r="B6210" t="str">
            <v>YZ-CL912</v>
          </cell>
        </row>
        <row r="6211">
          <cell r="A6211" t="str">
            <v>YZ-CL912-FB-S</v>
          </cell>
          <cell r="B6211" t="str">
            <v>YZ-CL912</v>
          </cell>
        </row>
        <row r="6212">
          <cell r="A6212" t="str">
            <v>YZ-CL912-FB-XL</v>
          </cell>
          <cell r="B6212" t="str">
            <v>YZ-CL912</v>
          </cell>
        </row>
        <row r="6213">
          <cell r="A6213" t="str">
            <v>YZ-CL912-K0-L</v>
          </cell>
          <cell r="B6213" t="str">
            <v>YZ-CL912</v>
          </cell>
        </row>
        <row r="6214">
          <cell r="A6214" t="str">
            <v>YZ-CL912-K0-M</v>
          </cell>
          <cell r="B6214" t="str">
            <v>YZ-CL912</v>
          </cell>
        </row>
        <row r="6215">
          <cell r="A6215" t="str">
            <v>YZ-CL912-K0-S</v>
          </cell>
          <cell r="B6215" t="str">
            <v>YZ-CL912</v>
          </cell>
        </row>
        <row r="6216">
          <cell r="A6216" t="str">
            <v>YZ-CL912-K0-XL</v>
          </cell>
          <cell r="B6216" t="str">
            <v>YZ-CL912</v>
          </cell>
        </row>
        <row r="6217">
          <cell r="A6217" t="str">
            <v>YZ-CL912-R6-M</v>
          </cell>
          <cell r="B6217" t="str">
            <v>YZ-CL912</v>
          </cell>
        </row>
        <row r="6218">
          <cell r="A6218" t="str">
            <v>YZ-CL912-W0-L</v>
          </cell>
          <cell r="B6218" t="str">
            <v>YZ-CL912</v>
          </cell>
        </row>
        <row r="6219">
          <cell r="A6219" t="str">
            <v>YZ-CL912-W0-M</v>
          </cell>
          <cell r="B6219" t="str">
            <v>YZ-CL912</v>
          </cell>
        </row>
        <row r="6220">
          <cell r="A6220" t="str">
            <v>YZ-CLD072-K0-3XL</v>
          </cell>
          <cell r="B6220" t="str">
            <v>YZ-CLD072</v>
          </cell>
        </row>
        <row r="6221">
          <cell r="A6221" t="str">
            <v>YZ-CLD072-K0-L</v>
          </cell>
          <cell r="B6221" t="str">
            <v>YZ-CLD072</v>
          </cell>
        </row>
        <row r="6222">
          <cell r="A6222" t="str">
            <v>YZ-CLD072-K0-M</v>
          </cell>
          <cell r="B6222" t="str">
            <v>YZ-CLD072</v>
          </cell>
        </row>
        <row r="6223">
          <cell r="A6223" t="str">
            <v>YZ-CLD072-K0-S</v>
          </cell>
          <cell r="B6223" t="str">
            <v>YZ-CLD072</v>
          </cell>
        </row>
        <row r="6224">
          <cell r="A6224" t="str">
            <v>YZ-CLD072-K0-XL</v>
          </cell>
          <cell r="B6224" t="str">
            <v>YZ-CLD072</v>
          </cell>
        </row>
        <row r="6225">
          <cell r="A6225" t="str">
            <v>YZ-CLD072-K0-XXL</v>
          </cell>
          <cell r="B6225" t="str">
            <v>YZ-CLD072</v>
          </cell>
        </row>
        <row r="6226">
          <cell r="A6226" t="str">
            <v>YZ-CLD072-MU-M</v>
          </cell>
          <cell r="B6226" t="str">
            <v>YZ-CLD072</v>
          </cell>
        </row>
        <row r="6227">
          <cell r="A6227" t="str">
            <v>YZ-CLD072-MU-S</v>
          </cell>
          <cell r="B6227" t="str">
            <v>YZ-CLD072</v>
          </cell>
        </row>
        <row r="6228">
          <cell r="A6228" t="str">
            <v>YZ-CLD072-W0-L</v>
          </cell>
          <cell r="B6228" t="str">
            <v>YZ-CLD072</v>
          </cell>
        </row>
        <row r="6229">
          <cell r="A6229" t="str">
            <v>YZ-CLD072-W0-M</v>
          </cell>
          <cell r="B6229" t="str">
            <v>YZ-CLD072</v>
          </cell>
        </row>
        <row r="6230">
          <cell r="A6230" t="str">
            <v>YZ-CLFZ1766-R0-L</v>
          </cell>
          <cell r="B6230" t="str">
            <v>YZ-CLFZ1766</v>
          </cell>
        </row>
        <row r="6231">
          <cell r="A6231" t="str">
            <v>YZ-CLFZ1766-R0-M</v>
          </cell>
          <cell r="B6231" t="str">
            <v>YZ-CLFZ1766</v>
          </cell>
        </row>
        <row r="6232">
          <cell r="A6232" t="str">
            <v>YZ-CLFZ1766-R0-S</v>
          </cell>
          <cell r="B6232" t="str">
            <v>YZ-CLFZ1766</v>
          </cell>
        </row>
        <row r="6233">
          <cell r="A6233" t="str">
            <v>YZ-CLFZ1766-R0-XL</v>
          </cell>
          <cell r="B6233" t="str">
            <v>YZ-CLFZ1766</v>
          </cell>
        </row>
        <row r="6234">
          <cell r="A6234" t="str">
            <v>YZ-CLNK78-B6-L</v>
          </cell>
          <cell r="B6234" t="str">
            <v>YZ-CLNK78</v>
          </cell>
        </row>
        <row r="6235">
          <cell r="A6235" t="str">
            <v>YZ-CLNK78-B6-M</v>
          </cell>
          <cell r="B6235" t="str">
            <v>YZ-CLNK78</v>
          </cell>
        </row>
        <row r="6236">
          <cell r="A6236" t="str">
            <v>YZ-CLNK78-BD-M</v>
          </cell>
          <cell r="B6236" t="str">
            <v>YZ-CLNK78</v>
          </cell>
        </row>
        <row r="6237">
          <cell r="A6237" t="str">
            <v>YZ-CLNK78-K0-M</v>
          </cell>
          <cell r="B6237" t="str">
            <v>YZ-CLNK78</v>
          </cell>
        </row>
        <row r="6238">
          <cell r="A6238" t="str">
            <v>YZ-CLNK78-W0-L</v>
          </cell>
          <cell r="B6238" t="str">
            <v>YZ-CLNK78</v>
          </cell>
        </row>
        <row r="6239">
          <cell r="A6239" t="str">
            <v>YZ-CLNK78-W0-M</v>
          </cell>
          <cell r="B6239" t="str">
            <v>YZ-CLNK78</v>
          </cell>
        </row>
        <row r="6240">
          <cell r="A6240" t="str">
            <v>YZ-DB1443Gr2XL</v>
          </cell>
          <cell r="B6240" t="str">
            <v>YZ-BX1443</v>
          </cell>
        </row>
        <row r="6241">
          <cell r="A6241" t="str">
            <v>YZ-DB1443Gr3XL</v>
          </cell>
          <cell r="B6241" t="str">
            <v>YZ-BX1443</v>
          </cell>
        </row>
        <row r="6242">
          <cell r="A6242" t="str">
            <v>YZ-DB1443GrL</v>
          </cell>
          <cell r="B6242" t="str">
            <v>YZ-BX1443</v>
          </cell>
        </row>
        <row r="6243">
          <cell r="A6243" t="str">
            <v>YZ-DB1443GrM</v>
          </cell>
          <cell r="B6243" t="str">
            <v>YZ-BX1443</v>
          </cell>
        </row>
        <row r="6244">
          <cell r="A6244" t="str">
            <v>YZ-DB1443GrXL</v>
          </cell>
          <cell r="B6244" t="str">
            <v>YZ-BX1443</v>
          </cell>
        </row>
        <row r="6245">
          <cell r="A6245" t="str">
            <v>YZ-FQ008G11L</v>
          </cell>
          <cell r="B6245" t="str">
            <v>YZ-FQ008</v>
          </cell>
        </row>
        <row r="6246">
          <cell r="A6246" t="str">
            <v>YZ-FQ008G12L</v>
          </cell>
          <cell r="B6246" t="str">
            <v>YZ-FQ008</v>
          </cell>
        </row>
        <row r="6247">
          <cell r="A6247" t="str">
            <v>YZ-FQ008G13L</v>
          </cell>
          <cell r="B6247" t="str">
            <v>YZ-FQ008</v>
          </cell>
        </row>
        <row r="6248">
          <cell r="A6248" t="str">
            <v>YZ-FQ008G1L</v>
          </cell>
          <cell r="B6248" t="str">
            <v>YZ-FQ008</v>
          </cell>
        </row>
        <row r="6249">
          <cell r="A6249" t="str">
            <v>YZ-FQ008G1M</v>
          </cell>
          <cell r="B6249" t="str">
            <v>YZ-FQ008</v>
          </cell>
        </row>
        <row r="6250">
          <cell r="A6250" t="str">
            <v>YZ-FQ008K01L</v>
          </cell>
          <cell r="B6250" t="str">
            <v>YZ-FQ008</v>
          </cell>
        </row>
        <row r="6251">
          <cell r="A6251" t="str">
            <v>YZ-FQ008K02L</v>
          </cell>
          <cell r="B6251" t="str">
            <v>YZ-FQ008</v>
          </cell>
        </row>
        <row r="6252">
          <cell r="A6252" t="str">
            <v>YZ-FQ008K03L</v>
          </cell>
          <cell r="B6252" t="str">
            <v>YZ-FQ008</v>
          </cell>
        </row>
        <row r="6253">
          <cell r="A6253" t="str">
            <v>YZ-FQ008K0M</v>
          </cell>
          <cell r="B6253" t="str">
            <v>YZ-FQ008</v>
          </cell>
        </row>
        <row r="6254">
          <cell r="A6254" t="str">
            <v>YZ-FQ008R22L</v>
          </cell>
          <cell r="B6254" t="str">
            <v>YZ-FQ008</v>
          </cell>
        </row>
        <row r="6255">
          <cell r="A6255" t="str">
            <v>YZ-FQ008R23L</v>
          </cell>
          <cell r="B6255" t="str">
            <v>YZ-FQ008</v>
          </cell>
        </row>
        <row r="6256">
          <cell r="A6256" t="str">
            <v>YZ-HE13037EZ1L</v>
          </cell>
          <cell r="B6256" t="str">
            <v>YZ-HE13037</v>
          </cell>
        </row>
        <row r="6257">
          <cell r="A6257" t="str">
            <v>YZ-HE13037EZ1L-MX</v>
          </cell>
          <cell r="B6257" t="str">
            <v>YZ-HE13037</v>
          </cell>
        </row>
        <row r="6258">
          <cell r="A6258" t="str">
            <v>YZ-HE13037EZ2L</v>
          </cell>
          <cell r="B6258" t="str">
            <v>YZ-HE13037</v>
          </cell>
        </row>
        <row r="6259">
          <cell r="A6259" t="str">
            <v>YZ-HE13037EZ3L</v>
          </cell>
          <cell r="B6259" t="str">
            <v>YZ-HE13037</v>
          </cell>
        </row>
        <row r="6260">
          <cell r="A6260" t="str">
            <v>YZ-HE13037EZ4L</v>
          </cell>
          <cell r="B6260" t="str">
            <v>YZ-HE13037</v>
          </cell>
        </row>
        <row r="6261">
          <cell r="A6261" t="str">
            <v>YZ-HE13037EZ5L</v>
          </cell>
          <cell r="B6261" t="str">
            <v>YZ-HE13037</v>
          </cell>
        </row>
        <row r="6262">
          <cell r="A6262" t="str">
            <v>YZ-HE13037EZ6L</v>
          </cell>
          <cell r="B6262" t="str">
            <v>YZ-HE13037</v>
          </cell>
        </row>
        <row r="6263">
          <cell r="A6263" t="str">
            <v>YZ-HE13037EZ6L-GM</v>
          </cell>
          <cell r="B6263" t="str">
            <v>YZ-HE13037</v>
          </cell>
        </row>
        <row r="6264">
          <cell r="A6264" t="str">
            <v>YZ-HE13037EZ7L</v>
          </cell>
          <cell r="B6264" t="str">
            <v>YZ-HE13037</v>
          </cell>
        </row>
        <row r="6265">
          <cell r="A6265" t="str">
            <v>YZ-HE13037EZ8L</v>
          </cell>
          <cell r="B6265" t="str">
            <v>YZ-HE13037</v>
          </cell>
        </row>
        <row r="6266">
          <cell r="A6266" t="str">
            <v>YZ-HE13037EZ8L-GM</v>
          </cell>
          <cell r="B6266" t="str">
            <v>YZ-HE13037</v>
          </cell>
        </row>
        <row r="6267">
          <cell r="A6267" t="str">
            <v>YZ-HE13037EZ9L</v>
          </cell>
          <cell r="B6267" t="str">
            <v>YZ-HE13037</v>
          </cell>
        </row>
        <row r="6268">
          <cell r="A6268" t="str">
            <v>YZ-HE13037Or1L</v>
          </cell>
          <cell r="B6268" t="str">
            <v>YZ-HE13037</v>
          </cell>
        </row>
        <row r="6269">
          <cell r="A6269" t="str">
            <v>YZ-HE13037Or1L-MX</v>
          </cell>
          <cell r="B6269" t="str">
            <v>YZ-HE13037</v>
          </cell>
        </row>
        <row r="6270">
          <cell r="A6270" t="str">
            <v>YZ-HE13037Or2L</v>
          </cell>
          <cell r="B6270" t="str">
            <v>YZ-HE13037</v>
          </cell>
        </row>
        <row r="6271">
          <cell r="A6271" t="str">
            <v>YZ-HE13037Or3L</v>
          </cell>
          <cell r="B6271" t="str">
            <v>YZ-HE13037</v>
          </cell>
        </row>
        <row r="6272">
          <cell r="A6272" t="str">
            <v>YZ-HE13037Or4L</v>
          </cell>
          <cell r="B6272" t="str">
            <v>YZ-HE13037</v>
          </cell>
        </row>
        <row r="6273">
          <cell r="A6273" t="str">
            <v>YZ-HE13037Or5L</v>
          </cell>
          <cell r="B6273" t="str">
            <v>YZ-HE13037</v>
          </cell>
        </row>
        <row r="6274">
          <cell r="A6274" t="str">
            <v>YZ-HE13037Or6L</v>
          </cell>
          <cell r="B6274" t="str">
            <v>YZ-HE13037</v>
          </cell>
        </row>
        <row r="6275">
          <cell r="A6275" t="str">
            <v>YZ-HE13037Or7L</v>
          </cell>
          <cell r="B6275" t="str">
            <v>YZ-HE13037</v>
          </cell>
        </row>
        <row r="6276">
          <cell r="A6276" t="str">
            <v>YZ-HE13037Or7L-MX</v>
          </cell>
          <cell r="B6276" t="str">
            <v>YZ-HE13037</v>
          </cell>
        </row>
        <row r="6277">
          <cell r="A6277" t="str">
            <v>YZ-HE13037Or8L</v>
          </cell>
          <cell r="B6277" t="str">
            <v>YZ-HE13037</v>
          </cell>
        </row>
        <row r="6278">
          <cell r="A6278" t="str">
            <v>YZ-HE13037Or8L-MX</v>
          </cell>
          <cell r="B6278" t="str">
            <v>YZ-HE13037</v>
          </cell>
        </row>
        <row r="6279">
          <cell r="A6279" t="str">
            <v>YZ-HE13037Or9L</v>
          </cell>
          <cell r="B6279" t="str">
            <v>YZ-HE13037</v>
          </cell>
        </row>
        <row r="6280">
          <cell r="A6280" t="str">
            <v>YZ-HE13037Pu1L</v>
          </cell>
          <cell r="B6280" t="str">
            <v>YZ-HE13037</v>
          </cell>
        </row>
        <row r="6281">
          <cell r="A6281" t="str">
            <v>YZ-HE13037Pu1L-MX</v>
          </cell>
          <cell r="B6281" t="str">
            <v>YZ-HE13037</v>
          </cell>
        </row>
        <row r="6282">
          <cell r="A6282" t="str">
            <v>YZ-HE13037Pu2L</v>
          </cell>
          <cell r="B6282" t="str">
            <v>YZ-HE13037</v>
          </cell>
        </row>
        <row r="6283">
          <cell r="A6283" t="str">
            <v>YZ-HE13037Pu3L</v>
          </cell>
          <cell r="B6283" t="str">
            <v>YZ-HE13037</v>
          </cell>
        </row>
        <row r="6284">
          <cell r="A6284" t="str">
            <v>YZ-HE13037Pu4L</v>
          </cell>
          <cell r="B6284" t="str">
            <v>YZ-HE13037</v>
          </cell>
        </row>
        <row r="6285">
          <cell r="A6285" t="str">
            <v>YZ-HE13037Pu4L-MX</v>
          </cell>
          <cell r="B6285" t="str">
            <v>YZ-HE13037</v>
          </cell>
        </row>
        <row r="6286">
          <cell r="A6286" t="str">
            <v>YZ-HE13037Pu5L</v>
          </cell>
          <cell r="B6286" t="str">
            <v>YZ-HE13037</v>
          </cell>
        </row>
        <row r="6287">
          <cell r="A6287" t="str">
            <v>YZ-HE13037Pu6L</v>
          </cell>
          <cell r="B6287" t="str">
            <v>YZ-HE13037</v>
          </cell>
        </row>
        <row r="6288">
          <cell r="A6288" t="str">
            <v>YZ-HE13037Pu7L</v>
          </cell>
          <cell r="B6288" t="str">
            <v>YZ-HE13037</v>
          </cell>
        </row>
        <row r="6289">
          <cell r="A6289" t="str">
            <v>YZ-HE13037Pu8L</v>
          </cell>
          <cell r="B6289" t="str">
            <v>YZ-HE13037</v>
          </cell>
        </row>
        <row r="6290">
          <cell r="A6290" t="str">
            <v>YZ-HE13037Pu9L</v>
          </cell>
          <cell r="B6290" t="str">
            <v>YZ-HE13037</v>
          </cell>
        </row>
        <row r="6291">
          <cell r="A6291" t="str">
            <v>YZ-HE13037Wi1L</v>
          </cell>
          <cell r="B6291" t="str">
            <v>YZ-HE13037</v>
          </cell>
        </row>
        <row r="6292">
          <cell r="A6292" t="str">
            <v>YZ-HE13037Wi1L-MX</v>
          </cell>
          <cell r="B6292" t="str">
            <v>YZ-HE13037</v>
          </cell>
        </row>
        <row r="6293">
          <cell r="A6293" t="str">
            <v>YZ-HE13037Wi2L</v>
          </cell>
          <cell r="B6293" t="str">
            <v>YZ-HE13037</v>
          </cell>
        </row>
        <row r="6294">
          <cell r="A6294" t="str">
            <v>YZ-HE13037Wi2L-MX</v>
          </cell>
          <cell r="B6294" t="str">
            <v>YZ-HE13037</v>
          </cell>
        </row>
        <row r="6295">
          <cell r="A6295" t="str">
            <v>YZ-HE13037Wi3L</v>
          </cell>
          <cell r="B6295" t="str">
            <v>YZ-HE13037</v>
          </cell>
        </row>
        <row r="6296">
          <cell r="A6296" t="str">
            <v>YZ-HE13037Wi4L</v>
          </cell>
          <cell r="B6296" t="str">
            <v>YZ-HE13037</v>
          </cell>
        </row>
        <row r="6297">
          <cell r="A6297" t="str">
            <v>YZ-HE13037Wi5L</v>
          </cell>
          <cell r="B6297" t="str">
            <v>YZ-HE13037</v>
          </cell>
        </row>
        <row r="6298">
          <cell r="A6298" t="str">
            <v>YZ-HE13037Wi6L</v>
          </cell>
          <cell r="B6298" t="str">
            <v>YZ-HE13037</v>
          </cell>
        </row>
        <row r="6299">
          <cell r="A6299" t="str">
            <v>YZ-HE13037Wi7L</v>
          </cell>
          <cell r="B6299" t="str">
            <v>YZ-HE13037</v>
          </cell>
        </row>
        <row r="6300">
          <cell r="A6300" t="str">
            <v>YZ-HE13037Wi7L-MX</v>
          </cell>
          <cell r="B6300" t="str">
            <v>YZ-HE13037</v>
          </cell>
        </row>
        <row r="6301">
          <cell r="A6301" t="str">
            <v>YZ-HE13037Wi8L</v>
          </cell>
          <cell r="B6301" t="str">
            <v>YZ-HE13037</v>
          </cell>
        </row>
        <row r="6302">
          <cell r="A6302" t="str">
            <v>YZ-HE13037Wi8L-MX</v>
          </cell>
          <cell r="B6302" t="str">
            <v>YZ-HE13037</v>
          </cell>
        </row>
        <row r="6303">
          <cell r="A6303" t="str">
            <v>YZ-HE13037Wi9L</v>
          </cell>
          <cell r="B6303" t="str">
            <v>YZ-HE13037</v>
          </cell>
        </row>
        <row r="6304">
          <cell r="A6304" t="str">
            <v>YZ-HE9007</v>
          </cell>
          <cell r="B6304" t="str">
            <v>YZ-HE9007</v>
          </cell>
        </row>
        <row r="6305">
          <cell r="A6305" t="str">
            <v>YZ-HE9007Sa1L</v>
          </cell>
          <cell r="B6305" t="str">
            <v>YZ-HE9007</v>
          </cell>
        </row>
        <row r="6306">
          <cell r="A6306" t="str">
            <v>YZ-HE9007Sa2L</v>
          </cell>
          <cell r="B6306" t="str">
            <v>YZ-HE9007</v>
          </cell>
        </row>
        <row r="6307">
          <cell r="A6307" t="str">
            <v>YZ-HE9007Sa3L</v>
          </cell>
          <cell r="B6307" t="str">
            <v>YZ-HE9007</v>
          </cell>
        </row>
        <row r="6308">
          <cell r="A6308" t="str">
            <v>YZ-HE9007Sa4L</v>
          </cell>
          <cell r="B6308" t="str">
            <v>YZ-HE9007</v>
          </cell>
        </row>
        <row r="6309">
          <cell r="A6309" t="str">
            <v>YZ-HE9007Sa5L</v>
          </cell>
          <cell r="B6309" t="str">
            <v>YZ-HE9007</v>
          </cell>
        </row>
        <row r="6310">
          <cell r="A6310" t="str">
            <v>YZ-HE9007Sa6L</v>
          </cell>
          <cell r="B6310" t="str">
            <v>YZ-HE9007</v>
          </cell>
        </row>
        <row r="6311">
          <cell r="A6311" t="str">
            <v>YZ-HE9007Sa7L</v>
          </cell>
          <cell r="B6311" t="str">
            <v>YZ-HE9007</v>
          </cell>
        </row>
        <row r="6312">
          <cell r="A6312" t="str">
            <v>YZ-HE9007Sa8L</v>
          </cell>
          <cell r="B6312" t="str">
            <v>YZ-HE9007</v>
          </cell>
        </row>
        <row r="6313">
          <cell r="A6313" t="str">
            <v>YZ-HE9007Sa9L</v>
          </cell>
          <cell r="B6313" t="str">
            <v>YZ-HE9007</v>
          </cell>
        </row>
        <row r="6314">
          <cell r="A6314" t="str">
            <v>YZ-HE9007Se1L</v>
          </cell>
          <cell r="B6314" t="str">
            <v>YZ-HE9007</v>
          </cell>
        </row>
        <row r="6315">
          <cell r="A6315" t="str">
            <v>YZ-HE9007Se2L</v>
          </cell>
          <cell r="B6315" t="str">
            <v>YZ-HE9007</v>
          </cell>
        </row>
        <row r="6316">
          <cell r="A6316" t="str">
            <v>YZ-HE9007Se3L</v>
          </cell>
          <cell r="B6316" t="str">
            <v>YZ-HE9007</v>
          </cell>
        </row>
        <row r="6317">
          <cell r="A6317" t="str">
            <v>YZ-HE9007Se4L</v>
          </cell>
          <cell r="B6317" t="str">
            <v>YZ-HE9007</v>
          </cell>
        </row>
        <row r="6318">
          <cell r="A6318" t="str">
            <v>YZ-HE9007Se5L</v>
          </cell>
          <cell r="B6318" t="str">
            <v>YZ-HE9007</v>
          </cell>
        </row>
        <row r="6319">
          <cell r="A6319" t="str">
            <v>YZ-HE9007Se6L</v>
          </cell>
          <cell r="B6319" t="str">
            <v>YZ-HE9007</v>
          </cell>
        </row>
        <row r="6320">
          <cell r="A6320" t="str">
            <v>YZ-HE9007Se7L</v>
          </cell>
          <cell r="B6320" t="str">
            <v>YZ-HE9007</v>
          </cell>
        </row>
        <row r="6321">
          <cell r="A6321" t="str">
            <v>YZ-HE9007Se8L</v>
          </cell>
          <cell r="B6321" t="str">
            <v>YZ-HE9007</v>
          </cell>
        </row>
        <row r="6322">
          <cell r="A6322" t="str">
            <v>YZ-HE9007Se9L</v>
          </cell>
          <cell r="B6322" t="str">
            <v>YZ-HE9007</v>
          </cell>
        </row>
        <row r="6323">
          <cell r="A6323" t="str">
            <v>YZ-HE9008Sa1L</v>
          </cell>
          <cell r="B6323" t="str">
            <v>YZ-HE9007</v>
          </cell>
        </row>
        <row r="6324">
          <cell r="A6324" t="str">
            <v>YZ-HE9008Sa2L</v>
          </cell>
          <cell r="B6324" t="str">
            <v>YZ-HE9007</v>
          </cell>
        </row>
        <row r="6325">
          <cell r="A6325" t="str">
            <v>YZ-HE9008Sa3L</v>
          </cell>
          <cell r="B6325" t="str">
            <v>YZ-HE9007</v>
          </cell>
        </row>
        <row r="6326">
          <cell r="A6326" t="str">
            <v>YZ-HE9008Sa4L</v>
          </cell>
          <cell r="B6326" t="str">
            <v>YZ-HE9007</v>
          </cell>
        </row>
        <row r="6327">
          <cell r="A6327" t="str">
            <v>YZ-HE9008Sa4L-GM</v>
          </cell>
          <cell r="B6327" t="str">
            <v>YZ-HE9007</v>
          </cell>
        </row>
        <row r="6328">
          <cell r="A6328" t="str">
            <v>YZ-HE9008Sa5L</v>
          </cell>
          <cell r="B6328" t="str">
            <v>YZ-HE9007</v>
          </cell>
        </row>
        <row r="6329">
          <cell r="A6329" t="str">
            <v>YZ-HE9008Sa6L</v>
          </cell>
          <cell r="B6329" t="str">
            <v>YZ-HE9007</v>
          </cell>
        </row>
        <row r="6330">
          <cell r="A6330" t="str">
            <v>YZ-HE9008Sa7L</v>
          </cell>
          <cell r="B6330" t="str">
            <v>YZ-HE9007</v>
          </cell>
        </row>
        <row r="6331">
          <cell r="A6331" t="str">
            <v>YZ-HE9008Sa8L</v>
          </cell>
          <cell r="B6331" t="str">
            <v>YZ-HE9007</v>
          </cell>
        </row>
        <row r="6332">
          <cell r="A6332" t="str">
            <v>YZ-HE9008Sa9L</v>
          </cell>
          <cell r="B6332" t="str">
            <v>YZ-HE9007</v>
          </cell>
        </row>
        <row r="6333">
          <cell r="A6333" t="str">
            <v>YZ-HE9008Se1L</v>
          </cell>
          <cell r="B6333" t="str">
            <v>YZ-HE9007</v>
          </cell>
        </row>
        <row r="6334">
          <cell r="A6334" t="str">
            <v>YZ-HE9008Se2L</v>
          </cell>
          <cell r="B6334" t="str">
            <v>YZ-HE9007</v>
          </cell>
        </row>
        <row r="6335">
          <cell r="A6335" t="str">
            <v>YZ-HE9008Se3L</v>
          </cell>
          <cell r="B6335" t="str">
            <v>YZ-HE9007</v>
          </cell>
        </row>
        <row r="6336">
          <cell r="A6336" t="str">
            <v>YZ-HE9008Se4L</v>
          </cell>
          <cell r="B6336" t="str">
            <v>YZ-HE9007</v>
          </cell>
        </row>
        <row r="6337">
          <cell r="A6337" t="str">
            <v>YZ-HE9008Se5L</v>
          </cell>
          <cell r="B6337" t="str">
            <v>YZ-HE9007</v>
          </cell>
        </row>
        <row r="6338">
          <cell r="A6338" t="str">
            <v>YZ-HE9008Se6L</v>
          </cell>
          <cell r="B6338" t="str">
            <v>YZ-HE9007</v>
          </cell>
        </row>
        <row r="6339">
          <cell r="A6339" t="str">
            <v>YZ-HE9008Se7L</v>
          </cell>
          <cell r="B6339" t="str">
            <v>YZ-HE9007</v>
          </cell>
        </row>
        <row r="6340">
          <cell r="A6340" t="str">
            <v>YZ-HE9008Se8L</v>
          </cell>
          <cell r="B6340" t="str">
            <v>YZ-HE9007</v>
          </cell>
        </row>
        <row r="6341">
          <cell r="A6341" t="str">
            <v>YZ-HE9008Se9L</v>
          </cell>
          <cell r="B6341" t="str">
            <v>YZ-HE9007</v>
          </cell>
        </row>
        <row r="6342">
          <cell r="A6342" t="str">
            <v>YZ-HM0007</v>
          </cell>
          <cell r="B6342" t="str">
            <v>YZ-HM0007</v>
          </cell>
        </row>
        <row r="6343">
          <cell r="A6343" t="str">
            <v>YZ-HM0007-B0-2XL</v>
          </cell>
          <cell r="B6343" t="str">
            <v>YZ-HM0007</v>
          </cell>
        </row>
        <row r="6344">
          <cell r="A6344" t="str">
            <v>YZ-HM0007-B0-3XL</v>
          </cell>
          <cell r="B6344" t="str">
            <v>YZ-HM0007</v>
          </cell>
        </row>
        <row r="6345">
          <cell r="A6345" t="str">
            <v>YZ-HM0007-B0-L</v>
          </cell>
          <cell r="B6345" t="str">
            <v>YZ-HM0007</v>
          </cell>
        </row>
        <row r="6346">
          <cell r="A6346" t="str">
            <v>YZ-HM0007-B0-XL</v>
          </cell>
          <cell r="B6346" t="str">
            <v>YZ-HM0007</v>
          </cell>
        </row>
        <row r="6347">
          <cell r="A6347" t="str">
            <v>YZ-HM0007-K0-2XL</v>
          </cell>
          <cell r="B6347" t="str">
            <v>YZ-HM0007</v>
          </cell>
        </row>
        <row r="6348">
          <cell r="A6348" t="str">
            <v>YZ-HM0007-K0-3XL</v>
          </cell>
          <cell r="B6348" t="str">
            <v>YZ-HM0007</v>
          </cell>
        </row>
        <row r="6349">
          <cell r="A6349" t="str">
            <v>YZ-HM0007-K0-L</v>
          </cell>
          <cell r="B6349" t="str">
            <v>YZ-HM0007</v>
          </cell>
        </row>
        <row r="6350">
          <cell r="A6350" t="str">
            <v>YZ-HM0007-K0-XL</v>
          </cell>
          <cell r="B6350" t="str">
            <v>YZ-HM0007</v>
          </cell>
        </row>
        <row r="6351">
          <cell r="A6351" t="str">
            <v>YZ-HM0007-R0-2XL</v>
          </cell>
          <cell r="B6351" t="str">
            <v>YZ-HM0007</v>
          </cell>
        </row>
        <row r="6352">
          <cell r="A6352" t="str">
            <v>YZ-HM0007-R0-3XL</v>
          </cell>
          <cell r="B6352" t="str">
            <v>YZ-HM0007</v>
          </cell>
        </row>
        <row r="6353">
          <cell r="A6353" t="str">
            <v>YZ-HM0007-R0-L</v>
          </cell>
          <cell r="B6353" t="str">
            <v>YZ-HM0007</v>
          </cell>
        </row>
        <row r="6354">
          <cell r="A6354" t="str">
            <v>YZ-HM0007-R0-XL</v>
          </cell>
          <cell r="B6354" t="str">
            <v>YZ-HM0007</v>
          </cell>
        </row>
        <row r="6355">
          <cell r="A6355" t="str">
            <v>YZ-HM0034-TW-L</v>
          </cell>
          <cell r="B6355" t="str">
            <v>YZ-HM0034</v>
          </cell>
        </row>
        <row r="6356">
          <cell r="A6356" t="str">
            <v>YZ-HM0034-TW-M</v>
          </cell>
          <cell r="B6356" t="str">
            <v>YZ-HM0034</v>
          </cell>
        </row>
        <row r="6357">
          <cell r="A6357" t="str">
            <v>YZ-HM0034-TW-S</v>
          </cell>
          <cell r="B6357" t="str">
            <v>YZ-HM0034</v>
          </cell>
        </row>
        <row r="6358">
          <cell r="A6358" t="str">
            <v>YZ-HM0034-TW-XL</v>
          </cell>
          <cell r="B6358" t="str">
            <v>YZ-HM0034</v>
          </cell>
        </row>
        <row r="6359">
          <cell r="A6359" t="str">
            <v>YZ-HM0047-P0-S</v>
          </cell>
          <cell r="B6359" t="str">
            <v>YZ-HM0047</v>
          </cell>
        </row>
        <row r="6360">
          <cell r="A6360" t="str">
            <v>YZ-HM0052-B0-L</v>
          </cell>
          <cell r="B6360" t="str">
            <v>YZ-HM0052</v>
          </cell>
        </row>
        <row r="6361">
          <cell r="A6361" t="str">
            <v>YZ-HM0052-B0-M</v>
          </cell>
          <cell r="B6361" t="str">
            <v>YZ-HM0052</v>
          </cell>
        </row>
        <row r="6362">
          <cell r="A6362" t="str">
            <v>YZ-HM0052-B0-S</v>
          </cell>
          <cell r="B6362" t="str">
            <v>YZ-HM0052</v>
          </cell>
        </row>
        <row r="6363">
          <cell r="A6363" t="str">
            <v>YZ-HM0052-B0-XL</v>
          </cell>
          <cell r="B6363" t="str">
            <v>YZ-HM0052</v>
          </cell>
        </row>
        <row r="6364">
          <cell r="A6364" t="str">
            <v>YZ-HM007-B0-2XL</v>
          </cell>
          <cell r="B6364" t="str">
            <v>YZ-HM0007</v>
          </cell>
        </row>
        <row r="6365">
          <cell r="A6365" t="str">
            <v>YZ-HM015-K0-4</v>
          </cell>
          <cell r="B6365" t="str">
            <v>YZ-HM015</v>
          </cell>
        </row>
        <row r="6366">
          <cell r="A6366" t="str">
            <v>YZ-HM0182-W0-L</v>
          </cell>
          <cell r="B6366" t="str">
            <v>YZ-HM0182</v>
          </cell>
        </row>
        <row r="6367">
          <cell r="A6367" t="str">
            <v>YZ-HM0182-W0-M</v>
          </cell>
          <cell r="B6367" t="str">
            <v>YZ-HM0182</v>
          </cell>
        </row>
        <row r="6368">
          <cell r="A6368" t="str">
            <v>YZ-HM0182-W0-S</v>
          </cell>
          <cell r="B6368" t="str">
            <v>YZ-HM0182</v>
          </cell>
        </row>
        <row r="6369">
          <cell r="A6369" t="str">
            <v>YZ-HM0182-W0-XL</v>
          </cell>
          <cell r="B6369" t="str">
            <v>YZ-HM0182</v>
          </cell>
        </row>
        <row r="6370">
          <cell r="A6370" t="str">
            <v>YZ-HM0182-W0-XXL</v>
          </cell>
          <cell r="B6370" t="str">
            <v>YZ-HM0182</v>
          </cell>
        </row>
        <row r="6371">
          <cell r="A6371" t="str">
            <v>YZ-HM0669-W0-L</v>
          </cell>
          <cell r="B6371" t="str">
            <v>YZ-HM0669</v>
          </cell>
        </row>
        <row r="6372">
          <cell r="A6372" t="str">
            <v>YZ-HM0669-W0-M</v>
          </cell>
          <cell r="B6372" t="str">
            <v>YZ-HM0669</v>
          </cell>
        </row>
        <row r="6373">
          <cell r="A6373" t="str">
            <v>YZ-HM0669-W0-S</v>
          </cell>
          <cell r="B6373" t="str">
            <v>YZ-HM0669</v>
          </cell>
        </row>
        <row r="6374">
          <cell r="A6374" t="str">
            <v>YZ-HM0669-W0-XL</v>
          </cell>
          <cell r="B6374" t="str">
            <v>YZ-HM0669</v>
          </cell>
        </row>
        <row r="6375">
          <cell r="A6375" t="str">
            <v>YZ-HM111-B0-L</v>
          </cell>
          <cell r="B6375" t="str">
            <v>YZ-HM111</v>
          </cell>
        </row>
        <row r="6376">
          <cell r="A6376" t="str">
            <v>YZ-HM111-B0-M</v>
          </cell>
          <cell r="B6376" t="str">
            <v>YZ-HM111</v>
          </cell>
        </row>
        <row r="6377">
          <cell r="A6377" t="str">
            <v>YZ-HM111-B0-S</v>
          </cell>
          <cell r="B6377" t="str">
            <v>YZ-HM111</v>
          </cell>
        </row>
        <row r="6378">
          <cell r="A6378" t="str">
            <v>YZ-HM111-B0-XL</v>
          </cell>
          <cell r="B6378" t="str">
            <v>YZ-HM111</v>
          </cell>
        </row>
        <row r="6379">
          <cell r="A6379" t="str">
            <v>YZ-HM111-K0-L</v>
          </cell>
          <cell r="B6379" t="str">
            <v>YZ-HM111</v>
          </cell>
        </row>
        <row r="6380">
          <cell r="A6380" t="str">
            <v>YZ-HM111-K0-M</v>
          </cell>
          <cell r="B6380" t="str">
            <v>YZ-HM111</v>
          </cell>
        </row>
        <row r="6381">
          <cell r="A6381" t="str">
            <v>YZ-HM111-K0-S</v>
          </cell>
          <cell r="B6381" t="str">
            <v>YZ-HM111</v>
          </cell>
        </row>
        <row r="6382">
          <cell r="A6382" t="str">
            <v>YZ-HM111-K0-S-GM</v>
          </cell>
          <cell r="B6382" t="str">
            <v>YZ-HM111</v>
          </cell>
        </row>
        <row r="6383">
          <cell r="A6383" t="str">
            <v>YZ-HM111-K0-XL</v>
          </cell>
          <cell r="B6383" t="str">
            <v>YZ-HM111</v>
          </cell>
        </row>
        <row r="6384">
          <cell r="A6384" t="str">
            <v>YZ-HM111-YH-L</v>
          </cell>
          <cell r="B6384" t="str">
            <v>YZ-HM111</v>
          </cell>
        </row>
        <row r="6385">
          <cell r="A6385" t="str">
            <v>YZ-HM111-YH-M</v>
          </cell>
          <cell r="B6385" t="str">
            <v>YZ-HM111</v>
          </cell>
        </row>
        <row r="6386">
          <cell r="A6386" t="str">
            <v>YZ-HM111-YH-S</v>
          </cell>
          <cell r="B6386" t="str">
            <v>YZ-HM111</v>
          </cell>
        </row>
        <row r="6387">
          <cell r="A6387" t="str">
            <v>YZ-HM111-YH-XL</v>
          </cell>
          <cell r="B6387" t="str">
            <v>YZ-HM111</v>
          </cell>
        </row>
        <row r="6388">
          <cell r="A6388" t="str">
            <v>YZ-HM1288-B0-2XL</v>
          </cell>
          <cell r="B6388" t="str">
            <v>YZ-HM1288</v>
          </cell>
        </row>
        <row r="6389">
          <cell r="A6389" t="str">
            <v>YZ-HM1288-B0-3XL</v>
          </cell>
          <cell r="B6389" t="str">
            <v>YZ-HM1288</v>
          </cell>
        </row>
        <row r="6390">
          <cell r="A6390" t="str">
            <v>YZ-HM1288-B0-4XL</v>
          </cell>
          <cell r="B6390" t="str">
            <v>YZ-HM1288</v>
          </cell>
        </row>
        <row r="6391">
          <cell r="A6391" t="str">
            <v>YZ-HM1288-B0-5XL</v>
          </cell>
          <cell r="B6391" t="str">
            <v>YZ-HM1288</v>
          </cell>
        </row>
        <row r="6392">
          <cell r="A6392" t="str">
            <v>YZ-HM1288-B0-L</v>
          </cell>
          <cell r="B6392" t="str">
            <v>YZ-HM1288</v>
          </cell>
        </row>
        <row r="6393">
          <cell r="A6393" t="str">
            <v>YZ-HM1288-B0-M</v>
          </cell>
          <cell r="B6393" t="str">
            <v>YZ-HM1288</v>
          </cell>
        </row>
        <row r="6394">
          <cell r="A6394" t="str">
            <v>YZ-HM1288-B0-S</v>
          </cell>
          <cell r="B6394" t="str">
            <v>YZ-HM1288</v>
          </cell>
        </row>
        <row r="6395">
          <cell r="A6395" t="str">
            <v>YZ-HM1288-B0-XL</v>
          </cell>
          <cell r="B6395" t="str">
            <v>YZ-HM1288</v>
          </cell>
        </row>
        <row r="6396">
          <cell r="A6396" t="str">
            <v>YZ-HM1423-B0-2XL</v>
          </cell>
          <cell r="B6396" t="str">
            <v>YZ-HM1423</v>
          </cell>
        </row>
        <row r="6397">
          <cell r="A6397" t="str">
            <v>YZ-HM1423-Y0-2XL</v>
          </cell>
          <cell r="B6397" t="str">
            <v>YZ-HM1423</v>
          </cell>
        </row>
        <row r="6398">
          <cell r="A6398" t="str">
            <v>YZ-HM1478-K0-L</v>
          </cell>
          <cell r="B6398" t="str">
            <v>YZ-HM1478</v>
          </cell>
        </row>
        <row r="6399">
          <cell r="A6399" t="str">
            <v>YZ-HM1478-K0-M</v>
          </cell>
          <cell r="B6399" t="str">
            <v>YZ-HM1478</v>
          </cell>
        </row>
        <row r="6400">
          <cell r="A6400" t="str">
            <v>YZ-HM1478-Wi-L</v>
          </cell>
          <cell r="B6400" t="str">
            <v>YZ-HM1478</v>
          </cell>
        </row>
        <row r="6401">
          <cell r="A6401" t="str">
            <v>YZ-HM1478-Wi-M</v>
          </cell>
          <cell r="B6401" t="str">
            <v>YZ-HM1478</v>
          </cell>
        </row>
        <row r="6402">
          <cell r="A6402" t="str">
            <v>YZ-HM1534</v>
          </cell>
          <cell r="B6402" t="str">
            <v>YZ-HM1534</v>
          </cell>
        </row>
        <row r="6403">
          <cell r="A6403" t="str">
            <v>YZ-HM1534-G0-L</v>
          </cell>
          <cell r="B6403" t="str">
            <v>YZ-HM1534</v>
          </cell>
        </row>
        <row r="6404">
          <cell r="A6404" t="str">
            <v>YZ-HM1534-G0-M</v>
          </cell>
          <cell r="B6404" t="str">
            <v>YZ-HM1534</v>
          </cell>
        </row>
        <row r="6405">
          <cell r="A6405" t="str">
            <v>YZ-HM1534-YH-L</v>
          </cell>
          <cell r="B6405" t="str">
            <v>YZ-HM1534</v>
          </cell>
        </row>
        <row r="6406">
          <cell r="A6406" t="str">
            <v>YZ-HM1534-YH-M</v>
          </cell>
          <cell r="B6406" t="str">
            <v>YZ-HM1534</v>
          </cell>
        </row>
        <row r="6407">
          <cell r="A6407" t="str">
            <v>YZ-HM1584</v>
          </cell>
          <cell r="B6407" t="str">
            <v>YZ-HM1584</v>
          </cell>
        </row>
        <row r="6408">
          <cell r="A6408" t="str">
            <v>YZ-HM1584-K0-1XL</v>
          </cell>
          <cell r="B6408" t="str">
            <v>YZ-HM1584</v>
          </cell>
        </row>
        <row r="6409">
          <cell r="A6409" t="str">
            <v>YZ-HM1584-K0-2XL</v>
          </cell>
          <cell r="B6409" t="str">
            <v>YZ-HM1584</v>
          </cell>
        </row>
        <row r="6410">
          <cell r="A6410" t="str">
            <v>YZ-HM1584-K0-3XL</v>
          </cell>
          <cell r="B6410" t="str">
            <v>YZ-HM1584</v>
          </cell>
        </row>
        <row r="6411">
          <cell r="A6411" t="str">
            <v>YZ-HM1584-K0-3XL-GM</v>
          </cell>
          <cell r="B6411" t="str">
            <v>YZ-HM1584</v>
          </cell>
        </row>
        <row r="6412">
          <cell r="A6412" t="str">
            <v>YZ-HM1584-K0-L</v>
          </cell>
          <cell r="B6412" t="str">
            <v>YZ-HM1584</v>
          </cell>
        </row>
        <row r="6413">
          <cell r="A6413" t="str">
            <v>YZ-HM1584-K0-M</v>
          </cell>
          <cell r="B6413" t="str">
            <v>YZ-HM1584</v>
          </cell>
        </row>
        <row r="6414">
          <cell r="A6414" t="str">
            <v>YZ-HM1584-K0-S</v>
          </cell>
          <cell r="B6414" t="str">
            <v>YZ-HM1584</v>
          </cell>
        </row>
        <row r="6415">
          <cell r="A6415" t="str">
            <v>YZ-HM1625-BD-2XL</v>
          </cell>
          <cell r="B6415" t="str">
            <v>YZ-HM1625</v>
          </cell>
        </row>
        <row r="6416">
          <cell r="A6416" t="str">
            <v>YZ-HM1625-BD-3XL</v>
          </cell>
          <cell r="B6416" t="str">
            <v>YZ-HM1625</v>
          </cell>
        </row>
        <row r="6417">
          <cell r="A6417" t="str">
            <v>YZ-HM1625-BD-L</v>
          </cell>
          <cell r="B6417" t="str">
            <v>YZ-HM1625</v>
          </cell>
        </row>
        <row r="6418">
          <cell r="A6418" t="str">
            <v>YZ-HM1625-BD-M</v>
          </cell>
          <cell r="B6418" t="str">
            <v>YZ-HM1625</v>
          </cell>
        </row>
        <row r="6419">
          <cell r="A6419" t="str">
            <v>YZ-HM1625-BD-S</v>
          </cell>
          <cell r="B6419" t="str">
            <v>YZ-HM1625</v>
          </cell>
        </row>
        <row r="6420">
          <cell r="A6420" t="str">
            <v>YZ-HM1625-BD-XL</v>
          </cell>
          <cell r="B6420" t="str">
            <v>YZ-HM1625</v>
          </cell>
        </row>
        <row r="6421">
          <cell r="A6421" t="str">
            <v>YZ-HM1625-G0-2XL</v>
          </cell>
          <cell r="B6421" t="str">
            <v>YZ-HM1625</v>
          </cell>
        </row>
        <row r="6422">
          <cell r="A6422" t="str">
            <v>YZ-HM1625-G0-3XL</v>
          </cell>
          <cell r="B6422" t="str">
            <v>YZ-HM1625</v>
          </cell>
        </row>
        <row r="6423">
          <cell r="A6423" t="str">
            <v>YZ-HM1625-G0-L</v>
          </cell>
          <cell r="B6423" t="str">
            <v>YZ-HM1625</v>
          </cell>
        </row>
        <row r="6424">
          <cell r="A6424" t="str">
            <v>YZ-HM1625-G0-M</v>
          </cell>
          <cell r="B6424" t="str">
            <v>YZ-HM1625</v>
          </cell>
        </row>
        <row r="6425">
          <cell r="A6425" t="str">
            <v>YZ-HM1625-G0-S</v>
          </cell>
          <cell r="B6425" t="str">
            <v>YZ-HM1625</v>
          </cell>
        </row>
        <row r="6426">
          <cell r="A6426" t="str">
            <v>YZ-HM1625-G0-XL</v>
          </cell>
          <cell r="B6426" t="str">
            <v>YZ-HM1625</v>
          </cell>
        </row>
        <row r="6427">
          <cell r="A6427" t="str">
            <v>YZ-HM1625-GR-2XL</v>
          </cell>
          <cell r="B6427" t="str">
            <v>YZ-HM1625</v>
          </cell>
        </row>
        <row r="6428">
          <cell r="A6428" t="str">
            <v>YZ-HM1625-GR-3XL</v>
          </cell>
          <cell r="B6428" t="str">
            <v>YZ-HM1625</v>
          </cell>
        </row>
        <row r="6429">
          <cell r="A6429" t="str">
            <v>YZ-HM1625-GR-L</v>
          </cell>
          <cell r="B6429" t="str">
            <v>YZ-HM1625</v>
          </cell>
        </row>
        <row r="6430">
          <cell r="A6430" t="str">
            <v>YZ-HM1625-GR-S</v>
          </cell>
          <cell r="B6430" t="str">
            <v>YZ-HM1625</v>
          </cell>
        </row>
        <row r="6431">
          <cell r="A6431" t="str">
            <v>YZ-HM1625-GR-XL</v>
          </cell>
          <cell r="B6431" t="str">
            <v>YZ-HM1625</v>
          </cell>
        </row>
        <row r="6432">
          <cell r="A6432" t="str">
            <v>YZ-HM1625-R0-2XL</v>
          </cell>
          <cell r="B6432" t="str">
            <v>YZ-HM1625</v>
          </cell>
        </row>
        <row r="6433">
          <cell r="A6433" t="str">
            <v>YZ-HM1625-R0-3XL</v>
          </cell>
          <cell r="B6433" t="str">
            <v>YZ-HM1625</v>
          </cell>
        </row>
        <row r="6434">
          <cell r="A6434" t="str">
            <v>YZ-HM1625-R0-L</v>
          </cell>
          <cell r="B6434" t="str">
            <v>YZ-HM1625</v>
          </cell>
        </row>
        <row r="6435">
          <cell r="A6435" t="str">
            <v>YZ-HM1625-R0-S</v>
          </cell>
          <cell r="B6435" t="str">
            <v>YZ-HM1625</v>
          </cell>
        </row>
        <row r="6436">
          <cell r="A6436" t="str">
            <v>YZ-HM1625-R0-XL</v>
          </cell>
          <cell r="B6436" t="str">
            <v>YZ-HM1625</v>
          </cell>
        </row>
        <row r="6437">
          <cell r="A6437" t="str">
            <v>YZ-HM1625-YT-2XL</v>
          </cell>
          <cell r="B6437" t="str">
            <v>YZ-HM1625</v>
          </cell>
        </row>
        <row r="6438">
          <cell r="A6438" t="str">
            <v>YZ-HM1625-YT-3XL</v>
          </cell>
          <cell r="B6438" t="str">
            <v>YZ-HM1625</v>
          </cell>
        </row>
        <row r="6439">
          <cell r="A6439" t="str">
            <v>YZ-HM1625-YT-M</v>
          </cell>
          <cell r="B6439" t="str">
            <v>YZ-HM1625</v>
          </cell>
        </row>
        <row r="6440">
          <cell r="A6440" t="str">
            <v>YZ-HM1625-YT-S</v>
          </cell>
          <cell r="B6440" t="str">
            <v>YZ-HM1625</v>
          </cell>
        </row>
        <row r="6441">
          <cell r="A6441" t="str">
            <v>YZ-HM1625-YT-XL</v>
          </cell>
          <cell r="B6441" t="str">
            <v>YZ-HM1625</v>
          </cell>
        </row>
        <row r="6442">
          <cell r="A6442" t="str">
            <v>YZ-HM1625-ZL-2XL</v>
          </cell>
          <cell r="B6442" t="str">
            <v>YZ-HM1625</v>
          </cell>
        </row>
        <row r="6443">
          <cell r="A6443" t="str">
            <v>YZ-HM1625-ZL-3XL</v>
          </cell>
          <cell r="B6443" t="str">
            <v>YZ-HM1625</v>
          </cell>
        </row>
        <row r="6444">
          <cell r="A6444" t="str">
            <v>YZ-HM1625-ZL-M</v>
          </cell>
          <cell r="B6444" t="str">
            <v>YZ-HM1625</v>
          </cell>
        </row>
        <row r="6445">
          <cell r="A6445" t="str">
            <v>YZ-HM1625-ZL-S</v>
          </cell>
          <cell r="B6445" t="str">
            <v>YZ-HM1625</v>
          </cell>
        </row>
        <row r="6446">
          <cell r="A6446" t="str">
            <v>YZ-HM1625-ZL-XL</v>
          </cell>
          <cell r="B6446" t="str">
            <v>YZ-HM1625</v>
          </cell>
        </row>
        <row r="6447">
          <cell r="A6447" t="str">
            <v>YZ-HM1683-B0-48</v>
          </cell>
          <cell r="B6447" t="str">
            <v>YZ-HM1683</v>
          </cell>
        </row>
        <row r="6448">
          <cell r="A6448" t="str">
            <v>YZ-HM1683-B0-50</v>
          </cell>
          <cell r="B6448" t="str">
            <v>YZ-HM1683</v>
          </cell>
        </row>
        <row r="6449">
          <cell r="A6449" t="str">
            <v>YZ-HM1683-B0-52</v>
          </cell>
          <cell r="B6449" t="str">
            <v>YZ-HM1683</v>
          </cell>
        </row>
        <row r="6450">
          <cell r="A6450" t="str">
            <v>YZ-HM1683-BDB0-50</v>
          </cell>
          <cell r="B6450" t="str">
            <v>YZ-HM1683</v>
          </cell>
        </row>
        <row r="6451">
          <cell r="A6451" t="str">
            <v>YZ-HM1683-BDB0-52</v>
          </cell>
          <cell r="B6451" t="str">
            <v>YZ-HM1683</v>
          </cell>
        </row>
        <row r="6452">
          <cell r="A6452" t="str">
            <v>YZ-HM1683-BDG0-54</v>
          </cell>
          <cell r="B6452" t="str">
            <v>YZ-HM1683</v>
          </cell>
        </row>
        <row r="6453">
          <cell r="A6453" t="str">
            <v>YZ-HM1683-BDG0-56</v>
          </cell>
          <cell r="B6453" t="str">
            <v>YZ-HM1683</v>
          </cell>
        </row>
        <row r="6454">
          <cell r="A6454" t="str">
            <v>YZ-HM1683-BDZL-48</v>
          </cell>
          <cell r="B6454" t="str">
            <v>YZ-HM1683</v>
          </cell>
        </row>
        <row r="6455">
          <cell r="A6455" t="str">
            <v>YZ-HM1683-BDZL-50</v>
          </cell>
          <cell r="B6455" t="str">
            <v>YZ-HM1683</v>
          </cell>
        </row>
        <row r="6456">
          <cell r="A6456" t="str">
            <v>YZ-HM1683-BDZL-56</v>
          </cell>
          <cell r="B6456" t="str">
            <v>YZ-HM1683</v>
          </cell>
        </row>
        <row r="6457">
          <cell r="A6457" t="str">
            <v>YZ-HM1683-G0-48</v>
          </cell>
          <cell r="B6457" t="str">
            <v>YZ-HM1683</v>
          </cell>
        </row>
        <row r="6458">
          <cell r="A6458" t="str">
            <v>YZ-HM1683-G0-54</v>
          </cell>
          <cell r="B6458" t="str">
            <v>YZ-HM1683</v>
          </cell>
        </row>
        <row r="6459">
          <cell r="A6459" t="str">
            <v>YZ-HM1683-G0-56</v>
          </cell>
          <cell r="B6459" t="str">
            <v>YZ-HM1683</v>
          </cell>
        </row>
        <row r="6460">
          <cell r="A6460" t="str">
            <v>YZ-HM1683-R0-52</v>
          </cell>
          <cell r="B6460" t="str">
            <v>YZ-HM1683</v>
          </cell>
        </row>
        <row r="6461">
          <cell r="A6461" t="str">
            <v>YZ-HM1683-ZL-48</v>
          </cell>
          <cell r="B6461" t="str">
            <v>YZ-HM1683</v>
          </cell>
        </row>
        <row r="6462">
          <cell r="A6462" t="str">
            <v>YZ-HM1683-ZL-52</v>
          </cell>
          <cell r="B6462" t="str">
            <v>YZ-HM1683</v>
          </cell>
        </row>
        <row r="6463">
          <cell r="A6463" t="str">
            <v>YZ-HM1683-ZL-54</v>
          </cell>
          <cell r="B6463" t="str">
            <v>YZ-HM1683</v>
          </cell>
        </row>
        <row r="6464">
          <cell r="A6464" t="str">
            <v>YZ-HM1689-R0-50</v>
          </cell>
          <cell r="B6464" t="str">
            <v>YZ-HM1689</v>
          </cell>
        </row>
        <row r="6465">
          <cell r="A6465" t="str">
            <v>YZ-HM1689-R0-52</v>
          </cell>
          <cell r="B6465" t="str">
            <v>YZ-HM1689</v>
          </cell>
        </row>
        <row r="6466">
          <cell r="A6466" t="str">
            <v>YZ-HM1689-R0-54</v>
          </cell>
          <cell r="B6466" t="str">
            <v>YZ-HM1689</v>
          </cell>
        </row>
        <row r="6467">
          <cell r="A6467" t="str">
            <v>YZ-HM1689-R0-56</v>
          </cell>
          <cell r="B6467" t="str">
            <v>YZ-HM1689</v>
          </cell>
        </row>
        <row r="6468">
          <cell r="A6468" t="str">
            <v>YZ-HM17015</v>
          </cell>
          <cell r="B6468" t="str">
            <v>YZ-HM17015</v>
          </cell>
        </row>
        <row r="6469">
          <cell r="A6469" t="str">
            <v>YZ-HM17015-B0-L</v>
          </cell>
          <cell r="B6469" t="str">
            <v>YZ-HM17015</v>
          </cell>
        </row>
        <row r="6470">
          <cell r="A6470" t="str">
            <v>YZ-HM17015-B0-M</v>
          </cell>
          <cell r="B6470" t="str">
            <v>YZ-HM17015</v>
          </cell>
        </row>
        <row r="6471">
          <cell r="A6471" t="str">
            <v>YZ-HM17015-B0-S</v>
          </cell>
          <cell r="B6471" t="str">
            <v>YZ-HM17015</v>
          </cell>
        </row>
        <row r="6472">
          <cell r="A6472" t="str">
            <v>YZ-HM17015-B0-XL</v>
          </cell>
          <cell r="B6472" t="str">
            <v>YZ-HM17015</v>
          </cell>
        </row>
        <row r="6473">
          <cell r="A6473" t="str">
            <v>YZ-HM17015-K0-L</v>
          </cell>
          <cell r="B6473" t="str">
            <v>YZ-HM17015</v>
          </cell>
        </row>
        <row r="6474">
          <cell r="A6474" t="str">
            <v>YZ-HM17015-K0-M</v>
          </cell>
          <cell r="B6474" t="str">
            <v>YZ-HM17015</v>
          </cell>
        </row>
        <row r="6475">
          <cell r="A6475" t="str">
            <v>YZ-HM17015-K0-S</v>
          </cell>
          <cell r="B6475" t="str">
            <v>YZ-HM17015</v>
          </cell>
        </row>
        <row r="6476">
          <cell r="A6476" t="str">
            <v>YZ-HM17015-K0-XL</v>
          </cell>
          <cell r="B6476" t="str">
            <v>YZ-HM17015</v>
          </cell>
        </row>
        <row r="6477">
          <cell r="A6477" t="str">
            <v>YZ-HM17015-OR-L</v>
          </cell>
          <cell r="B6477" t="str">
            <v>YZ-HM17015</v>
          </cell>
        </row>
        <row r="6478">
          <cell r="A6478" t="str">
            <v>YZ-HM17015-OR-M</v>
          </cell>
          <cell r="B6478" t="str">
            <v>YZ-HM17015</v>
          </cell>
        </row>
        <row r="6479">
          <cell r="A6479" t="str">
            <v>YZ-HM17015-OR-S</v>
          </cell>
          <cell r="B6479" t="str">
            <v>YZ-HM17015</v>
          </cell>
        </row>
        <row r="6480">
          <cell r="A6480" t="str">
            <v>YZ-HM17015-OR-XL</v>
          </cell>
          <cell r="B6480" t="str">
            <v>YZ-HM17015</v>
          </cell>
        </row>
        <row r="6481">
          <cell r="A6481" t="str">
            <v>YZ-HM17015-WI-L</v>
          </cell>
          <cell r="B6481" t="str">
            <v>YZ-HM17015</v>
          </cell>
        </row>
        <row r="6482">
          <cell r="A6482" t="str">
            <v>YZ-HM17015-WI-M</v>
          </cell>
          <cell r="B6482" t="str">
            <v>YZ-HM17015</v>
          </cell>
        </row>
        <row r="6483">
          <cell r="A6483" t="str">
            <v>YZ-HM17015-WI-S</v>
          </cell>
          <cell r="B6483" t="str">
            <v>YZ-HM17015</v>
          </cell>
        </row>
        <row r="6484">
          <cell r="A6484" t="str">
            <v>YZ-HM17015-WI-XL</v>
          </cell>
          <cell r="B6484" t="str">
            <v>YZ-HM17015</v>
          </cell>
        </row>
        <row r="6485">
          <cell r="A6485" t="str">
            <v>YZ-HM17077-B0-L</v>
          </cell>
          <cell r="B6485" t="str">
            <v>YZ-HM17077</v>
          </cell>
        </row>
        <row r="6486">
          <cell r="A6486" t="str">
            <v>YZ-HM17077-B0-M</v>
          </cell>
          <cell r="B6486" t="str">
            <v>YZ-HM17077</v>
          </cell>
        </row>
        <row r="6487">
          <cell r="A6487" t="str">
            <v>YZ-HM17077-B0-XL</v>
          </cell>
          <cell r="B6487" t="str">
            <v>YZ-HM17077</v>
          </cell>
        </row>
        <row r="6488">
          <cell r="A6488" t="str">
            <v>YZ-HM17077-CO-L</v>
          </cell>
          <cell r="B6488" t="str">
            <v>YZ-HM17077</v>
          </cell>
        </row>
        <row r="6489">
          <cell r="A6489" t="str">
            <v>YZ-HM17077-CO-M</v>
          </cell>
          <cell r="B6489" t="str">
            <v>YZ-HM17077</v>
          </cell>
        </row>
        <row r="6490">
          <cell r="A6490" t="str">
            <v>YZ-HM17077-K0-L</v>
          </cell>
          <cell r="B6490" t="str">
            <v>YZ-HM17077</v>
          </cell>
        </row>
        <row r="6491">
          <cell r="A6491" t="str">
            <v>YZ-HM17077-K0-M</v>
          </cell>
          <cell r="B6491" t="str">
            <v>YZ-HM17077</v>
          </cell>
        </row>
        <row r="6492">
          <cell r="A6492" t="str">
            <v>YZ-HM17077-K0-XL</v>
          </cell>
          <cell r="B6492" t="str">
            <v>YZ-HM17077</v>
          </cell>
        </row>
        <row r="6493">
          <cell r="A6493" t="str">
            <v>YZ-HM17077-PI-L</v>
          </cell>
          <cell r="B6493" t="str">
            <v>YZ-HM17077</v>
          </cell>
        </row>
        <row r="6494">
          <cell r="A6494" t="str">
            <v>YZ-HM17077-PI-S</v>
          </cell>
          <cell r="B6494" t="str">
            <v>YZ-HM17077</v>
          </cell>
        </row>
        <row r="6495">
          <cell r="A6495" t="str">
            <v>YZ-HM17077-W0-L</v>
          </cell>
          <cell r="B6495" t="str">
            <v>YZ-HM17077</v>
          </cell>
        </row>
        <row r="6496">
          <cell r="A6496" t="str">
            <v>YZ-HM17077-W0-M</v>
          </cell>
          <cell r="B6496" t="str">
            <v>YZ-HM17077</v>
          </cell>
        </row>
        <row r="6497">
          <cell r="A6497" t="str">
            <v>YZ-HM17077-W0-XL</v>
          </cell>
          <cell r="B6497" t="str">
            <v>YZ-HM17077</v>
          </cell>
        </row>
        <row r="6498">
          <cell r="A6498" t="str">
            <v>YZ-HM1711-B0-L</v>
          </cell>
          <cell r="B6498" t="str">
            <v>YZ-HM1711</v>
          </cell>
        </row>
        <row r="6499">
          <cell r="A6499" t="str">
            <v>YZ-HM1711-B0-M</v>
          </cell>
          <cell r="B6499" t="str">
            <v>YZ-HM1711</v>
          </cell>
        </row>
        <row r="6500">
          <cell r="A6500" t="str">
            <v>YZ-HM1711-B0-S</v>
          </cell>
          <cell r="B6500" t="str">
            <v>YZ-HM1711</v>
          </cell>
        </row>
        <row r="6501">
          <cell r="A6501" t="str">
            <v>YZ-HM1711-B0-XL</v>
          </cell>
          <cell r="B6501" t="str">
            <v>YZ-HM1711</v>
          </cell>
        </row>
        <row r="6502">
          <cell r="A6502" t="str">
            <v>YZ-HM1711-K0-XL</v>
          </cell>
          <cell r="B6502" t="str">
            <v>YZ-HM1711</v>
          </cell>
        </row>
        <row r="6503">
          <cell r="A6503" t="str">
            <v>YZ-HM17125-K0-2XL</v>
          </cell>
          <cell r="B6503" t="str">
            <v>YZ-HM1727</v>
          </cell>
        </row>
        <row r="6504">
          <cell r="A6504" t="str">
            <v>YZ-HM17125-K0-3XL</v>
          </cell>
          <cell r="B6504" t="str">
            <v>YZ-HM1727</v>
          </cell>
        </row>
        <row r="6505">
          <cell r="A6505" t="str">
            <v>YZ-HM17125-K0-4XL</v>
          </cell>
          <cell r="B6505" t="str">
            <v>YZ-HM1727</v>
          </cell>
        </row>
        <row r="6506">
          <cell r="A6506" t="str">
            <v>YZ-HM1718-K0-2XL</v>
          </cell>
          <cell r="B6506" t="str">
            <v>YZ-HM1718</v>
          </cell>
        </row>
        <row r="6507">
          <cell r="A6507" t="str">
            <v>YZ-HM1718-K0-3XL</v>
          </cell>
          <cell r="B6507" t="str">
            <v>YZ-HM1718</v>
          </cell>
        </row>
        <row r="6508">
          <cell r="A6508" t="str">
            <v>YZ-HM1718-K0-4XL</v>
          </cell>
          <cell r="B6508" t="str">
            <v>YZ-HM1718</v>
          </cell>
        </row>
        <row r="6509">
          <cell r="A6509" t="str">
            <v>YZ-HM1718-K0-L</v>
          </cell>
          <cell r="B6509" t="str">
            <v>YZ-HM1718</v>
          </cell>
        </row>
        <row r="6510">
          <cell r="A6510" t="str">
            <v>YZ-HM1718-K0-M</v>
          </cell>
          <cell r="B6510" t="str">
            <v>YZ-HM1718</v>
          </cell>
        </row>
        <row r="6511">
          <cell r="A6511" t="str">
            <v>YZ-HM1718-K0-S</v>
          </cell>
          <cell r="B6511" t="str">
            <v>YZ-HM1718</v>
          </cell>
        </row>
        <row r="6512">
          <cell r="A6512" t="str">
            <v>YZ-HM1718-K0-XL</v>
          </cell>
          <cell r="B6512" t="str">
            <v>YZ-HM1718</v>
          </cell>
        </row>
        <row r="6513">
          <cell r="A6513" t="str">
            <v>YZ-HM1718-R0-2XL</v>
          </cell>
          <cell r="B6513" t="str">
            <v>YZ-HM1718</v>
          </cell>
        </row>
        <row r="6514">
          <cell r="A6514" t="str">
            <v>YZ-HM1718-R0-3XL</v>
          </cell>
          <cell r="B6514" t="str">
            <v>YZ-HM1718</v>
          </cell>
        </row>
        <row r="6515">
          <cell r="A6515" t="str">
            <v>YZ-HM1718-R0-4XL</v>
          </cell>
          <cell r="B6515" t="str">
            <v>YZ-HM1718</v>
          </cell>
        </row>
        <row r="6516">
          <cell r="A6516" t="str">
            <v>YZ-HM1718-R0-L</v>
          </cell>
          <cell r="B6516" t="str">
            <v>YZ-HM1718</v>
          </cell>
        </row>
        <row r="6517">
          <cell r="A6517" t="str">
            <v>YZ-HM1718-R0-M</v>
          </cell>
          <cell r="B6517" t="str">
            <v>YZ-HM1718</v>
          </cell>
        </row>
        <row r="6518">
          <cell r="A6518" t="str">
            <v>YZ-HM1718-R0-S</v>
          </cell>
          <cell r="B6518" t="str">
            <v>YZ-HM1718</v>
          </cell>
        </row>
        <row r="6519">
          <cell r="A6519" t="str">
            <v>YZ-HM1718-R0-XL</v>
          </cell>
          <cell r="B6519" t="str">
            <v>YZ-HM1718</v>
          </cell>
        </row>
        <row r="6520">
          <cell r="A6520" t="str">
            <v>YZ-HM1727-Pi-2XL</v>
          </cell>
          <cell r="B6520" t="str">
            <v>YZ-HM1727</v>
          </cell>
        </row>
        <row r="6521">
          <cell r="A6521" t="str">
            <v>YZ-HM1727-Pi-3XL</v>
          </cell>
          <cell r="B6521" t="str">
            <v>YZ-HM1727</v>
          </cell>
        </row>
        <row r="6522">
          <cell r="A6522" t="str">
            <v>YZ-HM1727-Pi-4XL</v>
          </cell>
          <cell r="B6522" t="str">
            <v>YZ-HM1727</v>
          </cell>
        </row>
        <row r="6523">
          <cell r="A6523" t="str">
            <v>YZ-HM1727-Pi-5XL</v>
          </cell>
          <cell r="B6523" t="str">
            <v>YZ-HM1727</v>
          </cell>
        </row>
        <row r="6524">
          <cell r="A6524" t="str">
            <v>YZ-HM1727-Pi-L</v>
          </cell>
          <cell r="B6524" t="str">
            <v>YZ-HM1727</v>
          </cell>
        </row>
        <row r="6525">
          <cell r="A6525" t="str">
            <v>YZ-HM1727-Pi-L-GM</v>
          </cell>
          <cell r="B6525" t="str">
            <v>YZ-HM1727</v>
          </cell>
        </row>
        <row r="6526">
          <cell r="A6526" t="str">
            <v>YZ-HM1727-Pi-M</v>
          </cell>
          <cell r="B6526" t="str">
            <v>YZ-HM1727</v>
          </cell>
        </row>
        <row r="6527">
          <cell r="A6527" t="str">
            <v>YZ-HM1727-Pi-S</v>
          </cell>
          <cell r="B6527" t="str">
            <v>YZ-HM1727</v>
          </cell>
        </row>
        <row r="6528">
          <cell r="A6528" t="str">
            <v>YZ-HM1727-Pi-XL</v>
          </cell>
          <cell r="B6528" t="str">
            <v>YZ-HM1727</v>
          </cell>
        </row>
        <row r="6529">
          <cell r="A6529" t="str">
            <v>YZ-HM1727-Pi-XL-GM</v>
          </cell>
          <cell r="B6529" t="str">
            <v>YZ-HM1727</v>
          </cell>
        </row>
        <row r="6530">
          <cell r="A6530" t="str">
            <v>YZ-HM1728-ZL-L</v>
          </cell>
          <cell r="B6530" t="str">
            <v>YZ-HM1728</v>
          </cell>
        </row>
        <row r="6531">
          <cell r="A6531" t="str">
            <v>YZ-HM1728-ZL-M</v>
          </cell>
          <cell r="B6531" t="str">
            <v>YZ-HM1728</v>
          </cell>
        </row>
        <row r="6532">
          <cell r="A6532" t="str">
            <v>YZ-HM1728-ZL-S</v>
          </cell>
          <cell r="B6532" t="str">
            <v>YZ-HM1728</v>
          </cell>
        </row>
        <row r="6533">
          <cell r="A6533" t="str">
            <v>YZ-HM1728-ZL-XL</v>
          </cell>
          <cell r="B6533" t="str">
            <v>YZ-HM1728</v>
          </cell>
        </row>
        <row r="6534">
          <cell r="A6534" t="str">
            <v>YZ-HM174164-SY-2XL</v>
          </cell>
          <cell r="B6534" t="str">
            <v>YZ-HM174164</v>
          </cell>
        </row>
        <row r="6535">
          <cell r="A6535" t="str">
            <v>YZ-HM174164-SY-3XL</v>
          </cell>
          <cell r="B6535" t="str">
            <v>YZ-HM174164</v>
          </cell>
        </row>
        <row r="6536">
          <cell r="A6536" t="str">
            <v>YZ-HM174164-SY-4XL</v>
          </cell>
          <cell r="B6536" t="str">
            <v>YZ-HM174164</v>
          </cell>
        </row>
        <row r="6537">
          <cell r="A6537" t="str">
            <v>YZ-HM174164-SY-5XL</v>
          </cell>
          <cell r="B6537" t="str">
            <v>YZ-HM174164</v>
          </cell>
        </row>
        <row r="6538">
          <cell r="A6538" t="str">
            <v>YZ-HM174164-SY-L</v>
          </cell>
          <cell r="B6538" t="str">
            <v>YZ-HM174164</v>
          </cell>
        </row>
        <row r="6539">
          <cell r="A6539" t="str">
            <v>YZ-HM174164-SY-M</v>
          </cell>
          <cell r="B6539" t="str">
            <v>YZ-HM174164</v>
          </cell>
        </row>
        <row r="6540">
          <cell r="A6540" t="str">
            <v>YZ-HM174164-SY-S</v>
          </cell>
          <cell r="B6540" t="str">
            <v>YZ-HM174164</v>
          </cell>
        </row>
        <row r="6541">
          <cell r="A6541" t="str">
            <v>YZ-HM174164-SY-XL</v>
          </cell>
          <cell r="B6541" t="str">
            <v>YZ-HM174164</v>
          </cell>
        </row>
        <row r="6542">
          <cell r="A6542" t="str">
            <v>YZ-HM1757-K0-L</v>
          </cell>
          <cell r="B6542" t="str">
            <v>YZ-HM1757</v>
          </cell>
        </row>
        <row r="6543">
          <cell r="A6543" t="str">
            <v>YZ-HM1757-K0-M</v>
          </cell>
          <cell r="B6543" t="str">
            <v>YZ-HM1757</v>
          </cell>
        </row>
        <row r="6544">
          <cell r="A6544" t="str">
            <v>YZ-HM1757-K0-S</v>
          </cell>
          <cell r="B6544" t="str">
            <v>YZ-HM1757</v>
          </cell>
        </row>
        <row r="6545">
          <cell r="A6545" t="str">
            <v>YZ-HM1757-K0-XL</v>
          </cell>
          <cell r="B6545" t="str">
            <v>YZ-HM1757</v>
          </cell>
        </row>
        <row r="6546">
          <cell r="A6546" t="str">
            <v>YZ-HM1757-Pi-L</v>
          </cell>
          <cell r="B6546" t="str">
            <v>YZ-HM1757</v>
          </cell>
        </row>
        <row r="6547">
          <cell r="A6547" t="str">
            <v>YZ-HM1757-Pi-L-GM</v>
          </cell>
          <cell r="B6547" t="str">
            <v>YZ-HM1757</v>
          </cell>
        </row>
        <row r="6548">
          <cell r="A6548" t="str">
            <v>YZ-HM1757-Pi-M</v>
          </cell>
          <cell r="B6548" t="str">
            <v>YZ-HM1757</v>
          </cell>
        </row>
        <row r="6549">
          <cell r="A6549" t="str">
            <v>YZ-HM1757-Pi-S</v>
          </cell>
          <cell r="B6549" t="str">
            <v>YZ-HM1757</v>
          </cell>
        </row>
        <row r="6550">
          <cell r="A6550" t="str">
            <v>YZ-HM1757-Pi-XL</v>
          </cell>
          <cell r="B6550" t="str">
            <v>YZ-HM1757</v>
          </cell>
        </row>
        <row r="6551">
          <cell r="A6551" t="str">
            <v>YZ-HM17845-YH-L</v>
          </cell>
          <cell r="B6551" t="str">
            <v>YZ-HM17845</v>
          </cell>
        </row>
        <row r="6552">
          <cell r="A6552" t="str">
            <v>YZ-HM17845-YH-M</v>
          </cell>
          <cell r="B6552" t="str">
            <v>YZ-HM17845</v>
          </cell>
        </row>
        <row r="6553">
          <cell r="A6553" t="str">
            <v>YZ-HM17845-YH-S</v>
          </cell>
          <cell r="B6553" t="str">
            <v>YZ-HM17845</v>
          </cell>
        </row>
        <row r="6554">
          <cell r="A6554" t="str">
            <v>YZ-HM17845-YH-S-GM</v>
          </cell>
          <cell r="B6554" t="str">
            <v>YZ-HM17845</v>
          </cell>
        </row>
        <row r="6555">
          <cell r="A6555" t="str">
            <v>YZ-HM17845-YH-XL</v>
          </cell>
          <cell r="B6555" t="str">
            <v>YZ-HM17845</v>
          </cell>
        </row>
        <row r="6556">
          <cell r="A6556" t="str">
            <v>YZ-HM17-G0-2XL</v>
          </cell>
          <cell r="B6556" t="str">
            <v>YZ-HM17</v>
          </cell>
        </row>
        <row r="6557">
          <cell r="A6557" t="str">
            <v>YZ-HM17-G0-L</v>
          </cell>
          <cell r="B6557" t="str">
            <v>YZ-HM17</v>
          </cell>
        </row>
        <row r="6558">
          <cell r="A6558" t="str">
            <v>YZ-HM17-G0-XL</v>
          </cell>
          <cell r="B6558" t="str">
            <v>YZ-HM17</v>
          </cell>
        </row>
        <row r="6559">
          <cell r="A6559" t="str">
            <v>YZ-HM241-DS-2XL</v>
          </cell>
          <cell r="B6559" t="str">
            <v>YZ-HM241</v>
          </cell>
        </row>
        <row r="6560">
          <cell r="A6560" t="str">
            <v>YZ-HM241-DS-L</v>
          </cell>
          <cell r="B6560" t="str">
            <v>YZ-HM241</v>
          </cell>
        </row>
        <row r="6561">
          <cell r="A6561" t="str">
            <v>YZ-HM241-DS-M</v>
          </cell>
          <cell r="B6561" t="str">
            <v>YZ-HM241</v>
          </cell>
        </row>
        <row r="6562">
          <cell r="A6562" t="str">
            <v>YZ-HM241-DS-XL</v>
          </cell>
          <cell r="B6562" t="str">
            <v>YZ-HM241</v>
          </cell>
        </row>
        <row r="6563">
          <cell r="A6563" t="str">
            <v>YZ-HM241-G0-2XL</v>
          </cell>
          <cell r="B6563" t="str">
            <v>YZ-HM241</v>
          </cell>
        </row>
        <row r="6564">
          <cell r="A6564" t="str">
            <v>YZ-HM241-G0-3XL</v>
          </cell>
          <cell r="B6564" t="str">
            <v>YZ-HM241</v>
          </cell>
        </row>
        <row r="6565">
          <cell r="A6565" t="str">
            <v>YZ-HM241-G0-L</v>
          </cell>
          <cell r="B6565" t="str">
            <v>YZ-HM241</v>
          </cell>
        </row>
        <row r="6566">
          <cell r="A6566" t="str">
            <v>YZ-HM241-G0-M</v>
          </cell>
          <cell r="B6566" t="str">
            <v>YZ-HM241</v>
          </cell>
        </row>
        <row r="6567">
          <cell r="A6567" t="str">
            <v>YZ-HM241-G0-S</v>
          </cell>
          <cell r="B6567" t="str">
            <v>YZ-HM241</v>
          </cell>
        </row>
        <row r="6568">
          <cell r="A6568" t="str">
            <v>YZ-HM241-G0-XL</v>
          </cell>
          <cell r="B6568" t="str">
            <v>YZ-HM241</v>
          </cell>
        </row>
        <row r="6569">
          <cell r="A6569" t="str">
            <v>YZ-HM241-K0-2XL</v>
          </cell>
          <cell r="B6569" t="str">
            <v>YZ-HM241</v>
          </cell>
        </row>
        <row r="6570">
          <cell r="A6570" t="str">
            <v>YZ-HM241-K0-3XL</v>
          </cell>
          <cell r="B6570" t="str">
            <v>YZ-HM241</v>
          </cell>
        </row>
        <row r="6571">
          <cell r="A6571" t="str">
            <v>YZ-HM241-K0-4XL</v>
          </cell>
          <cell r="B6571" t="str">
            <v>YZ-HM241</v>
          </cell>
        </row>
        <row r="6572">
          <cell r="A6572" t="str">
            <v>YZ-HM241-K0-5XL</v>
          </cell>
          <cell r="B6572" t="str">
            <v>YZ-HM241</v>
          </cell>
        </row>
        <row r="6573">
          <cell r="A6573" t="str">
            <v>YZ-HM241-K0-L</v>
          </cell>
          <cell r="B6573" t="str">
            <v>YZ-HM241</v>
          </cell>
        </row>
        <row r="6574">
          <cell r="A6574" t="str">
            <v>YZ-HM241-K0-M</v>
          </cell>
          <cell r="B6574" t="str">
            <v>YZ-HM241</v>
          </cell>
        </row>
        <row r="6575">
          <cell r="A6575" t="str">
            <v>YZ-HM241-K0-S</v>
          </cell>
          <cell r="B6575" t="str">
            <v>YZ-HM241</v>
          </cell>
        </row>
        <row r="6576">
          <cell r="A6576" t="str">
            <v>YZ-HM241-K0-XL</v>
          </cell>
          <cell r="B6576" t="str">
            <v>YZ-HM241</v>
          </cell>
        </row>
        <row r="6577">
          <cell r="A6577" t="str">
            <v>YZ-HM241-R0-2XL</v>
          </cell>
          <cell r="B6577" t="str">
            <v>YZ-HM241</v>
          </cell>
        </row>
        <row r="6578">
          <cell r="A6578" t="str">
            <v>YZ-HM241-R0-3XL</v>
          </cell>
          <cell r="B6578" t="str">
            <v>YZ-HM241</v>
          </cell>
        </row>
        <row r="6579">
          <cell r="A6579" t="str">
            <v>YZ-HM241-R0-L</v>
          </cell>
          <cell r="B6579" t="str">
            <v>YZ-HM241</v>
          </cell>
        </row>
        <row r="6580">
          <cell r="A6580" t="str">
            <v>YZ-HM241-R0-M</v>
          </cell>
          <cell r="B6580" t="str">
            <v>YZ-HM241</v>
          </cell>
        </row>
        <row r="6581">
          <cell r="A6581" t="str">
            <v>YZ-HM241-R0-S</v>
          </cell>
          <cell r="B6581" t="str">
            <v>YZ-HM241</v>
          </cell>
        </row>
        <row r="6582">
          <cell r="A6582" t="str">
            <v>YZ-HM241-R0-XL</v>
          </cell>
          <cell r="B6582" t="str">
            <v>YZ-HM241</v>
          </cell>
        </row>
        <row r="6583">
          <cell r="A6583" t="str">
            <v>YZ-HM241-SH-2XL</v>
          </cell>
          <cell r="B6583" t="str">
            <v>YZ-HM241</v>
          </cell>
        </row>
        <row r="6584">
          <cell r="A6584" t="str">
            <v>YZ-HM241-SH-3XL</v>
          </cell>
          <cell r="B6584" t="str">
            <v>YZ-HM241</v>
          </cell>
        </row>
        <row r="6585">
          <cell r="A6585" t="str">
            <v>YZ-HM241-SH-4XL</v>
          </cell>
          <cell r="B6585" t="str">
            <v>YZ-HM241</v>
          </cell>
        </row>
        <row r="6586">
          <cell r="A6586" t="str">
            <v>YZ-HM241-SH-5XL</v>
          </cell>
          <cell r="B6586" t="str">
            <v>YZ-HM241</v>
          </cell>
        </row>
        <row r="6587">
          <cell r="A6587" t="str">
            <v>YZ-HM241-SH-L</v>
          </cell>
          <cell r="B6587" t="str">
            <v>YZ-HM241</v>
          </cell>
        </row>
        <row r="6588">
          <cell r="A6588" t="str">
            <v>YZ-HM241-SH-M</v>
          </cell>
          <cell r="B6588" t="str">
            <v>YZ-HM241</v>
          </cell>
        </row>
        <row r="6589">
          <cell r="A6589" t="str">
            <v>YZ-HM241-SH-S</v>
          </cell>
          <cell r="B6589" t="str">
            <v>YZ-HM241</v>
          </cell>
        </row>
        <row r="6590">
          <cell r="A6590" t="str">
            <v>YZ-HM241-SH-XL</v>
          </cell>
          <cell r="B6590" t="str">
            <v>YZ-HM241</v>
          </cell>
        </row>
        <row r="6591">
          <cell r="A6591" t="str">
            <v>YZ-HM241-ZL-2XL</v>
          </cell>
          <cell r="B6591" t="str">
            <v>YZ-HM241</v>
          </cell>
        </row>
        <row r="6592">
          <cell r="A6592" t="str">
            <v>YZ-HM241-ZL-3XL</v>
          </cell>
          <cell r="B6592" t="str">
            <v>YZ-HM241</v>
          </cell>
        </row>
        <row r="6593">
          <cell r="A6593" t="str">
            <v>YZ-HM241-ZL-L</v>
          </cell>
          <cell r="B6593" t="str">
            <v>YZ-HM241</v>
          </cell>
        </row>
        <row r="6594">
          <cell r="A6594" t="str">
            <v>YZ-HM241-ZL-M</v>
          </cell>
          <cell r="B6594" t="str">
            <v>YZ-HM241</v>
          </cell>
        </row>
        <row r="6595">
          <cell r="A6595" t="str">
            <v>YZ-HM241-ZL-S</v>
          </cell>
          <cell r="B6595" t="str">
            <v>YZ-HM241</v>
          </cell>
        </row>
        <row r="6596">
          <cell r="A6596" t="str">
            <v>YZ-HM241-ZL-XL</v>
          </cell>
          <cell r="B6596" t="str">
            <v>YZ-HM241</v>
          </cell>
        </row>
        <row r="6597">
          <cell r="A6597" t="str">
            <v>YZ-HM2508-G0-L</v>
          </cell>
          <cell r="B6597" t="str">
            <v>YZ-HM2508</v>
          </cell>
        </row>
        <row r="6598">
          <cell r="A6598" t="str">
            <v>YZ-HM2508-G0-M</v>
          </cell>
          <cell r="B6598" t="str">
            <v>YZ-HM2508</v>
          </cell>
        </row>
        <row r="6599">
          <cell r="A6599" t="str">
            <v>YZ-HM2508-K0-L</v>
          </cell>
          <cell r="B6599" t="str">
            <v>YZ-HM2508</v>
          </cell>
        </row>
        <row r="6600">
          <cell r="A6600" t="str">
            <v>YZ-HM2508-K0-M</v>
          </cell>
          <cell r="B6600" t="str">
            <v>YZ-HM2508</v>
          </cell>
        </row>
        <row r="6601">
          <cell r="A6601" t="str">
            <v>YZ-HM2508-R0-L</v>
          </cell>
          <cell r="B6601" t="str">
            <v>YZ-HM2508</v>
          </cell>
        </row>
        <row r="6602">
          <cell r="A6602" t="str">
            <v>YZ-HM2508-R0-M</v>
          </cell>
          <cell r="B6602" t="str">
            <v>YZ-HM2508</v>
          </cell>
        </row>
        <row r="6603">
          <cell r="A6603" t="str">
            <v>YZ-HM30CH</v>
          </cell>
          <cell r="B6603" t="str">
            <v>YZ-HM30CH</v>
          </cell>
        </row>
        <row r="6604">
          <cell r="A6604" t="str">
            <v>YZ-HM30CH-K0-L</v>
          </cell>
          <cell r="B6604" t="str">
            <v>YZ-HM30CH</v>
          </cell>
        </row>
        <row r="6605">
          <cell r="A6605" t="str">
            <v>YZ-HM30CH-K0-M</v>
          </cell>
          <cell r="B6605" t="str">
            <v>YZ-HM30CH</v>
          </cell>
        </row>
        <row r="6606">
          <cell r="A6606" t="str">
            <v>YZ-HM30CH-K0-S</v>
          </cell>
          <cell r="B6606" t="str">
            <v>YZ-HM30CH</v>
          </cell>
        </row>
        <row r="6607">
          <cell r="A6607" t="str">
            <v>YZ-HM30CH-K0-S-GM</v>
          </cell>
          <cell r="B6607" t="str">
            <v>YZ-HM30CH</v>
          </cell>
        </row>
        <row r="6608">
          <cell r="A6608" t="str">
            <v>YZ-HM30CH-K0-XL</v>
          </cell>
          <cell r="B6608" t="str">
            <v>YZ-HM30CH</v>
          </cell>
        </row>
        <row r="6609">
          <cell r="A6609" t="str">
            <v>YZ-HM30CH-K0-XS</v>
          </cell>
          <cell r="B6609" t="str">
            <v>YZ-HM30CH</v>
          </cell>
        </row>
        <row r="6610">
          <cell r="A6610" t="str">
            <v>YZ-HM30CH-L</v>
          </cell>
          <cell r="B6610" t="str">
            <v>YZ-HM30CH</v>
          </cell>
        </row>
        <row r="6611">
          <cell r="A6611" t="str">
            <v>YZ-HM30CH-L-GM</v>
          </cell>
          <cell r="B6611" t="str">
            <v>YZ-HM30CH</v>
          </cell>
        </row>
        <row r="6612">
          <cell r="A6612" t="str">
            <v>YZ-HM30CH-M</v>
          </cell>
          <cell r="B6612" t="str">
            <v>YZ-HM30CH</v>
          </cell>
        </row>
        <row r="6613">
          <cell r="A6613" t="str">
            <v>YZ-HM30CH-M-GM</v>
          </cell>
          <cell r="B6613" t="str">
            <v>YZ-HM30CH</v>
          </cell>
        </row>
        <row r="6614">
          <cell r="A6614" t="str">
            <v>YZ-HM30CH-Pi-L</v>
          </cell>
          <cell r="B6614" t="str">
            <v>YZ-HM30CH</v>
          </cell>
        </row>
        <row r="6615">
          <cell r="A6615" t="str">
            <v>YZ-HM30CH-Pi-M</v>
          </cell>
          <cell r="B6615" t="str">
            <v>YZ-HM30CH</v>
          </cell>
        </row>
        <row r="6616">
          <cell r="A6616" t="str">
            <v>YZ-HM30CH-Pi-S</v>
          </cell>
          <cell r="B6616" t="str">
            <v>YZ-HM30CH</v>
          </cell>
        </row>
        <row r="6617">
          <cell r="A6617" t="str">
            <v>YZ-HM30CH-Pi-XL</v>
          </cell>
          <cell r="B6617" t="str">
            <v>YZ-HM30CH</v>
          </cell>
        </row>
        <row r="6618">
          <cell r="A6618" t="str">
            <v>YZ-HM30CH-Pi-XS</v>
          </cell>
          <cell r="B6618" t="str">
            <v>YZ-HM30CH</v>
          </cell>
        </row>
        <row r="6619">
          <cell r="A6619" t="str">
            <v>YZ-HM30CH-S</v>
          </cell>
          <cell r="B6619" t="str">
            <v>YZ-HM30CH</v>
          </cell>
        </row>
        <row r="6620">
          <cell r="A6620" t="str">
            <v>YZ-HM30CH-S-GM</v>
          </cell>
          <cell r="B6620" t="str">
            <v>YZ-HM30CH</v>
          </cell>
        </row>
        <row r="6621">
          <cell r="A6621" t="str">
            <v>YZ-HM30CH-XL</v>
          </cell>
          <cell r="B6621" t="str">
            <v>YZ-HM30CH</v>
          </cell>
        </row>
        <row r="6622">
          <cell r="A6622" t="str">
            <v>YZ-HM30CH-XL-GM</v>
          </cell>
          <cell r="B6622" t="str">
            <v>YZ-HM30CH</v>
          </cell>
        </row>
        <row r="6623">
          <cell r="A6623" t="str">
            <v>YZ-HM30CH-XL-GMM</v>
          </cell>
          <cell r="B6623" t="str">
            <v>YZ-HM30CH</v>
          </cell>
        </row>
        <row r="6624">
          <cell r="A6624" t="str">
            <v>YZ-HM30CH-XS</v>
          </cell>
          <cell r="B6624" t="str">
            <v>YZ-HM30CH</v>
          </cell>
        </row>
        <row r="6625">
          <cell r="A6625" t="str">
            <v>YZ-HM30CH-XS-GM</v>
          </cell>
          <cell r="B6625" t="str">
            <v>YZ-HM30CH</v>
          </cell>
        </row>
        <row r="6626">
          <cell r="A6626" t="str">
            <v>YZ-HM33-B0-L</v>
          </cell>
          <cell r="B6626" t="str">
            <v>YZ-HM33</v>
          </cell>
        </row>
        <row r="6627">
          <cell r="A6627" t="str">
            <v>YZ-HM33-B0-M</v>
          </cell>
          <cell r="B6627" t="str">
            <v>YZ-HM33</v>
          </cell>
        </row>
        <row r="6628">
          <cell r="A6628" t="str">
            <v>YZ-HM33-K0-L</v>
          </cell>
          <cell r="B6628" t="str">
            <v>YZ-HM33</v>
          </cell>
        </row>
        <row r="6629">
          <cell r="A6629" t="str">
            <v>YZ-HM33-K0-M</v>
          </cell>
          <cell r="B6629" t="str">
            <v>YZ-HM33</v>
          </cell>
        </row>
        <row r="6630">
          <cell r="A6630" t="str">
            <v>YZ-HM33-K0-S</v>
          </cell>
          <cell r="B6630" t="str">
            <v>YZ-HM33</v>
          </cell>
        </row>
        <row r="6631">
          <cell r="A6631" t="str">
            <v>YZ-HM33-K0-XL</v>
          </cell>
          <cell r="B6631" t="str">
            <v>YZ-HM33</v>
          </cell>
        </row>
        <row r="6632">
          <cell r="A6632" t="str">
            <v>YZ-HM33-R0-L</v>
          </cell>
          <cell r="B6632" t="str">
            <v>YZ-HM33</v>
          </cell>
        </row>
        <row r="6633">
          <cell r="A6633" t="str">
            <v>YZ-HM33-R0-M</v>
          </cell>
          <cell r="B6633" t="str">
            <v>YZ-HM33</v>
          </cell>
        </row>
        <row r="6634">
          <cell r="A6634" t="str">
            <v>YZ-HM33-R0-XL</v>
          </cell>
          <cell r="B6634" t="str">
            <v>YZ-HM33</v>
          </cell>
        </row>
        <row r="6635">
          <cell r="A6635" t="str">
            <v>YZ-HM41843-AS-2XL</v>
          </cell>
          <cell r="B6635" t="str">
            <v>YZ-HM41843</v>
          </cell>
        </row>
        <row r="6636">
          <cell r="A6636" t="str">
            <v>YZ-HM462-WR-4XL</v>
          </cell>
          <cell r="B6636" t="str">
            <v>YZ-HM462</v>
          </cell>
        </row>
        <row r="6637">
          <cell r="A6637" t="str">
            <v>YZ-HM5036-B0-2XL</v>
          </cell>
          <cell r="B6637" t="str">
            <v>YZ-HM5036</v>
          </cell>
        </row>
        <row r="6638">
          <cell r="A6638" t="str">
            <v>YZ-HM5036-W0-2XL</v>
          </cell>
          <cell r="B6638" t="str">
            <v>YZ-HM5036</v>
          </cell>
        </row>
        <row r="6639">
          <cell r="A6639" t="str">
            <v>YZ-HM5036-W0-3XL</v>
          </cell>
          <cell r="B6639" t="str">
            <v>YZ-HM5036</v>
          </cell>
        </row>
        <row r="6640">
          <cell r="A6640" t="str">
            <v>YZ-HM5036-W0-L</v>
          </cell>
          <cell r="B6640" t="str">
            <v>YZ-HM5036</v>
          </cell>
        </row>
        <row r="6641">
          <cell r="A6641" t="str">
            <v>YZ-HM5036-W0-XL</v>
          </cell>
          <cell r="B6641" t="str">
            <v>YZ-HM5036</v>
          </cell>
        </row>
        <row r="6642">
          <cell r="A6642" t="str">
            <v>YZ-HM5048-K0-L</v>
          </cell>
          <cell r="B6642" t="str">
            <v>YZ-HM5048</v>
          </cell>
        </row>
        <row r="6643">
          <cell r="A6643" t="str">
            <v>YZ-HM5048-K0-XL</v>
          </cell>
          <cell r="B6643" t="str">
            <v>YZ-HM5048</v>
          </cell>
        </row>
        <row r="6644">
          <cell r="A6644" t="str">
            <v>YZ-HM5263-K0-L</v>
          </cell>
          <cell r="B6644" t="str">
            <v>YZ-HM5263</v>
          </cell>
        </row>
        <row r="6645">
          <cell r="A6645" t="str">
            <v>YZ-HM5263-R0-L</v>
          </cell>
          <cell r="B6645" t="str">
            <v>YZ-HM5263</v>
          </cell>
        </row>
        <row r="6646">
          <cell r="A6646" t="str">
            <v>YZ-HM5263-R0-M</v>
          </cell>
          <cell r="B6646" t="str">
            <v>YZ-HM5263</v>
          </cell>
        </row>
        <row r="6647">
          <cell r="A6647" t="str">
            <v>YZ-HM5263-R0-S</v>
          </cell>
          <cell r="B6647" t="str">
            <v>YZ-HM5263</v>
          </cell>
        </row>
        <row r="6648">
          <cell r="A6648" t="str">
            <v>YZ-HM5263-W0-L</v>
          </cell>
          <cell r="B6648" t="str">
            <v>YZ-HM5263</v>
          </cell>
        </row>
        <row r="6649">
          <cell r="A6649" t="str">
            <v>YZ-HM6175-B0-L</v>
          </cell>
          <cell r="B6649" t="str">
            <v>YZ-HM6175</v>
          </cell>
        </row>
        <row r="6650">
          <cell r="A6650" t="str">
            <v>YZ-HM6175-B0-M</v>
          </cell>
          <cell r="B6650" t="str">
            <v>YZ-HM6175</v>
          </cell>
        </row>
        <row r="6651">
          <cell r="A6651" t="str">
            <v>YZ-HM6175-G0-M</v>
          </cell>
          <cell r="B6651" t="str">
            <v>YZ-HM6175</v>
          </cell>
        </row>
        <row r="6652">
          <cell r="A6652" t="str">
            <v>YZ-HM6175-K0-M</v>
          </cell>
          <cell r="B6652" t="str">
            <v>YZ-HM6175</v>
          </cell>
        </row>
        <row r="6653">
          <cell r="A6653" t="str">
            <v>YZ-HM6175-R0-M</v>
          </cell>
          <cell r="B6653" t="str">
            <v>YZ-HM6175</v>
          </cell>
        </row>
        <row r="6654">
          <cell r="A6654" t="str">
            <v>YZ-HM635-FB-4XL</v>
          </cell>
          <cell r="B6654" t="str">
            <v>YZ-HM635</v>
          </cell>
        </row>
        <row r="6655">
          <cell r="A6655" t="str">
            <v>YZ-HM635-LB-L</v>
          </cell>
          <cell r="B6655" t="str">
            <v>YZ-HM635</v>
          </cell>
        </row>
        <row r="6656">
          <cell r="A6656" t="str">
            <v>YZ-HM635-R0-2XL</v>
          </cell>
          <cell r="B6656" t="str">
            <v>YZ-HM635</v>
          </cell>
        </row>
        <row r="6657">
          <cell r="A6657" t="str">
            <v>YZ-HM635-R0-L</v>
          </cell>
          <cell r="B6657" t="str">
            <v>YZ-HM635</v>
          </cell>
        </row>
        <row r="6658">
          <cell r="A6658" t="str">
            <v>YZ-HM635-R2-XL</v>
          </cell>
          <cell r="B6658" t="str">
            <v>YZ-HM635</v>
          </cell>
        </row>
        <row r="6659">
          <cell r="A6659" t="str">
            <v>YZ-HM635-Y0-L</v>
          </cell>
          <cell r="B6659" t="str">
            <v>YZ-HM635</v>
          </cell>
        </row>
        <row r="6660">
          <cell r="A6660" t="str">
            <v>YZ-HM688-K0-L</v>
          </cell>
          <cell r="B6660" t="str">
            <v>YZ-HM688</v>
          </cell>
        </row>
        <row r="6661">
          <cell r="A6661" t="str">
            <v>YZ-HM688-K0-XL</v>
          </cell>
          <cell r="B6661" t="str">
            <v>YZ-HM688</v>
          </cell>
        </row>
        <row r="6662">
          <cell r="A6662" t="str">
            <v>YZ-HM7035-DJG0-L</v>
          </cell>
          <cell r="B6662" t="str">
            <v>YZ-HM7035</v>
          </cell>
        </row>
        <row r="6663">
          <cell r="A6663" t="str">
            <v>YZ-HM7035-DJG0-M</v>
          </cell>
          <cell r="B6663" t="str">
            <v>YZ-HM7035</v>
          </cell>
        </row>
        <row r="6664">
          <cell r="A6664" t="str">
            <v>YZ-HM7035-DJG0-S</v>
          </cell>
          <cell r="B6664" t="str">
            <v>YZ-HM7035</v>
          </cell>
        </row>
        <row r="6665">
          <cell r="A6665" t="str">
            <v>YZ-HM7035-DJG0-XL</v>
          </cell>
          <cell r="B6665" t="str">
            <v>YZ-HM7035</v>
          </cell>
        </row>
        <row r="6666">
          <cell r="A6666" t="str">
            <v>YZ-HM7035-G0-L</v>
          </cell>
          <cell r="B6666" t="str">
            <v>YZ-HM7035</v>
          </cell>
        </row>
        <row r="6667">
          <cell r="A6667" t="str">
            <v>YZ-HM7035-G0-M</v>
          </cell>
          <cell r="B6667" t="str">
            <v>YZ-HM7035</v>
          </cell>
        </row>
        <row r="6668">
          <cell r="A6668" t="str">
            <v>YZ-HM7035-G0-S</v>
          </cell>
          <cell r="B6668" t="str">
            <v>YZ-HM7035</v>
          </cell>
        </row>
        <row r="6669">
          <cell r="A6669" t="str">
            <v>YZ-HM7035-G0-XL</v>
          </cell>
          <cell r="B6669" t="str">
            <v>YZ-HM7035</v>
          </cell>
        </row>
        <row r="6670">
          <cell r="A6670" t="str">
            <v>YZ-HM7040-ZL-L</v>
          </cell>
          <cell r="B6670" t="str">
            <v>YZ-HM7040</v>
          </cell>
        </row>
        <row r="6671">
          <cell r="A6671" t="str">
            <v>YZ-HM7040-ZL-M</v>
          </cell>
          <cell r="B6671" t="str">
            <v>YZ-HM7040</v>
          </cell>
        </row>
        <row r="6672">
          <cell r="A6672" t="str">
            <v>YZ-HM7040-ZL-S</v>
          </cell>
          <cell r="B6672" t="str">
            <v>YZ-HM7040</v>
          </cell>
        </row>
        <row r="6673">
          <cell r="A6673" t="str">
            <v>YZ-HM7040-ZL-XL</v>
          </cell>
          <cell r="B6673" t="str">
            <v>YZ-HM7040</v>
          </cell>
        </row>
        <row r="6674">
          <cell r="A6674" t="str">
            <v>YZ-HM7889-B0-1X</v>
          </cell>
          <cell r="B6674" t="str">
            <v>YZ-HM7889</v>
          </cell>
        </row>
        <row r="6675">
          <cell r="A6675" t="str">
            <v>YZ-HM7889-B0-2X</v>
          </cell>
          <cell r="B6675" t="str">
            <v>YZ-HM7889</v>
          </cell>
        </row>
        <row r="6676">
          <cell r="A6676" t="str">
            <v>YZ-HM7889-B0-4X</v>
          </cell>
          <cell r="B6676" t="str">
            <v>YZ-HM7889</v>
          </cell>
        </row>
        <row r="6677">
          <cell r="A6677" t="str">
            <v>YZ-HM7889-B0-5X</v>
          </cell>
          <cell r="B6677" t="str">
            <v>YZ-HM7889</v>
          </cell>
        </row>
        <row r="6678">
          <cell r="A6678" t="str">
            <v>YZ-HM7889-R0-1X</v>
          </cell>
          <cell r="B6678" t="str">
            <v>YZ-HM7889</v>
          </cell>
        </row>
        <row r="6679">
          <cell r="A6679" t="str">
            <v>YZ-HM7889-R0-3X</v>
          </cell>
          <cell r="B6679" t="str">
            <v>YZ-HM7889</v>
          </cell>
        </row>
        <row r="6680">
          <cell r="A6680" t="str">
            <v>YZ-HM7889-R0-4X</v>
          </cell>
          <cell r="B6680" t="str">
            <v>YZ-HM7889</v>
          </cell>
        </row>
        <row r="6681">
          <cell r="A6681" t="str">
            <v>YZ-HM7889-R0-5X</v>
          </cell>
          <cell r="B6681" t="str">
            <v>YZ-HM7889</v>
          </cell>
        </row>
        <row r="6682">
          <cell r="A6682" t="str">
            <v>YZ-HMBKN0193-W0-XL</v>
          </cell>
          <cell r="B6682" t="str">
            <v>YZ-HMBKN0193</v>
          </cell>
        </row>
        <row r="6683">
          <cell r="A6683" t="str">
            <v>YZ-HMBKN0193-W0-XXL</v>
          </cell>
          <cell r="B6683" t="str">
            <v>YZ-HMBKN0193</v>
          </cell>
        </row>
        <row r="6684">
          <cell r="A6684" t="str">
            <v>YZ-HMBKN1209</v>
          </cell>
          <cell r="B6684" t="str">
            <v>YZ-HMBKN1209</v>
          </cell>
        </row>
        <row r="6685">
          <cell r="A6685" t="str">
            <v>YZ-HMBKN1209-L</v>
          </cell>
          <cell r="B6685" t="str">
            <v>YZ-HMBKN1209</v>
          </cell>
        </row>
        <row r="6686">
          <cell r="A6686" t="str">
            <v>YZ-HMBKN1209-M</v>
          </cell>
          <cell r="B6686" t="str">
            <v>YZ-HMBKN1209</v>
          </cell>
        </row>
        <row r="6687">
          <cell r="A6687" t="str">
            <v>YZ-HMBKN1209-S</v>
          </cell>
          <cell r="B6687" t="str">
            <v>YZ-HMBKN1209</v>
          </cell>
        </row>
        <row r="6688">
          <cell r="A6688" t="str">
            <v>YZ-HMBKN1209-XL</v>
          </cell>
          <cell r="B6688" t="str">
            <v>YZ-HMBKN1209</v>
          </cell>
        </row>
        <row r="6689">
          <cell r="A6689" t="str">
            <v>YZ-HMBKN1209-XXL</v>
          </cell>
          <cell r="B6689" t="str">
            <v>YZ-HMBKN1209</v>
          </cell>
        </row>
        <row r="6690">
          <cell r="A6690" t="str">
            <v>YZ-HMBKN16024-G0-L</v>
          </cell>
          <cell r="B6690" t="str">
            <v>YZ-HMBKN16024</v>
          </cell>
        </row>
        <row r="6691">
          <cell r="A6691" t="str">
            <v>YZ-HMBKN16024-G0-M</v>
          </cell>
          <cell r="B6691" t="str">
            <v>YZ-HMBKN16024</v>
          </cell>
        </row>
        <row r="6692">
          <cell r="A6692" t="str">
            <v>YZ-HMBKN16024-G0-S</v>
          </cell>
          <cell r="B6692" t="str">
            <v>YZ-HMBKN16024</v>
          </cell>
        </row>
        <row r="6693">
          <cell r="A6693" t="str">
            <v>YZ-HMBKN16024-Y0-L</v>
          </cell>
          <cell r="B6693" t="str">
            <v>YZ-HMBKN16024</v>
          </cell>
        </row>
        <row r="6694">
          <cell r="A6694" t="str">
            <v>YZ-HMBKN16024-Y0-M</v>
          </cell>
          <cell r="B6694" t="str">
            <v>YZ-HMBKN16024</v>
          </cell>
        </row>
        <row r="6695">
          <cell r="A6695" t="str">
            <v>YZ-HMBKN16024-Y0-S</v>
          </cell>
          <cell r="B6695" t="str">
            <v>YZ-HMBKN16024</v>
          </cell>
        </row>
        <row r="6696">
          <cell r="A6696" t="str">
            <v>YZ-HMBKN1645-R0-S</v>
          </cell>
          <cell r="B6696" t="str">
            <v>YZ-HMBKN1645</v>
          </cell>
        </row>
        <row r="6697">
          <cell r="A6697" t="str">
            <v>YZ-HMBKN17015-K0-L</v>
          </cell>
          <cell r="B6697" t="str">
            <v>YZ-HMBKN17015</v>
          </cell>
        </row>
        <row r="6698">
          <cell r="A6698" t="str">
            <v>YZ-HMBKN17015-K0-M</v>
          </cell>
          <cell r="B6698" t="str">
            <v>YZ-HMBKN17015</v>
          </cell>
        </row>
        <row r="6699">
          <cell r="A6699" t="str">
            <v>YZ-HMBKN17015-K0-S</v>
          </cell>
          <cell r="B6699" t="str">
            <v>YZ-HMBKN17015</v>
          </cell>
        </row>
        <row r="6700">
          <cell r="A6700" t="str">
            <v>YZ-HMBKN17015-K0-XL</v>
          </cell>
          <cell r="B6700" t="str">
            <v>YZ-HMBKN17015</v>
          </cell>
        </row>
        <row r="6701">
          <cell r="A6701" t="str">
            <v>YZ-HMBKN17015-OR-L</v>
          </cell>
          <cell r="B6701" t="str">
            <v>YZ-HMBKN17015</v>
          </cell>
        </row>
        <row r="6702">
          <cell r="A6702" t="str">
            <v>YZ-HMBKN17015-OR-M</v>
          </cell>
          <cell r="B6702" t="str">
            <v>YZ-HMBKN17015</v>
          </cell>
        </row>
        <row r="6703">
          <cell r="A6703" t="str">
            <v>YZ-HMBKN17015-OR-S</v>
          </cell>
          <cell r="B6703" t="str">
            <v>YZ-HMBKN17015</v>
          </cell>
        </row>
        <row r="6704">
          <cell r="A6704" t="str">
            <v>YZ-HMBKN17015-OR-XL</v>
          </cell>
          <cell r="B6704" t="str">
            <v>YZ-HMBKN17015</v>
          </cell>
        </row>
        <row r="6705">
          <cell r="A6705" t="str">
            <v>YZ-HMBKN1715-B0-L</v>
          </cell>
          <cell r="B6705" t="str">
            <v>YZ-HMBKN1715</v>
          </cell>
        </row>
        <row r="6706">
          <cell r="A6706" t="str">
            <v>YZ-HMBKN1715-R0-L</v>
          </cell>
          <cell r="B6706" t="str">
            <v>YZ-HMBKN1715</v>
          </cell>
        </row>
        <row r="6707">
          <cell r="A6707" t="str">
            <v>YZ-HMBKN1715-R0-M</v>
          </cell>
          <cell r="B6707" t="str">
            <v>YZ-HMBKN1715</v>
          </cell>
        </row>
        <row r="6708">
          <cell r="A6708" t="str">
            <v>YZ-HMBKN1715-R0-S</v>
          </cell>
          <cell r="B6708" t="str">
            <v>YZ-HMBKN1715</v>
          </cell>
        </row>
        <row r="6709">
          <cell r="A6709" t="str">
            <v>YZ-HMBKN2600-K0-M</v>
          </cell>
          <cell r="B6709" t="str">
            <v>YZ-HMBKN2600</v>
          </cell>
        </row>
        <row r="6710">
          <cell r="A6710" t="str">
            <v>YZ-HMBKN30-B0YH-L</v>
          </cell>
          <cell r="B6710" t="str">
            <v>YZ-HMBKN30</v>
          </cell>
        </row>
        <row r="6711">
          <cell r="A6711" t="str">
            <v>YZ-HMBKN30-B0YH-M</v>
          </cell>
          <cell r="B6711" t="str">
            <v>YZ-HMBKN30</v>
          </cell>
        </row>
        <row r="6712">
          <cell r="A6712" t="str">
            <v>YZ-HMBKN30-B0YH-S</v>
          </cell>
          <cell r="B6712" t="str">
            <v>YZ-HMBKN30</v>
          </cell>
        </row>
        <row r="6713">
          <cell r="A6713" t="str">
            <v>YZ-HMBKN30-B0YH-XL</v>
          </cell>
          <cell r="B6713" t="str">
            <v>YZ-HMBKN30</v>
          </cell>
        </row>
        <row r="6714">
          <cell r="A6714" t="str">
            <v>YZ-HMBKN30-K0-L</v>
          </cell>
          <cell r="B6714" t="str">
            <v>YZ-HMBKN30</v>
          </cell>
        </row>
        <row r="6715">
          <cell r="A6715" t="str">
            <v>YZ-HMBKN30-K0-M</v>
          </cell>
          <cell r="B6715" t="str">
            <v>YZ-HMBKN30</v>
          </cell>
        </row>
        <row r="6716">
          <cell r="A6716" t="str">
            <v>YZ-HMBKN30-K0-S</v>
          </cell>
          <cell r="B6716" t="str">
            <v>YZ-HMBKN30</v>
          </cell>
        </row>
        <row r="6717">
          <cell r="A6717" t="str">
            <v>YZ-HMBKN30-K0YH-L</v>
          </cell>
          <cell r="B6717" t="str">
            <v>YZ-HMBKN30</v>
          </cell>
        </row>
        <row r="6718">
          <cell r="A6718" t="str">
            <v>YZ-HMBKN30-K0YH-M</v>
          </cell>
          <cell r="B6718" t="str">
            <v>YZ-HMBKN30</v>
          </cell>
        </row>
        <row r="6719">
          <cell r="A6719" t="str">
            <v>YZ-HMBKN30-K0YH-S</v>
          </cell>
          <cell r="B6719" t="str">
            <v>YZ-HMBKN30</v>
          </cell>
        </row>
        <row r="6720">
          <cell r="A6720" t="str">
            <v>YZ-HMBKN30-K0YH-XL</v>
          </cell>
          <cell r="B6720" t="str">
            <v>YZ-HMBKN30</v>
          </cell>
        </row>
        <row r="6721">
          <cell r="A6721" t="str">
            <v>YZ-HMBKN30-PI-L</v>
          </cell>
          <cell r="B6721" t="str">
            <v>YZ-HMBKN30</v>
          </cell>
        </row>
        <row r="6722">
          <cell r="A6722" t="str">
            <v>YZ-HMBKN30-PI-M</v>
          </cell>
          <cell r="B6722" t="str">
            <v>YZ-HMBKN30</v>
          </cell>
        </row>
        <row r="6723">
          <cell r="A6723" t="str">
            <v>YZ-HMBKN30-PI-S</v>
          </cell>
          <cell r="B6723" t="str">
            <v>YZ-HMBKN30</v>
          </cell>
        </row>
        <row r="6724">
          <cell r="A6724" t="str">
            <v>YZ-HMBKN30-PI-XL</v>
          </cell>
          <cell r="B6724" t="str">
            <v>YZ-HMBKN30</v>
          </cell>
        </row>
        <row r="6725">
          <cell r="A6725" t="str">
            <v>YZ-HMBKN30-WR-L</v>
          </cell>
          <cell r="B6725" t="str">
            <v>YZ-HMBKN30</v>
          </cell>
        </row>
        <row r="6726">
          <cell r="A6726" t="str">
            <v>YZ-HMBKN30-WR-XL</v>
          </cell>
          <cell r="B6726" t="str">
            <v>YZ-HMBKN30</v>
          </cell>
        </row>
        <row r="6727">
          <cell r="A6727" t="str">
            <v>YZ-HMBKN30-ZL-L</v>
          </cell>
          <cell r="B6727" t="str">
            <v>YZ-HMBKN30</v>
          </cell>
        </row>
        <row r="6728">
          <cell r="A6728" t="str">
            <v>YZ-HMBKN30-ZL-M</v>
          </cell>
          <cell r="B6728" t="str">
            <v>YZ-HMBKN30</v>
          </cell>
        </row>
        <row r="6729">
          <cell r="A6729" t="str">
            <v>YZ-HMBKN30-ZL-S</v>
          </cell>
          <cell r="B6729" t="str">
            <v>YZ-HMBKN30</v>
          </cell>
        </row>
        <row r="6730">
          <cell r="A6730" t="str">
            <v>YZ-HMBKN30-ZL-XL</v>
          </cell>
          <cell r="B6730" t="str">
            <v>YZ-HMBKN30</v>
          </cell>
        </row>
        <row r="6731">
          <cell r="A6731" t="str">
            <v>YZ-HMBKN3308-K0-2XL</v>
          </cell>
          <cell r="B6731" t="str">
            <v>YZ-HMBKN3308</v>
          </cell>
        </row>
        <row r="6732">
          <cell r="A6732" t="str">
            <v>YZ-HMBKN3308-K0-3XL</v>
          </cell>
          <cell r="B6732" t="str">
            <v>YZ-HMBKN3308</v>
          </cell>
        </row>
        <row r="6733">
          <cell r="A6733" t="str">
            <v>YZ-HMBKN3308-K0-4XL</v>
          </cell>
          <cell r="B6733" t="str">
            <v>YZ-HMBKN3308</v>
          </cell>
        </row>
        <row r="6734">
          <cell r="A6734" t="str">
            <v>YZ-HMBKN3308-K0-6XL</v>
          </cell>
          <cell r="B6734" t="str">
            <v>YZ-HMBKN3308</v>
          </cell>
        </row>
        <row r="6735">
          <cell r="A6735" t="str">
            <v>YZ-HMBKN3308-K0-7XL</v>
          </cell>
          <cell r="B6735" t="str">
            <v>YZ-HMBKN3308</v>
          </cell>
        </row>
        <row r="6736">
          <cell r="A6736" t="str">
            <v>YZ-HMBKN3308-K0-L</v>
          </cell>
          <cell r="B6736" t="str">
            <v>YZ-HMBKN3308</v>
          </cell>
        </row>
        <row r="6737">
          <cell r="A6737" t="str">
            <v>YZ-HMBKN3308-K0-XL</v>
          </cell>
          <cell r="B6737" t="str">
            <v>YZ-HMBKN3308</v>
          </cell>
        </row>
        <row r="6738">
          <cell r="A6738" t="str">
            <v>YZ-HMBKN7017-Pi-L</v>
          </cell>
          <cell r="B6738" t="str">
            <v>YZ-HMBKN7017</v>
          </cell>
        </row>
        <row r="6739">
          <cell r="A6739" t="str">
            <v>YZ-HMBKN7017-Pi-M</v>
          </cell>
          <cell r="B6739" t="str">
            <v>YZ-HMBKN7017</v>
          </cell>
        </row>
        <row r="6740">
          <cell r="A6740" t="str">
            <v>YZ-HMBKN967-B0-L</v>
          </cell>
          <cell r="B6740" t="str">
            <v>YZ-HMBKN967</v>
          </cell>
        </row>
        <row r="6741">
          <cell r="A6741" t="str">
            <v>YZ-HMBKN967-B0-M</v>
          </cell>
          <cell r="B6741" t="str">
            <v>YZ-HMBKN967</v>
          </cell>
        </row>
        <row r="6742">
          <cell r="A6742" t="str">
            <v>YZ-HMBKN967-B0-S</v>
          </cell>
          <cell r="B6742" t="str">
            <v>YZ-HMBKN967</v>
          </cell>
        </row>
        <row r="6743">
          <cell r="A6743" t="str">
            <v>YZ-HMBKN967-K0-L</v>
          </cell>
          <cell r="B6743" t="str">
            <v>YZ-HMBKN967</v>
          </cell>
        </row>
        <row r="6744">
          <cell r="A6744" t="str">
            <v>YZ-HMBKN967-K0-M</v>
          </cell>
          <cell r="B6744" t="str">
            <v>YZ-HMBKN967</v>
          </cell>
        </row>
        <row r="6745">
          <cell r="A6745" t="str">
            <v>YZ-HMBKN967-K0-S</v>
          </cell>
          <cell r="B6745" t="str">
            <v>YZ-HMBKN967</v>
          </cell>
        </row>
        <row r="6746">
          <cell r="A6746" t="str">
            <v>YZ-HMBKN967-R0-L</v>
          </cell>
          <cell r="B6746" t="str">
            <v>YZ-HMBKN967</v>
          </cell>
        </row>
        <row r="6747">
          <cell r="A6747" t="str">
            <v>YZ-HMBKN967-R0-M</v>
          </cell>
          <cell r="B6747" t="str">
            <v>YZ-HMBKN967</v>
          </cell>
        </row>
        <row r="6748">
          <cell r="A6748" t="str">
            <v>YZ-HMBKN967-R0-S</v>
          </cell>
          <cell r="B6748" t="str">
            <v>YZ-HMBKN967</v>
          </cell>
        </row>
        <row r="6749">
          <cell r="A6749" t="str">
            <v>YZ-HMCX218-R0-L</v>
          </cell>
          <cell r="B6749" t="str">
            <v>YZ-HMCX218</v>
          </cell>
        </row>
        <row r="6750">
          <cell r="A6750" t="str">
            <v>YZ-HMCX218-R0-M</v>
          </cell>
          <cell r="B6750" t="str">
            <v>YZ-HMCX218</v>
          </cell>
        </row>
        <row r="6751">
          <cell r="A6751" t="str">
            <v>YZ-HMCX218-R0-S</v>
          </cell>
          <cell r="B6751" t="str">
            <v>YZ-HMCX218</v>
          </cell>
        </row>
        <row r="6752">
          <cell r="A6752" t="str">
            <v>YZ-HMCX218-R0-XL</v>
          </cell>
          <cell r="B6752" t="str">
            <v>YZ-HMCX218</v>
          </cell>
        </row>
        <row r="6753">
          <cell r="A6753" t="str">
            <v>YZ-HMJ005-B0-2XL</v>
          </cell>
          <cell r="B6753" t="str">
            <v>YZ-HMJ005</v>
          </cell>
        </row>
        <row r="6754">
          <cell r="A6754" t="str">
            <v>YZ-HMJ005-B0-L</v>
          </cell>
          <cell r="B6754" t="str">
            <v>YZ-HMJ005</v>
          </cell>
        </row>
        <row r="6755">
          <cell r="A6755" t="str">
            <v>YZ-HMJ005-B0-M</v>
          </cell>
          <cell r="B6755" t="str">
            <v>YZ-HMJ005</v>
          </cell>
        </row>
        <row r="6756">
          <cell r="A6756" t="str">
            <v>YZ-HMJ005-B0-S</v>
          </cell>
          <cell r="B6756" t="str">
            <v>YZ-HMJ005</v>
          </cell>
        </row>
        <row r="6757">
          <cell r="A6757" t="str">
            <v>YZ-HMJ005-B0-XL</v>
          </cell>
          <cell r="B6757" t="str">
            <v>YZ-HMJ005</v>
          </cell>
        </row>
        <row r="6758">
          <cell r="A6758" t="str">
            <v>YZ-HMJ005-K0-2XL</v>
          </cell>
          <cell r="B6758" t="str">
            <v>YZ-HMJ005</v>
          </cell>
        </row>
        <row r="6759">
          <cell r="A6759" t="str">
            <v>YZ-HMJ005-K0-L</v>
          </cell>
          <cell r="B6759" t="str">
            <v>YZ-HMJ005</v>
          </cell>
        </row>
        <row r="6760">
          <cell r="A6760" t="str">
            <v>YZ-HMJ005-K0-M</v>
          </cell>
          <cell r="B6760" t="str">
            <v>YZ-HMJ005</v>
          </cell>
        </row>
        <row r="6761">
          <cell r="A6761" t="str">
            <v>YZ-HMJ005-K0-S</v>
          </cell>
          <cell r="B6761" t="str">
            <v>YZ-HMJ005</v>
          </cell>
        </row>
        <row r="6762">
          <cell r="A6762" t="str">
            <v>YZ-HMJ005-K0-XL</v>
          </cell>
          <cell r="B6762" t="str">
            <v>YZ-HMJ005</v>
          </cell>
        </row>
        <row r="6763">
          <cell r="A6763" t="str">
            <v>YZ-HMSG001-G0-L</v>
          </cell>
          <cell r="B6763" t="str">
            <v>YZ-HMSG001</v>
          </cell>
        </row>
        <row r="6764">
          <cell r="A6764" t="str">
            <v>YZ-HMSG001-G0-M</v>
          </cell>
          <cell r="B6764" t="str">
            <v>YZ-HMSG001</v>
          </cell>
        </row>
        <row r="6765">
          <cell r="A6765" t="str">
            <v>YZ-HMTW001</v>
          </cell>
          <cell r="B6765" t="str">
            <v>YZ-HMTW001</v>
          </cell>
        </row>
        <row r="6766">
          <cell r="A6766" t="str">
            <v>YZ-HMTW001-K0-L</v>
          </cell>
          <cell r="B6766" t="str">
            <v>YZ-HMTW001</v>
          </cell>
        </row>
        <row r="6767">
          <cell r="A6767" t="str">
            <v>YZ-HMTW001-K0-M</v>
          </cell>
          <cell r="B6767" t="str">
            <v>YZ-HMTW001</v>
          </cell>
        </row>
        <row r="6768">
          <cell r="A6768" t="str">
            <v>YZ-HMTW001-K0-S</v>
          </cell>
          <cell r="B6768" t="str">
            <v>YZ-HMTW001</v>
          </cell>
        </row>
        <row r="6769">
          <cell r="A6769" t="str">
            <v>YZ-HMTW001-K0-XL</v>
          </cell>
          <cell r="B6769" t="str">
            <v>YZ-HMTW001</v>
          </cell>
        </row>
        <row r="6770">
          <cell r="A6770" t="str">
            <v>YZ-HMTW001-K0-XS</v>
          </cell>
          <cell r="B6770" t="str">
            <v>YZ-HMTW001</v>
          </cell>
        </row>
        <row r="6771">
          <cell r="A6771" t="str">
            <v>YZ-HMVS-W0-S</v>
          </cell>
          <cell r="B6771" t="str">
            <v>YZ-HMVS</v>
          </cell>
        </row>
        <row r="6772">
          <cell r="A6772" t="str">
            <v>YZ-HN6902BD1L</v>
          </cell>
          <cell r="B6772" t="str">
            <v>YZ-HN6902</v>
          </cell>
        </row>
        <row r="6773">
          <cell r="A6773" t="str">
            <v>YZ-HN6902BD2L</v>
          </cell>
          <cell r="B6773" t="str">
            <v>YZ-HN6902</v>
          </cell>
        </row>
        <row r="6774">
          <cell r="A6774" t="str">
            <v>YZ-HN6902BDL</v>
          </cell>
          <cell r="B6774" t="str">
            <v>YZ-HN6902</v>
          </cell>
        </row>
        <row r="6775">
          <cell r="A6775" t="str">
            <v>YZ-HN6902BDM</v>
          </cell>
          <cell r="B6775" t="str">
            <v>YZ-HN6902</v>
          </cell>
        </row>
        <row r="6776">
          <cell r="A6776" t="str">
            <v>YZ-HN6902FB1L</v>
          </cell>
          <cell r="B6776" t="str">
            <v>YZ-HN6902</v>
          </cell>
        </row>
        <row r="6777">
          <cell r="A6777" t="str">
            <v>YZ-HN6902FB2L</v>
          </cell>
          <cell r="B6777" t="str">
            <v>YZ-HN6902</v>
          </cell>
        </row>
        <row r="6778">
          <cell r="A6778" t="str">
            <v>YZ-HN6902FBL</v>
          </cell>
          <cell r="B6778" t="str">
            <v>YZ-HN6902</v>
          </cell>
        </row>
        <row r="6779">
          <cell r="A6779" t="str">
            <v>YZ-HN6902FBM</v>
          </cell>
          <cell r="B6779" t="str">
            <v>YZ-HN6902</v>
          </cell>
        </row>
        <row r="6780">
          <cell r="A6780" t="str">
            <v>YZ-HN6902G01L</v>
          </cell>
          <cell r="B6780" t="str">
            <v>YZ-HN6902</v>
          </cell>
        </row>
        <row r="6781">
          <cell r="A6781" t="str">
            <v>YZ-HN6902G02L</v>
          </cell>
          <cell r="B6781" t="str">
            <v>YZ-HN6902</v>
          </cell>
        </row>
        <row r="6782">
          <cell r="A6782" t="str">
            <v>YZ-HN6902G0L</v>
          </cell>
          <cell r="B6782" t="str">
            <v>YZ-HN6902</v>
          </cell>
        </row>
        <row r="6783">
          <cell r="A6783" t="str">
            <v>YZ-HN6902G0M</v>
          </cell>
          <cell r="B6783" t="str">
            <v>YZ-HN6902</v>
          </cell>
        </row>
        <row r="6784">
          <cell r="A6784" t="str">
            <v>YZ-HN6902K01L</v>
          </cell>
          <cell r="B6784" t="str">
            <v>YZ-HN6902</v>
          </cell>
        </row>
        <row r="6785">
          <cell r="A6785" t="str">
            <v>YZ-HN6902K02L</v>
          </cell>
          <cell r="B6785" t="str">
            <v>YZ-HN6902</v>
          </cell>
        </row>
        <row r="6786">
          <cell r="A6786" t="str">
            <v>YZ-HN6902K0L</v>
          </cell>
          <cell r="B6786" t="str">
            <v>YZ-HN6902</v>
          </cell>
        </row>
        <row r="6787">
          <cell r="A6787" t="str">
            <v>YZ-HN6902K0M</v>
          </cell>
          <cell r="B6787" t="str">
            <v>YZ-HN6902</v>
          </cell>
        </row>
        <row r="6788">
          <cell r="A6788" t="str">
            <v>YZ-HT1304G01L</v>
          </cell>
          <cell r="B6788" t="str">
            <v>YZ-HE13037</v>
          </cell>
        </row>
        <row r="6789">
          <cell r="A6789" t="str">
            <v>YZ-HT1304G02L</v>
          </cell>
          <cell r="B6789" t="str">
            <v>YZ-HE13037</v>
          </cell>
        </row>
        <row r="6790">
          <cell r="A6790" t="str">
            <v>YZ-HT1304G03L</v>
          </cell>
          <cell r="B6790" t="str">
            <v>YZ-HE13037</v>
          </cell>
        </row>
        <row r="6791">
          <cell r="A6791" t="str">
            <v>YZ-HT1304G04L</v>
          </cell>
          <cell r="B6791" t="str">
            <v>YZ-HE13037</v>
          </cell>
        </row>
        <row r="6792">
          <cell r="A6792" t="str">
            <v>YZ-HT1304G05L</v>
          </cell>
          <cell r="B6792" t="str">
            <v>YZ-HE13037</v>
          </cell>
        </row>
        <row r="6793">
          <cell r="A6793" t="str">
            <v>YZ-HT1304Y01L</v>
          </cell>
          <cell r="B6793" t="str">
            <v>YZ-HE13037</v>
          </cell>
        </row>
        <row r="6794">
          <cell r="A6794" t="str">
            <v>YZ-HT1304Y02L</v>
          </cell>
          <cell r="B6794" t="str">
            <v>YZ-HE13037</v>
          </cell>
        </row>
        <row r="6795">
          <cell r="A6795" t="str">
            <v>YZ-HT1304Y03L</v>
          </cell>
          <cell r="B6795" t="str">
            <v>YZ-HE13037</v>
          </cell>
        </row>
        <row r="6796">
          <cell r="A6796" t="str">
            <v>YZ-HT1304Y04L</v>
          </cell>
          <cell r="B6796" t="str">
            <v>YZ-HE13037</v>
          </cell>
        </row>
        <row r="6797">
          <cell r="A6797" t="str">
            <v>YZ-HT1304Y05L</v>
          </cell>
          <cell r="B6797" t="str">
            <v>YZ-HE13037</v>
          </cell>
        </row>
        <row r="6798">
          <cell r="A6798" t="str">
            <v>YZ-JG2631001L</v>
          </cell>
          <cell r="B6798" t="str">
            <v>YZ-JG2631001</v>
          </cell>
        </row>
        <row r="6799">
          <cell r="A6799" t="str">
            <v>YZ-JG2631001L-GM</v>
          </cell>
          <cell r="B6799" t="str">
            <v>YZ-JG2631001</v>
          </cell>
        </row>
        <row r="6800">
          <cell r="A6800" t="str">
            <v>YZ-JG2631002L</v>
          </cell>
          <cell r="B6800" t="str">
            <v>YZ-JG2631002</v>
          </cell>
        </row>
        <row r="6801">
          <cell r="A6801" t="str">
            <v>YZ-JG2631002L-GM</v>
          </cell>
          <cell r="B6801" t="str">
            <v>YZ-JG2631002</v>
          </cell>
        </row>
        <row r="6802">
          <cell r="A6802" t="str">
            <v>YZ-JG2631003L</v>
          </cell>
          <cell r="B6802" t="str">
            <v>YZ-JG2631003</v>
          </cell>
        </row>
        <row r="6803">
          <cell r="A6803" t="str">
            <v>YZ-JG263100L</v>
          </cell>
          <cell r="B6803" t="str">
            <v>YZ-JG2631</v>
          </cell>
        </row>
        <row r="6804">
          <cell r="A6804" t="str">
            <v>YZ-JG263100M</v>
          </cell>
          <cell r="B6804" t="str">
            <v>YZ-JG2631</v>
          </cell>
        </row>
        <row r="6805">
          <cell r="A6805" t="str">
            <v>YZ-JG2631HS1L</v>
          </cell>
          <cell r="B6805" t="str">
            <v>YZ-JG2631</v>
          </cell>
        </row>
        <row r="6806">
          <cell r="A6806" t="str">
            <v>YZ-JG2631HSL</v>
          </cell>
          <cell r="B6806" t="str">
            <v>YZ-JG2631</v>
          </cell>
        </row>
        <row r="6807">
          <cell r="A6807" t="str">
            <v>YZ-JG2631HSM</v>
          </cell>
          <cell r="B6807" t="str">
            <v>YZ-JG2631</v>
          </cell>
        </row>
        <row r="6808">
          <cell r="A6808" t="str">
            <v>YZ-JG2631HSM-GM</v>
          </cell>
          <cell r="B6808" t="str">
            <v>YZ-JG2631</v>
          </cell>
        </row>
        <row r="6809">
          <cell r="A6809" t="str">
            <v>YZ-JG2631HSS</v>
          </cell>
          <cell r="B6809" t="str">
            <v>YZ-JG2631</v>
          </cell>
        </row>
        <row r="6810">
          <cell r="A6810" t="str">
            <v>YZ-JG2631HSXS</v>
          </cell>
          <cell r="B6810" t="str">
            <v>YZ-JG2631</v>
          </cell>
        </row>
        <row r="6811">
          <cell r="A6811" t="str">
            <v>YZ-JG2631K01L</v>
          </cell>
          <cell r="B6811" t="str">
            <v>YZ-JG2631</v>
          </cell>
        </row>
        <row r="6812">
          <cell r="A6812" t="str">
            <v>YZ-JG2631K02L</v>
          </cell>
          <cell r="B6812" t="str">
            <v>YZ-JG2631</v>
          </cell>
        </row>
        <row r="6813">
          <cell r="A6813" t="str">
            <v>YZ-JG2631K02L-GM</v>
          </cell>
          <cell r="B6813" t="str">
            <v>YZ-JG2631</v>
          </cell>
        </row>
        <row r="6814">
          <cell r="A6814" t="str">
            <v>YZ-JG2631K03L</v>
          </cell>
          <cell r="B6814" t="str">
            <v>YZ-JG2631</v>
          </cell>
        </row>
        <row r="6815">
          <cell r="A6815" t="str">
            <v>YZ-JG2631K0L</v>
          </cell>
          <cell r="B6815" t="str">
            <v>YZ-JG2631</v>
          </cell>
        </row>
        <row r="6816">
          <cell r="A6816" t="str">
            <v>YZ-JG2631K0M</v>
          </cell>
          <cell r="B6816" t="str">
            <v>YZ-JG2631</v>
          </cell>
        </row>
        <row r="6817">
          <cell r="A6817" t="str">
            <v>YZ-JG2631R01L</v>
          </cell>
          <cell r="B6817" t="str">
            <v>YZ-JG2631</v>
          </cell>
        </row>
        <row r="6818">
          <cell r="A6818" t="str">
            <v>YZ-JG2631R0L</v>
          </cell>
          <cell r="B6818" t="str">
            <v>YZ-JG2631</v>
          </cell>
        </row>
        <row r="6819">
          <cell r="A6819" t="str">
            <v>YZ-JG2631R0M</v>
          </cell>
          <cell r="B6819" t="str">
            <v>YZ-JG2631</v>
          </cell>
        </row>
        <row r="6820">
          <cell r="A6820" t="str">
            <v>YZ-JG2631R0S</v>
          </cell>
          <cell r="B6820" t="str">
            <v>YZ-JG2631</v>
          </cell>
        </row>
        <row r="6821">
          <cell r="A6821" t="str">
            <v>YZ-JG2631R0XS</v>
          </cell>
          <cell r="B6821" t="str">
            <v>YZ-JG2631</v>
          </cell>
        </row>
        <row r="6822">
          <cell r="A6822" t="str">
            <v>YZ-JG2631ZL1L</v>
          </cell>
          <cell r="B6822" t="str">
            <v>YZ-JG2631</v>
          </cell>
        </row>
        <row r="6823">
          <cell r="A6823" t="str">
            <v>YZ-JG2631ZL2L</v>
          </cell>
          <cell r="B6823" t="str">
            <v>YZ-JG2631</v>
          </cell>
        </row>
        <row r="6824">
          <cell r="A6824" t="str">
            <v>YZ-JG2631ZL3L</v>
          </cell>
          <cell r="B6824" t="str">
            <v>YZ-JG2631</v>
          </cell>
        </row>
        <row r="6825">
          <cell r="A6825" t="str">
            <v>YZ-JG2631ZLL</v>
          </cell>
          <cell r="B6825" t="str">
            <v>YZ-JG2631</v>
          </cell>
        </row>
        <row r="6826">
          <cell r="A6826" t="str">
            <v>YZ-JG2631ZLM</v>
          </cell>
          <cell r="B6826" t="str">
            <v>YZ-JG2631</v>
          </cell>
        </row>
        <row r="6827">
          <cell r="A6827" t="str">
            <v>YZ-JY1008-K0-M</v>
          </cell>
          <cell r="B6827" t="str">
            <v>YZ-JY1008</v>
          </cell>
        </row>
        <row r="6828">
          <cell r="A6828" t="str">
            <v>YZ-JY1151-K0-2XL</v>
          </cell>
          <cell r="B6828" t="str">
            <v>YZ-JY1151</v>
          </cell>
        </row>
        <row r="6829">
          <cell r="A6829" t="str">
            <v>YZ-JY1151-K0-L</v>
          </cell>
          <cell r="B6829" t="str">
            <v>YZ-JY1151</v>
          </cell>
        </row>
        <row r="6830">
          <cell r="A6830" t="str">
            <v>YZ-JY1151-K0-M</v>
          </cell>
          <cell r="B6830" t="str">
            <v>YZ-JY1151</v>
          </cell>
        </row>
        <row r="6831">
          <cell r="A6831" t="str">
            <v>YZ-JY1151-K0-XL</v>
          </cell>
          <cell r="B6831" t="str">
            <v>YZ-JY1151</v>
          </cell>
        </row>
        <row r="6832">
          <cell r="A6832" t="str">
            <v>YZ-JY1151-R0-2XL</v>
          </cell>
          <cell r="B6832" t="str">
            <v>YZ-JY1151</v>
          </cell>
        </row>
        <row r="6833">
          <cell r="A6833" t="str">
            <v>YZ-JY1151-R0-L</v>
          </cell>
          <cell r="B6833" t="str">
            <v>YZ-JY1151</v>
          </cell>
        </row>
        <row r="6834">
          <cell r="A6834" t="str">
            <v>YZ-JY1151-R0-M</v>
          </cell>
          <cell r="B6834" t="str">
            <v>YZ-JY1151</v>
          </cell>
        </row>
        <row r="6835">
          <cell r="A6835" t="str">
            <v>YZ-JY1151-R0-XL</v>
          </cell>
          <cell r="B6835" t="str">
            <v>YZ-JY1151</v>
          </cell>
        </row>
        <row r="6836">
          <cell r="A6836" t="str">
            <v>YZ-JY1151-ZL-2XL</v>
          </cell>
          <cell r="B6836" t="str">
            <v>YZ-JY1151</v>
          </cell>
        </row>
        <row r="6837">
          <cell r="A6837" t="str">
            <v>YZ-JY1151-ZL-L</v>
          </cell>
          <cell r="B6837" t="str">
            <v>YZ-JY1151</v>
          </cell>
        </row>
        <row r="6838">
          <cell r="A6838" t="str">
            <v>YZ-JY1151-ZL-M</v>
          </cell>
          <cell r="B6838" t="str">
            <v>YZ-JY1151</v>
          </cell>
        </row>
        <row r="6839">
          <cell r="A6839" t="str">
            <v>YZ-JY1151-ZL-XL</v>
          </cell>
          <cell r="B6839" t="str">
            <v>YZ-JY1151</v>
          </cell>
        </row>
        <row r="6840">
          <cell r="A6840" t="str">
            <v>YZ-JY15963-B0-2XL</v>
          </cell>
          <cell r="B6840" t="str">
            <v>YZ-JY15963</v>
          </cell>
        </row>
        <row r="6841">
          <cell r="A6841" t="str">
            <v>YZ-JY15963-B0-3XL</v>
          </cell>
          <cell r="B6841" t="str">
            <v>YZ-JY15963</v>
          </cell>
        </row>
        <row r="6842">
          <cell r="A6842" t="str">
            <v>YZ-JY15963-B0-L</v>
          </cell>
          <cell r="B6842" t="str">
            <v>YZ-JY15963</v>
          </cell>
        </row>
        <row r="6843">
          <cell r="A6843" t="str">
            <v>YZ-JY15963-B0-S</v>
          </cell>
          <cell r="B6843" t="str">
            <v>YZ-JY15963</v>
          </cell>
        </row>
        <row r="6844">
          <cell r="A6844" t="str">
            <v>YZ-JY2526-R0-2XL</v>
          </cell>
          <cell r="B6844" t="str">
            <v>YZ-JY2526</v>
          </cell>
        </row>
        <row r="6845">
          <cell r="A6845" t="str">
            <v>YZ-JY2526-R0-3XL</v>
          </cell>
          <cell r="B6845" t="str">
            <v>YZ-JY2526</v>
          </cell>
        </row>
        <row r="6846">
          <cell r="A6846" t="str">
            <v>YZ-JY2526-R0-4XL</v>
          </cell>
          <cell r="B6846" t="str">
            <v>YZ-JY2526</v>
          </cell>
        </row>
        <row r="6847">
          <cell r="A6847" t="str">
            <v>YZ-JY2526-R0-XL</v>
          </cell>
          <cell r="B6847" t="str">
            <v>YZ-JY2526</v>
          </cell>
        </row>
        <row r="6848">
          <cell r="A6848" t="str">
            <v>YZ-JY3233-K0-L</v>
          </cell>
          <cell r="B6848" t="str">
            <v>YZ-JY3233</v>
          </cell>
        </row>
        <row r="6849">
          <cell r="A6849" t="str">
            <v>YZ-JY3233-K0-M</v>
          </cell>
          <cell r="B6849" t="str">
            <v>YZ-JY3233</v>
          </cell>
        </row>
        <row r="6850">
          <cell r="A6850" t="str">
            <v>YZ-JY3233-K0-S</v>
          </cell>
          <cell r="B6850" t="str">
            <v>YZ-JY3233</v>
          </cell>
        </row>
        <row r="6851">
          <cell r="A6851" t="str">
            <v>YZ-JY3233-K0-XL</v>
          </cell>
          <cell r="B6851" t="str">
            <v>YZ-JY3233</v>
          </cell>
        </row>
        <row r="6852">
          <cell r="A6852" t="str">
            <v>YZ-JY3233-K0-XS</v>
          </cell>
          <cell r="B6852" t="str">
            <v>YZ-JY3233</v>
          </cell>
        </row>
        <row r="6853">
          <cell r="A6853" t="str">
            <v>YZ-JY3288-B0-1L</v>
          </cell>
          <cell r="B6853" t="str">
            <v>YZ-JY3288</v>
          </cell>
        </row>
        <row r="6854">
          <cell r="A6854" t="str">
            <v>YZ-JY5694-K0-2XL</v>
          </cell>
          <cell r="B6854" t="str">
            <v>YZ-JY5694</v>
          </cell>
        </row>
        <row r="6855">
          <cell r="A6855" t="str">
            <v>YZ-JY5694-K0-3XL</v>
          </cell>
          <cell r="B6855" t="str">
            <v>YZ-JY5694</v>
          </cell>
        </row>
        <row r="6856">
          <cell r="A6856" t="str">
            <v>YZ-JY5694-K0-4XL</v>
          </cell>
          <cell r="B6856" t="str">
            <v>YZ-JY5694</v>
          </cell>
        </row>
        <row r="6857">
          <cell r="A6857" t="str">
            <v>YZ-JY5694-K0-L</v>
          </cell>
          <cell r="B6857" t="str">
            <v>YZ-JY5694</v>
          </cell>
        </row>
        <row r="6858">
          <cell r="A6858" t="str">
            <v>YZ-JY5694-K0-M</v>
          </cell>
          <cell r="B6858" t="str">
            <v>YZ-JY5694</v>
          </cell>
        </row>
        <row r="6859">
          <cell r="A6859" t="str">
            <v>YZ-JY5694-K0-S</v>
          </cell>
          <cell r="B6859" t="str">
            <v>YZ-JY5694</v>
          </cell>
        </row>
        <row r="6860">
          <cell r="A6860" t="str">
            <v>YZ-JY5694-K0-XL</v>
          </cell>
          <cell r="B6860" t="str">
            <v>YZ-JY5694</v>
          </cell>
        </row>
        <row r="6861">
          <cell r="A6861" t="str">
            <v>YZ-JY7015-K0-L</v>
          </cell>
          <cell r="B6861" t="str">
            <v>YZ-JY7105</v>
          </cell>
        </row>
        <row r="6862">
          <cell r="A6862" t="str">
            <v>YZ-JY7015-K0-M</v>
          </cell>
          <cell r="B6862" t="str">
            <v>YZ-JY7105</v>
          </cell>
        </row>
        <row r="6863">
          <cell r="A6863" t="str">
            <v>YZ-JY7015-R0-L</v>
          </cell>
          <cell r="B6863" t="str">
            <v>YZ-JY7105</v>
          </cell>
        </row>
        <row r="6864">
          <cell r="A6864" t="str">
            <v>YZ-JY7015-R0-XL</v>
          </cell>
          <cell r="B6864" t="str">
            <v>YZ-JY7105</v>
          </cell>
        </row>
        <row r="6865">
          <cell r="A6865" t="str">
            <v>YZ-JY7105-K0-XL</v>
          </cell>
          <cell r="B6865" t="str">
            <v>YZ-JY7105</v>
          </cell>
        </row>
        <row r="6866">
          <cell r="A6866" t="str">
            <v>YZ-JY7755-HL-1L</v>
          </cell>
          <cell r="B6866" t="str">
            <v>YZ-HM30CH</v>
          </cell>
        </row>
        <row r="6867">
          <cell r="A6867" t="str">
            <v>YZ-JY7755-HL-2L</v>
          </cell>
          <cell r="B6867" t="str">
            <v>YZ-HM30CH</v>
          </cell>
        </row>
        <row r="6868">
          <cell r="A6868" t="str">
            <v>YZ-JY7755-HL-L</v>
          </cell>
          <cell r="B6868" t="str">
            <v>YZ-HM30CH</v>
          </cell>
        </row>
        <row r="6869">
          <cell r="A6869" t="str">
            <v>YZ-JY7755-HL-M</v>
          </cell>
          <cell r="B6869" t="str">
            <v>YZ-HM30CH</v>
          </cell>
        </row>
        <row r="6870">
          <cell r="A6870" t="str">
            <v>YZ-JY7755-HL-S</v>
          </cell>
          <cell r="B6870" t="str">
            <v>YZ-HM30CH</v>
          </cell>
        </row>
        <row r="6871">
          <cell r="A6871" t="str">
            <v>YZ-JY888-K0-2XL</v>
          </cell>
          <cell r="B6871" t="str">
            <v>YZ-JY888</v>
          </cell>
        </row>
        <row r="6872">
          <cell r="A6872" t="str">
            <v>YZ-JY888-K0-3XL</v>
          </cell>
          <cell r="B6872" t="str">
            <v>YZ-JY888</v>
          </cell>
        </row>
        <row r="6873">
          <cell r="A6873" t="str">
            <v>YZ-JY888-K0-M</v>
          </cell>
          <cell r="B6873" t="str">
            <v>YZ-JY888</v>
          </cell>
        </row>
        <row r="6874">
          <cell r="A6874" t="str">
            <v>YZ-KL5020FL1L</v>
          </cell>
          <cell r="B6874" t="str">
            <v>YZ-KL5020</v>
          </cell>
        </row>
        <row r="6875">
          <cell r="A6875" t="str">
            <v>YZ-KL5020FL2L</v>
          </cell>
          <cell r="B6875" t="str">
            <v>YZ-KL5020</v>
          </cell>
        </row>
        <row r="6876">
          <cell r="A6876" t="str">
            <v>YZ-KL5020FL3L</v>
          </cell>
          <cell r="B6876" t="str">
            <v>YZ-KL5020</v>
          </cell>
        </row>
        <row r="6877">
          <cell r="A6877" t="str">
            <v>YZ-KL5020FL4L</v>
          </cell>
          <cell r="B6877" t="str">
            <v>YZ-KL5020</v>
          </cell>
        </row>
        <row r="6878">
          <cell r="A6878" t="str">
            <v>YZ-KL5020FL5L</v>
          </cell>
          <cell r="B6878" t="str">
            <v>YZ-KL5020</v>
          </cell>
        </row>
        <row r="6879">
          <cell r="A6879" t="str">
            <v>YZ-KL5020ST1L</v>
          </cell>
          <cell r="B6879" t="str">
            <v>YZ-KL5020</v>
          </cell>
        </row>
        <row r="6880">
          <cell r="A6880" t="str">
            <v>YZ-KL5020ST2L</v>
          </cell>
          <cell r="B6880" t="str">
            <v>YZ-KL5020</v>
          </cell>
        </row>
        <row r="6881">
          <cell r="A6881" t="str">
            <v>YZ-KL5020ST3L</v>
          </cell>
          <cell r="B6881" t="str">
            <v>YZ-KL5020</v>
          </cell>
        </row>
        <row r="6882">
          <cell r="A6882" t="str">
            <v>YZ-KL5020ST4L</v>
          </cell>
          <cell r="B6882" t="str">
            <v>YZ-KL5020</v>
          </cell>
        </row>
        <row r="6883">
          <cell r="A6883" t="str">
            <v>YZ-KL5020ST5L</v>
          </cell>
          <cell r="B6883" t="str">
            <v>YZ-KL5020</v>
          </cell>
        </row>
        <row r="6884">
          <cell r="A6884" t="str">
            <v>YZ-KL5020TW1L</v>
          </cell>
          <cell r="B6884" t="str">
            <v>YZ-KL5020</v>
          </cell>
        </row>
        <row r="6885">
          <cell r="A6885" t="str">
            <v>YZ-KL5020TW2L</v>
          </cell>
          <cell r="B6885" t="str">
            <v>YZ-KL5020</v>
          </cell>
        </row>
        <row r="6886">
          <cell r="A6886" t="str">
            <v>YZ-KL5020TW3L</v>
          </cell>
          <cell r="B6886" t="str">
            <v>YZ-KL5020</v>
          </cell>
        </row>
        <row r="6887">
          <cell r="A6887" t="str">
            <v>YZ-KL5020TW4L</v>
          </cell>
          <cell r="B6887" t="str">
            <v>YZ-KL5020</v>
          </cell>
        </row>
        <row r="6888">
          <cell r="A6888" t="str">
            <v>YZ-KL5020TW5L</v>
          </cell>
          <cell r="B6888" t="str">
            <v>YZ-KL5020</v>
          </cell>
        </row>
        <row r="6889">
          <cell r="A6889" t="str">
            <v>YZ-KL5020YH1L</v>
          </cell>
          <cell r="B6889" t="str">
            <v>YZ-KL5020</v>
          </cell>
        </row>
        <row r="6890">
          <cell r="A6890" t="str">
            <v>YZ-KL5020YH2L</v>
          </cell>
          <cell r="B6890" t="str">
            <v>YZ-KL5020</v>
          </cell>
        </row>
        <row r="6891">
          <cell r="A6891" t="str">
            <v>YZ-KL5020YH3L</v>
          </cell>
          <cell r="B6891" t="str">
            <v>YZ-KL5020</v>
          </cell>
        </row>
        <row r="6892">
          <cell r="A6892" t="str">
            <v>YZ-KL5020YH4L</v>
          </cell>
          <cell r="B6892" t="str">
            <v>YZ-KL5020</v>
          </cell>
        </row>
        <row r="6893">
          <cell r="A6893" t="str">
            <v>YZ-KL5020YH5L</v>
          </cell>
          <cell r="B6893" t="str">
            <v>YZ-KL5020</v>
          </cell>
        </row>
        <row r="6894">
          <cell r="A6894" t="str">
            <v>YZ-LS1068B01L</v>
          </cell>
          <cell r="B6894" t="str">
            <v>YZ-LS1068</v>
          </cell>
        </row>
        <row r="6895">
          <cell r="A6895" t="str">
            <v>YZ-LS1068B0L</v>
          </cell>
          <cell r="B6895" t="str">
            <v>YZ-LS1068</v>
          </cell>
        </row>
        <row r="6896">
          <cell r="A6896" t="str">
            <v>YZ-LS1068B0M</v>
          </cell>
          <cell r="B6896" t="str">
            <v>YZ-LS1068</v>
          </cell>
        </row>
        <row r="6897">
          <cell r="A6897" t="str">
            <v>YZ-LS1068B0S</v>
          </cell>
          <cell r="B6897" t="str">
            <v>YZ-LS1068</v>
          </cell>
        </row>
        <row r="6898">
          <cell r="A6898" t="str">
            <v>YZ-LS1068K01L</v>
          </cell>
          <cell r="B6898" t="str">
            <v>YZ-LS1068</v>
          </cell>
        </row>
        <row r="6899">
          <cell r="A6899" t="str">
            <v>YZ-LS1068K0L</v>
          </cell>
          <cell r="B6899" t="str">
            <v>YZ-LS1068</v>
          </cell>
        </row>
        <row r="6900">
          <cell r="A6900" t="str">
            <v>YZ-LS1068K0M</v>
          </cell>
          <cell r="B6900" t="str">
            <v>YZ-LS1068</v>
          </cell>
        </row>
        <row r="6901">
          <cell r="A6901" t="str">
            <v>YZ-LS1068K0S</v>
          </cell>
          <cell r="B6901" t="str">
            <v>YZ-LS1068</v>
          </cell>
        </row>
        <row r="6902">
          <cell r="A6902" t="str">
            <v>YZ-LS1068W01L</v>
          </cell>
          <cell r="B6902" t="str">
            <v>YZ-LS1068</v>
          </cell>
        </row>
        <row r="6903">
          <cell r="A6903" t="str">
            <v>YZ-LS1068W0L</v>
          </cell>
          <cell r="B6903" t="str">
            <v>YZ-LS1068</v>
          </cell>
        </row>
        <row r="6904">
          <cell r="A6904" t="str">
            <v>YZ-LS1068W0M</v>
          </cell>
          <cell r="B6904" t="str">
            <v>YZ-LS1068</v>
          </cell>
        </row>
        <row r="6905">
          <cell r="A6905" t="str">
            <v>YZ-LS1068W0S</v>
          </cell>
          <cell r="B6905" t="str">
            <v>YZ-LS1068</v>
          </cell>
        </row>
        <row r="6906">
          <cell r="A6906" t="str">
            <v>YZ-LS1068WOL</v>
          </cell>
          <cell r="B6906" t="str">
            <v>YZ-LS1068</v>
          </cell>
        </row>
        <row r="6907">
          <cell r="A6907" t="str">
            <v>YZ-LS1068WOM</v>
          </cell>
          <cell r="B6907" t="str">
            <v>YZ-LS1068</v>
          </cell>
        </row>
        <row r="6908">
          <cell r="A6908" t="str">
            <v>YZ-MY1701</v>
          </cell>
          <cell r="B6908" t="str">
            <v>YZ-MY1701</v>
          </cell>
        </row>
        <row r="6909">
          <cell r="A6909" t="str">
            <v>YZ-MY1701-KO-L</v>
          </cell>
          <cell r="B6909" t="str">
            <v>YZ-MY1701</v>
          </cell>
        </row>
        <row r="6910">
          <cell r="A6910" t="str">
            <v>YZ-MY1701-KO-M</v>
          </cell>
          <cell r="B6910" t="str">
            <v>YZ-MY1701</v>
          </cell>
        </row>
        <row r="6911">
          <cell r="A6911" t="str">
            <v>YZ-MY1701-KO-S</v>
          </cell>
          <cell r="B6911" t="str">
            <v>YZ-MY1701</v>
          </cell>
        </row>
        <row r="6912">
          <cell r="A6912" t="str">
            <v>YZ-MY1701-KO-XL</v>
          </cell>
          <cell r="B6912" t="str">
            <v>YZ-MY1701</v>
          </cell>
        </row>
        <row r="6913">
          <cell r="A6913" t="str">
            <v>YZ-MY1701-KO-XS</v>
          </cell>
          <cell r="B6913" t="str">
            <v>YZ-MY1701</v>
          </cell>
        </row>
        <row r="6914">
          <cell r="A6914" t="str">
            <v>YZ-MY1702</v>
          </cell>
          <cell r="B6914" t="str">
            <v>YZ-MY1702</v>
          </cell>
        </row>
        <row r="6915">
          <cell r="A6915" t="str">
            <v>YZ-MY1702-GO-L</v>
          </cell>
          <cell r="B6915" t="str">
            <v>YZ-MY1702</v>
          </cell>
        </row>
        <row r="6916">
          <cell r="A6916" t="str">
            <v>YZ-MY1702-GO-M</v>
          </cell>
          <cell r="B6916" t="str">
            <v>YZ-MY1702</v>
          </cell>
        </row>
        <row r="6917">
          <cell r="A6917" t="str">
            <v>YZ-MY1702-GO-S</v>
          </cell>
          <cell r="B6917" t="str">
            <v>YZ-MY1702</v>
          </cell>
        </row>
        <row r="6918">
          <cell r="A6918" t="str">
            <v>YZ-MY1702-GO-XL</v>
          </cell>
          <cell r="B6918" t="str">
            <v>YZ-MY1702</v>
          </cell>
        </row>
        <row r="6919">
          <cell r="A6919" t="str">
            <v>YZ-MY1702-GO-XS</v>
          </cell>
          <cell r="B6919" t="str">
            <v>YZ-MY1702</v>
          </cell>
        </row>
        <row r="6920">
          <cell r="A6920" t="str">
            <v>YZ-MY1727</v>
          </cell>
          <cell r="B6920" t="str">
            <v>YZ-MY1727</v>
          </cell>
        </row>
        <row r="6921">
          <cell r="A6921" t="str">
            <v>YZ-MY1727-2XL</v>
          </cell>
          <cell r="B6921" t="str">
            <v>YZ-MY1727</v>
          </cell>
        </row>
        <row r="6922">
          <cell r="A6922" t="str">
            <v>YZ-MY1727-L</v>
          </cell>
          <cell r="B6922" t="str">
            <v>YZ-MY1727</v>
          </cell>
        </row>
        <row r="6923">
          <cell r="A6923" t="str">
            <v>YZ-MY1727-M</v>
          </cell>
          <cell r="B6923" t="str">
            <v>YZ-MY1727</v>
          </cell>
        </row>
        <row r="6924">
          <cell r="A6924" t="str">
            <v>YZ-MY1727-S</v>
          </cell>
          <cell r="B6924" t="str">
            <v>YZ-MY1727</v>
          </cell>
        </row>
        <row r="6925">
          <cell r="A6925" t="str">
            <v>YZ-MY1727-XL</v>
          </cell>
          <cell r="B6925" t="str">
            <v>YZ-MY1727</v>
          </cell>
        </row>
        <row r="6926">
          <cell r="A6926" t="str">
            <v>YZ-MYBKN1703</v>
          </cell>
          <cell r="B6926" t="str">
            <v>YZ-MYBKN1703</v>
          </cell>
        </row>
        <row r="6927">
          <cell r="A6927" t="str">
            <v>YZ-MYBKN1703-R0-L</v>
          </cell>
          <cell r="B6927" t="str">
            <v>YZ-MYBKN1703</v>
          </cell>
        </row>
        <row r="6928">
          <cell r="A6928" t="str">
            <v>YZ-MYBKN1703-R0-M</v>
          </cell>
          <cell r="B6928" t="str">
            <v>YZ-MYBKN1703</v>
          </cell>
        </row>
        <row r="6929">
          <cell r="A6929" t="str">
            <v>YZ-MYBKN1703-R0-S</v>
          </cell>
          <cell r="B6929" t="str">
            <v>YZ-MYBKN1703</v>
          </cell>
        </row>
        <row r="6930">
          <cell r="A6930" t="str">
            <v>YZ-MYBKN1703-R0-XL</v>
          </cell>
          <cell r="B6930" t="str">
            <v>YZ-MYBKN1703</v>
          </cell>
        </row>
        <row r="6931">
          <cell r="A6931" t="str">
            <v>YZ-MYBKN1703-R0-XS</v>
          </cell>
          <cell r="B6931" t="str">
            <v>YZ-MYBKN1703</v>
          </cell>
        </row>
        <row r="6932">
          <cell r="A6932" t="str">
            <v>YZ-MY-JY3233</v>
          </cell>
          <cell r="B6932" t="str">
            <v>YZ-MY-JY3233</v>
          </cell>
        </row>
        <row r="6933">
          <cell r="A6933" t="str">
            <v>YZ-MY-JY3233-K0-L</v>
          </cell>
          <cell r="B6933" t="str">
            <v>YZ-MY-JY3233</v>
          </cell>
        </row>
        <row r="6934">
          <cell r="A6934" t="str">
            <v>YZ-MY-JY3233-K0-M</v>
          </cell>
          <cell r="B6934" t="str">
            <v>YZ-MY-JY3233</v>
          </cell>
        </row>
        <row r="6935">
          <cell r="A6935" t="str">
            <v>YZ-MY-JY3233-K0-S</v>
          </cell>
          <cell r="B6935" t="str">
            <v>YZ-MY-JY3233</v>
          </cell>
        </row>
        <row r="6936">
          <cell r="A6936" t="str">
            <v>YZ-MY-JY3233-K0-XL</v>
          </cell>
          <cell r="B6936" t="str">
            <v>YZ-MY-JY3233</v>
          </cell>
        </row>
        <row r="6937">
          <cell r="A6937" t="str">
            <v>YZ-MY-JY3233-K0-XS</v>
          </cell>
          <cell r="B6937" t="str">
            <v>YZ-MY-JY3233</v>
          </cell>
        </row>
        <row r="6938">
          <cell r="A6938" t="str">
            <v>YZ-MYQQ1706</v>
          </cell>
          <cell r="B6938" t="str">
            <v>YZ-MYQQ1706</v>
          </cell>
        </row>
        <row r="6939">
          <cell r="A6939" t="str">
            <v>YZ-MYQQ1706-K0-2XL</v>
          </cell>
          <cell r="B6939" t="str">
            <v>YZ-MYQQ1706</v>
          </cell>
        </row>
        <row r="6940">
          <cell r="A6940" t="str">
            <v>YZ-MYQQ1706-K0-L</v>
          </cell>
          <cell r="B6940" t="str">
            <v>YZ-MYQQ1706</v>
          </cell>
        </row>
        <row r="6941">
          <cell r="A6941" t="str">
            <v>YZ-MYQQ1706-K0-M</v>
          </cell>
          <cell r="B6941" t="str">
            <v>YZ-MYQQ1706</v>
          </cell>
        </row>
        <row r="6942">
          <cell r="A6942" t="str">
            <v>YZ-MYQQ1706-K0-S</v>
          </cell>
          <cell r="B6942" t="str">
            <v>YZ-MYQQ1706</v>
          </cell>
        </row>
        <row r="6943">
          <cell r="A6943" t="str">
            <v>YZ-MYQQ1706-K0-XL</v>
          </cell>
          <cell r="B6943" t="str">
            <v>YZ-MYQQ1706</v>
          </cell>
        </row>
        <row r="6944">
          <cell r="A6944" t="str">
            <v>YZ-MYQQ1706-K0-XS</v>
          </cell>
          <cell r="B6944" t="str">
            <v>YZ-MYQQ1706</v>
          </cell>
        </row>
        <row r="6945">
          <cell r="A6945" t="str">
            <v>YZ-MYQZ1709</v>
          </cell>
          <cell r="B6945" t="str">
            <v>YZ-MYQZ1709</v>
          </cell>
        </row>
        <row r="6946">
          <cell r="A6946" t="str">
            <v>YZ-MYQZ1709-K0-2XL</v>
          </cell>
          <cell r="B6946" t="str">
            <v>YZ-MYQZ1709</v>
          </cell>
        </row>
        <row r="6947">
          <cell r="A6947" t="str">
            <v>YZ-MYQZ1709-K0-3XL</v>
          </cell>
          <cell r="B6947" t="str">
            <v>YZ-MYQZ1709</v>
          </cell>
        </row>
        <row r="6948">
          <cell r="A6948" t="str">
            <v>YZ-MYQZ1709-K0-L</v>
          </cell>
          <cell r="B6948" t="str">
            <v>YZ-MYQZ1709</v>
          </cell>
        </row>
        <row r="6949">
          <cell r="A6949" t="str">
            <v>YZ-MYQZ1709-K0-M</v>
          </cell>
          <cell r="B6949" t="str">
            <v>YZ-MYQZ1709</v>
          </cell>
        </row>
        <row r="6950">
          <cell r="A6950" t="str">
            <v>YZ-MYQZ1709-K0-S</v>
          </cell>
          <cell r="B6950" t="str">
            <v>YZ-MYQZ1709</v>
          </cell>
        </row>
        <row r="6951">
          <cell r="A6951" t="str">
            <v>YZ-MYQZ1709-K0-XL</v>
          </cell>
          <cell r="B6951" t="str">
            <v>YZ-MYQZ1709</v>
          </cell>
        </row>
        <row r="6952">
          <cell r="A6952" t="str">
            <v>YZ-MYQZ1709-K0-XS</v>
          </cell>
          <cell r="B6952" t="str">
            <v>YZ-MYQZ1709</v>
          </cell>
        </row>
        <row r="6953">
          <cell r="A6953" t="str">
            <v>YZ-MYQZ1709-R0-2XL</v>
          </cell>
          <cell r="B6953" t="str">
            <v>YZ-MYQZ1709</v>
          </cell>
        </row>
        <row r="6954">
          <cell r="A6954" t="str">
            <v>YZ-MYQZ1709-R0-3XL</v>
          </cell>
          <cell r="B6954" t="str">
            <v>YZ-MYQZ1709</v>
          </cell>
        </row>
        <row r="6955">
          <cell r="A6955" t="str">
            <v>YZ-MYQZ1709-R0-L</v>
          </cell>
          <cell r="B6955" t="str">
            <v>YZ-MYQZ1709</v>
          </cell>
        </row>
        <row r="6956">
          <cell r="A6956" t="str">
            <v>YZ-MYQZ1709-R0-M</v>
          </cell>
          <cell r="B6956" t="str">
            <v>YZ-MYQZ1709</v>
          </cell>
        </row>
        <row r="6957">
          <cell r="A6957" t="str">
            <v>YZ-MYQZ1709-R0-S</v>
          </cell>
          <cell r="B6957" t="str">
            <v>YZ-MYQZ1709</v>
          </cell>
        </row>
        <row r="6958">
          <cell r="A6958" t="str">
            <v>YZ-MYQZ1709-R0-XL</v>
          </cell>
          <cell r="B6958" t="str">
            <v>YZ-MYQZ1709</v>
          </cell>
        </row>
        <row r="6959">
          <cell r="A6959" t="str">
            <v>YZ-MYQZ1709-R0-XS</v>
          </cell>
          <cell r="B6959" t="str">
            <v>YZ-MYQZ1709</v>
          </cell>
        </row>
        <row r="6960">
          <cell r="A6960" t="str">
            <v>YZ-MYSJ1708</v>
          </cell>
          <cell r="B6960" t="str">
            <v>YZ-MYSJ1708</v>
          </cell>
        </row>
        <row r="6961">
          <cell r="A6961" t="str">
            <v>YZ-MYSJ1708-K0-2XL</v>
          </cell>
          <cell r="B6961" t="str">
            <v>YZ-MYSJ1708</v>
          </cell>
        </row>
        <row r="6962">
          <cell r="A6962" t="str">
            <v>YZ-MYSJ1708-K0-L</v>
          </cell>
          <cell r="B6962" t="str">
            <v>YZ-MYSJ1708</v>
          </cell>
        </row>
        <row r="6963">
          <cell r="A6963" t="str">
            <v>YZ-MYSJ1708-K0-M</v>
          </cell>
          <cell r="B6963" t="str">
            <v>YZ-MYSJ1708</v>
          </cell>
        </row>
        <row r="6964">
          <cell r="A6964" t="str">
            <v>YZ-MYSJ1708-K0-S</v>
          </cell>
          <cell r="B6964" t="str">
            <v>YZ-MYSJ1708</v>
          </cell>
        </row>
        <row r="6965">
          <cell r="A6965" t="str">
            <v>YZ-MYSJ1708-K0-XL</v>
          </cell>
          <cell r="B6965" t="str">
            <v>YZ-MYSJ1708</v>
          </cell>
        </row>
        <row r="6966">
          <cell r="A6966" t="str">
            <v>YZ-MYSJ1708-K0-XS</v>
          </cell>
          <cell r="B6966" t="str">
            <v>YZ-MYSJ1708</v>
          </cell>
        </row>
        <row r="6967">
          <cell r="A6967" t="str">
            <v>YZ-MYSJ1708-R0-2XL</v>
          </cell>
          <cell r="B6967" t="str">
            <v>YZ-MYSJ1708</v>
          </cell>
        </row>
        <row r="6968">
          <cell r="A6968" t="str">
            <v>YZ-MYSJ1708-R0-L</v>
          </cell>
          <cell r="B6968" t="str">
            <v>YZ-MYSJ1708</v>
          </cell>
        </row>
        <row r="6969">
          <cell r="A6969" t="str">
            <v>YZ-MYSJ1708-R0-M</v>
          </cell>
          <cell r="B6969" t="str">
            <v>YZ-MYSJ1708</v>
          </cell>
        </row>
        <row r="6970">
          <cell r="A6970" t="str">
            <v>YZ-MYSJ1708-R0-S</v>
          </cell>
          <cell r="B6970" t="str">
            <v>YZ-MYSJ1708</v>
          </cell>
        </row>
        <row r="6971">
          <cell r="A6971" t="str">
            <v>YZ-MYSJ1708-R0-XL</v>
          </cell>
          <cell r="B6971" t="str">
            <v>YZ-MYSJ1708</v>
          </cell>
        </row>
        <row r="6972">
          <cell r="A6972" t="str">
            <v>YZ-MYSJ1708-R0-XS</v>
          </cell>
          <cell r="B6972" t="str">
            <v>YZ-MYSJ1708</v>
          </cell>
        </row>
        <row r="6973">
          <cell r="A6973" t="str">
            <v>YZNA11B04XL</v>
          </cell>
          <cell r="B6973" t="str">
            <v>YZNA11</v>
          </cell>
        </row>
        <row r="6974">
          <cell r="A6974" t="str">
            <v>YZNA11B0L</v>
          </cell>
          <cell r="B6974" t="str">
            <v>YZNA11</v>
          </cell>
        </row>
        <row r="6975">
          <cell r="A6975" t="str">
            <v>YZNA11B0M</v>
          </cell>
          <cell r="B6975" t="str">
            <v>YZNA11</v>
          </cell>
        </row>
        <row r="6976">
          <cell r="A6976" t="str">
            <v>YZNA11B0XL</v>
          </cell>
          <cell r="B6976" t="str">
            <v>YZNA11</v>
          </cell>
        </row>
        <row r="6977">
          <cell r="A6977" t="str">
            <v>YZNA11B0XXXL</v>
          </cell>
          <cell r="B6977" t="str">
            <v>YZNA11</v>
          </cell>
        </row>
        <row r="6978">
          <cell r="A6978" t="str">
            <v>YZNA11K04xL</v>
          </cell>
          <cell r="B6978" t="str">
            <v>YZNA11</v>
          </cell>
        </row>
        <row r="6979">
          <cell r="A6979" t="str">
            <v>YZNA11K0L</v>
          </cell>
          <cell r="B6979" t="str">
            <v>YZNA11</v>
          </cell>
        </row>
        <row r="6980">
          <cell r="A6980" t="str">
            <v>YZNA11K0M</v>
          </cell>
          <cell r="B6980" t="str">
            <v>YZNA11</v>
          </cell>
        </row>
        <row r="6981">
          <cell r="A6981" t="str">
            <v>YZNA11K0XL</v>
          </cell>
          <cell r="B6981" t="str">
            <v>YZNA11</v>
          </cell>
        </row>
        <row r="6982">
          <cell r="A6982" t="str">
            <v>YZNA11K0XXXL</v>
          </cell>
          <cell r="B6982" t="str">
            <v>YZNA11</v>
          </cell>
        </row>
        <row r="6983">
          <cell r="A6983" t="str">
            <v>YZ-NA13037EZ1L</v>
          </cell>
          <cell r="B6983" t="str">
            <v>YZ-NA13037</v>
          </cell>
        </row>
        <row r="6984">
          <cell r="A6984" t="str">
            <v>YZ-NA13037EZ2L</v>
          </cell>
          <cell r="B6984" t="str">
            <v>YZ-NA13037</v>
          </cell>
        </row>
        <row r="6985">
          <cell r="A6985" t="str">
            <v>YZ-NA13037EZ3L</v>
          </cell>
          <cell r="B6985" t="str">
            <v>YZ-NA13037</v>
          </cell>
        </row>
        <row r="6986">
          <cell r="A6986" t="str">
            <v>YZ-NA13037EZ4L</v>
          </cell>
          <cell r="B6986" t="str">
            <v>YZ-NA13037</v>
          </cell>
        </row>
        <row r="6987">
          <cell r="A6987" t="str">
            <v>YZ-NA13037EZ5L</v>
          </cell>
          <cell r="B6987" t="str">
            <v>YZ-NA13037</v>
          </cell>
        </row>
        <row r="6988">
          <cell r="A6988" t="str">
            <v>YZ-NA13037EZ6L</v>
          </cell>
          <cell r="B6988" t="str">
            <v>YZ-NA13037</v>
          </cell>
        </row>
        <row r="6989">
          <cell r="A6989" t="str">
            <v>YZ-NA13037EZ7L</v>
          </cell>
          <cell r="B6989" t="str">
            <v>YZ-NA13037</v>
          </cell>
        </row>
        <row r="6990">
          <cell r="A6990" t="str">
            <v>YZ-NA13037EZ8L</v>
          </cell>
          <cell r="B6990" t="str">
            <v>YZ-NA13037</v>
          </cell>
        </row>
        <row r="6991">
          <cell r="A6991" t="str">
            <v>YZ-NA13037EZ9L</v>
          </cell>
          <cell r="B6991" t="str">
            <v>YZ-NA13037</v>
          </cell>
        </row>
        <row r="6992">
          <cell r="A6992" t="str">
            <v>YZ-NA13037Or1L</v>
          </cell>
          <cell r="B6992" t="str">
            <v>YZ-NA13037</v>
          </cell>
        </row>
        <row r="6993">
          <cell r="A6993" t="str">
            <v>YZ-NA13037Or2L</v>
          </cell>
          <cell r="B6993" t="str">
            <v>YZ-NA13037</v>
          </cell>
        </row>
        <row r="6994">
          <cell r="A6994" t="str">
            <v>YZ-NA13037Or3L</v>
          </cell>
          <cell r="B6994" t="str">
            <v>YZ-NA13037</v>
          </cell>
        </row>
        <row r="6995">
          <cell r="A6995" t="str">
            <v>YZ-NA13037Or4L</v>
          </cell>
          <cell r="B6995" t="str">
            <v>YZ-NA13037</v>
          </cell>
        </row>
        <row r="6996">
          <cell r="A6996" t="str">
            <v>YZ-NA13037Or5L</v>
          </cell>
          <cell r="B6996" t="str">
            <v>YZ-NA13037</v>
          </cell>
        </row>
        <row r="6997">
          <cell r="A6997" t="str">
            <v>YZ-NA13037Or6L</v>
          </cell>
          <cell r="B6997" t="str">
            <v>YZ-NA13037</v>
          </cell>
        </row>
        <row r="6998">
          <cell r="A6998" t="str">
            <v>YZ-NA13037Or7L</v>
          </cell>
          <cell r="B6998" t="str">
            <v>YZ-NA13037</v>
          </cell>
        </row>
        <row r="6999">
          <cell r="A6999" t="str">
            <v>YZ-NA13037Or8L</v>
          </cell>
          <cell r="B6999" t="str">
            <v>YZ-NA13037</v>
          </cell>
        </row>
        <row r="7000">
          <cell r="A7000" t="str">
            <v>YZ-NA13037Or9L</v>
          </cell>
          <cell r="B7000" t="str">
            <v>YZ-NA13037</v>
          </cell>
        </row>
        <row r="7001">
          <cell r="A7001" t="str">
            <v>YZ-NA13037Pu1L</v>
          </cell>
          <cell r="B7001" t="str">
            <v>YZ-NA13037</v>
          </cell>
        </row>
        <row r="7002">
          <cell r="A7002" t="str">
            <v>YZ-NA13037Pu2L</v>
          </cell>
          <cell r="B7002" t="str">
            <v>YZ-NA13037</v>
          </cell>
        </row>
        <row r="7003">
          <cell r="A7003" t="str">
            <v>YZ-NA13037Pu3L</v>
          </cell>
          <cell r="B7003" t="str">
            <v>YZ-NA13037</v>
          </cell>
        </row>
        <row r="7004">
          <cell r="A7004" t="str">
            <v>YZ-NA13037Pu4L</v>
          </cell>
          <cell r="B7004" t="str">
            <v>YZ-NA13037</v>
          </cell>
        </row>
        <row r="7005">
          <cell r="A7005" t="str">
            <v>YZ-NA13037Pu5L</v>
          </cell>
          <cell r="B7005" t="str">
            <v>YZ-NA13037</v>
          </cell>
        </row>
        <row r="7006">
          <cell r="A7006" t="str">
            <v>YZ-NA13037Pu6L</v>
          </cell>
          <cell r="B7006" t="str">
            <v>YZ-NA13037</v>
          </cell>
        </row>
        <row r="7007">
          <cell r="A7007" t="str">
            <v>YZ-NA13037Pu7L</v>
          </cell>
          <cell r="B7007" t="str">
            <v>YZ-NA13037</v>
          </cell>
        </row>
        <row r="7008">
          <cell r="A7008" t="str">
            <v>YZ-NA13037Pu8L</v>
          </cell>
          <cell r="B7008" t="str">
            <v>YZ-NA13037</v>
          </cell>
        </row>
        <row r="7009">
          <cell r="A7009" t="str">
            <v>YZ-NA13037Pu9L</v>
          </cell>
          <cell r="B7009" t="str">
            <v>YZ-NA13037</v>
          </cell>
        </row>
        <row r="7010">
          <cell r="A7010" t="str">
            <v>YZ-NA13037Wi1L</v>
          </cell>
          <cell r="B7010" t="str">
            <v>YZ-NA13037</v>
          </cell>
        </row>
        <row r="7011">
          <cell r="A7011" t="str">
            <v>YZ-NA13037Wi2L</v>
          </cell>
          <cell r="B7011" t="str">
            <v>YZ-NA13037</v>
          </cell>
        </row>
        <row r="7012">
          <cell r="A7012" t="str">
            <v>YZ-NA13037Wi3L</v>
          </cell>
          <cell r="B7012" t="str">
            <v>YZ-NA13037</v>
          </cell>
        </row>
        <row r="7013">
          <cell r="A7013" t="str">
            <v>YZ-NA13037Wi4L</v>
          </cell>
          <cell r="B7013" t="str">
            <v>YZ-NA13037</v>
          </cell>
        </row>
        <row r="7014">
          <cell r="A7014" t="str">
            <v>YZ-NA13037Wi5L</v>
          </cell>
          <cell r="B7014" t="str">
            <v>YZ-NA13037</v>
          </cell>
        </row>
        <row r="7015">
          <cell r="A7015" t="str">
            <v>YZ-NA13037Wi6L</v>
          </cell>
          <cell r="B7015" t="str">
            <v>YZ-NA13037</v>
          </cell>
        </row>
        <row r="7016">
          <cell r="A7016" t="str">
            <v>YZ-NA13037Wi7L</v>
          </cell>
          <cell r="B7016" t="str">
            <v>YZ-NA13037</v>
          </cell>
        </row>
        <row r="7017">
          <cell r="A7017" t="str">
            <v>YZ-NA13037Wi8L</v>
          </cell>
          <cell r="B7017" t="str">
            <v>YZ-NA13037</v>
          </cell>
        </row>
        <row r="7018">
          <cell r="A7018" t="str">
            <v>YZ-NA13037Wi9L</v>
          </cell>
          <cell r="B7018" t="str">
            <v>YZ-NA13037</v>
          </cell>
        </row>
        <row r="7019">
          <cell r="A7019" t="str">
            <v>YZ-NA1304Y05L</v>
          </cell>
          <cell r="B7019" t="str">
            <v>YZ-NA1304</v>
          </cell>
        </row>
        <row r="7020">
          <cell r="A7020" t="str">
            <v>YZ-NA1521-BF-3XL</v>
          </cell>
          <cell r="B7020" t="str">
            <v>YZ-NA1521</v>
          </cell>
        </row>
        <row r="7021">
          <cell r="A7021" t="str">
            <v>YZ-NA1521-BF-5XL</v>
          </cell>
          <cell r="B7021" t="str">
            <v>YZ-NA1521</v>
          </cell>
        </row>
        <row r="7022">
          <cell r="A7022" t="str">
            <v>YZ-NA1521-BL-2XL</v>
          </cell>
          <cell r="B7022" t="str">
            <v>YZ-NA1521</v>
          </cell>
        </row>
        <row r="7023">
          <cell r="A7023" t="str">
            <v>YZ-NA1521-BL-4XL</v>
          </cell>
          <cell r="B7023" t="str">
            <v>YZ-NA1521</v>
          </cell>
        </row>
        <row r="7024">
          <cell r="A7024" t="str">
            <v>YZ-NA1521-BL-5XL</v>
          </cell>
          <cell r="B7024" t="str">
            <v>YZ-NA1521</v>
          </cell>
        </row>
        <row r="7025">
          <cell r="A7025" t="str">
            <v>YZ-NA1521-GF-2XL</v>
          </cell>
          <cell r="B7025" t="str">
            <v>YZ-NA1521</v>
          </cell>
        </row>
        <row r="7026">
          <cell r="A7026" t="str">
            <v>YZ-NA1521-GF-3XL</v>
          </cell>
          <cell r="B7026" t="str">
            <v>YZ-NA1521</v>
          </cell>
        </row>
        <row r="7027">
          <cell r="A7027" t="str">
            <v>YZ-NA1521-GF-4XL</v>
          </cell>
          <cell r="B7027" t="str">
            <v>YZ-NA1521</v>
          </cell>
        </row>
        <row r="7028">
          <cell r="A7028" t="str">
            <v>YZ-NA1521-GF-5XL</v>
          </cell>
          <cell r="B7028" t="str">
            <v>YZ-NA1521</v>
          </cell>
        </row>
        <row r="7029">
          <cell r="A7029" t="str">
            <v>YZ-NA1521-GF-XL</v>
          </cell>
          <cell r="B7029" t="str">
            <v>YZ-NA1521</v>
          </cell>
        </row>
        <row r="7030">
          <cell r="A7030" t="str">
            <v>YZ-NA1521-GW-2XL</v>
          </cell>
          <cell r="B7030" t="str">
            <v>YZ-NA1521</v>
          </cell>
        </row>
        <row r="7031">
          <cell r="A7031" t="str">
            <v>YZ-NA1521-GW-3XL</v>
          </cell>
          <cell r="B7031" t="str">
            <v>YZ-NA1521</v>
          </cell>
        </row>
        <row r="7032">
          <cell r="A7032" t="str">
            <v>YZ-NA1521-GW-4XL</v>
          </cell>
          <cell r="B7032" t="str">
            <v>YZ-NA1521</v>
          </cell>
        </row>
        <row r="7033">
          <cell r="A7033" t="str">
            <v>YZ-NA1521-KF-4XL</v>
          </cell>
          <cell r="B7033" t="str">
            <v>YZ-NA1521</v>
          </cell>
        </row>
        <row r="7034">
          <cell r="A7034" t="str">
            <v>YZ-NA1521-KF-XL</v>
          </cell>
          <cell r="B7034" t="str">
            <v>YZ-NA1521</v>
          </cell>
        </row>
        <row r="7035">
          <cell r="A7035" t="str">
            <v>YZ-NA1521-RF-2XL</v>
          </cell>
          <cell r="B7035" t="str">
            <v>YZ-NA1521</v>
          </cell>
        </row>
        <row r="7036">
          <cell r="A7036" t="str">
            <v>YZ-NA1521-RF-3XL</v>
          </cell>
          <cell r="B7036" t="str">
            <v>YZ-NA1521</v>
          </cell>
        </row>
        <row r="7037">
          <cell r="A7037" t="str">
            <v>YZ-NA1521-RF-4XL</v>
          </cell>
          <cell r="B7037" t="str">
            <v>YZ-NA1521</v>
          </cell>
        </row>
        <row r="7038">
          <cell r="A7038" t="str">
            <v>YZ-NA1521-RF-5XL</v>
          </cell>
          <cell r="B7038" t="str">
            <v>YZ-NA1521</v>
          </cell>
        </row>
        <row r="7039">
          <cell r="A7039" t="str">
            <v>YZ-NA1521-RF-XL</v>
          </cell>
          <cell r="B7039" t="str">
            <v>YZ-NA1521</v>
          </cell>
        </row>
        <row r="7040">
          <cell r="A7040" t="str">
            <v>YZ-NA1521-RL-3XL</v>
          </cell>
          <cell r="B7040" t="str">
            <v>YZ-NA1521</v>
          </cell>
        </row>
        <row r="7041">
          <cell r="A7041" t="str">
            <v>YZ-NA1521-RL-4XL</v>
          </cell>
          <cell r="B7041" t="str">
            <v>YZ-NA1521</v>
          </cell>
        </row>
        <row r="7042">
          <cell r="A7042" t="str">
            <v>YZ-NA1521-RL-5XL</v>
          </cell>
          <cell r="B7042" t="str">
            <v>YZ-NA1521</v>
          </cell>
        </row>
        <row r="7043">
          <cell r="A7043" t="str">
            <v>YZ-NA1521-RM-2XL</v>
          </cell>
          <cell r="B7043" t="str">
            <v>YZ-NA1521</v>
          </cell>
        </row>
        <row r="7044">
          <cell r="A7044" t="str">
            <v>YZ-NA1521-RM-3XL</v>
          </cell>
          <cell r="B7044" t="str">
            <v>YZ-NA1521</v>
          </cell>
        </row>
        <row r="7045">
          <cell r="A7045" t="str">
            <v>YZ-NA1521-RM-4XL</v>
          </cell>
          <cell r="B7045" t="str">
            <v>YZ-NA1521</v>
          </cell>
        </row>
        <row r="7046">
          <cell r="A7046" t="str">
            <v>YZ-NA1521-RM-5XL</v>
          </cell>
          <cell r="B7046" t="str">
            <v>YZ-NA1521</v>
          </cell>
        </row>
        <row r="7047">
          <cell r="A7047" t="str">
            <v>YZ-NA1521-WP-4XL</v>
          </cell>
          <cell r="B7047" t="str">
            <v>YZ-NA1521</v>
          </cell>
        </row>
        <row r="7048">
          <cell r="A7048" t="str">
            <v>YZ-NA1521-WP-XL</v>
          </cell>
          <cell r="B7048" t="str">
            <v>YZ-NA1521</v>
          </cell>
        </row>
        <row r="7049">
          <cell r="A7049" t="str">
            <v>YZ-NA263100-1L</v>
          </cell>
          <cell r="B7049" t="str">
            <v>YZ-NA263100</v>
          </cell>
        </row>
        <row r="7050">
          <cell r="A7050" t="str">
            <v>YZ-NA263100-2L</v>
          </cell>
          <cell r="B7050" t="str">
            <v>YZ-NA263100</v>
          </cell>
        </row>
        <row r="7051">
          <cell r="A7051" t="str">
            <v>YZ-NA263100-3L</v>
          </cell>
          <cell r="B7051" t="str">
            <v>YZ-NA263100</v>
          </cell>
        </row>
        <row r="7052">
          <cell r="A7052" t="str">
            <v>YZ-NA263100L</v>
          </cell>
          <cell r="B7052" t="str">
            <v>YZ-NA263100</v>
          </cell>
        </row>
        <row r="7053">
          <cell r="A7053" t="str">
            <v>YZ-NA263100M</v>
          </cell>
          <cell r="B7053" t="str">
            <v>YZ-NA263100</v>
          </cell>
        </row>
        <row r="7054">
          <cell r="A7054" t="str">
            <v>YZ-NA2631HS1L</v>
          </cell>
          <cell r="B7054" t="str">
            <v>YZ-NA2631</v>
          </cell>
        </row>
        <row r="7055">
          <cell r="A7055" t="str">
            <v>YZ-NA2631HSL</v>
          </cell>
          <cell r="B7055" t="str">
            <v>YZ-NA2631</v>
          </cell>
        </row>
        <row r="7056">
          <cell r="A7056" t="str">
            <v>YZ-NA2631HSM</v>
          </cell>
          <cell r="B7056" t="str">
            <v>YZ-NA2631</v>
          </cell>
        </row>
        <row r="7057">
          <cell r="A7057" t="str">
            <v>YZ-NA2631HSS</v>
          </cell>
          <cell r="B7057" t="str">
            <v>YZ-NA2631</v>
          </cell>
        </row>
        <row r="7058">
          <cell r="A7058" t="str">
            <v>YZ-NA2631HSXS</v>
          </cell>
          <cell r="B7058" t="str">
            <v>YZ-NA2631</v>
          </cell>
        </row>
        <row r="7059">
          <cell r="A7059" t="str">
            <v>YZ-NA2631K01L</v>
          </cell>
          <cell r="B7059" t="str">
            <v>YZ-NA2631</v>
          </cell>
        </row>
        <row r="7060">
          <cell r="A7060" t="str">
            <v>YZ-NA2631K02L</v>
          </cell>
          <cell r="B7060" t="str">
            <v>YZ-NA2631</v>
          </cell>
        </row>
        <row r="7061">
          <cell r="A7061" t="str">
            <v>YZ-NA2631K03L</v>
          </cell>
          <cell r="B7061" t="str">
            <v>YZ-NA2631</v>
          </cell>
        </row>
        <row r="7062">
          <cell r="A7062" t="str">
            <v>YZ-NA2631K0L</v>
          </cell>
          <cell r="B7062" t="str">
            <v>YZ-NA2631</v>
          </cell>
        </row>
        <row r="7063">
          <cell r="A7063" t="str">
            <v>YZ-NA2631K0M</v>
          </cell>
          <cell r="B7063" t="str">
            <v>YZ-NA2631</v>
          </cell>
        </row>
        <row r="7064">
          <cell r="A7064" t="str">
            <v>YZ-NA2631R01L</v>
          </cell>
          <cell r="B7064" t="str">
            <v>YZ-NA2631</v>
          </cell>
        </row>
        <row r="7065">
          <cell r="A7065" t="str">
            <v>YZ-NA2631R0L</v>
          </cell>
          <cell r="B7065" t="str">
            <v>YZ-NA2631</v>
          </cell>
        </row>
        <row r="7066">
          <cell r="A7066" t="str">
            <v>YZ-NA2631R0M</v>
          </cell>
          <cell r="B7066" t="str">
            <v>YZ-NA2631</v>
          </cell>
        </row>
        <row r="7067">
          <cell r="A7067" t="str">
            <v>YZ-NA2631R0S</v>
          </cell>
          <cell r="B7067" t="str">
            <v>YZ-NA2631</v>
          </cell>
        </row>
        <row r="7068">
          <cell r="A7068" t="str">
            <v>YZ-NA2631R0XS</v>
          </cell>
          <cell r="B7068" t="str">
            <v>YZ-NA2631</v>
          </cell>
        </row>
        <row r="7069">
          <cell r="A7069" t="str">
            <v>YZ-NA2631ZL1L</v>
          </cell>
          <cell r="B7069" t="str">
            <v>YZ-NA2631</v>
          </cell>
        </row>
        <row r="7070">
          <cell r="A7070" t="str">
            <v>YZ-NA2631ZL2L</v>
          </cell>
          <cell r="B7070" t="str">
            <v>YZ-NA2631</v>
          </cell>
        </row>
        <row r="7071">
          <cell r="A7071" t="str">
            <v>YZ-NA2631ZL3L</v>
          </cell>
          <cell r="B7071" t="str">
            <v>YZ-NA2631</v>
          </cell>
        </row>
        <row r="7072">
          <cell r="A7072" t="str">
            <v>YZ-NA2631ZLL</v>
          </cell>
          <cell r="B7072" t="str">
            <v>YZ-NA2631</v>
          </cell>
        </row>
        <row r="7073">
          <cell r="A7073" t="str">
            <v>YZ-NA2631ZLM</v>
          </cell>
          <cell r="B7073" t="str">
            <v>YZ-NA2631</v>
          </cell>
        </row>
        <row r="7074">
          <cell r="A7074" t="str">
            <v>YZ-NA5060B2</v>
          </cell>
          <cell r="B7074" t="str">
            <v>YZ-NA5060</v>
          </cell>
        </row>
        <row r="7075">
          <cell r="A7075" t="str">
            <v>YZ-NA5060B21L</v>
          </cell>
          <cell r="B7075" t="str">
            <v>YZ-NA5060</v>
          </cell>
        </row>
        <row r="7076">
          <cell r="A7076" t="str">
            <v>YZ-NA5060B2L</v>
          </cell>
          <cell r="B7076" t="str">
            <v>YZ-NA5060</v>
          </cell>
        </row>
        <row r="7077">
          <cell r="A7077" t="str">
            <v>YZ-NA5060B2M</v>
          </cell>
          <cell r="B7077" t="str">
            <v>YZ-NA5060</v>
          </cell>
        </row>
        <row r="7078">
          <cell r="A7078" t="str">
            <v>YZ-NA5060B2S</v>
          </cell>
          <cell r="B7078" t="str">
            <v>YZ-NA5060</v>
          </cell>
        </row>
        <row r="7079">
          <cell r="A7079" t="str">
            <v>YZ-NA5060R2</v>
          </cell>
          <cell r="B7079" t="str">
            <v>YZ-NA5060</v>
          </cell>
        </row>
        <row r="7080">
          <cell r="A7080" t="str">
            <v>YZ-NA5060R2L</v>
          </cell>
          <cell r="B7080" t="str">
            <v>YZ-NA5060</v>
          </cell>
        </row>
        <row r="7081">
          <cell r="A7081" t="str">
            <v>YZ-NA5060R2S</v>
          </cell>
          <cell r="B7081" t="str">
            <v>YZ-NA5060</v>
          </cell>
        </row>
        <row r="7082">
          <cell r="A7082" t="str">
            <v>YZ-NA5060Y0</v>
          </cell>
          <cell r="B7082" t="str">
            <v>YZ-NA5060</v>
          </cell>
        </row>
        <row r="7083">
          <cell r="A7083" t="str">
            <v>YZ-NA5060Y01L</v>
          </cell>
          <cell r="B7083" t="str">
            <v>YZ-NA5060</v>
          </cell>
        </row>
        <row r="7084">
          <cell r="A7084" t="str">
            <v>YZ-NA5060Y0L</v>
          </cell>
          <cell r="B7084" t="str">
            <v>YZ-NA5060</v>
          </cell>
        </row>
        <row r="7085">
          <cell r="A7085" t="str">
            <v>YZ-NA5060Y0M</v>
          </cell>
          <cell r="B7085" t="str">
            <v>YZ-NA5060</v>
          </cell>
        </row>
        <row r="7086">
          <cell r="A7086" t="str">
            <v>YZ-NA5060Y0S</v>
          </cell>
          <cell r="B7086" t="str">
            <v>YZ-NA5060</v>
          </cell>
        </row>
        <row r="7087">
          <cell r="A7087" t="str">
            <v>YZ-NA5119K0-2XL</v>
          </cell>
          <cell r="B7087" t="str">
            <v>YZ-NA5119</v>
          </cell>
        </row>
        <row r="7088">
          <cell r="A7088" t="str">
            <v>YZ-NA5119K0-3XL</v>
          </cell>
          <cell r="B7088" t="str">
            <v>YZ-NA5119</v>
          </cell>
        </row>
        <row r="7089">
          <cell r="A7089" t="str">
            <v>YZ-NA5119K0-4XL</v>
          </cell>
          <cell r="B7089" t="str">
            <v>YZ-NA5119</v>
          </cell>
        </row>
        <row r="7090">
          <cell r="A7090" t="str">
            <v>YZ-NA5119K0-5XL</v>
          </cell>
          <cell r="B7090" t="str">
            <v>YZ-NA5119</v>
          </cell>
        </row>
        <row r="7091">
          <cell r="A7091" t="str">
            <v>YZ-NA5119K0-XL</v>
          </cell>
          <cell r="B7091" t="str">
            <v>YZ-NA5119</v>
          </cell>
        </row>
        <row r="7092">
          <cell r="A7092" t="str">
            <v>YZ-NA5119-YH-2XL</v>
          </cell>
          <cell r="B7092" t="str">
            <v>YZ-NA5119</v>
          </cell>
        </row>
        <row r="7093">
          <cell r="A7093" t="str">
            <v>YZ-NA5119-YH-3XL</v>
          </cell>
          <cell r="B7093" t="str">
            <v>YZ-NA5119</v>
          </cell>
        </row>
        <row r="7094">
          <cell r="A7094" t="str">
            <v>YZ-NA5119-YH-4XL</v>
          </cell>
          <cell r="B7094" t="str">
            <v>YZ-NA5119</v>
          </cell>
        </row>
        <row r="7095">
          <cell r="A7095" t="str">
            <v>YZ-NA5119-YH-5XL</v>
          </cell>
          <cell r="B7095" t="str">
            <v>YZ-NA5119</v>
          </cell>
        </row>
        <row r="7096">
          <cell r="A7096" t="str">
            <v>YZ-NA5119-YH-XL</v>
          </cell>
          <cell r="B7096" t="str">
            <v>YZ-NA5119</v>
          </cell>
        </row>
        <row r="7097">
          <cell r="A7097" t="str">
            <v>YZ-NA5119-YT-2XL</v>
          </cell>
          <cell r="B7097" t="str">
            <v>YZ-NA5119</v>
          </cell>
        </row>
        <row r="7098">
          <cell r="A7098" t="str">
            <v>YZ-NA5119-YT-3XL</v>
          </cell>
          <cell r="B7098" t="str">
            <v>YZ-NA5119</v>
          </cell>
        </row>
        <row r="7099">
          <cell r="A7099" t="str">
            <v>YZ-NA5119-YT-4XL</v>
          </cell>
          <cell r="B7099" t="str">
            <v>YZ-NA5119</v>
          </cell>
        </row>
        <row r="7100">
          <cell r="A7100" t="str">
            <v>YZ-NA5119-YT-5XL</v>
          </cell>
          <cell r="B7100" t="str">
            <v>YZ-NA5119</v>
          </cell>
        </row>
        <row r="7101">
          <cell r="A7101" t="str">
            <v>YZ-NA5119-YT-XL</v>
          </cell>
          <cell r="B7101" t="str">
            <v>YZ-NA5119</v>
          </cell>
        </row>
        <row r="7102">
          <cell r="A7102" t="str">
            <v>YZ-NA5119ZL2XL</v>
          </cell>
          <cell r="B7102" t="str">
            <v>YZ-NA5119</v>
          </cell>
        </row>
        <row r="7103">
          <cell r="A7103" t="str">
            <v>YZ-NA5119ZL3XL</v>
          </cell>
          <cell r="B7103" t="str">
            <v>YZ-NA5119</v>
          </cell>
        </row>
        <row r="7104">
          <cell r="A7104" t="str">
            <v>YZ-NA5119ZL4XL</v>
          </cell>
          <cell r="B7104" t="str">
            <v>YZ-NA5119</v>
          </cell>
        </row>
        <row r="7105">
          <cell r="A7105" t="str">
            <v>YZ-NA5119ZL5XL</v>
          </cell>
          <cell r="B7105" t="str">
            <v>YZ-NA5119</v>
          </cell>
        </row>
        <row r="7106">
          <cell r="A7106" t="str">
            <v>YZ-NA5119ZLXL</v>
          </cell>
          <cell r="B7106" t="str">
            <v>YZ-NA5119</v>
          </cell>
        </row>
        <row r="7107">
          <cell r="A7107" t="str">
            <v>YZ-NA5505Da</v>
          </cell>
          <cell r="B7107" t="str">
            <v>YZ-NA5505</v>
          </cell>
        </row>
        <row r="7108">
          <cell r="A7108" t="str">
            <v>YZ-NA5505DaL</v>
          </cell>
          <cell r="B7108" t="str">
            <v>YZ-NA5505</v>
          </cell>
        </row>
        <row r="7109">
          <cell r="A7109" t="str">
            <v>YZ-NA5505DaM</v>
          </cell>
          <cell r="B7109" t="str">
            <v>YZ-NA5505</v>
          </cell>
        </row>
        <row r="7110">
          <cell r="A7110" t="str">
            <v>YZ-NA5505DaS</v>
          </cell>
          <cell r="B7110" t="str">
            <v>YZ-NA5505</v>
          </cell>
        </row>
        <row r="7111">
          <cell r="A7111" t="str">
            <v>YZ-NA5505DaXL</v>
          </cell>
          <cell r="B7111" t="str">
            <v>YZ-NA5505</v>
          </cell>
        </row>
        <row r="7112">
          <cell r="A7112" t="str">
            <v>YZ-NA5505JR</v>
          </cell>
          <cell r="B7112" t="str">
            <v>YZ-NA5505</v>
          </cell>
        </row>
        <row r="7113">
          <cell r="A7113" t="str">
            <v>YZ-NA5505JR2L</v>
          </cell>
          <cell r="B7113" t="str">
            <v>YZ-NA5505</v>
          </cell>
        </row>
        <row r="7114">
          <cell r="A7114" t="str">
            <v>YZ-NA5505JRM</v>
          </cell>
          <cell r="B7114" t="str">
            <v>YZ-NA5505</v>
          </cell>
        </row>
        <row r="7115">
          <cell r="A7115" t="str">
            <v>YZ-NA5505JRS</v>
          </cell>
          <cell r="B7115" t="str">
            <v>YZ-NA5505</v>
          </cell>
        </row>
        <row r="7116">
          <cell r="A7116" t="str">
            <v>YZ-NA5505JRXL</v>
          </cell>
          <cell r="B7116" t="str">
            <v>YZ-NA5505</v>
          </cell>
        </row>
        <row r="7117">
          <cell r="A7117" t="str">
            <v>YZ-NA5505Lb0XS</v>
          </cell>
          <cell r="B7117" t="str">
            <v>YZ-NA5505</v>
          </cell>
        </row>
        <row r="7118">
          <cell r="A7118" t="str">
            <v>YZ-NA5505LbL</v>
          </cell>
          <cell r="B7118" t="str">
            <v>YZ-NA5505</v>
          </cell>
        </row>
        <row r="7119">
          <cell r="A7119" t="str">
            <v>YZ-NA5505LbM</v>
          </cell>
          <cell r="B7119" t="str">
            <v>YZ-NA5505</v>
          </cell>
        </row>
        <row r="7120">
          <cell r="A7120" t="str">
            <v>YZ-NA5505LbS</v>
          </cell>
          <cell r="B7120" t="str">
            <v>YZ-NA5505</v>
          </cell>
        </row>
        <row r="7121">
          <cell r="A7121" t="str">
            <v>YZ-NA5505LbXL</v>
          </cell>
          <cell r="B7121" t="str">
            <v>YZ-NA5505</v>
          </cell>
        </row>
        <row r="7122">
          <cell r="A7122" t="str">
            <v>YZ-NA5505LbXXL</v>
          </cell>
          <cell r="B7122" t="str">
            <v>YZ-NA5505</v>
          </cell>
        </row>
        <row r="7123">
          <cell r="A7123" t="str">
            <v>YZ-NA5505R0-2X</v>
          </cell>
          <cell r="B7123" t="str">
            <v>YZ-NA5505</v>
          </cell>
        </row>
        <row r="7124">
          <cell r="A7124" t="str">
            <v>YZ-NA5505R0-L</v>
          </cell>
          <cell r="B7124" t="str">
            <v>YZ-NA5505</v>
          </cell>
        </row>
        <row r="7125">
          <cell r="A7125" t="str">
            <v>YZ-NA5505R0-M</v>
          </cell>
          <cell r="B7125" t="str">
            <v>YZ-NA5505</v>
          </cell>
        </row>
        <row r="7126">
          <cell r="A7126" t="str">
            <v>YZ-NA5505R0-S</v>
          </cell>
          <cell r="B7126" t="str">
            <v>YZ-NA5505</v>
          </cell>
        </row>
        <row r="7127">
          <cell r="A7127" t="str">
            <v>YZ-NA5505R0-XL</v>
          </cell>
          <cell r="B7127" t="str">
            <v>YZ-NA5505</v>
          </cell>
        </row>
        <row r="7128">
          <cell r="A7128" t="str">
            <v>YZ-NA5505R0-XS</v>
          </cell>
          <cell r="B7128" t="str">
            <v>YZ-NA5505</v>
          </cell>
        </row>
        <row r="7129">
          <cell r="A7129" t="str">
            <v>YZ-NA9007Sa1L</v>
          </cell>
          <cell r="B7129" t="str">
            <v>YZ-NA9007</v>
          </cell>
        </row>
        <row r="7130">
          <cell r="A7130" t="str">
            <v>YZ-NA9007Sa2L</v>
          </cell>
          <cell r="B7130" t="str">
            <v>YZ-NA9007</v>
          </cell>
        </row>
        <row r="7131">
          <cell r="A7131" t="str">
            <v>YZ-NA9007Sa3L</v>
          </cell>
          <cell r="B7131" t="str">
            <v>YZ-NA9007</v>
          </cell>
        </row>
        <row r="7132">
          <cell r="A7132" t="str">
            <v>YZ-NA9007Sa4L</v>
          </cell>
          <cell r="B7132" t="str">
            <v>YZ-NA9007</v>
          </cell>
        </row>
        <row r="7133">
          <cell r="A7133" t="str">
            <v>YZ-NA9007Sa5L</v>
          </cell>
          <cell r="B7133" t="str">
            <v>YZ-NA9007</v>
          </cell>
        </row>
        <row r="7134">
          <cell r="A7134" t="str">
            <v>YZ-NA9007Sa6L</v>
          </cell>
          <cell r="B7134" t="str">
            <v>YZ-NA9007</v>
          </cell>
        </row>
        <row r="7135">
          <cell r="A7135" t="str">
            <v>YZ-NA9007Sa7L</v>
          </cell>
          <cell r="B7135" t="str">
            <v>YZ-NA9007</v>
          </cell>
        </row>
        <row r="7136">
          <cell r="A7136" t="str">
            <v>YZ-NA9007Sa8L</v>
          </cell>
          <cell r="B7136" t="str">
            <v>YZ-NA9007</v>
          </cell>
        </row>
        <row r="7137">
          <cell r="A7137" t="str">
            <v>YZ-NA9007Sa9L</v>
          </cell>
          <cell r="B7137" t="str">
            <v>YZ-NA9007</v>
          </cell>
        </row>
        <row r="7138">
          <cell r="A7138" t="str">
            <v>YZ-NA9007Se1L</v>
          </cell>
          <cell r="B7138" t="str">
            <v>YZ-NA9007</v>
          </cell>
        </row>
        <row r="7139">
          <cell r="A7139" t="str">
            <v>YZ-NA9007Se2L</v>
          </cell>
          <cell r="B7139" t="str">
            <v>YZ-NA9007</v>
          </cell>
        </row>
        <row r="7140">
          <cell r="A7140" t="str">
            <v>YZ-NA9007Se3L</v>
          </cell>
          <cell r="B7140" t="str">
            <v>YZ-NA9007</v>
          </cell>
        </row>
        <row r="7141">
          <cell r="A7141" t="str">
            <v>YZ-NA9007Se4L</v>
          </cell>
          <cell r="B7141" t="str">
            <v>YZ-NA9007</v>
          </cell>
        </row>
        <row r="7142">
          <cell r="A7142" t="str">
            <v>YZ-NA9007Se5L</v>
          </cell>
          <cell r="B7142" t="str">
            <v>YZ-NA9007</v>
          </cell>
        </row>
        <row r="7143">
          <cell r="A7143" t="str">
            <v>YZ-NA9007Se6L</v>
          </cell>
          <cell r="B7143" t="str">
            <v>YZ-NA9007</v>
          </cell>
        </row>
        <row r="7144">
          <cell r="A7144" t="str">
            <v>YZ-NA9007Se7L</v>
          </cell>
          <cell r="B7144" t="str">
            <v>YZ-NA9007</v>
          </cell>
        </row>
        <row r="7145">
          <cell r="A7145" t="str">
            <v>YZ-NA9007Se8L</v>
          </cell>
          <cell r="B7145" t="str">
            <v>YZ-NA9007</v>
          </cell>
        </row>
        <row r="7146">
          <cell r="A7146" t="str">
            <v>YZ-NA9007Se9L</v>
          </cell>
          <cell r="B7146" t="str">
            <v>YZ-NA9007</v>
          </cell>
        </row>
        <row r="7147">
          <cell r="A7147" t="str">
            <v>YZ-NA9008Sa1L</v>
          </cell>
          <cell r="B7147" t="str">
            <v>YZ-NA9008</v>
          </cell>
        </row>
        <row r="7148">
          <cell r="A7148" t="str">
            <v>YZ-NA9008Sa2L</v>
          </cell>
          <cell r="B7148" t="str">
            <v>YZ-NA9008</v>
          </cell>
        </row>
        <row r="7149">
          <cell r="A7149" t="str">
            <v>YZ-NA9008Sa3L</v>
          </cell>
          <cell r="B7149" t="str">
            <v>YZ-NA9008</v>
          </cell>
        </row>
        <row r="7150">
          <cell r="A7150" t="str">
            <v>YZ-NA9008Sa4L</v>
          </cell>
          <cell r="B7150" t="str">
            <v>YZ-NA9008</v>
          </cell>
        </row>
        <row r="7151">
          <cell r="A7151" t="str">
            <v>YZ-NA9008Sa5L</v>
          </cell>
          <cell r="B7151" t="str">
            <v>YZ-NA9008</v>
          </cell>
        </row>
        <row r="7152">
          <cell r="A7152" t="str">
            <v>YZ-NA9008Sa6L</v>
          </cell>
          <cell r="B7152" t="str">
            <v>YZ-NA9008</v>
          </cell>
        </row>
        <row r="7153">
          <cell r="A7153" t="str">
            <v>YZ-NA9008Sa7L</v>
          </cell>
          <cell r="B7153" t="str">
            <v>YZ-NA9008</v>
          </cell>
        </row>
        <row r="7154">
          <cell r="A7154" t="str">
            <v>YZ-NA9008Se1L</v>
          </cell>
          <cell r="B7154" t="str">
            <v>YZ-NA9008</v>
          </cell>
        </row>
        <row r="7155">
          <cell r="A7155" t="str">
            <v>YZ-NA9008Se2L</v>
          </cell>
          <cell r="B7155" t="str">
            <v>YZ-NA9008</v>
          </cell>
        </row>
        <row r="7156">
          <cell r="A7156" t="str">
            <v>YZ-NA9008Se4L</v>
          </cell>
          <cell r="B7156" t="str">
            <v>YZ-NA9008</v>
          </cell>
        </row>
        <row r="7157">
          <cell r="A7157" t="str">
            <v>YZ-NA9008Se5L</v>
          </cell>
          <cell r="B7157" t="str">
            <v>YZ-NA9008</v>
          </cell>
        </row>
        <row r="7158">
          <cell r="A7158" t="str">
            <v>YZ-NA9008Se6L</v>
          </cell>
          <cell r="B7158" t="str">
            <v>YZ-NA9008</v>
          </cell>
        </row>
        <row r="7159">
          <cell r="A7159" t="str">
            <v>YZ-NA9008Se8L</v>
          </cell>
          <cell r="B7159" t="str">
            <v>YZ-NA9008</v>
          </cell>
        </row>
        <row r="7160">
          <cell r="A7160" t="str">
            <v>YZ-NA9008Se9L</v>
          </cell>
          <cell r="B7160" t="str">
            <v>YZ-NA9008</v>
          </cell>
        </row>
        <row r="7161">
          <cell r="A7161" t="str">
            <v>YZ-NALLHT2XL</v>
          </cell>
          <cell r="B7161" t="str">
            <v>YZ-NALL</v>
          </cell>
        </row>
        <row r="7162">
          <cell r="A7162" t="str">
            <v>YZ-NALLHT4XL</v>
          </cell>
          <cell r="B7162" t="str">
            <v>YZ-NALL</v>
          </cell>
        </row>
        <row r="7163">
          <cell r="A7163" t="str">
            <v>YZ-NALLHTL</v>
          </cell>
          <cell r="B7163" t="str">
            <v>YZ-NALL</v>
          </cell>
        </row>
        <row r="7164">
          <cell r="A7164" t="str">
            <v>YZ-NALLHTM</v>
          </cell>
          <cell r="B7164" t="str">
            <v>YZ-NALL</v>
          </cell>
        </row>
        <row r="7165">
          <cell r="A7165" t="str">
            <v>YZ-NALLHTXL</v>
          </cell>
          <cell r="B7165" t="str">
            <v>YZ-NALL</v>
          </cell>
        </row>
        <row r="7166">
          <cell r="A7166" t="str">
            <v>YZ-NALLIT4XL</v>
          </cell>
          <cell r="B7166" t="str">
            <v>YZ-NALL</v>
          </cell>
        </row>
        <row r="7167">
          <cell r="A7167" t="str">
            <v>YZ-NALLK03XL</v>
          </cell>
          <cell r="B7167" t="str">
            <v>YZ-NALL</v>
          </cell>
        </row>
        <row r="7168">
          <cell r="A7168" t="str">
            <v>YZ-PP1705-K0-2XL</v>
          </cell>
          <cell r="B7168" t="str">
            <v>YZ-PP1705</v>
          </cell>
        </row>
        <row r="7169">
          <cell r="A7169" t="str">
            <v>YZ-PP1705-K0-L</v>
          </cell>
          <cell r="B7169" t="str">
            <v>YZ-PP1705</v>
          </cell>
        </row>
        <row r="7170">
          <cell r="A7170" t="str">
            <v>YZ-PP1705-K0-M</v>
          </cell>
          <cell r="B7170" t="str">
            <v>YZ-PP1705</v>
          </cell>
        </row>
        <row r="7171">
          <cell r="A7171" t="str">
            <v>YZ-PP1705-K0-S</v>
          </cell>
          <cell r="B7171" t="str">
            <v>YZ-PP1705</v>
          </cell>
        </row>
        <row r="7172">
          <cell r="A7172" t="str">
            <v>YZ-PP1705-K0-XL</v>
          </cell>
          <cell r="B7172" t="str">
            <v>YZ-PP1705</v>
          </cell>
        </row>
        <row r="7173">
          <cell r="A7173" t="str">
            <v>YZ-PP1705-K0-XS</v>
          </cell>
          <cell r="B7173" t="str">
            <v>YZ-PP1705</v>
          </cell>
        </row>
        <row r="7174">
          <cell r="A7174" t="str">
            <v>YZ-RF1123-B0-2X</v>
          </cell>
          <cell r="B7174" t="str">
            <v>YZ-RF1123</v>
          </cell>
        </row>
        <row r="7175">
          <cell r="A7175" t="str">
            <v>YZ-RF1123-B0-3X</v>
          </cell>
          <cell r="B7175" t="str">
            <v>YZ-RF1123</v>
          </cell>
        </row>
        <row r="7176">
          <cell r="A7176" t="str">
            <v>YZ-RF1123-B0-4X</v>
          </cell>
          <cell r="B7176" t="str">
            <v>YZ-RF1123</v>
          </cell>
        </row>
        <row r="7177">
          <cell r="A7177" t="str">
            <v>YZ-RF1123-B0-5X</v>
          </cell>
          <cell r="B7177" t="str">
            <v>YZ-RF1123</v>
          </cell>
        </row>
        <row r="7178">
          <cell r="A7178" t="str">
            <v>YZ-RF1123-B0-L</v>
          </cell>
          <cell r="B7178" t="str">
            <v>YZ-RF1123</v>
          </cell>
        </row>
        <row r="7179">
          <cell r="A7179" t="str">
            <v>YZ-RF1123-B0-M</v>
          </cell>
          <cell r="B7179" t="str">
            <v>YZ-RF1123</v>
          </cell>
        </row>
        <row r="7180">
          <cell r="A7180" t="str">
            <v>YZ-RF1123-B0-S</v>
          </cell>
          <cell r="B7180" t="str">
            <v>YZ-RF1123</v>
          </cell>
        </row>
        <row r="7181">
          <cell r="A7181" t="str">
            <v>YZ-RF1123-B0-XL</v>
          </cell>
          <cell r="B7181" t="str">
            <v>YZ-RF1123</v>
          </cell>
        </row>
        <row r="7182">
          <cell r="A7182" t="str">
            <v>YZ-RF1123-K0-2X</v>
          </cell>
          <cell r="B7182" t="str">
            <v>YZ-RF1123</v>
          </cell>
        </row>
        <row r="7183">
          <cell r="A7183" t="str">
            <v>YZ-RF1123-K0-3X</v>
          </cell>
          <cell r="B7183" t="str">
            <v>YZ-RF1123</v>
          </cell>
        </row>
        <row r="7184">
          <cell r="A7184" t="str">
            <v>YZ-RF1123-K0-3XL</v>
          </cell>
          <cell r="B7184" t="str">
            <v>YZ-RF1123</v>
          </cell>
        </row>
        <row r="7185">
          <cell r="A7185" t="str">
            <v>YZ-RF1123-K0-4X</v>
          </cell>
          <cell r="B7185" t="str">
            <v>YZ-RF1123</v>
          </cell>
        </row>
        <row r="7186">
          <cell r="A7186" t="str">
            <v>YZ-RF1123-K0-5X</v>
          </cell>
          <cell r="B7186" t="str">
            <v>YZ-RF1123</v>
          </cell>
        </row>
        <row r="7187">
          <cell r="A7187" t="str">
            <v>YZ-RF1123-K0-L</v>
          </cell>
          <cell r="B7187" t="str">
            <v>YZ-RF1123</v>
          </cell>
        </row>
        <row r="7188">
          <cell r="A7188" t="str">
            <v>YZ-RF1123-K0-M</v>
          </cell>
          <cell r="B7188" t="str">
            <v>YZ-RF1123</v>
          </cell>
        </row>
        <row r="7189">
          <cell r="A7189" t="str">
            <v>YZ-RF1123-K0-S</v>
          </cell>
          <cell r="B7189" t="str">
            <v>YZ-RF1123</v>
          </cell>
        </row>
        <row r="7190">
          <cell r="A7190" t="str">
            <v>YZ-RF1123-K0-XL</v>
          </cell>
          <cell r="B7190" t="str">
            <v>YZ-RF1123</v>
          </cell>
        </row>
        <row r="7191">
          <cell r="A7191" t="str">
            <v>YZ-RF1123-R0-2X</v>
          </cell>
          <cell r="B7191" t="str">
            <v>YZ-RF1123</v>
          </cell>
        </row>
        <row r="7192">
          <cell r="A7192" t="str">
            <v>YZ-RF1123-R0-3X</v>
          </cell>
          <cell r="B7192" t="str">
            <v>YZ-RF1123</v>
          </cell>
        </row>
        <row r="7193">
          <cell r="A7193" t="str">
            <v>YZ-RF1123-R0-4X</v>
          </cell>
          <cell r="B7193" t="str">
            <v>YZ-RF1123</v>
          </cell>
        </row>
        <row r="7194">
          <cell r="A7194" t="str">
            <v>YZ-RF1123-R0-5X</v>
          </cell>
          <cell r="B7194" t="str">
            <v>YZ-RF1123</v>
          </cell>
        </row>
        <row r="7195">
          <cell r="A7195" t="str">
            <v>YZ-RF1123-R0-L</v>
          </cell>
          <cell r="B7195" t="str">
            <v>YZ-RF1123</v>
          </cell>
        </row>
        <row r="7196">
          <cell r="A7196" t="str">
            <v>YZ-RF1123-R0-M</v>
          </cell>
          <cell r="B7196" t="str">
            <v>YZ-RF1123</v>
          </cell>
        </row>
        <row r="7197">
          <cell r="A7197" t="str">
            <v>YZ-RF1123-R0-S</v>
          </cell>
          <cell r="B7197" t="str">
            <v>YZ-RF1123</v>
          </cell>
        </row>
        <row r="7198">
          <cell r="A7198" t="str">
            <v>YZ-RF1123-R0-XL</v>
          </cell>
          <cell r="B7198" t="str">
            <v>YZ-RF1123</v>
          </cell>
        </row>
        <row r="7199">
          <cell r="A7199" t="str">
            <v>YZ-RF1123-SB-2X</v>
          </cell>
          <cell r="B7199" t="str">
            <v>YZ-RF1123</v>
          </cell>
        </row>
        <row r="7200">
          <cell r="A7200" t="str">
            <v>YZ-RF1123-SB-3X</v>
          </cell>
          <cell r="B7200" t="str">
            <v>YZ-RF1123</v>
          </cell>
        </row>
        <row r="7201">
          <cell r="A7201" t="str">
            <v>YZ-RF1123-SB-4X</v>
          </cell>
          <cell r="B7201" t="str">
            <v>YZ-RF1123</v>
          </cell>
        </row>
        <row r="7202">
          <cell r="A7202" t="str">
            <v>YZ-RF1123-SB-5X</v>
          </cell>
          <cell r="B7202" t="str">
            <v>YZ-RF1123</v>
          </cell>
        </row>
        <row r="7203">
          <cell r="A7203" t="str">
            <v>YZ-RF1123-SB-L</v>
          </cell>
          <cell r="B7203" t="str">
            <v>YZ-RF1123</v>
          </cell>
        </row>
        <row r="7204">
          <cell r="A7204" t="str">
            <v>YZ-RF1123-SB-M</v>
          </cell>
          <cell r="B7204" t="str">
            <v>YZ-RF1123</v>
          </cell>
        </row>
        <row r="7205">
          <cell r="A7205" t="str">
            <v>YZ-RF1123-SB-S</v>
          </cell>
          <cell r="B7205" t="str">
            <v>YZ-RF1123</v>
          </cell>
        </row>
        <row r="7206">
          <cell r="A7206" t="str">
            <v>YZ-RF1123-SB-XL</v>
          </cell>
          <cell r="B7206" t="str">
            <v>YZ-RF1123</v>
          </cell>
        </row>
        <row r="7207">
          <cell r="A7207" t="str">
            <v>YZ-S6006TP4M</v>
          </cell>
          <cell r="B7207" t="str">
            <v>YZ-S6006</v>
          </cell>
        </row>
        <row r="7208">
          <cell r="A7208" t="str">
            <v>YZ-S6006TP4S</v>
          </cell>
          <cell r="B7208" t="str">
            <v>YZ-S6006</v>
          </cell>
        </row>
        <row r="7209">
          <cell r="A7209" t="str">
            <v>YZ-SH15508BB0L</v>
          </cell>
          <cell r="B7209" t="str">
            <v>YZ-SH15508</v>
          </cell>
        </row>
        <row r="7210">
          <cell r="A7210" t="str">
            <v>YZ-SH15508BB1L</v>
          </cell>
          <cell r="B7210" t="str">
            <v>YZ-SH15508</v>
          </cell>
        </row>
        <row r="7211">
          <cell r="A7211" t="str">
            <v>YZ-SH15508BB2L</v>
          </cell>
          <cell r="B7211" t="str">
            <v>YZ-SH15508</v>
          </cell>
        </row>
        <row r="7212">
          <cell r="A7212" t="str">
            <v>YZ-SH15508BBM</v>
          </cell>
          <cell r="B7212" t="str">
            <v>YZ-SH15508</v>
          </cell>
        </row>
        <row r="7213">
          <cell r="A7213" t="str">
            <v>YZ-SH15508BBS</v>
          </cell>
          <cell r="B7213" t="str">
            <v>YZ-SH15508</v>
          </cell>
        </row>
        <row r="7214">
          <cell r="A7214" t="str">
            <v>YZ-SH15508Bl0L</v>
          </cell>
          <cell r="B7214" t="str">
            <v>YZ-SH15508</v>
          </cell>
        </row>
        <row r="7215">
          <cell r="A7215" t="str">
            <v>YZ-SH15508Bl1L</v>
          </cell>
          <cell r="B7215" t="str">
            <v>YZ-SH15508</v>
          </cell>
        </row>
        <row r="7216">
          <cell r="A7216" t="str">
            <v>YZ-SH15508Bl2L</v>
          </cell>
          <cell r="B7216" t="str">
            <v>YZ-SH15508</v>
          </cell>
        </row>
        <row r="7217">
          <cell r="A7217" t="str">
            <v>YZ-SH15508Bl3L</v>
          </cell>
          <cell r="B7217" t="str">
            <v>YZ-SH15508</v>
          </cell>
        </row>
        <row r="7218">
          <cell r="A7218" t="str">
            <v>YZ-SH15508BlM</v>
          </cell>
          <cell r="B7218" t="str">
            <v>YZ-SH15508</v>
          </cell>
        </row>
        <row r="7219">
          <cell r="A7219" t="str">
            <v>YZ-SH15508BlS</v>
          </cell>
          <cell r="B7219" t="str">
            <v>YZ-SH15508</v>
          </cell>
        </row>
        <row r="7220">
          <cell r="A7220" t="str">
            <v>YZ-SH15508BS0L</v>
          </cell>
          <cell r="B7220" t="str">
            <v>YZ-SH15508</v>
          </cell>
        </row>
        <row r="7221">
          <cell r="A7221" t="str">
            <v>YZ-SH15508BS1L</v>
          </cell>
          <cell r="B7221" t="str">
            <v>YZ-SH15508</v>
          </cell>
        </row>
        <row r="7222">
          <cell r="A7222" t="str">
            <v>YZ-SH15508BS2L</v>
          </cell>
          <cell r="B7222" t="str">
            <v>YZ-SH15508</v>
          </cell>
        </row>
        <row r="7223">
          <cell r="A7223" t="str">
            <v>YZ-SH15508BS3L</v>
          </cell>
          <cell r="B7223" t="str">
            <v>YZ-SH15508</v>
          </cell>
        </row>
        <row r="7224">
          <cell r="A7224" t="str">
            <v>YZ-SH15508BSM</v>
          </cell>
          <cell r="B7224" t="str">
            <v>YZ-SH15508</v>
          </cell>
        </row>
        <row r="7225">
          <cell r="A7225" t="str">
            <v>YZ-SH15508BSS</v>
          </cell>
          <cell r="B7225" t="str">
            <v>YZ-SH15508</v>
          </cell>
        </row>
        <row r="7226">
          <cell r="A7226" t="str">
            <v>YZ-SH15508BW0L</v>
          </cell>
          <cell r="B7226" t="str">
            <v>YZ-SH15508</v>
          </cell>
        </row>
        <row r="7227">
          <cell r="A7227" t="str">
            <v>YZ-SH15508BW1L</v>
          </cell>
          <cell r="B7227" t="str">
            <v>YZ-SH15508</v>
          </cell>
        </row>
        <row r="7228">
          <cell r="A7228" t="str">
            <v>YZ-SH15508BW2L</v>
          </cell>
          <cell r="B7228" t="str">
            <v>YZ-SH15508</v>
          </cell>
        </row>
        <row r="7229">
          <cell r="A7229" t="str">
            <v>YZ-SH15508BW3L</v>
          </cell>
          <cell r="B7229" t="str">
            <v>YZ-SH15508</v>
          </cell>
        </row>
        <row r="7230">
          <cell r="A7230" t="str">
            <v>YZ-SH15508BWM</v>
          </cell>
          <cell r="B7230" t="str">
            <v>YZ-SH15508</v>
          </cell>
        </row>
        <row r="7231">
          <cell r="A7231" t="str">
            <v>YZ-SH15508BWS</v>
          </cell>
          <cell r="B7231" t="str">
            <v>YZ-SH15508</v>
          </cell>
        </row>
        <row r="7232">
          <cell r="A7232" t="str">
            <v>YZ-SH15508Re0L</v>
          </cell>
          <cell r="B7232" t="str">
            <v>YZ-SH15508</v>
          </cell>
        </row>
        <row r="7233">
          <cell r="A7233" t="str">
            <v>YZ-SH15508Re1L</v>
          </cell>
          <cell r="B7233" t="str">
            <v>YZ-SH15508</v>
          </cell>
        </row>
        <row r="7234">
          <cell r="A7234" t="str">
            <v>YZ-SH15508Re2L</v>
          </cell>
          <cell r="B7234" t="str">
            <v>YZ-SH15508</v>
          </cell>
        </row>
        <row r="7235">
          <cell r="A7235" t="str">
            <v>YZ-SH15508Re3L</v>
          </cell>
          <cell r="B7235" t="str">
            <v>YZ-SH15508</v>
          </cell>
        </row>
        <row r="7236">
          <cell r="A7236" t="str">
            <v>YZ-SH15508ReM</v>
          </cell>
          <cell r="B7236" t="str">
            <v>YZ-SH15508</v>
          </cell>
        </row>
        <row r="7237">
          <cell r="A7237" t="str">
            <v>YZ-SH15508ReS</v>
          </cell>
          <cell r="B7237" t="str">
            <v>YZ-SH15508</v>
          </cell>
        </row>
        <row r="7238">
          <cell r="A7238" t="str">
            <v>YZ-SH15508WB0L</v>
          </cell>
          <cell r="B7238" t="str">
            <v>YZ-SH15508</v>
          </cell>
        </row>
        <row r="7239">
          <cell r="A7239" t="str">
            <v>YZ-SH15508WB1L</v>
          </cell>
          <cell r="B7239" t="str">
            <v>YZ-SH15508</v>
          </cell>
        </row>
        <row r="7240">
          <cell r="A7240" t="str">
            <v>YZ-SH15508WB2L</v>
          </cell>
          <cell r="B7240" t="str">
            <v>YZ-SH15508</v>
          </cell>
        </row>
        <row r="7241">
          <cell r="A7241" t="str">
            <v>YZ-SH15508WB3L</v>
          </cell>
          <cell r="B7241" t="str">
            <v>YZ-SH15508</v>
          </cell>
        </row>
        <row r="7242">
          <cell r="A7242" t="str">
            <v>YZ-SH15508WBM</v>
          </cell>
          <cell r="B7242" t="str">
            <v>YZ-SH15508</v>
          </cell>
        </row>
        <row r="7243">
          <cell r="A7243" t="str">
            <v>YZ-SH15508WBS</v>
          </cell>
          <cell r="B7243" t="str">
            <v>YZ-SH15508</v>
          </cell>
        </row>
        <row r="7244">
          <cell r="A7244" t="str">
            <v>YZ-SM-HM30CH-L</v>
          </cell>
          <cell r="B7244" t="str">
            <v>YZ-SM-HM30CH</v>
          </cell>
        </row>
        <row r="7245">
          <cell r="A7245" t="str">
            <v>YZ-SM-HM30CH-M</v>
          </cell>
          <cell r="B7245" t="str">
            <v>YZ-SM-HM30CH</v>
          </cell>
        </row>
        <row r="7246">
          <cell r="A7246" t="str">
            <v>YZ-SM-HM30CH-S</v>
          </cell>
          <cell r="B7246" t="str">
            <v>YZ-SM-HM30CH</v>
          </cell>
        </row>
        <row r="7247">
          <cell r="A7247" t="str">
            <v>YZ-SM-HM30CH-XL</v>
          </cell>
          <cell r="B7247" t="str">
            <v>YZ-SM-HM30CH</v>
          </cell>
        </row>
        <row r="7248">
          <cell r="A7248" t="str">
            <v>YZ-SM-HM30CH-XS</v>
          </cell>
          <cell r="B7248" t="str">
            <v>YZ-SM-HM30CH</v>
          </cell>
        </row>
        <row r="7249">
          <cell r="A7249" t="str">
            <v>YZ-SYCA1018YeM</v>
          </cell>
          <cell r="B7249" t="str">
            <v>YZ-SYCA1018</v>
          </cell>
        </row>
        <row r="7250">
          <cell r="A7250" t="str">
            <v>YZ-TJ1245001L</v>
          </cell>
          <cell r="B7250" t="str">
            <v>YZ-TJ1245</v>
          </cell>
        </row>
        <row r="7251">
          <cell r="A7251" t="str">
            <v>YZ-TJ1245002L</v>
          </cell>
          <cell r="B7251" t="str">
            <v>YZ-TJ1245</v>
          </cell>
        </row>
        <row r="7252">
          <cell r="A7252" t="str">
            <v>YZ-TJ1245003L</v>
          </cell>
          <cell r="B7252" t="str">
            <v>YZ-TJ1245</v>
          </cell>
        </row>
        <row r="7253">
          <cell r="A7253" t="str">
            <v>YZ-TJ1245003L-GM</v>
          </cell>
          <cell r="B7253" t="str">
            <v>YZ-TJ1245</v>
          </cell>
        </row>
        <row r="7254">
          <cell r="A7254" t="str">
            <v>YZ-TJ124500L</v>
          </cell>
          <cell r="B7254" t="str">
            <v>YZ-TJ1245</v>
          </cell>
        </row>
        <row r="7255">
          <cell r="A7255" t="str">
            <v>YZ-TJ124500M</v>
          </cell>
          <cell r="B7255" t="str">
            <v>YZ-TJ1245</v>
          </cell>
        </row>
        <row r="7256">
          <cell r="A7256" t="str">
            <v>YZ-TJ1245G01L</v>
          </cell>
          <cell r="B7256" t="str">
            <v>YZ-TJ1245</v>
          </cell>
        </row>
        <row r="7257">
          <cell r="A7257" t="str">
            <v>YZ-TJ1245G02L</v>
          </cell>
          <cell r="B7257" t="str">
            <v>YZ-TJ1245</v>
          </cell>
        </row>
        <row r="7258">
          <cell r="A7258" t="str">
            <v>YZ-TJ1245G03L</v>
          </cell>
          <cell r="B7258" t="str">
            <v>YZ-TJ1245</v>
          </cell>
        </row>
        <row r="7259">
          <cell r="A7259" t="str">
            <v>YZ-TJ1245G03L-GM</v>
          </cell>
          <cell r="B7259" t="str">
            <v>YZ-TJ1245</v>
          </cell>
        </row>
        <row r="7260">
          <cell r="A7260" t="str">
            <v>YZ-TJ1245G0L</v>
          </cell>
          <cell r="B7260" t="str">
            <v>YZ-TJ1245</v>
          </cell>
        </row>
        <row r="7261">
          <cell r="A7261" t="str">
            <v>YZ-TJ1245G0M</v>
          </cell>
          <cell r="B7261" t="str">
            <v>YZ-TJ1245</v>
          </cell>
        </row>
        <row r="7262">
          <cell r="A7262" t="str">
            <v>YZ-TJ1245W01L</v>
          </cell>
          <cell r="B7262" t="str">
            <v>YZ-TJ1245</v>
          </cell>
        </row>
        <row r="7263">
          <cell r="A7263" t="str">
            <v>YZ-TJ1245W02L</v>
          </cell>
          <cell r="B7263" t="str">
            <v>YZ-TJ1245</v>
          </cell>
        </row>
        <row r="7264">
          <cell r="A7264" t="str">
            <v>YZ-TJ1245W03L</v>
          </cell>
          <cell r="B7264" t="str">
            <v>YZ-TJ1245</v>
          </cell>
        </row>
        <row r="7265">
          <cell r="A7265" t="str">
            <v>YZ-TJ1245W0L</v>
          </cell>
          <cell r="B7265" t="str">
            <v>YZ-TJ1245</v>
          </cell>
        </row>
        <row r="7266">
          <cell r="A7266" t="str">
            <v>YZ-TJ1245W0M</v>
          </cell>
          <cell r="B7266" t="str">
            <v>YZ-TJ1245</v>
          </cell>
        </row>
        <row r="7267">
          <cell r="A7267" t="str">
            <v>YZ-WHZ766-R0-L</v>
          </cell>
          <cell r="B7267" t="str">
            <v>YZ-WHZ766</v>
          </cell>
        </row>
        <row r="7268">
          <cell r="A7268" t="str">
            <v>YZ-WHZ766-R0-M</v>
          </cell>
          <cell r="B7268" t="str">
            <v>YZ-WHZ766</v>
          </cell>
        </row>
        <row r="7269">
          <cell r="A7269" t="str">
            <v>YZ-WHZ766-R0-S</v>
          </cell>
          <cell r="B7269" t="str">
            <v>YZ-WHZ766</v>
          </cell>
        </row>
        <row r="7270">
          <cell r="A7270" t="str">
            <v>YZ-WHZ766-R0-XL</v>
          </cell>
          <cell r="B7270" t="str">
            <v>YZ-WHZ766</v>
          </cell>
        </row>
        <row r="7271">
          <cell r="A7271" t="str">
            <v>YZ-XJ001Gr2L</v>
          </cell>
          <cell r="B7271" t="str">
            <v>YZ-XJ001</v>
          </cell>
        </row>
        <row r="7272">
          <cell r="A7272" t="str">
            <v>YZ-XJ001GrXL</v>
          </cell>
          <cell r="B7272" t="str">
            <v>YZ-XJ001</v>
          </cell>
        </row>
        <row r="7273">
          <cell r="A7273" t="str">
            <v>YZ-XQ1443K02XL</v>
          </cell>
          <cell r="B7273" t="str">
            <v>YZ-BX1443</v>
          </cell>
        </row>
        <row r="7274">
          <cell r="A7274" t="str">
            <v>YZ-XQ1443K03XL</v>
          </cell>
          <cell r="B7274" t="str">
            <v>YZ-BX1443</v>
          </cell>
        </row>
        <row r="7275">
          <cell r="A7275" t="str">
            <v>YZ-XQ1443K0L</v>
          </cell>
          <cell r="B7275" t="str">
            <v>YZ-BX1443</v>
          </cell>
        </row>
        <row r="7276">
          <cell r="A7276" t="str">
            <v>YZ-XQ1443K0M</v>
          </cell>
          <cell r="B7276" t="str">
            <v>YZ-BX1443</v>
          </cell>
        </row>
        <row r="7277">
          <cell r="A7277" t="str">
            <v>YZ-XQ1443K0XL</v>
          </cell>
          <cell r="B7277" t="str">
            <v>YZ-BX1443</v>
          </cell>
        </row>
        <row r="7278">
          <cell r="A7278" t="str">
            <v>YZ-XQ1443Re2XL</v>
          </cell>
          <cell r="B7278" t="str">
            <v>YZ-BX1443</v>
          </cell>
        </row>
        <row r="7279">
          <cell r="A7279" t="str">
            <v>YZ-XQ1443Re3XL</v>
          </cell>
          <cell r="B7279" t="str">
            <v>YZ-BX1443</v>
          </cell>
        </row>
        <row r="7280">
          <cell r="A7280" t="str">
            <v>YZ-XQ1443ReL</v>
          </cell>
          <cell r="B7280" t="str">
            <v>YZ-BX1443</v>
          </cell>
        </row>
        <row r="7281">
          <cell r="A7281" t="str">
            <v>YZ-XQ1443ReM</v>
          </cell>
          <cell r="B7281" t="str">
            <v>YZ-BX1443</v>
          </cell>
        </row>
        <row r="7282">
          <cell r="A7282" t="str">
            <v>YZ-XQ1443ReXL</v>
          </cell>
          <cell r="B7282" t="str">
            <v>YZ-BX1443</v>
          </cell>
        </row>
        <row r="7283">
          <cell r="A7283" t="str">
            <v>YZ-XSW3071Feather5L</v>
          </cell>
          <cell r="B7283" t="str">
            <v>YZ-XSW3071</v>
          </cell>
        </row>
        <row r="7284">
          <cell r="A7284" t="str">
            <v>YZ-YGD2000-2XL</v>
          </cell>
          <cell r="B7284" t="str">
            <v>YZ-YGD2000</v>
          </cell>
        </row>
        <row r="7285">
          <cell r="A7285" t="str">
            <v>YZ-YGD2000-3XL</v>
          </cell>
          <cell r="B7285" t="str">
            <v>YZ-YGD2000</v>
          </cell>
        </row>
        <row r="7286">
          <cell r="A7286" t="str">
            <v>YZ-YGD2000-L</v>
          </cell>
          <cell r="B7286" t="str">
            <v>YZ-YGD2000</v>
          </cell>
        </row>
        <row r="7287">
          <cell r="A7287" t="str">
            <v>YZ-YGD2000-M</v>
          </cell>
          <cell r="B7287" t="str">
            <v>YZ-YGD2000</v>
          </cell>
        </row>
        <row r="7288">
          <cell r="A7288" t="str">
            <v>YZ-YGD2000-S</v>
          </cell>
          <cell r="B7288" t="str">
            <v>YZ-YGD2000</v>
          </cell>
        </row>
        <row r="7289">
          <cell r="A7289" t="str">
            <v>YZ-YGD2000-XL</v>
          </cell>
          <cell r="B7289" t="str">
            <v>YZ-YGD2000</v>
          </cell>
        </row>
        <row r="7290">
          <cell r="A7290" t="str">
            <v>YZ-YO1521-BF-2XL</v>
          </cell>
          <cell r="B7290" t="str">
            <v>YZ-YO1521</v>
          </cell>
        </row>
        <row r="7291">
          <cell r="A7291" t="str">
            <v>YZ-YO1521-BF-3XL</v>
          </cell>
          <cell r="B7291" t="str">
            <v>YZ-YO1521</v>
          </cell>
        </row>
        <row r="7292">
          <cell r="A7292" t="str">
            <v>YZ-YO1521-BF-4XL</v>
          </cell>
          <cell r="B7292" t="str">
            <v>YZ-YO1521</v>
          </cell>
        </row>
        <row r="7293">
          <cell r="A7293" t="str">
            <v>YZ-YO1521-BF-5XL</v>
          </cell>
          <cell r="B7293" t="str">
            <v>YZ-YO1521</v>
          </cell>
        </row>
        <row r="7294">
          <cell r="A7294" t="str">
            <v>YZ-YO1521-BF-XL</v>
          </cell>
          <cell r="B7294" t="str">
            <v>YZ-YO1521</v>
          </cell>
        </row>
        <row r="7295">
          <cell r="A7295" t="str">
            <v>YZ-YO1521-BL-2XL</v>
          </cell>
          <cell r="B7295" t="str">
            <v>YZ-YO1521</v>
          </cell>
        </row>
        <row r="7296">
          <cell r="A7296" t="str">
            <v>YZ-YO1521-BL-3XL</v>
          </cell>
          <cell r="B7296" t="str">
            <v>YZ-YO1521</v>
          </cell>
        </row>
        <row r="7297">
          <cell r="A7297" t="str">
            <v>YZ-YO1521-BL-4XL</v>
          </cell>
          <cell r="B7297" t="str">
            <v>YZ-YO1521</v>
          </cell>
        </row>
        <row r="7298">
          <cell r="A7298" t="str">
            <v>YZ-YO1521-BL-5XL</v>
          </cell>
          <cell r="B7298" t="str">
            <v>YZ-YO1521</v>
          </cell>
        </row>
        <row r="7299">
          <cell r="A7299" t="str">
            <v>YZ-YO1521-BL-XL</v>
          </cell>
          <cell r="B7299" t="str">
            <v>YZ-YO1521</v>
          </cell>
        </row>
        <row r="7300">
          <cell r="A7300" t="str">
            <v>YZ-YO1521-GF-2XL</v>
          </cell>
          <cell r="B7300" t="str">
            <v>YZ-YO1521</v>
          </cell>
        </row>
        <row r="7301">
          <cell r="A7301" t="str">
            <v>YZ-YO1521-GF-3XL</v>
          </cell>
          <cell r="B7301" t="str">
            <v>YZ-YO1521</v>
          </cell>
        </row>
        <row r="7302">
          <cell r="A7302" t="str">
            <v>YZ-YO1521-GF-4XL</v>
          </cell>
          <cell r="B7302" t="str">
            <v>YZ-YO1521</v>
          </cell>
        </row>
        <row r="7303">
          <cell r="A7303" t="str">
            <v>YZ-YO1521-GF-5XL</v>
          </cell>
          <cell r="B7303" t="str">
            <v>YZ-YO1521</v>
          </cell>
        </row>
        <row r="7304">
          <cell r="A7304" t="str">
            <v>YZ-YO1521-GF-XL</v>
          </cell>
          <cell r="B7304" t="str">
            <v>YZ-YO1521</v>
          </cell>
        </row>
        <row r="7305">
          <cell r="A7305" t="str">
            <v>YZ-YO1521-GW-2XL</v>
          </cell>
          <cell r="B7305" t="str">
            <v>YZ-YO1521</v>
          </cell>
        </row>
        <row r="7306">
          <cell r="A7306" t="str">
            <v>YZ-YO1521-GW-3XL</v>
          </cell>
          <cell r="B7306" t="str">
            <v>YZ-YO1521</v>
          </cell>
        </row>
        <row r="7307">
          <cell r="A7307" t="str">
            <v>YZ-YO1521-GW-4XL</v>
          </cell>
          <cell r="B7307" t="str">
            <v>YZ-YO1521</v>
          </cell>
        </row>
        <row r="7308">
          <cell r="A7308" t="str">
            <v>YZ-YO1521-GW-5XL</v>
          </cell>
          <cell r="B7308" t="str">
            <v>YZ-YO1521</v>
          </cell>
        </row>
        <row r="7309">
          <cell r="A7309" t="str">
            <v>YZ-YO1521-GW-XL</v>
          </cell>
          <cell r="B7309" t="str">
            <v>YZ-YO1521</v>
          </cell>
        </row>
        <row r="7310">
          <cell r="A7310" t="str">
            <v>YZ-YO1521-KF-2XL</v>
          </cell>
          <cell r="B7310" t="str">
            <v>YZ-YO1521</v>
          </cell>
        </row>
        <row r="7311">
          <cell r="A7311" t="str">
            <v>YZ-YO1521-KF-3XL</v>
          </cell>
          <cell r="B7311" t="str">
            <v>YZ-YO1521</v>
          </cell>
        </row>
        <row r="7312">
          <cell r="A7312" t="str">
            <v>YZ-YO1521-KF-4XL</v>
          </cell>
          <cell r="B7312" t="str">
            <v>YZ-YO1521</v>
          </cell>
        </row>
        <row r="7313">
          <cell r="A7313" t="str">
            <v>YZ-YO1521-KF-5XL</v>
          </cell>
          <cell r="B7313" t="str">
            <v>YZ-YO1521</v>
          </cell>
        </row>
        <row r="7314">
          <cell r="A7314" t="str">
            <v>YZ-YO1521-KF-XL</v>
          </cell>
          <cell r="B7314" t="str">
            <v>YZ-YO1521</v>
          </cell>
        </row>
        <row r="7315">
          <cell r="A7315" t="str">
            <v>YZ-YO1521-RF-2XL</v>
          </cell>
          <cell r="B7315" t="str">
            <v>YZ-YO1521</v>
          </cell>
        </row>
        <row r="7316">
          <cell r="A7316" t="str">
            <v>YZ-YO1521-RF-3XL</v>
          </cell>
          <cell r="B7316" t="str">
            <v>YZ-YO1521</v>
          </cell>
        </row>
        <row r="7317">
          <cell r="A7317" t="str">
            <v>YZ-YO1521-RF-4XL</v>
          </cell>
          <cell r="B7317" t="str">
            <v>YZ-YO1521</v>
          </cell>
        </row>
        <row r="7318">
          <cell r="A7318" t="str">
            <v>YZ-YO1521-RF-5XL</v>
          </cell>
          <cell r="B7318" t="str">
            <v>YZ-YO1521</v>
          </cell>
        </row>
        <row r="7319">
          <cell r="A7319" t="str">
            <v>YZ-YO1521-RF-XL</v>
          </cell>
          <cell r="B7319" t="str">
            <v>YZ-YO1521</v>
          </cell>
        </row>
        <row r="7320">
          <cell r="A7320" t="str">
            <v>YZ-YO1521-RL-2XL</v>
          </cell>
          <cell r="B7320" t="str">
            <v>YZ-YO1521</v>
          </cell>
        </row>
        <row r="7321">
          <cell r="A7321" t="str">
            <v>YZ-YO1521-RL-3XL</v>
          </cell>
          <cell r="B7321" t="str">
            <v>YZ-YO1521</v>
          </cell>
        </row>
        <row r="7322">
          <cell r="A7322" t="str">
            <v>YZ-YO1521-RL-4XL</v>
          </cell>
          <cell r="B7322" t="str">
            <v>YZ-YO1521</v>
          </cell>
        </row>
        <row r="7323">
          <cell r="A7323" t="str">
            <v>YZ-YO1521-RL-5XL</v>
          </cell>
          <cell r="B7323" t="str">
            <v>YZ-YO1521</v>
          </cell>
        </row>
        <row r="7324">
          <cell r="A7324" t="str">
            <v>YZ-YO1521-RL-XL</v>
          </cell>
          <cell r="B7324" t="str">
            <v>YZ-YO1521</v>
          </cell>
        </row>
        <row r="7325">
          <cell r="A7325" t="str">
            <v>YZ-YO1521-RM-2XL</v>
          </cell>
          <cell r="B7325" t="str">
            <v>YZ-YO1521</v>
          </cell>
        </row>
        <row r="7326">
          <cell r="A7326" t="str">
            <v>YZ-YO1521-RM-3XL</v>
          </cell>
          <cell r="B7326" t="str">
            <v>YZ-YO1521</v>
          </cell>
        </row>
        <row r="7327">
          <cell r="A7327" t="str">
            <v>YZ-YO1521-RM-4XL</v>
          </cell>
          <cell r="B7327" t="str">
            <v>YZ-YO1521</v>
          </cell>
        </row>
        <row r="7328">
          <cell r="A7328" t="str">
            <v>YZ-YO1521-RM-5XL</v>
          </cell>
          <cell r="B7328" t="str">
            <v>YZ-YO1521</v>
          </cell>
        </row>
        <row r="7329">
          <cell r="A7329" t="str">
            <v>YZ-YO1521-RM-XL</v>
          </cell>
          <cell r="B7329" t="str">
            <v>YZ-YO1521</v>
          </cell>
        </row>
        <row r="7330">
          <cell r="A7330" t="str">
            <v>YZ-YO1521-WP-2XL</v>
          </cell>
          <cell r="B7330" t="str">
            <v>YZ-YO1521</v>
          </cell>
        </row>
        <row r="7331">
          <cell r="A7331" t="str">
            <v>YZ-YO1521-WP-3XL</v>
          </cell>
          <cell r="B7331" t="str">
            <v>YZ-YO1521</v>
          </cell>
        </row>
        <row r="7332">
          <cell r="A7332" t="str">
            <v>YZ-YO1521-WP-4XL</v>
          </cell>
          <cell r="B7332" t="str">
            <v>YZ-YO1521</v>
          </cell>
        </row>
        <row r="7333">
          <cell r="A7333" t="str">
            <v>YZ-YO1521-WP-5XL</v>
          </cell>
          <cell r="B7333" t="str">
            <v>YZ-YO1521</v>
          </cell>
        </row>
        <row r="7334">
          <cell r="A7334" t="str">
            <v>YZ-YO1521-WP-XL</v>
          </cell>
          <cell r="B7334" t="str">
            <v>YZ-YO1521</v>
          </cell>
        </row>
        <row r="7335">
          <cell r="A7335" t="str">
            <v>YZ-ZQ0707-G0-L</v>
          </cell>
          <cell r="B7335" t="str">
            <v>YZ-ZQ0707</v>
          </cell>
        </row>
        <row r="7336">
          <cell r="A7336" t="str">
            <v>YZ-ZQ0707-G0-M</v>
          </cell>
          <cell r="B7336" t="str">
            <v>YZ-ZQ0707</v>
          </cell>
        </row>
        <row r="7337">
          <cell r="A7337" t="str">
            <v>YZ-ZQ0707-G0-XL</v>
          </cell>
          <cell r="B7337" t="str">
            <v>YZ-ZQ0707</v>
          </cell>
        </row>
        <row r="7338">
          <cell r="A7338" t="str">
            <v>YZ-ZQ0707-ORTW-2XL</v>
          </cell>
          <cell r="B7338" t="str">
            <v>YZ-ZQ0707</v>
          </cell>
        </row>
        <row r="7339">
          <cell r="A7339" t="str">
            <v>YZ-ZQ0707-ORTW-XL</v>
          </cell>
          <cell r="B7339" t="str">
            <v>YZ-ZQ0707</v>
          </cell>
        </row>
        <row r="7340">
          <cell r="A7340" t="str">
            <v>YZ-ZQ0707-PITW-2XL</v>
          </cell>
          <cell r="B7340" t="str">
            <v>YZ-ZQ0707</v>
          </cell>
        </row>
        <row r="7341">
          <cell r="A7341" t="str">
            <v>YZ-ZQ0707-PITW-L</v>
          </cell>
          <cell r="B7341" t="str">
            <v>YZ-ZQ0707</v>
          </cell>
        </row>
        <row r="7342">
          <cell r="A7342" t="str">
            <v>YZ-ZQ0707-PITW-M</v>
          </cell>
          <cell r="B7342" t="str">
            <v>YZ-ZQ0707</v>
          </cell>
        </row>
        <row r="7343">
          <cell r="A7343" t="str">
            <v>YZ-ZQ0707-PITW-S</v>
          </cell>
          <cell r="B7343" t="str">
            <v>YZ-ZQ0707</v>
          </cell>
        </row>
        <row r="7344">
          <cell r="A7344" t="str">
            <v>YZ-ZQ0707-PITW-XL</v>
          </cell>
          <cell r="B7344" t="str">
            <v>YZ-ZQ0707</v>
          </cell>
        </row>
        <row r="7345">
          <cell r="A7345" t="str">
            <v>YZ-ZQ0707-R0-L</v>
          </cell>
          <cell r="B7345" t="str">
            <v>YZ-ZQ0707</v>
          </cell>
        </row>
        <row r="7346">
          <cell r="A7346" t="str">
            <v>YZ-ZQ0707-R0-XL</v>
          </cell>
          <cell r="B7346" t="str">
            <v>YZ-ZQ0707</v>
          </cell>
        </row>
        <row r="7347">
          <cell r="A7347" t="str">
            <v>YZ-ZQ0707-Y0TW-L</v>
          </cell>
          <cell r="B7347" t="str">
            <v>YZ-ZQ0707</v>
          </cell>
        </row>
        <row r="7348">
          <cell r="A7348" t="str">
            <v>YZ-ZQ0707-Y0TW-XL</v>
          </cell>
          <cell r="B7348" t="str">
            <v>YZ-ZQ0707</v>
          </cell>
        </row>
        <row r="7349">
          <cell r="A7349" t="str">
            <v>YZ-ZQ1126-K0-2X</v>
          </cell>
          <cell r="B7349" t="str">
            <v>YZ-ZQ1126</v>
          </cell>
        </row>
        <row r="7350">
          <cell r="A7350" t="str">
            <v>YZ-ZQ1126-K0-3X</v>
          </cell>
          <cell r="B7350" t="str">
            <v>YZ-ZQ1126</v>
          </cell>
        </row>
        <row r="7351">
          <cell r="A7351" t="str">
            <v>YZ-ZQ1126-K0-4X</v>
          </cell>
          <cell r="B7351" t="str">
            <v>YZ-ZQ1126</v>
          </cell>
        </row>
        <row r="7352">
          <cell r="A7352" t="str">
            <v>YZ-ZQ1126-K0-XL</v>
          </cell>
          <cell r="B7352" t="str">
            <v>YZ-ZQ1126</v>
          </cell>
        </row>
        <row r="7353">
          <cell r="A7353" t="str">
            <v>YZ-ZQ112B0L</v>
          </cell>
          <cell r="B7353" t="str">
            <v>YZ-ZQ112</v>
          </cell>
        </row>
        <row r="7354">
          <cell r="A7354" t="str">
            <v>YZ-ZQ112B0M</v>
          </cell>
          <cell r="B7354" t="str">
            <v>YZ-ZQ112</v>
          </cell>
        </row>
        <row r="7355">
          <cell r="A7355" t="str">
            <v>YZ-ZQ112B0S</v>
          </cell>
          <cell r="B7355" t="str">
            <v>YZ-ZQ112</v>
          </cell>
        </row>
        <row r="7356">
          <cell r="A7356" t="str">
            <v>YZ-ZQ112B0XL</v>
          </cell>
          <cell r="B7356" t="str">
            <v>YZ-ZQ112</v>
          </cell>
        </row>
        <row r="7357">
          <cell r="A7357" t="str">
            <v>YZ-ZQ1197-KW-2X</v>
          </cell>
          <cell r="B7357" t="str">
            <v>YZ-ZQ1197</v>
          </cell>
        </row>
        <row r="7358">
          <cell r="A7358" t="str">
            <v>YZ-ZQ1197-KW-L</v>
          </cell>
          <cell r="B7358" t="str">
            <v>YZ-ZQ1197</v>
          </cell>
        </row>
        <row r="7359">
          <cell r="A7359" t="str">
            <v>YZ-ZQ1197-KW-M</v>
          </cell>
          <cell r="B7359" t="str">
            <v>YZ-ZQ1197</v>
          </cell>
        </row>
        <row r="7360">
          <cell r="A7360" t="str">
            <v>YZ-ZQ1197-KW-XL</v>
          </cell>
          <cell r="B7360" t="str">
            <v>YZ-ZQ1197</v>
          </cell>
        </row>
        <row r="7361">
          <cell r="A7361" t="str">
            <v>YZ-ZQ1197-W0-L</v>
          </cell>
          <cell r="B7361" t="str">
            <v>YZ-ZQ1197</v>
          </cell>
        </row>
        <row r="7362">
          <cell r="A7362" t="str">
            <v>YZ-ZQ1197-W0-M</v>
          </cell>
          <cell r="B7362" t="str">
            <v>YZ-ZQ1197</v>
          </cell>
        </row>
        <row r="7363">
          <cell r="A7363" t="str">
            <v>YZ-ZQ1197-W0-XL</v>
          </cell>
          <cell r="B7363" t="str">
            <v>YZ-ZQ1197</v>
          </cell>
        </row>
        <row r="7364">
          <cell r="A7364" t="str">
            <v>YZ-ZQ123B02XL</v>
          </cell>
          <cell r="B7364" t="str">
            <v>YZ-ZQ123</v>
          </cell>
        </row>
        <row r="7365">
          <cell r="A7365" t="str">
            <v>YZ-ZQ123B03XL</v>
          </cell>
          <cell r="B7365" t="str">
            <v>YZ-ZQ123</v>
          </cell>
        </row>
        <row r="7366">
          <cell r="A7366" t="str">
            <v>YZ-ZQ123B04XL</v>
          </cell>
          <cell r="B7366" t="str">
            <v>YZ-ZQ123</v>
          </cell>
        </row>
        <row r="7367">
          <cell r="A7367" t="str">
            <v>YZ-ZQ123B05XL</v>
          </cell>
          <cell r="B7367" t="str">
            <v>YZ-ZQ123</v>
          </cell>
        </row>
        <row r="7368">
          <cell r="A7368" t="str">
            <v>YZ-ZQ123B0L</v>
          </cell>
          <cell r="B7368" t="str">
            <v>YZ-ZQ123</v>
          </cell>
        </row>
        <row r="7369">
          <cell r="A7369" t="str">
            <v>YZ-ZQ123B0XL</v>
          </cell>
          <cell r="B7369" t="str">
            <v>YZ-ZQ123</v>
          </cell>
        </row>
        <row r="7370">
          <cell r="A7370" t="str">
            <v>YZ-ZQ1328-Y0-L</v>
          </cell>
          <cell r="B7370" t="str">
            <v>YZ-ZQ1328</v>
          </cell>
        </row>
        <row r="7371">
          <cell r="A7371" t="str">
            <v>YZ-ZQ1328-Y0-M</v>
          </cell>
          <cell r="B7371" t="str">
            <v>YZ-ZQ1328</v>
          </cell>
        </row>
        <row r="7372">
          <cell r="A7372" t="str">
            <v>YZ-ZQ1328-Y0-XL</v>
          </cell>
          <cell r="B7372" t="str">
            <v>YZ-ZQ1328</v>
          </cell>
        </row>
        <row r="7373">
          <cell r="A7373" t="str">
            <v>YZ-ZQ144K03XL</v>
          </cell>
          <cell r="B7373" t="str">
            <v>YZ-ZQ144</v>
          </cell>
        </row>
        <row r="7374">
          <cell r="A7374" t="str">
            <v>YZ-ZQ144R03XL</v>
          </cell>
          <cell r="B7374" t="str">
            <v>YZ-ZQ144</v>
          </cell>
        </row>
        <row r="7375">
          <cell r="A7375" t="str">
            <v>YZ-ZQ14578-K0-2X</v>
          </cell>
          <cell r="B7375" t="str">
            <v>YZ-ZQ14578</v>
          </cell>
        </row>
        <row r="7376">
          <cell r="A7376" t="str">
            <v>YZ-ZQ14578-K0-3X</v>
          </cell>
          <cell r="B7376" t="str">
            <v>YZ-ZQ14578</v>
          </cell>
        </row>
        <row r="7377">
          <cell r="A7377" t="str">
            <v>YZ-ZQ14578-K0-4X</v>
          </cell>
          <cell r="B7377" t="str">
            <v>YZ-ZQ14578</v>
          </cell>
        </row>
        <row r="7378">
          <cell r="A7378" t="str">
            <v>YZ-ZQ14578-K0-5X</v>
          </cell>
          <cell r="B7378" t="str">
            <v>YZ-ZQ14578</v>
          </cell>
        </row>
        <row r="7379">
          <cell r="A7379" t="str">
            <v>YZ-ZQ14578-K0-L</v>
          </cell>
          <cell r="B7379" t="str">
            <v>YZ-ZQ14578</v>
          </cell>
        </row>
        <row r="7380">
          <cell r="A7380" t="str">
            <v>YZ-ZQ14578-K0-XL</v>
          </cell>
          <cell r="B7380" t="str">
            <v>YZ-ZQ14578</v>
          </cell>
        </row>
        <row r="7381">
          <cell r="A7381" t="str">
            <v>YZ-ZQ14976-R0-2X</v>
          </cell>
          <cell r="B7381" t="str">
            <v>YZ-ZQ14976</v>
          </cell>
        </row>
        <row r="7382">
          <cell r="A7382" t="str">
            <v>YZ-ZQ14976-R0-3X</v>
          </cell>
          <cell r="B7382" t="str">
            <v>YZ-ZQ14976</v>
          </cell>
        </row>
        <row r="7383">
          <cell r="A7383" t="str">
            <v>YZ-ZQ14976-R0-4X</v>
          </cell>
          <cell r="B7383" t="str">
            <v>YZ-ZQ14976</v>
          </cell>
        </row>
        <row r="7384">
          <cell r="A7384" t="str">
            <v>YZ-ZQ14976-R0-5X</v>
          </cell>
          <cell r="B7384" t="str">
            <v>YZ-ZQ14976</v>
          </cell>
        </row>
        <row r="7385">
          <cell r="A7385" t="str">
            <v>YZ-ZQ14976-R0-L</v>
          </cell>
          <cell r="B7385" t="str">
            <v>YZ-ZQ14976</v>
          </cell>
        </row>
        <row r="7386">
          <cell r="A7386" t="str">
            <v>YZ-ZQ14976-R0-M</v>
          </cell>
          <cell r="B7386" t="str">
            <v>YZ-ZQ14976</v>
          </cell>
        </row>
        <row r="7387">
          <cell r="A7387" t="str">
            <v>YZ-ZQ14976-R0-XL</v>
          </cell>
          <cell r="B7387" t="str">
            <v>YZ-ZQ14976</v>
          </cell>
        </row>
        <row r="7388">
          <cell r="A7388" t="str">
            <v>YZ-ZQ14976-Y0-2X</v>
          </cell>
          <cell r="B7388" t="str">
            <v>YZ-ZQ14976</v>
          </cell>
        </row>
        <row r="7389">
          <cell r="A7389" t="str">
            <v>YZ-ZQ14976-Y0-3X</v>
          </cell>
          <cell r="B7389" t="str">
            <v>YZ-ZQ14976</v>
          </cell>
        </row>
        <row r="7390">
          <cell r="A7390" t="str">
            <v>YZ-ZQ14976-Y0-4X</v>
          </cell>
          <cell r="B7390" t="str">
            <v>YZ-ZQ14976</v>
          </cell>
        </row>
        <row r="7391">
          <cell r="A7391" t="str">
            <v>YZ-ZQ14976-Y0-5X</v>
          </cell>
          <cell r="B7391" t="str">
            <v>YZ-ZQ14976</v>
          </cell>
        </row>
        <row r="7392">
          <cell r="A7392" t="str">
            <v>YZ-ZQ14976-Y0-L</v>
          </cell>
          <cell r="B7392" t="str">
            <v>YZ-ZQ14976</v>
          </cell>
        </row>
        <row r="7393">
          <cell r="A7393" t="str">
            <v>YZ-ZQ14976-Y0-M</v>
          </cell>
          <cell r="B7393" t="str">
            <v>YZ-ZQ14976</v>
          </cell>
        </row>
        <row r="7394">
          <cell r="A7394" t="str">
            <v>YZ-ZQ14976-Y0-XL</v>
          </cell>
          <cell r="B7394" t="str">
            <v>YZ-ZQ14976</v>
          </cell>
        </row>
        <row r="7395">
          <cell r="A7395" t="str">
            <v>YZ-ZQ1519-K0-2X</v>
          </cell>
          <cell r="B7395" t="str">
            <v>YZ-ZQ1519</v>
          </cell>
        </row>
        <row r="7396">
          <cell r="A7396" t="str">
            <v>YZ-ZQ1519-K0-3X</v>
          </cell>
          <cell r="B7396" t="str">
            <v>YZ-ZQ1519</v>
          </cell>
        </row>
        <row r="7397">
          <cell r="A7397" t="str">
            <v>YZ-ZQ1519-K0-4X</v>
          </cell>
          <cell r="B7397" t="str">
            <v>YZ-ZQ1519</v>
          </cell>
        </row>
        <row r="7398">
          <cell r="A7398" t="str">
            <v>YZ-ZQ1519-K0-5X</v>
          </cell>
          <cell r="B7398" t="str">
            <v>YZ-ZQ1519</v>
          </cell>
        </row>
        <row r="7399">
          <cell r="A7399" t="str">
            <v>YZ-ZQ1519-K0-L</v>
          </cell>
          <cell r="B7399" t="str">
            <v>YZ-ZQ1519</v>
          </cell>
        </row>
        <row r="7400">
          <cell r="A7400" t="str">
            <v>YZ-ZQ1519-K0-M</v>
          </cell>
          <cell r="B7400" t="str">
            <v>YZ-ZQ1519</v>
          </cell>
        </row>
        <row r="7401">
          <cell r="A7401" t="str">
            <v>YZ-ZQ1519-K0-S</v>
          </cell>
          <cell r="B7401" t="str">
            <v>YZ-ZQ1519</v>
          </cell>
        </row>
        <row r="7402">
          <cell r="A7402" t="str">
            <v>YZ-ZQ1519-K0-XL</v>
          </cell>
          <cell r="B7402" t="str">
            <v>YZ-ZQ1519</v>
          </cell>
        </row>
        <row r="7403">
          <cell r="A7403" t="str">
            <v>YZ-ZQ1521BF2XL</v>
          </cell>
          <cell r="B7403" t="str">
            <v>YZ-ZQ1521</v>
          </cell>
        </row>
        <row r="7404">
          <cell r="A7404" t="str">
            <v>YZ-ZQ1521BF3XL</v>
          </cell>
          <cell r="B7404" t="str">
            <v>YZ-ZQ1521</v>
          </cell>
        </row>
        <row r="7405">
          <cell r="A7405" t="str">
            <v>YZ-ZQ1521BF4XL</v>
          </cell>
          <cell r="B7405" t="str">
            <v>YZ-ZQ1521</v>
          </cell>
        </row>
        <row r="7406">
          <cell r="A7406" t="str">
            <v>YZ-ZQ1521BF5XL</v>
          </cell>
          <cell r="B7406" t="str">
            <v>YZ-ZQ1521</v>
          </cell>
        </row>
        <row r="7407">
          <cell r="A7407" t="str">
            <v>YZ-ZQ1521BFXL</v>
          </cell>
          <cell r="B7407" t="str">
            <v>YZ-ZQ1521</v>
          </cell>
        </row>
        <row r="7408">
          <cell r="A7408" t="str">
            <v>YZ-ZQ1521BL2XL</v>
          </cell>
          <cell r="B7408" t="str">
            <v>YZ-ZQ1521</v>
          </cell>
        </row>
        <row r="7409">
          <cell r="A7409" t="str">
            <v>YZ-ZQ1521BL3XL</v>
          </cell>
          <cell r="B7409" t="str">
            <v>YZ-ZQ1521</v>
          </cell>
        </row>
        <row r="7410">
          <cell r="A7410" t="str">
            <v>YZ-ZQ1521BL4XL</v>
          </cell>
          <cell r="B7410" t="str">
            <v>YZ-ZQ1521</v>
          </cell>
        </row>
        <row r="7411">
          <cell r="A7411" t="str">
            <v>YZ-ZQ1521BL5XL</v>
          </cell>
          <cell r="B7411" t="str">
            <v>YZ-ZQ1521</v>
          </cell>
        </row>
        <row r="7412">
          <cell r="A7412" t="str">
            <v>YZ-ZQ1521BLXL</v>
          </cell>
          <cell r="B7412" t="str">
            <v>YZ-ZQ1521</v>
          </cell>
        </row>
        <row r="7413">
          <cell r="A7413" t="str">
            <v>YZ-ZQ1521GF2XL</v>
          </cell>
          <cell r="B7413" t="str">
            <v>YZ-ZQ1521</v>
          </cell>
        </row>
        <row r="7414">
          <cell r="A7414" t="str">
            <v>YZ-ZQ1521GF3XL</v>
          </cell>
          <cell r="B7414" t="str">
            <v>YZ-ZQ1521</v>
          </cell>
        </row>
        <row r="7415">
          <cell r="A7415" t="str">
            <v>YZ-ZQ1521GF4XL</v>
          </cell>
          <cell r="B7415" t="str">
            <v>YZ-ZQ1521</v>
          </cell>
        </row>
        <row r="7416">
          <cell r="A7416" t="str">
            <v>YZ-ZQ1521GF5XL</v>
          </cell>
          <cell r="B7416" t="str">
            <v>YZ-ZQ1521</v>
          </cell>
        </row>
        <row r="7417">
          <cell r="A7417" t="str">
            <v>YZ-ZQ1521GFXL</v>
          </cell>
          <cell r="B7417" t="str">
            <v>YZ-ZQ1521</v>
          </cell>
        </row>
        <row r="7418">
          <cell r="A7418" t="str">
            <v>YZ-ZQ1521GW2XL</v>
          </cell>
          <cell r="B7418" t="str">
            <v>YZ-ZQ1521</v>
          </cell>
        </row>
        <row r="7419">
          <cell r="A7419" t="str">
            <v>YZ-ZQ1521GW3XL</v>
          </cell>
          <cell r="B7419" t="str">
            <v>YZ-ZQ1521</v>
          </cell>
        </row>
        <row r="7420">
          <cell r="A7420" t="str">
            <v>YZ-ZQ1521GW4XL</v>
          </cell>
          <cell r="B7420" t="str">
            <v>YZ-ZQ1521</v>
          </cell>
        </row>
        <row r="7421">
          <cell r="A7421" t="str">
            <v>YZ-ZQ1521GW5XL</v>
          </cell>
          <cell r="B7421" t="str">
            <v>YZ-ZQ1521</v>
          </cell>
        </row>
        <row r="7422">
          <cell r="A7422" t="str">
            <v>YZ-ZQ1521GWXL</v>
          </cell>
          <cell r="B7422" t="str">
            <v>YZ-ZQ1521</v>
          </cell>
        </row>
        <row r="7423">
          <cell r="A7423" t="str">
            <v>YZ-ZQ1521KF2XL</v>
          </cell>
          <cell r="B7423" t="str">
            <v>YZ-ZQ1521</v>
          </cell>
        </row>
        <row r="7424">
          <cell r="A7424" t="str">
            <v>YZ-ZQ1521KF3XL</v>
          </cell>
          <cell r="B7424" t="str">
            <v>YZ-ZQ1521</v>
          </cell>
        </row>
        <row r="7425">
          <cell r="A7425" t="str">
            <v>YZ-ZQ1521KF4XL</v>
          </cell>
          <cell r="B7425" t="str">
            <v>YZ-ZQ1521</v>
          </cell>
        </row>
        <row r="7426">
          <cell r="A7426" t="str">
            <v>YZ-ZQ1521KF5XL</v>
          </cell>
          <cell r="B7426" t="str">
            <v>YZ-ZQ1521</v>
          </cell>
        </row>
        <row r="7427">
          <cell r="A7427" t="str">
            <v>YZ-ZQ1521KFXL</v>
          </cell>
          <cell r="B7427" t="str">
            <v>YZ-ZQ1521</v>
          </cell>
        </row>
        <row r="7428">
          <cell r="A7428" t="str">
            <v>YZ-ZQ1521RF2XL</v>
          </cell>
          <cell r="B7428" t="str">
            <v>YZ-ZQ1521</v>
          </cell>
        </row>
        <row r="7429">
          <cell r="A7429" t="str">
            <v>YZ-ZQ1521RF3XL</v>
          </cell>
          <cell r="B7429" t="str">
            <v>YZ-ZQ1521</v>
          </cell>
        </row>
        <row r="7430">
          <cell r="A7430" t="str">
            <v>YZ-ZQ1521RF4XL</v>
          </cell>
          <cell r="B7430" t="str">
            <v>YZ-ZQ1521</v>
          </cell>
        </row>
        <row r="7431">
          <cell r="A7431" t="str">
            <v>YZ-ZQ1521RF5XL</v>
          </cell>
          <cell r="B7431" t="str">
            <v>YZ-ZQ1521</v>
          </cell>
        </row>
        <row r="7432">
          <cell r="A7432" t="str">
            <v>YZ-ZQ1521RFXL</v>
          </cell>
          <cell r="B7432" t="str">
            <v>YZ-ZQ1521</v>
          </cell>
        </row>
        <row r="7433">
          <cell r="A7433" t="str">
            <v>YZ-ZQ1521RL2XL</v>
          </cell>
          <cell r="B7433" t="str">
            <v>YZ-ZQ1521</v>
          </cell>
        </row>
        <row r="7434">
          <cell r="A7434" t="str">
            <v>YZ-ZQ1521RL3XL</v>
          </cell>
          <cell r="B7434" t="str">
            <v>YZ-ZQ1521</v>
          </cell>
        </row>
        <row r="7435">
          <cell r="A7435" t="str">
            <v>YZ-ZQ1521RL4XL</v>
          </cell>
          <cell r="B7435" t="str">
            <v>YZ-ZQ1521</v>
          </cell>
        </row>
        <row r="7436">
          <cell r="A7436" t="str">
            <v>YZ-ZQ1521RL5XL</v>
          </cell>
          <cell r="B7436" t="str">
            <v>YZ-ZQ1521</v>
          </cell>
        </row>
        <row r="7437">
          <cell r="A7437" t="str">
            <v>YZ-ZQ1521RLXL</v>
          </cell>
          <cell r="B7437" t="str">
            <v>YZ-ZQ1521</v>
          </cell>
        </row>
        <row r="7438">
          <cell r="A7438" t="str">
            <v>YZ-ZQ1521RM2XL</v>
          </cell>
          <cell r="B7438" t="str">
            <v>YZ-ZQ1521</v>
          </cell>
        </row>
        <row r="7439">
          <cell r="A7439" t="str">
            <v>YZ-ZQ1521RM3XL</v>
          </cell>
          <cell r="B7439" t="str">
            <v>YZ-ZQ1521</v>
          </cell>
        </row>
        <row r="7440">
          <cell r="A7440" t="str">
            <v>YZ-ZQ1521RM4XL</v>
          </cell>
          <cell r="B7440" t="str">
            <v>YZ-ZQ1521</v>
          </cell>
        </row>
        <row r="7441">
          <cell r="A7441" t="str">
            <v>YZ-ZQ1521RM5XL</v>
          </cell>
          <cell r="B7441" t="str">
            <v>YZ-ZQ1521</v>
          </cell>
        </row>
        <row r="7442">
          <cell r="A7442" t="str">
            <v>YZ-ZQ1521RMXL</v>
          </cell>
          <cell r="B7442" t="str">
            <v>YZ-ZQ1521</v>
          </cell>
        </row>
        <row r="7443">
          <cell r="A7443" t="str">
            <v>YZ-ZQ1521WP2XL</v>
          </cell>
          <cell r="B7443" t="str">
            <v>YZ-ZQ1521</v>
          </cell>
        </row>
        <row r="7444">
          <cell r="A7444" t="str">
            <v>YZ-ZQ1521WP3XL</v>
          </cell>
          <cell r="B7444" t="str">
            <v>YZ-ZQ1521</v>
          </cell>
        </row>
        <row r="7445">
          <cell r="A7445" t="str">
            <v>YZ-ZQ1521WP4XL</v>
          </cell>
          <cell r="B7445" t="str">
            <v>YZ-ZQ1521</v>
          </cell>
        </row>
        <row r="7446">
          <cell r="A7446" t="str">
            <v>YZ-ZQ1521WP5XL</v>
          </cell>
          <cell r="B7446" t="str">
            <v>YZ-ZQ1521</v>
          </cell>
        </row>
        <row r="7447">
          <cell r="A7447" t="str">
            <v>YZ-ZQ1521WPXL</v>
          </cell>
          <cell r="B7447" t="str">
            <v>YZ-ZQ1521</v>
          </cell>
        </row>
        <row r="7448">
          <cell r="A7448" t="str">
            <v>YZ-ZQ15827B02XL</v>
          </cell>
          <cell r="B7448" t="str">
            <v>YZ-ZQ15827</v>
          </cell>
        </row>
        <row r="7449">
          <cell r="A7449" t="str">
            <v>YZ-ZQ15827B03XL</v>
          </cell>
          <cell r="B7449" t="str">
            <v>YZ-ZQ15827</v>
          </cell>
        </row>
        <row r="7450">
          <cell r="A7450" t="str">
            <v>YZ-ZQ15827B04XL</v>
          </cell>
          <cell r="B7450" t="str">
            <v>YZ-ZQ15827</v>
          </cell>
        </row>
        <row r="7451">
          <cell r="A7451" t="str">
            <v>YZ-ZQ15827B05XL</v>
          </cell>
          <cell r="B7451" t="str">
            <v>YZ-ZQ15827</v>
          </cell>
        </row>
        <row r="7452">
          <cell r="A7452" t="str">
            <v>YZ-ZQ15827B0L</v>
          </cell>
          <cell r="B7452" t="str">
            <v>YZ-ZQ15827</v>
          </cell>
        </row>
        <row r="7453">
          <cell r="A7453" t="str">
            <v>YZ-ZQ15827B0M</v>
          </cell>
          <cell r="B7453" t="str">
            <v>YZ-ZQ15827</v>
          </cell>
        </row>
        <row r="7454">
          <cell r="A7454" t="str">
            <v>YZ-ZQ15827B0S</v>
          </cell>
          <cell r="B7454" t="str">
            <v>YZ-ZQ15827</v>
          </cell>
        </row>
        <row r="7455">
          <cell r="A7455" t="str">
            <v>YZ-ZQ15827B0XL</v>
          </cell>
          <cell r="B7455" t="str">
            <v>YZ-ZQ15827</v>
          </cell>
        </row>
        <row r="7456">
          <cell r="A7456" t="str">
            <v>YZ-ZQ15827BS2XL</v>
          </cell>
          <cell r="B7456" t="str">
            <v>YZ-ZQ15827</v>
          </cell>
        </row>
        <row r="7457">
          <cell r="A7457" t="str">
            <v>YZ-ZQ15827BS3XL</v>
          </cell>
          <cell r="B7457" t="str">
            <v>YZ-ZQ15827</v>
          </cell>
        </row>
        <row r="7458">
          <cell r="A7458" t="str">
            <v>YZ-ZQ15827BS4XL</v>
          </cell>
          <cell r="B7458" t="str">
            <v>YZ-ZQ15827</v>
          </cell>
        </row>
        <row r="7459">
          <cell r="A7459" t="str">
            <v>YZ-ZQ15827BS5XL</v>
          </cell>
          <cell r="B7459" t="str">
            <v>YZ-ZQ15827</v>
          </cell>
        </row>
        <row r="7460">
          <cell r="A7460" t="str">
            <v>YZ-ZQ15827BSL</v>
          </cell>
          <cell r="B7460" t="str">
            <v>YZ-ZQ15827</v>
          </cell>
        </row>
        <row r="7461">
          <cell r="A7461" t="str">
            <v>YZ-ZQ15827BSM</v>
          </cell>
          <cell r="B7461" t="str">
            <v>YZ-ZQ15827</v>
          </cell>
        </row>
        <row r="7462">
          <cell r="A7462" t="str">
            <v>YZ-ZQ15827BSS</v>
          </cell>
          <cell r="B7462" t="str">
            <v>YZ-ZQ15827</v>
          </cell>
        </row>
        <row r="7463">
          <cell r="A7463" t="str">
            <v>YZ-ZQ15827BSXL</v>
          </cell>
          <cell r="B7463" t="str">
            <v>YZ-ZQ15827</v>
          </cell>
        </row>
        <row r="7464">
          <cell r="A7464" t="str">
            <v>YZ-ZQ15827R22XL</v>
          </cell>
          <cell r="B7464" t="str">
            <v>YZ-ZQ15827</v>
          </cell>
        </row>
        <row r="7465">
          <cell r="A7465" t="str">
            <v>YZ-ZQ15827R23XL</v>
          </cell>
          <cell r="B7465" t="str">
            <v>YZ-ZQ15827</v>
          </cell>
        </row>
        <row r="7466">
          <cell r="A7466" t="str">
            <v>YZ-ZQ15827R24XL</v>
          </cell>
          <cell r="B7466" t="str">
            <v>YZ-ZQ15827</v>
          </cell>
        </row>
        <row r="7467">
          <cell r="A7467" t="str">
            <v>YZ-ZQ15827R25XL</v>
          </cell>
          <cell r="B7467" t="str">
            <v>YZ-ZQ15827</v>
          </cell>
        </row>
        <row r="7468">
          <cell r="A7468" t="str">
            <v>YZ-ZQ15827R2L</v>
          </cell>
          <cell r="B7468" t="str">
            <v>YZ-ZQ15827</v>
          </cell>
        </row>
        <row r="7469">
          <cell r="A7469" t="str">
            <v>YZ-ZQ15827R2M</v>
          </cell>
          <cell r="B7469" t="str">
            <v>YZ-ZQ15827</v>
          </cell>
        </row>
        <row r="7470">
          <cell r="A7470" t="str">
            <v>YZ-ZQ15827R2S</v>
          </cell>
          <cell r="B7470" t="str">
            <v>YZ-ZQ15827</v>
          </cell>
        </row>
        <row r="7471">
          <cell r="A7471" t="str">
            <v>YZ-ZQ15827R2XL</v>
          </cell>
          <cell r="B7471" t="str">
            <v>YZ-ZQ15827</v>
          </cell>
        </row>
        <row r="7472">
          <cell r="A7472" t="str">
            <v>YZ-ZQ15827W02XL</v>
          </cell>
          <cell r="B7472" t="str">
            <v>YZ-ZQ15827</v>
          </cell>
        </row>
        <row r="7473">
          <cell r="A7473" t="str">
            <v>YZ-ZQ15827W03XL</v>
          </cell>
          <cell r="B7473" t="str">
            <v>YZ-ZQ15827</v>
          </cell>
        </row>
        <row r="7474">
          <cell r="A7474" t="str">
            <v>YZ-ZQ15827W04XL</v>
          </cell>
          <cell r="B7474" t="str">
            <v>YZ-ZQ15827</v>
          </cell>
        </row>
        <row r="7475">
          <cell r="A7475" t="str">
            <v>YZ-ZQ15827W05XL</v>
          </cell>
          <cell r="B7475" t="str">
            <v>YZ-ZQ15827</v>
          </cell>
        </row>
        <row r="7476">
          <cell r="A7476" t="str">
            <v>YZ-ZQ15827W0L</v>
          </cell>
          <cell r="B7476" t="str">
            <v>YZ-ZQ15827</v>
          </cell>
        </row>
        <row r="7477">
          <cell r="A7477" t="str">
            <v>YZ-ZQ15827W0M</v>
          </cell>
          <cell r="B7477" t="str">
            <v>YZ-ZQ15827</v>
          </cell>
        </row>
        <row r="7478">
          <cell r="A7478" t="str">
            <v>YZ-ZQ15827W0S</v>
          </cell>
          <cell r="B7478" t="str">
            <v>YZ-ZQ15827</v>
          </cell>
        </row>
        <row r="7479">
          <cell r="A7479" t="str">
            <v>YZ-ZQ15827W0XL</v>
          </cell>
          <cell r="B7479" t="str">
            <v>YZ-ZQ15827</v>
          </cell>
        </row>
        <row r="7480">
          <cell r="A7480" t="str">
            <v>YZ-ZQ15905-K0-2X</v>
          </cell>
          <cell r="B7480" t="str">
            <v>YZ-ZQ15905</v>
          </cell>
        </row>
        <row r="7481">
          <cell r="A7481" t="str">
            <v>YZ-ZQ15905-K0-3X</v>
          </cell>
          <cell r="B7481" t="str">
            <v>YZ-ZQ15905</v>
          </cell>
        </row>
        <row r="7482">
          <cell r="A7482" t="str">
            <v>YZ-ZQ15905-K0-4X</v>
          </cell>
          <cell r="B7482" t="str">
            <v>YZ-ZQ15905</v>
          </cell>
        </row>
        <row r="7483">
          <cell r="A7483" t="str">
            <v>YZ-ZQ15905-K0-5X</v>
          </cell>
          <cell r="B7483" t="str">
            <v>YZ-ZQ15905</v>
          </cell>
        </row>
        <row r="7484">
          <cell r="A7484" t="str">
            <v>YZ-ZQ15905-K0-L</v>
          </cell>
          <cell r="B7484" t="str">
            <v>YZ-ZQ15905</v>
          </cell>
        </row>
        <row r="7485">
          <cell r="A7485" t="str">
            <v>YZ-ZQ15905-K0-M</v>
          </cell>
          <cell r="B7485" t="str">
            <v>YZ-ZQ15905</v>
          </cell>
        </row>
        <row r="7486">
          <cell r="A7486" t="str">
            <v>YZ-ZQ15905-K0-S</v>
          </cell>
          <cell r="B7486" t="str">
            <v>YZ-ZQ15905</v>
          </cell>
        </row>
        <row r="7487">
          <cell r="A7487" t="str">
            <v>YZ-ZQ15905-K0-XL</v>
          </cell>
          <cell r="B7487" t="str">
            <v>YZ-ZQ15905</v>
          </cell>
        </row>
        <row r="7488">
          <cell r="A7488" t="str">
            <v>YZ-ZQ15905-W0-2X</v>
          </cell>
          <cell r="B7488" t="str">
            <v>YZ-ZQ15905</v>
          </cell>
        </row>
        <row r="7489">
          <cell r="A7489" t="str">
            <v>YZ-ZQ15905-W0-3X</v>
          </cell>
          <cell r="B7489" t="str">
            <v>YZ-ZQ15905</v>
          </cell>
        </row>
        <row r="7490">
          <cell r="A7490" t="str">
            <v>YZ-ZQ15905-W0-4X</v>
          </cell>
          <cell r="B7490" t="str">
            <v>YZ-ZQ15905</v>
          </cell>
        </row>
        <row r="7491">
          <cell r="A7491" t="str">
            <v>YZ-ZQ15905-W0-5X</v>
          </cell>
          <cell r="B7491" t="str">
            <v>YZ-ZQ15905</v>
          </cell>
        </row>
        <row r="7492">
          <cell r="A7492" t="str">
            <v>YZ-ZQ15905-W0-L</v>
          </cell>
          <cell r="B7492" t="str">
            <v>YZ-ZQ15905</v>
          </cell>
        </row>
        <row r="7493">
          <cell r="A7493" t="str">
            <v>YZ-ZQ15905-W0-M</v>
          </cell>
          <cell r="B7493" t="str">
            <v>YZ-ZQ15905</v>
          </cell>
        </row>
        <row r="7494">
          <cell r="A7494" t="str">
            <v>YZ-ZQ15905-W0-S</v>
          </cell>
          <cell r="B7494" t="str">
            <v>YZ-ZQ15905</v>
          </cell>
        </row>
        <row r="7495">
          <cell r="A7495" t="str">
            <v>YZ-ZQ15905-W0-XL</v>
          </cell>
          <cell r="B7495" t="str">
            <v>YZ-ZQ15905</v>
          </cell>
        </row>
        <row r="7496">
          <cell r="A7496" t="str">
            <v>YZ-ZQ15919-B0-2X</v>
          </cell>
          <cell r="B7496" t="str">
            <v>YZ-ZQ15919</v>
          </cell>
        </row>
        <row r="7497">
          <cell r="A7497" t="str">
            <v>YZ-ZQ15919-B0-3X</v>
          </cell>
          <cell r="B7497" t="str">
            <v>YZ-ZQ15919</v>
          </cell>
        </row>
        <row r="7498">
          <cell r="A7498" t="str">
            <v>YZ-ZQ15919-B0-4X</v>
          </cell>
          <cell r="B7498" t="str">
            <v>YZ-ZQ15919</v>
          </cell>
        </row>
        <row r="7499">
          <cell r="A7499" t="str">
            <v>YZ-ZQ15919-B0-5X</v>
          </cell>
          <cell r="B7499" t="str">
            <v>YZ-ZQ15919</v>
          </cell>
        </row>
        <row r="7500">
          <cell r="A7500" t="str">
            <v>YZ-ZQ15919-B0-L</v>
          </cell>
          <cell r="B7500" t="str">
            <v>YZ-ZQ15919</v>
          </cell>
        </row>
        <row r="7501">
          <cell r="A7501" t="str">
            <v>YZ-ZQ15919-B0-M</v>
          </cell>
          <cell r="B7501" t="str">
            <v>YZ-ZQ15919</v>
          </cell>
        </row>
        <row r="7502">
          <cell r="A7502" t="str">
            <v>YZ-ZQ15919-B0-S</v>
          </cell>
          <cell r="B7502" t="str">
            <v>YZ-ZQ15919</v>
          </cell>
        </row>
        <row r="7503">
          <cell r="A7503" t="str">
            <v>YZ-ZQ15919-B0-XL</v>
          </cell>
          <cell r="B7503" t="str">
            <v>YZ-ZQ15919</v>
          </cell>
        </row>
        <row r="7504">
          <cell r="A7504" t="str">
            <v>YZ-ZQ15921-B0-2X</v>
          </cell>
          <cell r="B7504" t="str">
            <v>YZ-ZQ15921</v>
          </cell>
        </row>
        <row r="7505">
          <cell r="A7505" t="str">
            <v>YZ-ZQ15921-B0-3X</v>
          </cell>
          <cell r="B7505" t="str">
            <v>YZ-ZQ15921</v>
          </cell>
        </row>
        <row r="7506">
          <cell r="A7506" t="str">
            <v>YZ-ZQ15921-B0-4X</v>
          </cell>
          <cell r="B7506" t="str">
            <v>YZ-ZQ15921</v>
          </cell>
        </row>
        <row r="7507">
          <cell r="A7507" t="str">
            <v>YZ-ZQ15921-B0-5X</v>
          </cell>
          <cell r="B7507" t="str">
            <v>YZ-ZQ15921</v>
          </cell>
        </row>
        <row r="7508">
          <cell r="A7508" t="str">
            <v>YZ-ZQ15921-B0-L</v>
          </cell>
          <cell r="B7508" t="str">
            <v>YZ-ZQ15921</v>
          </cell>
        </row>
        <row r="7509">
          <cell r="A7509" t="str">
            <v>YZ-ZQ15921-B0-M</v>
          </cell>
          <cell r="B7509" t="str">
            <v>YZ-ZQ15921</v>
          </cell>
        </row>
        <row r="7510">
          <cell r="A7510" t="str">
            <v>YZ-ZQ15921-B0-XL</v>
          </cell>
          <cell r="B7510" t="str">
            <v>YZ-ZQ15921</v>
          </cell>
        </row>
        <row r="7511">
          <cell r="A7511" t="str">
            <v>YZ-ZQ15921-P0-2X</v>
          </cell>
          <cell r="B7511" t="str">
            <v>YZ-ZQ15921</v>
          </cell>
        </row>
        <row r="7512">
          <cell r="A7512" t="str">
            <v>YZ-ZQ15921-P0-3X</v>
          </cell>
          <cell r="B7512" t="str">
            <v>YZ-ZQ15921</v>
          </cell>
        </row>
        <row r="7513">
          <cell r="A7513" t="str">
            <v>YZ-ZQ15921-P0-4X</v>
          </cell>
          <cell r="B7513" t="str">
            <v>YZ-ZQ15921</v>
          </cell>
        </row>
        <row r="7514">
          <cell r="A7514" t="str">
            <v>YZ-ZQ15921-P0-5X</v>
          </cell>
          <cell r="B7514" t="str">
            <v>YZ-ZQ15921</v>
          </cell>
        </row>
        <row r="7515">
          <cell r="A7515" t="str">
            <v>YZ-ZQ15921-P0-L</v>
          </cell>
          <cell r="B7515" t="str">
            <v>YZ-ZQ15921</v>
          </cell>
        </row>
        <row r="7516">
          <cell r="A7516" t="str">
            <v>YZ-ZQ15921-P0-M</v>
          </cell>
          <cell r="B7516" t="str">
            <v>YZ-ZQ15921</v>
          </cell>
        </row>
        <row r="7517">
          <cell r="A7517" t="str">
            <v>YZ-ZQ15921-P0-XL</v>
          </cell>
          <cell r="B7517" t="str">
            <v>YZ-ZQ15921</v>
          </cell>
        </row>
        <row r="7518">
          <cell r="A7518" t="str">
            <v>YZ-ZQ15921-R0-2X</v>
          </cell>
          <cell r="B7518" t="str">
            <v>YZ-ZQ15921</v>
          </cell>
        </row>
        <row r="7519">
          <cell r="A7519" t="str">
            <v>YZ-ZQ15921-R0-3X</v>
          </cell>
          <cell r="B7519" t="str">
            <v>YZ-ZQ15921</v>
          </cell>
        </row>
        <row r="7520">
          <cell r="A7520" t="str">
            <v>YZ-ZQ15921-R0-4X</v>
          </cell>
          <cell r="B7520" t="str">
            <v>YZ-ZQ15921</v>
          </cell>
        </row>
        <row r="7521">
          <cell r="A7521" t="str">
            <v>YZ-ZQ15921-R0-5X</v>
          </cell>
          <cell r="B7521" t="str">
            <v>YZ-ZQ15921</v>
          </cell>
        </row>
        <row r="7522">
          <cell r="A7522" t="str">
            <v>YZ-ZQ15921-R0-L</v>
          </cell>
          <cell r="B7522" t="str">
            <v>YZ-ZQ15921</v>
          </cell>
        </row>
        <row r="7523">
          <cell r="A7523" t="str">
            <v>YZ-ZQ15921-R0-M</v>
          </cell>
          <cell r="B7523" t="str">
            <v>YZ-ZQ15921</v>
          </cell>
        </row>
        <row r="7524">
          <cell r="A7524" t="str">
            <v>YZ-ZQ15921-R0-XL</v>
          </cell>
          <cell r="B7524" t="str">
            <v>YZ-ZQ15921</v>
          </cell>
        </row>
        <row r="7525">
          <cell r="A7525" t="str">
            <v>YZ-ZQ15986K02XL</v>
          </cell>
          <cell r="B7525" t="str">
            <v>YZ-ZQ15986</v>
          </cell>
        </row>
        <row r="7526">
          <cell r="A7526" t="str">
            <v>YZ-ZQ15986K03XL</v>
          </cell>
          <cell r="B7526" t="str">
            <v>YZ-ZQ15986</v>
          </cell>
        </row>
        <row r="7527">
          <cell r="A7527" t="str">
            <v>YZ-ZQ15986K04XL</v>
          </cell>
          <cell r="B7527" t="str">
            <v>YZ-ZQ15986</v>
          </cell>
        </row>
        <row r="7528">
          <cell r="A7528" t="str">
            <v>YZ-ZQ15986K0L</v>
          </cell>
          <cell r="B7528" t="str">
            <v>YZ-ZQ15986</v>
          </cell>
        </row>
        <row r="7529">
          <cell r="A7529" t="str">
            <v>YZ-ZQ16103R02XL</v>
          </cell>
          <cell r="B7529" t="str">
            <v>YZ-ZQ16103</v>
          </cell>
        </row>
        <row r="7530">
          <cell r="A7530" t="str">
            <v>YZ-ZQ16103R03XL</v>
          </cell>
          <cell r="B7530" t="str">
            <v>YZ-ZQ16103</v>
          </cell>
        </row>
        <row r="7531">
          <cell r="A7531" t="str">
            <v>YZ-ZQ16103R0L</v>
          </cell>
          <cell r="B7531" t="str">
            <v>YZ-ZQ16103</v>
          </cell>
        </row>
        <row r="7532">
          <cell r="A7532" t="str">
            <v>YZ-ZQ16103R0XL</v>
          </cell>
          <cell r="B7532" t="str">
            <v>YZ-ZQ16103</v>
          </cell>
        </row>
        <row r="7533">
          <cell r="A7533" t="str">
            <v>YZ-ZQ16103ZL2XL</v>
          </cell>
          <cell r="B7533" t="str">
            <v>YZ-ZQ16103</v>
          </cell>
        </row>
        <row r="7534">
          <cell r="A7534" t="str">
            <v>YZ-ZQ16103ZL3XL</v>
          </cell>
          <cell r="B7534" t="str">
            <v>YZ-ZQ16103</v>
          </cell>
        </row>
        <row r="7535">
          <cell r="A7535" t="str">
            <v>YZ-ZQ16103ZLL</v>
          </cell>
          <cell r="B7535" t="str">
            <v>YZ-ZQ16103</v>
          </cell>
        </row>
        <row r="7536">
          <cell r="A7536" t="str">
            <v>YZ-ZQ16103ZLXL</v>
          </cell>
          <cell r="B7536" t="str">
            <v>YZ-ZQ16103</v>
          </cell>
        </row>
        <row r="7537">
          <cell r="A7537" t="str">
            <v>YZ-ZQ1617-BH-2XL</v>
          </cell>
          <cell r="B7537" t="str">
            <v>YZ-ZQ1617</v>
          </cell>
        </row>
        <row r="7538">
          <cell r="A7538" t="str">
            <v>YZ-ZQ1617-BH-3XL</v>
          </cell>
          <cell r="B7538" t="str">
            <v>YZ-ZQ1617</v>
          </cell>
        </row>
        <row r="7539">
          <cell r="A7539" t="str">
            <v>YZ-ZQ1617-BH-4XL</v>
          </cell>
          <cell r="B7539" t="str">
            <v>YZ-ZQ1617</v>
          </cell>
        </row>
        <row r="7540">
          <cell r="A7540" t="str">
            <v>YZ-ZQ1617-BH-M</v>
          </cell>
          <cell r="B7540" t="str">
            <v>YZ-ZQ1617</v>
          </cell>
        </row>
        <row r="7541">
          <cell r="A7541" t="str">
            <v>YZ-ZQ1617-BH-XL</v>
          </cell>
          <cell r="B7541" t="str">
            <v>YZ-ZQ1617</v>
          </cell>
        </row>
        <row r="7542">
          <cell r="A7542" t="str">
            <v>YZ-ZQ1617K02XL</v>
          </cell>
          <cell r="B7542" t="str">
            <v>YZ-ZQ1617</v>
          </cell>
        </row>
        <row r="7543">
          <cell r="A7543" t="str">
            <v>YZ-ZQ1617K03XL</v>
          </cell>
          <cell r="B7543" t="str">
            <v>YZ-ZQ1617</v>
          </cell>
        </row>
        <row r="7544">
          <cell r="A7544" t="str">
            <v>YZ-ZQ1617K0L</v>
          </cell>
          <cell r="B7544" t="str">
            <v>YZ-ZQ1617</v>
          </cell>
        </row>
        <row r="7545">
          <cell r="A7545" t="str">
            <v>YZ-ZQ1617K0M</v>
          </cell>
          <cell r="B7545" t="str">
            <v>YZ-ZQ1617</v>
          </cell>
        </row>
        <row r="7546">
          <cell r="A7546" t="str">
            <v>YZ-ZQ1617K0XL</v>
          </cell>
          <cell r="B7546" t="str">
            <v>YZ-ZQ1617</v>
          </cell>
        </row>
        <row r="7547">
          <cell r="A7547" t="str">
            <v>YZ-ZQ1617-KH-2XL</v>
          </cell>
          <cell r="B7547" t="str">
            <v>YZ-ZQ1617</v>
          </cell>
        </row>
        <row r="7548">
          <cell r="A7548" t="str">
            <v>YZ-ZQ1617-KH-3XL</v>
          </cell>
          <cell r="B7548" t="str">
            <v>YZ-ZQ1617</v>
          </cell>
        </row>
        <row r="7549">
          <cell r="A7549" t="str">
            <v>YZ-ZQ1617-KH-4XL</v>
          </cell>
          <cell r="B7549" t="str">
            <v>YZ-ZQ1617</v>
          </cell>
        </row>
        <row r="7550">
          <cell r="A7550" t="str">
            <v>YZ-ZQ1617-KH-L</v>
          </cell>
          <cell r="B7550" t="str">
            <v>YZ-ZQ1617</v>
          </cell>
        </row>
        <row r="7551">
          <cell r="A7551" t="str">
            <v>YZ-ZQ1617-KH-M</v>
          </cell>
          <cell r="B7551" t="str">
            <v>YZ-ZQ1617</v>
          </cell>
        </row>
        <row r="7552">
          <cell r="A7552" t="str">
            <v>YZ-ZQ1617R03XL</v>
          </cell>
          <cell r="B7552" t="str">
            <v>YZ-ZQ1617</v>
          </cell>
        </row>
        <row r="7553">
          <cell r="A7553" t="str">
            <v>YZ-ZQ1617R0L</v>
          </cell>
          <cell r="B7553" t="str">
            <v>YZ-ZQ1617</v>
          </cell>
        </row>
        <row r="7554">
          <cell r="A7554" t="str">
            <v>YZ-ZQ1617R0XL</v>
          </cell>
          <cell r="B7554" t="str">
            <v>YZ-ZQ1617</v>
          </cell>
        </row>
        <row r="7555">
          <cell r="A7555" t="str">
            <v>YZ-ZQ1617ZL2XL</v>
          </cell>
          <cell r="B7555" t="str">
            <v>YZ-ZQ1617</v>
          </cell>
        </row>
        <row r="7556">
          <cell r="A7556" t="str">
            <v>YZ-ZQ1617ZL3XL</v>
          </cell>
          <cell r="B7556" t="str">
            <v>YZ-ZQ1617</v>
          </cell>
        </row>
        <row r="7557">
          <cell r="A7557" t="str">
            <v>YZ-ZQ1617ZL4XL</v>
          </cell>
          <cell r="B7557" t="str">
            <v>YZ-ZQ1617</v>
          </cell>
        </row>
        <row r="7558">
          <cell r="A7558" t="str">
            <v>YZ-ZQ1617ZLL</v>
          </cell>
          <cell r="B7558" t="str">
            <v>YZ-ZQ1617</v>
          </cell>
        </row>
        <row r="7559">
          <cell r="A7559" t="str">
            <v>YZ-ZQ1617ZLM</v>
          </cell>
          <cell r="B7559" t="str">
            <v>YZ-ZQ1617</v>
          </cell>
        </row>
        <row r="7560">
          <cell r="A7560" t="str">
            <v>YZ-ZQ1617ZLXL</v>
          </cell>
          <cell r="B7560" t="str">
            <v>YZ-ZQ1617</v>
          </cell>
        </row>
        <row r="7561">
          <cell r="A7561" t="str">
            <v>YZ-ZQ16597B02XL</v>
          </cell>
          <cell r="B7561" t="str">
            <v>YZ-ZQ16597</v>
          </cell>
        </row>
        <row r="7562">
          <cell r="A7562" t="str">
            <v>YZ-ZQ16597B03XL</v>
          </cell>
          <cell r="B7562" t="str">
            <v>YZ-ZQ16597</v>
          </cell>
        </row>
        <row r="7563">
          <cell r="A7563" t="str">
            <v>YZ-ZQ16597B04XL</v>
          </cell>
          <cell r="B7563" t="str">
            <v>YZ-ZQ16597</v>
          </cell>
        </row>
        <row r="7564">
          <cell r="A7564" t="str">
            <v>YZ-ZQ16597B05XL</v>
          </cell>
          <cell r="B7564" t="str">
            <v>YZ-ZQ16597</v>
          </cell>
        </row>
        <row r="7565">
          <cell r="A7565" t="str">
            <v>YZ-ZQ16597B0L</v>
          </cell>
          <cell r="B7565" t="str">
            <v>YZ-ZQ16597</v>
          </cell>
        </row>
        <row r="7566">
          <cell r="A7566" t="str">
            <v>YZ-ZQ16597B0M</v>
          </cell>
          <cell r="B7566" t="str">
            <v>YZ-ZQ16597</v>
          </cell>
        </row>
        <row r="7567">
          <cell r="A7567" t="str">
            <v>YZ-ZQ16597B0XL</v>
          </cell>
          <cell r="B7567" t="str">
            <v>YZ-ZQ16597</v>
          </cell>
        </row>
        <row r="7568">
          <cell r="A7568" t="str">
            <v>YZ-ZQ16598R02XL</v>
          </cell>
          <cell r="B7568" t="str">
            <v>YZ-ZQ16598</v>
          </cell>
        </row>
        <row r="7569">
          <cell r="A7569" t="str">
            <v>YZ-ZQ16598R03XL</v>
          </cell>
          <cell r="B7569" t="str">
            <v>YZ-ZQ16598</v>
          </cell>
        </row>
        <row r="7570">
          <cell r="A7570" t="str">
            <v>YZ-ZQ16598R04XL</v>
          </cell>
          <cell r="B7570" t="str">
            <v>YZ-ZQ16598</v>
          </cell>
        </row>
        <row r="7571">
          <cell r="A7571" t="str">
            <v>YZ-ZQ16598R05XL</v>
          </cell>
          <cell r="B7571" t="str">
            <v>YZ-ZQ16598</v>
          </cell>
        </row>
        <row r="7572">
          <cell r="A7572" t="str">
            <v>YZ-ZQ16598R0L</v>
          </cell>
          <cell r="B7572" t="str">
            <v>YZ-ZQ16598</v>
          </cell>
        </row>
        <row r="7573">
          <cell r="A7573" t="str">
            <v>YZ-ZQ16598R0XL</v>
          </cell>
          <cell r="B7573" t="str">
            <v>YZ-ZQ16598</v>
          </cell>
        </row>
        <row r="7574">
          <cell r="A7574" t="str">
            <v>YZ-ZQ17009-G0-L</v>
          </cell>
          <cell r="B7574" t="str">
            <v>YZ-ZQ17009</v>
          </cell>
        </row>
        <row r="7575">
          <cell r="A7575" t="str">
            <v>YZ-ZQ17009-G0-M</v>
          </cell>
          <cell r="B7575" t="str">
            <v>YZ-ZQ17009</v>
          </cell>
        </row>
        <row r="7576">
          <cell r="A7576" t="str">
            <v>YZ-ZQ17009-G0-XL</v>
          </cell>
          <cell r="B7576" t="str">
            <v>YZ-ZQ17009</v>
          </cell>
        </row>
        <row r="7577">
          <cell r="A7577" t="str">
            <v>YZ-ZQ17009-K0-L</v>
          </cell>
          <cell r="B7577" t="str">
            <v>YZ-ZQ17009</v>
          </cell>
        </row>
        <row r="7578">
          <cell r="A7578" t="str">
            <v>YZ-ZQ17009-K0-M</v>
          </cell>
          <cell r="B7578" t="str">
            <v>YZ-ZQ17009</v>
          </cell>
        </row>
        <row r="7579">
          <cell r="A7579" t="str">
            <v>YZ-ZQ17009-K0-XL</v>
          </cell>
          <cell r="B7579" t="str">
            <v>YZ-ZQ17009</v>
          </cell>
        </row>
        <row r="7580">
          <cell r="A7580" t="str">
            <v>YZ-ZQ17009-R0-S</v>
          </cell>
          <cell r="B7580" t="str">
            <v>YZ-ZQ17009</v>
          </cell>
        </row>
        <row r="7581">
          <cell r="A7581" t="str">
            <v>YZ-ZQ1715-W0-L</v>
          </cell>
          <cell r="B7581" t="str">
            <v>YZ-ZQ1715</v>
          </cell>
        </row>
        <row r="7582">
          <cell r="A7582" t="str">
            <v>YZ-ZQ1715-W0-M</v>
          </cell>
          <cell r="B7582" t="str">
            <v>YZ-ZQ1715</v>
          </cell>
        </row>
        <row r="7583">
          <cell r="A7583" t="str">
            <v>YZ-ZQ1715-W0-S</v>
          </cell>
          <cell r="B7583" t="str">
            <v>YZ-ZQ1715</v>
          </cell>
        </row>
        <row r="7584">
          <cell r="A7584" t="str">
            <v>YZ-ZQ1715-W0-XL</v>
          </cell>
          <cell r="B7584" t="str">
            <v>YZ-ZQ1715</v>
          </cell>
        </row>
        <row r="7585">
          <cell r="A7585" t="str">
            <v>YZ-ZQ1732-B0-L</v>
          </cell>
          <cell r="B7585" t="str">
            <v>YZ-ZQ1732</v>
          </cell>
        </row>
        <row r="7586">
          <cell r="A7586" t="str">
            <v>YZ-ZQ1732-B0-M</v>
          </cell>
          <cell r="B7586" t="str">
            <v>YZ-ZQ1732</v>
          </cell>
        </row>
        <row r="7587">
          <cell r="A7587" t="str">
            <v>YZ-ZQ1732-B0-S</v>
          </cell>
          <cell r="B7587" t="str">
            <v>YZ-ZQ1732</v>
          </cell>
        </row>
        <row r="7588">
          <cell r="A7588" t="str">
            <v>YZ-ZQ1732-B0-XL</v>
          </cell>
          <cell r="B7588" t="str">
            <v>YZ-ZQ1732</v>
          </cell>
        </row>
        <row r="7589">
          <cell r="A7589" t="str">
            <v>YZ-ZQ1732-K0-L</v>
          </cell>
          <cell r="B7589" t="str">
            <v>YZ-ZQ1732</v>
          </cell>
        </row>
        <row r="7590">
          <cell r="A7590" t="str">
            <v>YZ-ZQ1732-K0-M</v>
          </cell>
          <cell r="B7590" t="str">
            <v>YZ-ZQ1732</v>
          </cell>
        </row>
        <row r="7591">
          <cell r="A7591" t="str">
            <v>YZ-ZQ1732-K0-S</v>
          </cell>
          <cell r="B7591" t="str">
            <v>YZ-ZQ1732</v>
          </cell>
        </row>
        <row r="7592">
          <cell r="A7592" t="str">
            <v>YZ-ZQ1732-K0-XL</v>
          </cell>
          <cell r="B7592" t="str">
            <v>YZ-ZQ1732</v>
          </cell>
        </row>
        <row r="7593">
          <cell r="A7593" t="str">
            <v>YZ-ZQ1732-R0-L</v>
          </cell>
          <cell r="B7593" t="str">
            <v>YZ-ZQ1732</v>
          </cell>
        </row>
        <row r="7594">
          <cell r="A7594" t="str">
            <v>YZ-ZQ1732-R0-M</v>
          </cell>
          <cell r="B7594" t="str">
            <v>YZ-ZQ1732</v>
          </cell>
        </row>
        <row r="7595">
          <cell r="A7595" t="str">
            <v>YZ-ZQ1732-R0-S</v>
          </cell>
          <cell r="B7595" t="str">
            <v>YZ-ZQ1732</v>
          </cell>
        </row>
        <row r="7596">
          <cell r="A7596" t="str">
            <v>YZ-ZQ1732-R0-XL</v>
          </cell>
          <cell r="B7596" t="str">
            <v>YZ-ZQ1732</v>
          </cell>
        </row>
        <row r="7597">
          <cell r="A7597" t="str">
            <v>YZ-ZQ1733-K0-2XL</v>
          </cell>
          <cell r="B7597" t="str">
            <v>YZ-ZQ1733</v>
          </cell>
        </row>
        <row r="7598">
          <cell r="A7598" t="str">
            <v>YZ-ZQ1733-K0-3XL</v>
          </cell>
          <cell r="B7598" t="str">
            <v>YZ-ZQ1733</v>
          </cell>
        </row>
        <row r="7599">
          <cell r="A7599" t="str">
            <v>YZ-ZQ1733-K0-L</v>
          </cell>
          <cell r="B7599" t="str">
            <v>YZ-ZQ1733</v>
          </cell>
        </row>
        <row r="7600">
          <cell r="A7600" t="str">
            <v>YZ-ZQ1733-K0-M</v>
          </cell>
          <cell r="B7600" t="str">
            <v>YZ-ZQ1733</v>
          </cell>
        </row>
        <row r="7601">
          <cell r="A7601" t="str">
            <v>YZ-ZQ1733-K0-S</v>
          </cell>
          <cell r="B7601" t="str">
            <v>YZ-ZQ1733</v>
          </cell>
        </row>
        <row r="7602">
          <cell r="A7602" t="str">
            <v>YZ-ZQ1733-K0-XL</v>
          </cell>
          <cell r="B7602" t="str">
            <v>YZ-ZQ1733</v>
          </cell>
        </row>
        <row r="7603">
          <cell r="A7603" t="str">
            <v>YZ-ZQ1733-NB-2XL</v>
          </cell>
          <cell r="B7603" t="str">
            <v>YZ-ZQ1733</v>
          </cell>
        </row>
        <row r="7604">
          <cell r="A7604" t="str">
            <v>YZ-ZQ1733-NB-3XL</v>
          </cell>
          <cell r="B7604" t="str">
            <v>YZ-ZQ1733</v>
          </cell>
        </row>
        <row r="7605">
          <cell r="A7605" t="str">
            <v>YZ-ZQ1733-NB-L</v>
          </cell>
          <cell r="B7605" t="str">
            <v>YZ-ZQ1733</v>
          </cell>
        </row>
        <row r="7606">
          <cell r="A7606" t="str">
            <v>YZ-ZQ1733-NB-M</v>
          </cell>
          <cell r="B7606" t="str">
            <v>YZ-ZQ1733</v>
          </cell>
        </row>
        <row r="7607">
          <cell r="A7607" t="str">
            <v>YZ-ZQ1733-NB-S</v>
          </cell>
          <cell r="B7607" t="str">
            <v>YZ-ZQ1733</v>
          </cell>
        </row>
        <row r="7608">
          <cell r="A7608" t="str">
            <v>YZ-ZQ1733-NB-XL</v>
          </cell>
          <cell r="B7608" t="str">
            <v>YZ-ZQ1733</v>
          </cell>
        </row>
        <row r="7609">
          <cell r="A7609" t="str">
            <v>YZ-ZQ1733-R0-2XL</v>
          </cell>
          <cell r="B7609" t="str">
            <v>YZ-ZQ1733</v>
          </cell>
        </row>
        <row r="7610">
          <cell r="A7610" t="str">
            <v>YZ-ZQ1733-R0-3XL</v>
          </cell>
          <cell r="B7610" t="str">
            <v>YZ-ZQ1733</v>
          </cell>
        </row>
        <row r="7611">
          <cell r="A7611" t="str">
            <v>YZ-ZQ1733-R0-L</v>
          </cell>
          <cell r="B7611" t="str">
            <v>YZ-ZQ1733</v>
          </cell>
        </row>
        <row r="7612">
          <cell r="A7612" t="str">
            <v>YZ-ZQ1733-R0-M</v>
          </cell>
          <cell r="B7612" t="str">
            <v>YZ-ZQ1733</v>
          </cell>
        </row>
        <row r="7613">
          <cell r="A7613" t="str">
            <v>YZ-ZQ1733-R0-S</v>
          </cell>
          <cell r="B7613" t="str">
            <v>YZ-ZQ1733</v>
          </cell>
        </row>
        <row r="7614">
          <cell r="A7614" t="str">
            <v>YZ-ZQ1733-R0-XL</v>
          </cell>
          <cell r="B7614" t="str">
            <v>YZ-ZQ1733</v>
          </cell>
        </row>
        <row r="7615">
          <cell r="A7615" t="str">
            <v>YZ-ZQ1733-SB-2XL</v>
          </cell>
          <cell r="B7615" t="str">
            <v>YZ-ZQ1733</v>
          </cell>
        </row>
        <row r="7616">
          <cell r="A7616" t="str">
            <v>YZ-ZQ1733-SB-3XL</v>
          </cell>
          <cell r="B7616" t="str">
            <v>YZ-ZQ1733</v>
          </cell>
        </row>
        <row r="7617">
          <cell r="A7617" t="str">
            <v>YZ-ZQ1733-SB-L</v>
          </cell>
          <cell r="B7617" t="str">
            <v>YZ-ZQ1733</v>
          </cell>
        </row>
        <row r="7618">
          <cell r="A7618" t="str">
            <v>YZ-ZQ1733-SB-M</v>
          </cell>
          <cell r="B7618" t="str">
            <v>YZ-ZQ1733</v>
          </cell>
        </row>
        <row r="7619">
          <cell r="A7619" t="str">
            <v>YZ-ZQ1733-SB-S</v>
          </cell>
          <cell r="B7619" t="str">
            <v>YZ-ZQ1733</v>
          </cell>
        </row>
        <row r="7620">
          <cell r="A7620" t="str">
            <v>YZ-ZQ1733-SB-XL</v>
          </cell>
          <cell r="B7620" t="str">
            <v>YZ-ZQ1733</v>
          </cell>
        </row>
        <row r="7621">
          <cell r="A7621" t="str">
            <v>YZ-ZQ17845-K0-2X</v>
          </cell>
          <cell r="B7621" t="str">
            <v>YZ-ZQ17845</v>
          </cell>
        </row>
        <row r="7622">
          <cell r="A7622" t="str">
            <v>YZ-ZQ17845-K0-3X</v>
          </cell>
          <cell r="B7622" t="str">
            <v>YZ-ZQ17845</v>
          </cell>
        </row>
        <row r="7623">
          <cell r="A7623" t="str">
            <v>YZ-ZQ17845-K0-4X</v>
          </cell>
          <cell r="B7623" t="str">
            <v>YZ-ZQ17845</v>
          </cell>
        </row>
        <row r="7624">
          <cell r="A7624" t="str">
            <v>YZ-ZQ17845-K0-5X</v>
          </cell>
          <cell r="B7624" t="str">
            <v>YZ-ZQ17845</v>
          </cell>
        </row>
        <row r="7625">
          <cell r="A7625" t="str">
            <v>YZ-ZQ17845-K0-L</v>
          </cell>
          <cell r="B7625" t="str">
            <v>YZ-ZQ17845</v>
          </cell>
        </row>
        <row r="7626">
          <cell r="A7626" t="str">
            <v>YZ-ZQ17845-K0-XL</v>
          </cell>
          <cell r="B7626" t="str">
            <v>YZ-ZQ17845</v>
          </cell>
        </row>
        <row r="7627">
          <cell r="A7627" t="str">
            <v>YZ-ZQ17958P0-2XL</v>
          </cell>
          <cell r="B7627" t="str">
            <v>YZ-ZQ17958</v>
          </cell>
        </row>
        <row r="7628">
          <cell r="A7628" t="str">
            <v>YZ-ZQ17958P0-3XL</v>
          </cell>
          <cell r="B7628" t="str">
            <v>YZ-ZQ17958</v>
          </cell>
        </row>
        <row r="7629">
          <cell r="A7629" t="str">
            <v>YZ-ZQ17958P0-4XL</v>
          </cell>
          <cell r="B7629" t="str">
            <v>YZ-ZQ17958</v>
          </cell>
        </row>
        <row r="7630">
          <cell r="A7630" t="str">
            <v>YZ-ZQ17958P0-5XL</v>
          </cell>
          <cell r="B7630" t="str">
            <v>YZ-ZQ17958</v>
          </cell>
        </row>
        <row r="7631">
          <cell r="A7631" t="str">
            <v>YZ-ZQ17958P0-L</v>
          </cell>
          <cell r="B7631" t="str">
            <v>YZ-ZQ17958</v>
          </cell>
        </row>
        <row r="7632">
          <cell r="A7632" t="str">
            <v>YZ-ZQ17958P0-M</v>
          </cell>
          <cell r="B7632" t="str">
            <v>YZ-ZQ17958</v>
          </cell>
        </row>
        <row r="7633">
          <cell r="A7633" t="str">
            <v>YZ-ZQ17958P0-S</v>
          </cell>
          <cell r="B7633" t="str">
            <v>YZ-ZQ17958</v>
          </cell>
        </row>
        <row r="7634">
          <cell r="A7634" t="str">
            <v>YZ-ZQ17958P0-XL</v>
          </cell>
          <cell r="B7634" t="str">
            <v>YZ-ZQ17958</v>
          </cell>
        </row>
        <row r="7635">
          <cell r="A7635" t="str">
            <v>YZ-ZQ17984-R0-2X</v>
          </cell>
          <cell r="B7635" t="str">
            <v>YZ-ZQ17984</v>
          </cell>
        </row>
        <row r="7636">
          <cell r="A7636" t="str">
            <v>YZ-ZQ17984-R0-3X</v>
          </cell>
          <cell r="B7636" t="str">
            <v>YZ-ZQ17984</v>
          </cell>
        </row>
        <row r="7637">
          <cell r="A7637" t="str">
            <v>YZ-ZQ17984-R0-4X</v>
          </cell>
          <cell r="B7637" t="str">
            <v>YZ-ZQ17984</v>
          </cell>
        </row>
        <row r="7638">
          <cell r="A7638" t="str">
            <v>YZ-ZQ17984-R0-5X</v>
          </cell>
          <cell r="B7638" t="str">
            <v>YZ-ZQ17984</v>
          </cell>
        </row>
        <row r="7639">
          <cell r="A7639" t="str">
            <v>YZ-ZQ17984-R0-L</v>
          </cell>
          <cell r="B7639" t="str">
            <v>YZ-ZQ17984</v>
          </cell>
        </row>
        <row r="7640">
          <cell r="A7640" t="str">
            <v>YZ-ZQ17984-R0-XL</v>
          </cell>
          <cell r="B7640" t="str">
            <v>YZ-ZQ17984</v>
          </cell>
        </row>
        <row r="7641">
          <cell r="A7641" t="str">
            <v>YZ-ZQ17985-P0-2X</v>
          </cell>
          <cell r="B7641" t="str">
            <v>YZ-ZQ17985</v>
          </cell>
        </row>
        <row r="7642">
          <cell r="A7642" t="str">
            <v>YZ-ZQ17985-P0-3X</v>
          </cell>
          <cell r="B7642" t="str">
            <v>YZ-ZQ17985</v>
          </cell>
        </row>
        <row r="7643">
          <cell r="A7643" t="str">
            <v>YZ-ZQ17985-P0-4X</v>
          </cell>
          <cell r="B7643" t="str">
            <v>YZ-ZQ17985</v>
          </cell>
        </row>
        <row r="7644">
          <cell r="A7644" t="str">
            <v>YZ-ZQ17985-P0-5X</v>
          </cell>
          <cell r="B7644" t="str">
            <v>YZ-ZQ17985</v>
          </cell>
        </row>
        <row r="7645">
          <cell r="A7645" t="str">
            <v>YZ-ZQ17985-P0-L</v>
          </cell>
          <cell r="B7645" t="str">
            <v>YZ-ZQ17985</v>
          </cell>
        </row>
        <row r="7646">
          <cell r="A7646" t="str">
            <v>YZ-ZQ17985-P0-M</v>
          </cell>
          <cell r="B7646" t="str">
            <v>YZ-ZQ17985</v>
          </cell>
        </row>
        <row r="7647">
          <cell r="A7647" t="str">
            <v>YZ-ZQ17985-P0-S</v>
          </cell>
          <cell r="B7647" t="str">
            <v>YZ-ZQ17985</v>
          </cell>
        </row>
        <row r="7648">
          <cell r="A7648" t="str">
            <v>YZ-ZQ17985-P0-XL</v>
          </cell>
          <cell r="B7648" t="str">
            <v>YZ-ZQ17985</v>
          </cell>
        </row>
        <row r="7649">
          <cell r="A7649" t="str">
            <v>YZ-ZQ17986W0-2XL</v>
          </cell>
          <cell r="B7649" t="str">
            <v>YZ-ZQ17986</v>
          </cell>
        </row>
        <row r="7650">
          <cell r="A7650" t="str">
            <v>YZ-ZQ17986W0-3XL</v>
          </cell>
          <cell r="B7650" t="str">
            <v>YZ-ZQ17986</v>
          </cell>
        </row>
        <row r="7651">
          <cell r="A7651" t="str">
            <v>YZ-ZQ17986W0-4XL</v>
          </cell>
          <cell r="B7651" t="str">
            <v>YZ-ZQ17986</v>
          </cell>
        </row>
        <row r="7652">
          <cell r="A7652" t="str">
            <v>YZ-ZQ17986W0-5XL</v>
          </cell>
          <cell r="B7652" t="str">
            <v>YZ-ZQ17986</v>
          </cell>
        </row>
        <row r="7653">
          <cell r="A7653" t="str">
            <v>YZ-ZQ17986W0-L</v>
          </cell>
          <cell r="B7653" t="str">
            <v>YZ-ZQ17986</v>
          </cell>
        </row>
        <row r="7654">
          <cell r="A7654" t="str">
            <v>YZ-ZQ17986W0-M</v>
          </cell>
          <cell r="B7654" t="str">
            <v>YZ-ZQ17986</v>
          </cell>
        </row>
        <row r="7655">
          <cell r="A7655" t="str">
            <v>YZ-ZQ17986W0-S</v>
          </cell>
          <cell r="B7655" t="str">
            <v>YZ-ZQ17986</v>
          </cell>
        </row>
        <row r="7656">
          <cell r="A7656" t="str">
            <v>YZ-ZQ17986W0-XL</v>
          </cell>
          <cell r="B7656" t="str">
            <v>YZ-ZQ17986</v>
          </cell>
        </row>
        <row r="7657">
          <cell r="A7657" t="str">
            <v>YZ-ZQ1803-K0-L</v>
          </cell>
          <cell r="B7657" t="str">
            <v>YZ-ZQ1803</v>
          </cell>
        </row>
        <row r="7658">
          <cell r="A7658" t="str">
            <v>YZ-ZQ1803-K0-M</v>
          </cell>
          <cell r="B7658" t="str">
            <v>YZ-ZQ1803</v>
          </cell>
        </row>
        <row r="7659">
          <cell r="A7659" t="str">
            <v>YZ-ZQ1803-K0-XL</v>
          </cell>
          <cell r="B7659" t="str">
            <v>YZ-ZQ1803</v>
          </cell>
        </row>
        <row r="7660">
          <cell r="A7660" t="str">
            <v>YZ-ZQ-18745K0-2X</v>
          </cell>
          <cell r="B7660" t="str">
            <v>YZ-ZQ-18745</v>
          </cell>
        </row>
        <row r="7661">
          <cell r="A7661" t="str">
            <v>YZ-ZQ18745-K0-3X</v>
          </cell>
          <cell r="B7661" t="str">
            <v>YZ-ZQ-18745</v>
          </cell>
        </row>
        <row r="7662">
          <cell r="A7662" t="str">
            <v>YZ-ZQ-18745K0-3X</v>
          </cell>
          <cell r="B7662" t="str">
            <v>YZ-ZQ-18745</v>
          </cell>
        </row>
        <row r="7663">
          <cell r="A7663" t="str">
            <v>YZ-ZQ-18745K0-L</v>
          </cell>
          <cell r="B7663" t="str">
            <v>YZ-ZQ-18745</v>
          </cell>
        </row>
        <row r="7664">
          <cell r="A7664" t="str">
            <v>YZ-ZQ18745-K0-M</v>
          </cell>
          <cell r="B7664" t="str">
            <v>YZ-ZQ-18745</v>
          </cell>
        </row>
        <row r="7665">
          <cell r="A7665" t="str">
            <v>YZ-ZQ-18745K0-M</v>
          </cell>
          <cell r="B7665" t="str">
            <v>YZ-ZQ-18745</v>
          </cell>
        </row>
        <row r="7666">
          <cell r="A7666" t="str">
            <v>YZ-ZQ18745-K0-S</v>
          </cell>
          <cell r="B7666" t="str">
            <v>YZ-ZQ-18745</v>
          </cell>
        </row>
        <row r="7667">
          <cell r="A7667" t="str">
            <v>YZ-ZQ-18745K0-S</v>
          </cell>
          <cell r="B7667" t="str">
            <v>YZ-ZQ-18745</v>
          </cell>
        </row>
        <row r="7668">
          <cell r="A7668" t="str">
            <v>YZ-ZQ18745-K0-XL</v>
          </cell>
          <cell r="B7668" t="str">
            <v>YZ-ZQ-18745</v>
          </cell>
        </row>
        <row r="7669">
          <cell r="A7669" t="str">
            <v>YZ-ZQ-18745K0-XL</v>
          </cell>
          <cell r="B7669" t="str">
            <v>YZ-ZQ-18745</v>
          </cell>
        </row>
        <row r="7670">
          <cell r="A7670" t="str">
            <v>YZ-ZQ18758-K0-2X</v>
          </cell>
          <cell r="B7670" t="str">
            <v>YZ-ZQ18758</v>
          </cell>
        </row>
        <row r="7671">
          <cell r="A7671" t="str">
            <v>YZ-ZQ18758-K0-3X</v>
          </cell>
          <cell r="B7671" t="str">
            <v>YZ-ZQ18758</v>
          </cell>
        </row>
        <row r="7672">
          <cell r="A7672" t="str">
            <v>YZ-ZQ18758-K0-4X</v>
          </cell>
          <cell r="B7672" t="str">
            <v>YZ-ZQ18758</v>
          </cell>
        </row>
        <row r="7673">
          <cell r="A7673" t="str">
            <v>YZ-ZQ18758-K0-5X</v>
          </cell>
          <cell r="B7673" t="str">
            <v>YZ-ZQ18758</v>
          </cell>
        </row>
        <row r="7674">
          <cell r="A7674" t="str">
            <v>YZ-ZQ18758-K0-L</v>
          </cell>
          <cell r="B7674" t="str">
            <v>YZ-ZQ18758</v>
          </cell>
        </row>
        <row r="7675">
          <cell r="A7675" t="str">
            <v>YZ-ZQ18758-K0-M</v>
          </cell>
          <cell r="B7675" t="str">
            <v>YZ-ZQ18758</v>
          </cell>
        </row>
        <row r="7676">
          <cell r="A7676" t="str">
            <v>YZ-ZQ18758-K0-S</v>
          </cell>
          <cell r="B7676" t="str">
            <v>YZ-ZQ18758</v>
          </cell>
        </row>
        <row r="7677">
          <cell r="A7677" t="str">
            <v>YZ-ZQ18758-K0-XL</v>
          </cell>
          <cell r="B7677" t="str">
            <v>YZ-ZQ18758</v>
          </cell>
        </row>
        <row r="7678">
          <cell r="A7678" t="str">
            <v>YZ-ZQ19758-K0-2XL</v>
          </cell>
          <cell r="B7678" t="str">
            <v>YZ-ZQ19758</v>
          </cell>
        </row>
        <row r="7679">
          <cell r="A7679" t="str">
            <v>YZ-ZQ19758-K0-3XL</v>
          </cell>
          <cell r="B7679" t="str">
            <v>YZ-ZQ19758</v>
          </cell>
        </row>
        <row r="7680">
          <cell r="A7680" t="str">
            <v>YZ-ZQ19758-K0-4XL</v>
          </cell>
          <cell r="B7680" t="str">
            <v>YZ-ZQ19758</v>
          </cell>
        </row>
        <row r="7681">
          <cell r="A7681" t="str">
            <v>YZ-ZQ19758-K0-5XL</v>
          </cell>
          <cell r="B7681" t="str">
            <v>YZ-ZQ19758</v>
          </cell>
        </row>
        <row r="7682">
          <cell r="A7682" t="str">
            <v>YZ-ZQ19758-K0-L</v>
          </cell>
          <cell r="B7682" t="str">
            <v>YZ-ZQ19758</v>
          </cell>
        </row>
        <row r="7683">
          <cell r="A7683" t="str">
            <v>YZ-ZQ19758-K0-M</v>
          </cell>
          <cell r="B7683" t="str">
            <v>YZ-ZQ19758</v>
          </cell>
        </row>
        <row r="7684">
          <cell r="A7684" t="str">
            <v>YZ-ZQ19758-K0-S</v>
          </cell>
          <cell r="B7684" t="str">
            <v>YZ-ZQ19758</v>
          </cell>
        </row>
        <row r="7685">
          <cell r="A7685" t="str">
            <v>YZ-ZQ19758-K0-XL</v>
          </cell>
          <cell r="B7685" t="str">
            <v>YZ-ZQ19758</v>
          </cell>
        </row>
        <row r="7686">
          <cell r="A7686" t="str">
            <v>YZ-ZQ298N02XL</v>
          </cell>
          <cell r="B7686" t="str">
            <v>YZ-ZQ298</v>
          </cell>
        </row>
        <row r="7687">
          <cell r="A7687" t="str">
            <v>YZ-ZQ298N03XL</v>
          </cell>
          <cell r="B7687" t="str">
            <v>YZ-ZQ298</v>
          </cell>
        </row>
        <row r="7688">
          <cell r="A7688" t="str">
            <v>YZ-ZQ298N04XL</v>
          </cell>
          <cell r="B7688" t="str">
            <v>YZ-ZQ298</v>
          </cell>
        </row>
        <row r="7689">
          <cell r="A7689" t="str">
            <v>YZ-ZQ298N05XL</v>
          </cell>
          <cell r="B7689" t="str">
            <v>YZ-ZQ298</v>
          </cell>
        </row>
        <row r="7690">
          <cell r="A7690" t="str">
            <v>YZ-ZQ298N0XL</v>
          </cell>
          <cell r="B7690" t="str">
            <v>YZ-ZQ298</v>
          </cell>
        </row>
        <row r="7691">
          <cell r="A7691" t="str">
            <v>YZ-ZQ45984K02XL</v>
          </cell>
          <cell r="B7691" t="str">
            <v>YZ-ZQ45984</v>
          </cell>
        </row>
        <row r="7692">
          <cell r="A7692" t="str">
            <v>YZ-ZQ45984K03XL</v>
          </cell>
          <cell r="B7692" t="str">
            <v>YZ-ZQ45984</v>
          </cell>
        </row>
        <row r="7693">
          <cell r="A7693" t="str">
            <v>YZ-ZQ45984K04XL</v>
          </cell>
          <cell r="B7693" t="str">
            <v>YZ-ZQ45984</v>
          </cell>
        </row>
        <row r="7694">
          <cell r="A7694" t="str">
            <v>YZ-ZQ45984K05XL</v>
          </cell>
          <cell r="B7694" t="str">
            <v>YZ-ZQ45984</v>
          </cell>
        </row>
        <row r="7695">
          <cell r="A7695" t="str">
            <v>YZ-ZQ45984K0L</v>
          </cell>
          <cell r="B7695" t="str">
            <v>YZ-ZQ45984</v>
          </cell>
        </row>
        <row r="7696">
          <cell r="A7696" t="str">
            <v>YZ-ZQ45984K0M</v>
          </cell>
          <cell r="B7696" t="str">
            <v>YZ-ZQ45984</v>
          </cell>
        </row>
        <row r="7697">
          <cell r="A7697" t="str">
            <v>YZ-ZQ45984K0XL</v>
          </cell>
          <cell r="B7697" t="str">
            <v>YZ-ZQ45984</v>
          </cell>
        </row>
        <row r="7698">
          <cell r="A7698" t="str">
            <v>YZ-ZQ47121-K0-L</v>
          </cell>
          <cell r="B7698" t="str">
            <v>YZ-ZQ47121</v>
          </cell>
        </row>
        <row r="7699">
          <cell r="A7699" t="str">
            <v>YZ-ZQ47121-K0-M</v>
          </cell>
          <cell r="B7699" t="str">
            <v>YZ-ZQ47121</v>
          </cell>
        </row>
        <row r="7700">
          <cell r="A7700" t="str">
            <v>YZ-ZQ47121-K0-S</v>
          </cell>
          <cell r="B7700" t="str">
            <v>YZ-ZQ47121</v>
          </cell>
        </row>
        <row r="7701">
          <cell r="A7701" t="str">
            <v>YZ-ZQ511K02XL</v>
          </cell>
          <cell r="B7701" t="str">
            <v>YZ-ZQ511</v>
          </cell>
        </row>
        <row r="7702">
          <cell r="A7702" t="str">
            <v>YZ-ZQ511K03XL</v>
          </cell>
          <cell r="B7702" t="str">
            <v>YZ-ZQ511</v>
          </cell>
        </row>
        <row r="7703">
          <cell r="A7703" t="str">
            <v>YZ-ZQ511K04XL</v>
          </cell>
          <cell r="B7703" t="str">
            <v>YZ-ZQ511</v>
          </cell>
        </row>
        <row r="7704">
          <cell r="A7704" t="str">
            <v>YZ-ZQ511K05XL</v>
          </cell>
          <cell r="B7704" t="str">
            <v>YZ-ZQ511</v>
          </cell>
        </row>
        <row r="7705">
          <cell r="A7705" t="str">
            <v>YZ-ZQ511K06XL</v>
          </cell>
          <cell r="B7705" t="str">
            <v>YZ-ZQ511</v>
          </cell>
        </row>
        <row r="7706">
          <cell r="A7706" t="str">
            <v>YZ-ZQ511K0L</v>
          </cell>
          <cell r="B7706" t="str">
            <v>YZ-ZQ511</v>
          </cell>
        </row>
        <row r="7707">
          <cell r="A7707" t="str">
            <v>YZ-ZQ511K0XL</v>
          </cell>
          <cell r="B7707" t="str">
            <v>YZ-ZQ511</v>
          </cell>
        </row>
        <row r="7708">
          <cell r="A7708" t="str">
            <v>YZ-ZQ511R22XL</v>
          </cell>
          <cell r="B7708" t="str">
            <v>YZ-ZQ511</v>
          </cell>
        </row>
        <row r="7709">
          <cell r="A7709" t="str">
            <v>YZ-ZQ511R23XL</v>
          </cell>
          <cell r="B7709" t="str">
            <v>YZ-ZQ511</v>
          </cell>
        </row>
        <row r="7710">
          <cell r="A7710" t="str">
            <v>YZ-ZQ511R24XL</v>
          </cell>
          <cell r="B7710" t="str">
            <v>YZ-ZQ511</v>
          </cell>
        </row>
        <row r="7711">
          <cell r="A7711" t="str">
            <v>YZ-ZQ511R25XL</v>
          </cell>
          <cell r="B7711" t="str">
            <v>YZ-ZQ511</v>
          </cell>
        </row>
        <row r="7712">
          <cell r="A7712" t="str">
            <v>YZ-ZQ511R2L</v>
          </cell>
          <cell r="B7712" t="str">
            <v>YZ-ZQ511</v>
          </cell>
        </row>
        <row r="7713">
          <cell r="A7713" t="str">
            <v>YZ-ZQ511R2XL</v>
          </cell>
          <cell r="B7713" t="str">
            <v>YZ-ZQ511</v>
          </cell>
        </row>
        <row r="7714">
          <cell r="A7714" t="str">
            <v>YZ-ZQ511Z22XL</v>
          </cell>
          <cell r="B7714" t="str">
            <v>YZ-ZQ511</v>
          </cell>
        </row>
        <row r="7715">
          <cell r="A7715" t="str">
            <v>YZ-ZQ511Z23XL</v>
          </cell>
          <cell r="B7715" t="str">
            <v>YZ-ZQ511</v>
          </cell>
        </row>
        <row r="7716">
          <cell r="A7716" t="str">
            <v>YZ-ZQ511Z2L</v>
          </cell>
          <cell r="B7716" t="str">
            <v>YZ-ZQ511</v>
          </cell>
        </row>
        <row r="7717">
          <cell r="A7717" t="str">
            <v>YZ-ZQ511Z2XL</v>
          </cell>
          <cell r="B7717" t="str">
            <v>YZ-ZQ511</v>
          </cell>
        </row>
        <row r="7718">
          <cell r="A7718" t="str">
            <v>YZ-ZQ565-R0-L</v>
          </cell>
          <cell r="B7718" t="str">
            <v>YZ-ZQ565</v>
          </cell>
        </row>
        <row r="7719">
          <cell r="A7719" t="str">
            <v>YZ-ZQ565-R0-M</v>
          </cell>
          <cell r="B7719" t="str">
            <v>YZ-ZQ565</v>
          </cell>
        </row>
        <row r="7720">
          <cell r="A7720" t="str">
            <v>YZ-ZQ565-R0-S</v>
          </cell>
          <cell r="B7720" t="str">
            <v>YZ-ZQ565</v>
          </cell>
        </row>
        <row r="7721">
          <cell r="A7721" t="str">
            <v>YZ-ZQ565-R0-XL</v>
          </cell>
          <cell r="B7721" t="str">
            <v>YZ-ZQ565</v>
          </cell>
        </row>
        <row r="7722">
          <cell r="A7722" t="str">
            <v>YZ-ZQ5839B03XL</v>
          </cell>
          <cell r="B7722" t="str">
            <v>YZ-ZQ5839</v>
          </cell>
        </row>
        <row r="7723">
          <cell r="A7723" t="str">
            <v>YZ-ZQ5839R24XL</v>
          </cell>
          <cell r="B7723" t="str">
            <v>YZ-ZQ5839</v>
          </cell>
        </row>
        <row r="7724">
          <cell r="A7724" t="str">
            <v>YZ-ZQ5999-Y0-2X</v>
          </cell>
          <cell r="B7724" t="str">
            <v>YZ-ZQ5999</v>
          </cell>
        </row>
        <row r="7725">
          <cell r="A7725" t="str">
            <v>YZ-ZQ5999-Y0-L</v>
          </cell>
          <cell r="B7725" t="str">
            <v>YZ-ZQ5999</v>
          </cell>
        </row>
        <row r="7726">
          <cell r="A7726" t="str">
            <v>YZ-ZQ5999-Y0-M</v>
          </cell>
          <cell r="B7726" t="str">
            <v>YZ-ZQ5999</v>
          </cell>
        </row>
        <row r="7727">
          <cell r="A7727" t="str">
            <v>YZ-ZQ5999-Y0-XL</v>
          </cell>
          <cell r="B7727" t="str">
            <v>YZ-ZQ5999</v>
          </cell>
        </row>
        <row r="7728">
          <cell r="A7728" t="str">
            <v>YZ-ZQ6189B046</v>
          </cell>
          <cell r="B7728" t="str">
            <v>YZ-ZQ6189</v>
          </cell>
        </row>
        <row r="7729">
          <cell r="A7729" t="str">
            <v>YZ-ZQ6189B048</v>
          </cell>
          <cell r="B7729" t="str">
            <v>YZ-ZQ6189</v>
          </cell>
        </row>
        <row r="7730">
          <cell r="A7730" t="str">
            <v>YZ-ZQ6189B050</v>
          </cell>
          <cell r="B7730" t="str">
            <v>YZ-ZQ6189</v>
          </cell>
        </row>
        <row r="7731">
          <cell r="A7731" t="str">
            <v>YZ-ZQ6189B052</v>
          </cell>
          <cell r="B7731" t="str">
            <v>YZ-ZQ6189</v>
          </cell>
        </row>
        <row r="7732">
          <cell r="A7732" t="str">
            <v>YZ-ZQ6189B054</v>
          </cell>
          <cell r="B7732" t="str">
            <v>YZ-ZQ6189</v>
          </cell>
        </row>
        <row r="7733">
          <cell r="A7733" t="str">
            <v>YZ-ZQ6189G046</v>
          </cell>
          <cell r="B7733" t="str">
            <v>YZ-ZQ6189</v>
          </cell>
        </row>
        <row r="7734">
          <cell r="A7734" t="str">
            <v>YZ-ZQ6189G048</v>
          </cell>
          <cell r="B7734" t="str">
            <v>YZ-ZQ6189</v>
          </cell>
        </row>
        <row r="7735">
          <cell r="A7735" t="str">
            <v>YZ-ZQ6189G050</v>
          </cell>
          <cell r="B7735" t="str">
            <v>YZ-ZQ6189</v>
          </cell>
        </row>
        <row r="7736">
          <cell r="A7736" t="str">
            <v>YZ-ZQ6189G052</v>
          </cell>
          <cell r="B7736" t="str">
            <v>YZ-ZQ6189</v>
          </cell>
        </row>
        <row r="7737">
          <cell r="A7737" t="str">
            <v>YZ-ZQ6189P048</v>
          </cell>
          <cell r="B7737" t="str">
            <v>YZ-ZQ6189</v>
          </cell>
        </row>
        <row r="7738">
          <cell r="A7738" t="str">
            <v>YZ-ZQ6189P050</v>
          </cell>
          <cell r="B7738" t="str">
            <v>YZ-ZQ6189</v>
          </cell>
        </row>
        <row r="7739">
          <cell r="A7739" t="str">
            <v>YZ-ZQ6189P052</v>
          </cell>
          <cell r="B7739" t="str">
            <v>YZ-ZQ6189</v>
          </cell>
        </row>
        <row r="7740">
          <cell r="A7740" t="str">
            <v>YZ-ZQ6189P054</v>
          </cell>
          <cell r="B7740" t="str">
            <v>YZ-ZQ6189</v>
          </cell>
        </row>
        <row r="7741">
          <cell r="A7741" t="str">
            <v>YZ-ZQ6189Y046</v>
          </cell>
          <cell r="B7741" t="str">
            <v>YZ-ZQ6189</v>
          </cell>
        </row>
        <row r="7742">
          <cell r="A7742" t="str">
            <v>YZ-ZQ6189Y048</v>
          </cell>
          <cell r="B7742" t="str">
            <v>YZ-ZQ6189</v>
          </cell>
        </row>
        <row r="7743">
          <cell r="A7743" t="str">
            <v>YZ-ZQ6189Y050</v>
          </cell>
          <cell r="B7743" t="str">
            <v>YZ-ZQ6189</v>
          </cell>
        </row>
        <row r="7744">
          <cell r="A7744" t="str">
            <v>YZ-ZQ6189Y052</v>
          </cell>
          <cell r="B7744" t="str">
            <v>YZ-ZQ6189</v>
          </cell>
        </row>
        <row r="7745">
          <cell r="A7745" t="str">
            <v>YZ-ZQ6189Y054</v>
          </cell>
          <cell r="B7745" t="str">
            <v>YZ-ZQ6189</v>
          </cell>
        </row>
        <row r="7746">
          <cell r="A7746" t="str">
            <v>YZ-ZQ6258B048</v>
          </cell>
          <cell r="B7746" t="str">
            <v>YZ-ZQ6258</v>
          </cell>
        </row>
        <row r="7747">
          <cell r="A7747" t="str">
            <v>YZ-ZQ6258B050</v>
          </cell>
          <cell r="B7747" t="str">
            <v>YZ-ZQ6258</v>
          </cell>
        </row>
        <row r="7748">
          <cell r="A7748" t="str">
            <v>YZ-ZQ6258B052</v>
          </cell>
          <cell r="B7748" t="str">
            <v>YZ-ZQ6258</v>
          </cell>
        </row>
        <row r="7749">
          <cell r="A7749" t="str">
            <v>YZ-ZQ6258K048</v>
          </cell>
          <cell r="B7749" t="str">
            <v>YZ-ZQ6258</v>
          </cell>
        </row>
        <row r="7750">
          <cell r="A7750" t="str">
            <v>YZ-ZQ6258K050</v>
          </cell>
          <cell r="B7750" t="str">
            <v>YZ-ZQ6258</v>
          </cell>
        </row>
        <row r="7751">
          <cell r="A7751" t="str">
            <v>YZ-ZQ6258K052</v>
          </cell>
          <cell r="B7751" t="str">
            <v>YZ-ZQ6258</v>
          </cell>
        </row>
        <row r="7752">
          <cell r="A7752" t="str">
            <v>YZ-ZQ6258T048</v>
          </cell>
          <cell r="B7752" t="str">
            <v>YZ-ZQ6258</v>
          </cell>
        </row>
        <row r="7753">
          <cell r="A7753" t="str">
            <v>YZ-ZQ6258T050</v>
          </cell>
          <cell r="B7753" t="str">
            <v>YZ-ZQ6258</v>
          </cell>
        </row>
        <row r="7754">
          <cell r="A7754" t="str">
            <v>YZ-ZQ6667G044</v>
          </cell>
          <cell r="B7754" t="str">
            <v>YZ-ZQ6667</v>
          </cell>
        </row>
        <row r="7755">
          <cell r="A7755" t="str">
            <v>YZ-ZQ6667G046</v>
          </cell>
          <cell r="B7755" t="str">
            <v>YZ-ZQ6667</v>
          </cell>
        </row>
        <row r="7756">
          <cell r="A7756" t="str">
            <v>YZ-ZQ6667G048</v>
          </cell>
          <cell r="B7756" t="str">
            <v>YZ-ZQ6667</v>
          </cell>
        </row>
        <row r="7757">
          <cell r="A7757" t="str">
            <v>YZ-ZQ6667G050</v>
          </cell>
          <cell r="B7757" t="str">
            <v>YZ-ZQ6667</v>
          </cell>
        </row>
        <row r="7758">
          <cell r="A7758" t="str">
            <v>YZ-ZQ6667G052</v>
          </cell>
          <cell r="B7758" t="str">
            <v>YZ-ZQ6667</v>
          </cell>
        </row>
        <row r="7759">
          <cell r="A7759" t="str">
            <v>YZ-ZQ6667G054</v>
          </cell>
          <cell r="B7759" t="str">
            <v>YZ-ZQ6667</v>
          </cell>
        </row>
        <row r="7760">
          <cell r="A7760" t="str">
            <v>YZ-ZQ6667R044</v>
          </cell>
          <cell r="B7760" t="str">
            <v>YZ-ZQ6667</v>
          </cell>
        </row>
        <row r="7761">
          <cell r="A7761" t="str">
            <v>YZ-ZQ6667R046</v>
          </cell>
          <cell r="B7761" t="str">
            <v>YZ-ZQ6667</v>
          </cell>
        </row>
        <row r="7762">
          <cell r="A7762" t="str">
            <v>YZ-ZQ6667R048</v>
          </cell>
          <cell r="B7762" t="str">
            <v>YZ-ZQ6667</v>
          </cell>
        </row>
        <row r="7763">
          <cell r="A7763" t="str">
            <v>YZ-ZQ6667R050</v>
          </cell>
          <cell r="B7763" t="str">
            <v>YZ-ZQ6667</v>
          </cell>
        </row>
        <row r="7764">
          <cell r="A7764" t="str">
            <v>YZ-ZQ6667R052</v>
          </cell>
          <cell r="B7764" t="str">
            <v>YZ-ZQ6667</v>
          </cell>
        </row>
        <row r="7765">
          <cell r="A7765" t="str">
            <v>YZ-ZQ6667R054</v>
          </cell>
          <cell r="B7765" t="str">
            <v>YZ-ZQ6667</v>
          </cell>
        </row>
        <row r="7766">
          <cell r="A7766" t="str">
            <v>YZ-ZQ6667ZL44</v>
          </cell>
          <cell r="B7766" t="str">
            <v>YZ-ZQ6667</v>
          </cell>
        </row>
        <row r="7767">
          <cell r="A7767" t="str">
            <v>YZ-ZQ6667ZL46</v>
          </cell>
          <cell r="B7767" t="str">
            <v>YZ-ZQ6667</v>
          </cell>
        </row>
        <row r="7768">
          <cell r="A7768" t="str">
            <v>YZ-ZQ6667ZL48</v>
          </cell>
          <cell r="B7768" t="str">
            <v>YZ-ZQ6667</v>
          </cell>
        </row>
        <row r="7769">
          <cell r="A7769" t="str">
            <v>YZ-ZQ6667ZL50</v>
          </cell>
          <cell r="B7769" t="str">
            <v>YZ-ZQ6667</v>
          </cell>
        </row>
        <row r="7770">
          <cell r="A7770" t="str">
            <v>YZ-ZQ6667ZL52</v>
          </cell>
          <cell r="B7770" t="str">
            <v>YZ-ZQ6667</v>
          </cell>
        </row>
        <row r="7771">
          <cell r="A7771" t="str">
            <v>YZ-ZQ6667ZL54</v>
          </cell>
          <cell r="B7771" t="str">
            <v>YZ-ZQ6667</v>
          </cell>
        </row>
        <row r="7772">
          <cell r="A7772" t="str">
            <v>YZ-ZQ6922-B0-L</v>
          </cell>
          <cell r="B7772" t="str">
            <v>YZ-ZQ6922</v>
          </cell>
        </row>
        <row r="7773">
          <cell r="A7773" t="str">
            <v>YZ-ZQ6922-B0-M</v>
          </cell>
          <cell r="B7773" t="str">
            <v>YZ-ZQ6922</v>
          </cell>
        </row>
        <row r="7774">
          <cell r="A7774" t="str">
            <v>YZ-ZQ6922-B0-S</v>
          </cell>
          <cell r="B7774" t="str">
            <v>YZ-ZQ6922</v>
          </cell>
        </row>
        <row r="7775">
          <cell r="A7775" t="str">
            <v>YZ-ZQ6922-B0-XL</v>
          </cell>
          <cell r="B7775" t="str">
            <v>YZ-ZQ6922</v>
          </cell>
        </row>
        <row r="7776">
          <cell r="A7776" t="str">
            <v>YZ-ZQ7777B014</v>
          </cell>
          <cell r="B7776" t="str">
            <v>YZ-ZQ7777</v>
          </cell>
        </row>
        <row r="7777">
          <cell r="A7777" t="str">
            <v>YZ-ZQ7777B016</v>
          </cell>
          <cell r="B7777" t="str">
            <v>YZ-ZQ7777</v>
          </cell>
        </row>
        <row r="7778">
          <cell r="A7778" t="str">
            <v>YZ-ZQ7777B018</v>
          </cell>
          <cell r="B7778" t="str">
            <v>YZ-ZQ7777</v>
          </cell>
        </row>
        <row r="7779">
          <cell r="A7779" t="str">
            <v>YZ-ZQ7777B020</v>
          </cell>
          <cell r="B7779" t="str">
            <v>YZ-ZQ7777</v>
          </cell>
        </row>
        <row r="7780">
          <cell r="A7780" t="str">
            <v>YZ-ZQ7777R012</v>
          </cell>
          <cell r="B7780" t="str">
            <v>YZ-ZQ7777</v>
          </cell>
        </row>
        <row r="7781">
          <cell r="A7781" t="str">
            <v>YZ-ZQ7777R014</v>
          </cell>
          <cell r="B7781" t="str">
            <v>YZ-ZQ7777</v>
          </cell>
        </row>
        <row r="7782">
          <cell r="A7782" t="str">
            <v>YZ-ZQ7777R016</v>
          </cell>
          <cell r="B7782" t="str">
            <v>YZ-ZQ7777</v>
          </cell>
        </row>
        <row r="7783">
          <cell r="A7783" t="str">
            <v>YZ-ZQ7777R018</v>
          </cell>
          <cell r="B7783" t="str">
            <v>YZ-ZQ7777</v>
          </cell>
        </row>
        <row r="7784">
          <cell r="A7784" t="str">
            <v>YZ-ZQ7777R020</v>
          </cell>
          <cell r="B7784" t="str">
            <v>YZ-ZQ7777</v>
          </cell>
        </row>
        <row r="7785">
          <cell r="A7785" t="str">
            <v>YZ-ZQ789K02XL</v>
          </cell>
          <cell r="B7785" t="str">
            <v>YZ-ZQ789</v>
          </cell>
        </row>
        <row r="7786">
          <cell r="A7786" t="str">
            <v>YZ-ZQ789K03XL</v>
          </cell>
          <cell r="B7786" t="str">
            <v>YZ-ZQ789</v>
          </cell>
        </row>
        <row r="7787">
          <cell r="A7787" t="str">
            <v>YZ-ZQ789K04XL</v>
          </cell>
          <cell r="B7787" t="str">
            <v>YZ-ZQ789</v>
          </cell>
        </row>
        <row r="7788">
          <cell r="A7788" t="str">
            <v>YZ-ZQ789K05XL</v>
          </cell>
          <cell r="B7788" t="str">
            <v>YZ-ZQ789</v>
          </cell>
        </row>
        <row r="7789">
          <cell r="A7789" t="str">
            <v>YZ-ZQ789K0L</v>
          </cell>
          <cell r="B7789" t="str">
            <v>YZ-ZQ789</v>
          </cell>
        </row>
        <row r="7790">
          <cell r="A7790" t="str">
            <v>YZ-ZQ789K0XL</v>
          </cell>
          <cell r="B7790" t="str">
            <v>YZ-ZQ789</v>
          </cell>
        </row>
        <row r="7791">
          <cell r="A7791" t="str">
            <v>YZ-ZQ8639-W0-L</v>
          </cell>
          <cell r="B7791" t="str">
            <v>YZ-ZQ8639</v>
          </cell>
        </row>
        <row r="7792">
          <cell r="A7792" t="str">
            <v>YZ-ZQ8639-W0-M</v>
          </cell>
          <cell r="B7792" t="str">
            <v>YZ-ZQ8639</v>
          </cell>
        </row>
        <row r="7793">
          <cell r="A7793" t="str">
            <v>YZ-ZQ8639-W0-S</v>
          </cell>
          <cell r="B7793" t="str">
            <v>YZ-ZQ8639</v>
          </cell>
        </row>
        <row r="7794">
          <cell r="A7794" t="str">
            <v>YZ-ZQ8699-K0-2X</v>
          </cell>
          <cell r="B7794" t="str">
            <v>YZ-ZQ8699</v>
          </cell>
        </row>
        <row r="7795">
          <cell r="A7795" t="str">
            <v>YZ-ZQ8699-K0-2X-GM</v>
          </cell>
          <cell r="B7795" t="str">
            <v>YZ-ZQ8699</v>
          </cell>
        </row>
        <row r="7796">
          <cell r="A7796" t="str">
            <v>YZ-ZQ8699-K0-3X</v>
          </cell>
          <cell r="B7796" t="str">
            <v>YZ-ZQ8699</v>
          </cell>
        </row>
        <row r="7797">
          <cell r="A7797" t="str">
            <v>YZ-ZQ8699-K0-3X-GM</v>
          </cell>
          <cell r="B7797" t="str">
            <v>YZ-ZQ8699</v>
          </cell>
        </row>
        <row r="7798">
          <cell r="A7798" t="str">
            <v>YZ-ZQ8699-K0-L</v>
          </cell>
          <cell r="B7798" t="str">
            <v>YZ-ZQ8699</v>
          </cell>
        </row>
        <row r="7799">
          <cell r="A7799" t="str">
            <v>YZ-ZQ8699-K0-XL</v>
          </cell>
          <cell r="B7799" t="str">
            <v>YZ-ZQ8699</v>
          </cell>
        </row>
        <row r="7800">
          <cell r="A7800" t="str">
            <v>YZ-ZQ8867-B0-L</v>
          </cell>
          <cell r="B7800" t="str">
            <v>YZ-ZQ8867</v>
          </cell>
        </row>
        <row r="7801">
          <cell r="A7801" t="str">
            <v>YZ-ZQ8867-B0-M</v>
          </cell>
          <cell r="B7801" t="str">
            <v>YZ-ZQ8867</v>
          </cell>
        </row>
        <row r="7802">
          <cell r="A7802" t="str">
            <v>YZ-ZQ8867-B0-S</v>
          </cell>
          <cell r="B7802" t="str">
            <v>YZ-ZQ8867</v>
          </cell>
        </row>
        <row r="7803">
          <cell r="A7803" t="str">
            <v>YZ-ZQ8867-B0-XL</v>
          </cell>
          <cell r="B7803" t="str">
            <v>YZ-ZQ8867</v>
          </cell>
        </row>
        <row r="7804">
          <cell r="A7804" t="str">
            <v>YZ-ZQA100-B0-L</v>
          </cell>
          <cell r="B7804" t="str">
            <v>YZ-ZQA100</v>
          </cell>
        </row>
        <row r="7805">
          <cell r="A7805" t="str">
            <v>YZ-ZQA100-B0-M</v>
          </cell>
          <cell r="B7805" t="str">
            <v>YZ-ZQA100</v>
          </cell>
        </row>
        <row r="7806">
          <cell r="A7806" t="str">
            <v>YZ-ZQA100-B0-S</v>
          </cell>
          <cell r="B7806" t="str">
            <v>YZ-ZQA100</v>
          </cell>
        </row>
        <row r="7807">
          <cell r="A7807" t="str">
            <v>YZ-ZQA100-B0-XL</v>
          </cell>
          <cell r="B7807" t="str">
            <v>YZ-ZQA100</v>
          </cell>
        </row>
        <row r="7808">
          <cell r="A7808" t="str">
            <v>YZ-ZQA100-G0-2XL</v>
          </cell>
          <cell r="B7808" t="str">
            <v>YZ-ZQA100</v>
          </cell>
        </row>
        <row r="7809">
          <cell r="A7809" t="str">
            <v>YZ-ZQA100-G0-L</v>
          </cell>
          <cell r="B7809" t="str">
            <v>YZ-ZQA100</v>
          </cell>
        </row>
        <row r="7810">
          <cell r="A7810" t="str">
            <v>YZ-ZQA100-G0-M</v>
          </cell>
          <cell r="B7810" t="str">
            <v>YZ-ZQA100</v>
          </cell>
        </row>
        <row r="7811">
          <cell r="A7811" t="str">
            <v>YZ-ZQA100-G0-XL</v>
          </cell>
          <cell r="B7811" t="str">
            <v>YZ-ZQA100</v>
          </cell>
        </row>
        <row r="7812">
          <cell r="A7812" t="str">
            <v>YZ-ZQA10-B0-2XL</v>
          </cell>
          <cell r="B7812" t="str">
            <v>YZ-ZQA10</v>
          </cell>
        </row>
        <row r="7813">
          <cell r="A7813" t="str">
            <v>YZ-ZQA10-B0-3XL</v>
          </cell>
          <cell r="B7813" t="str">
            <v>YZ-ZQA10</v>
          </cell>
        </row>
        <row r="7814">
          <cell r="A7814" t="str">
            <v>YZ-ZQA10-B0-L</v>
          </cell>
          <cell r="B7814" t="str">
            <v>YZ-ZQA10</v>
          </cell>
        </row>
        <row r="7815">
          <cell r="A7815" t="str">
            <v>YZ-ZQA10-B0-XL</v>
          </cell>
          <cell r="B7815" t="str">
            <v>YZ-ZQA10</v>
          </cell>
        </row>
        <row r="7816">
          <cell r="A7816" t="str">
            <v>YZ-ZQA31-K0-L</v>
          </cell>
          <cell r="B7816" t="str">
            <v>YZ-ZQA31</v>
          </cell>
        </row>
        <row r="7817">
          <cell r="A7817" t="str">
            <v>YZ-ZQA31-K0-M</v>
          </cell>
          <cell r="B7817" t="str">
            <v>YZ-ZQA31</v>
          </cell>
        </row>
        <row r="7818">
          <cell r="A7818" t="str">
            <v>YZ-ZQA31-K0-XL</v>
          </cell>
          <cell r="B7818" t="str">
            <v>YZ-ZQA31</v>
          </cell>
        </row>
        <row r="7819">
          <cell r="A7819" t="str">
            <v>YZ-ZQA31-ZL-L</v>
          </cell>
          <cell r="B7819" t="str">
            <v>YZ-ZQA31</v>
          </cell>
        </row>
        <row r="7820">
          <cell r="A7820" t="str">
            <v>YZ-ZQA31-ZL-M</v>
          </cell>
          <cell r="B7820" t="str">
            <v>YZ-ZQA31</v>
          </cell>
        </row>
        <row r="7821">
          <cell r="A7821" t="str">
            <v>YZ-ZQA31-ZL-XL</v>
          </cell>
          <cell r="B7821" t="str">
            <v>YZ-ZQA31</v>
          </cell>
        </row>
        <row r="7822">
          <cell r="A7822" t="str">
            <v>YZ-ZQadn1601-B1-L</v>
          </cell>
          <cell r="B7822" t="str">
            <v>YZ-ZQadn1601</v>
          </cell>
        </row>
        <row r="7823">
          <cell r="A7823" t="str">
            <v>YZ-ZQadn1601-B1-M</v>
          </cell>
          <cell r="B7823" t="str">
            <v>YZ-ZQadn1601</v>
          </cell>
        </row>
        <row r="7824">
          <cell r="A7824" t="str">
            <v>YZ-ZQadn1601-B1-S</v>
          </cell>
          <cell r="B7824" t="str">
            <v>YZ-ZQadn1601</v>
          </cell>
        </row>
        <row r="7825">
          <cell r="A7825" t="str">
            <v>YZ-ZQadn1601-B1-XL</v>
          </cell>
          <cell r="B7825" t="str">
            <v>YZ-ZQadn1601</v>
          </cell>
        </row>
        <row r="7826">
          <cell r="A7826" t="str">
            <v>YZ-ZQBL03-K0-2X</v>
          </cell>
          <cell r="B7826" t="str">
            <v>YZ-ZQBL03</v>
          </cell>
        </row>
        <row r="7827">
          <cell r="A7827" t="str">
            <v>YZ-ZQBL03-K0-3X</v>
          </cell>
          <cell r="B7827" t="str">
            <v>YZ-ZQBL03</v>
          </cell>
        </row>
        <row r="7828">
          <cell r="A7828" t="str">
            <v>YZ-ZQBL03-K0-L</v>
          </cell>
          <cell r="B7828" t="str">
            <v>YZ-ZQBL03</v>
          </cell>
        </row>
        <row r="7829">
          <cell r="A7829" t="str">
            <v>YZ-ZQBL03-K0-M</v>
          </cell>
          <cell r="B7829" t="str">
            <v>YZ-ZQBL03</v>
          </cell>
        </row>
        <row r="7830">
          <cell r="A7830" t="str">
            <v>YZ-ZQBL03-K0-S</v>
          </cell>
          <cell r="B7830" t="str">
            <v>YZ-ZQBL03</v>
          </cell>
        </row>
        <row r="7831">
          <cell r="A7831" t="str">
            <v>YZ-ZQBL03-K0-XL</v>
          </cell>
          <cell r="B7831" t="str">
            <v>YZ-ZQBL03</v>
          </cell>
        </row>
        <row r="7832">
          <cell r="A7832" t="str">
            <v>YZ-ZQF5802B04XL</v>
          </cell>
          <cell r="B7832" t="str">
            <v>YZ-ZQF5802</v>
          </cell>
        </row>
        <row r="7833">
          <cell r="A7833" t="str">
            <v>YZ-ZQF5802B05XL</v>
          </cell>
          <cell r="B7833" t="str">
            <v>YZ-ZQF5802</v>
          </cell>
        </row>
        <row r="7834">
          <cell r="A7834" t="str">
            <v>YZ-ZQF5802G04XL</v>
          </cell>
          <cell r="B7834" t="str">
            <v>YZ-ZQF5802</v>
          </cell>
        </row>
        <row r="7835">
          <cell r="A7835" t="str">
            <v>YZ-ZQF5802G05XL</v>
          </cell>
          <cell r="B7835" t="str">
            <v>YZ-ZQF5802</v>
          </cell>
        </row>
        <row r="7836">
          <cell r="A7836" t="str">
            <v>YZ-ZQFT1816-O0-2X</v>
          </cell>
          <cell r="B7836" t="str">
            <v>YZ-ZQFT1816</v>
          </cell>
        </row>
        <row r="7837">
          <cell r="A7837" t="str">
            <v>YZ-ZQFT1816-O0-3X</v>
          </cell>
          <cell r="B7837" t="str">
            <v>YZ-ZQFT1816</v>
          </cell>
        </row>
        <row r="7838">
          <cell r="A7838" t="str">
            <v>YZ-ZQFT1816-O0-4X</v>
          </cell>
          <cell r="B7838" t="str">
            <v>YZ-ZQFT1816</v>
          </cell>
        </row>
        <row r="7839">
          <cell r="A7839" t="str">
            <v>YZ-ZQFT1816-O0-5X</v>
          </cell>
          <cell r="B7839" t="str">
            <v>YZ-ZQFT1816</v>
          </cell>
        </row>
        <row r="7840">
          <cell r="A7840" t="str">
            <v>YZ-ZQFT1816-O0-L</v>
          </cell>
          <cell r="B7840" t="str">
            <v>YZ-ZQFT1816</v>
          </cell>
        </row>
        <row r="7841">
          <cell r="A7841" t="str">
            <v>YZ-ZQFT1816-O0-M</v>
          </cell>
          <cell r="B7841" t="str">
            <v>YZ-ZQFT1816</v>
          </cell>
        </row>
        <row r="7842">
          <cell r="A7842" t="str">
            <v>YZ-ZQFT1816-O0-S</v>
          </cell>
          <cell r="B7842" t="str">
            <v>YZ-ZQFT1816</v>
          </cell>
        </row>
        <row r="7843">
          <cell r="A7843" t="str">
            <v>YZ-ZQFT1816-O0-XL</v>
          </cell>
          <cell r="B7843" t="str">
            <v>YZ-ZQFT1816</v>
          </cell>
        </row>
        <row r="7844">
          <cell r="A7844" t="str">
            <v>YZ-ZQFT1816-Y0-2X</v>
          </cell>
          <cell r="B7844" t="str">
            <v>YZ-ZQFT1816</v>
          </cell>
        </row>
        <row r="7845">
          <cell r="A7845" t="str">
            <v>YZ-ZQFT1816-Y0-3X</v>
          </cell>
          <cell r="B7845" t="str">
            <v>YZ-ZQFT1816</v>
          </cell>
        </row>
        <row r="7846">
          <cell r="A7846" t="str">
            <v>YZ-ZQFT1816-Y0-4X</v>
          </cell>
          <cell r="B7846" t="str">
            <v>YZ-ZQFT1816</v>
          </cell>
        </row>
        <row r="7847">
          <cell r="A7847" t="str">
            <v>YZ-ZQFT1816-Y0-5X</v>
          </cell>
          <cell r="B7847" t="str">
            <v>YZ-ZQFT1816</v>
          </cell>
        </row>
        <row r="7848">
          <cell r="A7848" t="str">
            <v>YZ-ZQFT1816-Y0-L</v>
          </cell>
          <cell r="B7848" t="str">
            <v>YZ-ZQFT1816</v>
          </cell>
        </row>
        <row r="7849">
          <cell r="A7849" t="str">
            <v>YZ-ZQFT1816-Y0-M</v>
          </cell>
          <cell r="B7849" t="str">
            <v>YZ-ZQFT1816</v>
          </cell>
        </row>
        <row r="7850">
          <cell r="A7850" t="str">
            <v>YZ-ZQFT1816-Y0-S</v>
          </cell>
          <cell r="B7850" t="str">
            <v>YZ-ZQFT1816</v>
          </cell>
        </row>
        <row r="7851">
          <cell r="A7851" t="str">
            <v>YZ-ZQFT1816-Y0-XL</v>
          </cell>
          <cell r="B7851" t="str">
            <v>YZ-ZQFT1816</v>
          </cell>
        </row>
        <row r="7852">
          <cell r="A7852" t="str">
            <v>YZ-ZQGB01-B0-2XL</v>
          </cell>
          <cell r="B7852" t="str">
            <v>YZ-ZQGB01</v>
          </cell>
        </row>
        <row r="7853">
          <cell r="A7853" t="str">
            <v>YZ-ZQGB01-B0-L</v>
          </cell>
          <cell r="B7853" t="str">
            <v>YZ-ZQGB01</v>
          </cell>
        </row>
        <row r="7854">
          <cell r="A7854" t="str">
            <v>YZ-ZQGB01-B0-M</v>
          </cell>
          <cell r="B7854" t="str">
            <v>YZ-ZQGB01</v>
          </cell>
        </row>
        <row r="7855">
          <cell r="A7855" t="str">
            <v>YZ-ZQGB01-B0-XL</v>
          </cell>
          <cell r="B7855" t="str">
            <v>YZ-ZQGB01</v>
          </cell>
        </row>
        <row r="7856">
          <cell r="A7856" t="str">
            <v>YZ-ZQGB01-BD-2XL</v>
          </cell>
          <cell r="B7856" t="str">
            <v>YZ-ZQGB01</v>
          </cell>
        </row>
        <row r="7857">
          <cell r="A7857" t="str">
            <v>YZ-ZQGB01-BD-L</v>
          </cell>
          <cell r="B7857" t="str">
            <v>YZ-ZQGB01</v>
          </cell>
        </row>
        <row r="7858">
          <cell r="A7858" t="str">
            <v>YZ-ZQGB01-BD-M</v>
          </cell>
          <cell r="B7858" t="str">
            <v>YZ-ZQGB01</v>
          </cell>
        </row>
        <row r="7859">
          <cell r="A7859" t="str">
            <v>YZ-ZQGB01-BD-XL</v>
          </cell>
          <cell r="B7859" t="str">
            <v>YZ-ZQGB01</v>
          </cell>
        </row>
        <row r="7860">
          <cell r="A7860" t="str">
            <v>YZ-ZQGB01-K0-2XL</v>
          </cell>
          <cell r="B7860" t="str">
            <v>YZ-ZQGB01</v>
          </cell>
        </row>
        <row r="7861">
          <cell r="A7861" t="str">
            <v>YZ-ZQGB01-K0-L</v>
          </cell>
          <cell r="B7861" t="str">
            <v>YZ-ZQGB01</v>
          </cell>
        </row>
        <row r="7862">
          <cell r="A7862" t="str">
            <v>YZ-ZQGB01-K0-M</v>
          </cell>
          <cell r="B7862" t="str">
            <v>YZ-ZQGB01</v>
          </cell>
        </row>
        <row r="7863">
          <cell r="A7863" t="str">
            <v>YZ-ZQGB01-K0-XL</v>
          </cell>
          <cell r="B7863" t="str">
            <v>YZ-ZQGB01</v>
          </cell>
        </row>
        <row r="7864">
          <cell r="A7864" t="str">
            <v>YZ-ZQGB01-W0-2XL</v>
          </cell>
          <cell r="B7864" t="str">
            <v>YZ-ZQGB01</v>
          </cell>
        </row>
        <row r="7865">
          <cell r="A7865" t="str">
            <v>YZ-ZQGB01-W0-L</v>
          </cell>
          <cell r="B7865" t="str">
            <v>YZ-ZQGB01</v>
          </cell>
        </row>
        <row r="7866">
          <cell r="A7866" t="str">
            <v>YZ-ZQGB01-W0-M</v>
          </cell>
          <cell r="B7866" t="str">
            <v>YZ-ZQGB01</v>
          </cell>
        </row>
        <row r="7867">
          <cell r="A7867" t="str">
            <v>YZ-ZQGB01-W0-XL</v>
          </cell>
          <cell r="B7867" t="str">
            <v>YZ-ZQGB01</v>
          </cell>
        </row>
        <row r="7868">
          <cell r="A7868" t="str">
            <v>YZ-ZQGB01-Y0-2XL</v>
          </cell>
          <cell r="B7868" t="str">
            <v>YZ-ZQGB01</v>
          </cell>
        </row>
        <row r="7869">
          <cell r="A7869" t="str">
            <v>YZ-ZQGB01-Y0-M</v>
          </cell>
          <cell r="B7869" t="str">
            <v>YZ-ZQGB01</v>
          </cell>
        </row>
        <row r="7870">
          <cell r="A7870" t="str">
            <v>YZ-ZQGB01-Y0S</v>
          </cell>
          <cell r="B7870" t="str">
            <v>YZ-ZQGB01</v>
          </cell>
        </row>
        <row r="7871">
          <cell r="A7871" t="str">
            <v>YZ-ZQGB01-Y0-S</v>
          </cell>
          <cell r="B7871" t="str">
            <v>YZ-ZQGB01</v>
          </cell>
        </row>
        <row r="7872">
          <cell r="A7872" t="str">
            <v>YZ-ZQGB01-Y0-XL</v>
          </cell>
          <cell r="B7872" t="str">
            <v>YZ-ZQGB01</v>
          </cell>
        </row>
        <row r="7873">
          <cell r="A7873" t="str">
            <v>YZ-ZQGB02-B0-L</v>
          </cell>
          <cell r="B7873" t="str">
            <v>YZ-ZQHL02</v>
          </cell>
        </row>
        <row r="7874">
          <cell r="A7874" t="str">
            <v>YZ-ZQGB02-B0-M</v>
          </cell>
          <cell r="B7874" t="str">
            <v>YZ-ZQHL02</v>
          </cell>
        </row>
        <row r="7875">
          <cell r="A7875" t="str">
            <v>YZ-ZQGB02-B0-S</v>
          </cell>
          <cell r="B7875" t="str">
            <v>YZ-ZQHL02</v>
          </cell>
        </row>
        <row r="7876">
          <cell r="A7876" t="str">
            <v>YZ-ZQGB02-B0-XL</v>
          </cell>
          <cell r="B7876" t="str">
            <v>YZ-ZQHL02</v>
          </cell>
        </row>
        <row r="7877">
          <cell r="A7877" t="str">
            <v>YZ-ZQHL02-G0-L</v>
          </cell>
          <cell r="B7877" t="str">
            <v>YZ-ZQHL02</v>
          </cell>
        </row>
        <row r="7878">
          <cell r="A7878" t="str">
            <v>YZ-ZQHL02-G0-M</v>
          </cell>
          <cell r="B7878" t="str">
            <v>YZ-ZQHL02</v>
          </cell>
        </row>
        <row r="7879">
          <cell r="A7879" t="str">
            <v>YZ-ZQHL02-G0-S</v>
          </cell>
          <cell r="B7879" t="str">
            <v>YZ-ZQHL02</v>
          </cell>
        </row>
        <row r="7880">
          <cell r="A7880" t="str">
            <v>YZ-ZQHL02-G0-XL</v>
          </cell>
          <cell r="B7880" t="str">
            <v>YZ-ZQHL02</v>
          </cell>
        </row>
        <row r="7881">
          <cell r="A7881" t="str">
            <v>YZ-ZQLC18-BS-2X</v>
          </cell>
          <cell r="B7881" t="str">
            <v>YZ-ZQLC18</v>
          </cell>
        </row>
        <row r="7882">
          <cell r="A7882" t="str">
            <v>YZ-ZQLC18-BS-L</v>
          </cell>
          <cell r="B7882" t="str">
            <v>YZ-ZQLC18</v>
          </cell>
        </row>
        <row r="7883">
          <cell r="A7883" t="str">
            <v>YZ-ZQLC18-BS-XL</v>
          </cell>
          <cell r="B7883" t="str">
            <v>YZ-ZQLC18</v>
          </cell>
        </row>
        <row r="7884">
          <cell r="A7884" t="str">
            <v>YZ-ZQLC18-KS-2X</v>
          </cell>
          <cell r="B7884" t="str">
            <v>YZ-ZQLC18</v>
          </cell>
        </row>
        <row r="7885">
          <cell r="A7885" t="str">
            <v>YZ-ZQLC18-KS-XL</v>
          </cell>
          <cell r="B7885" t="str">
            <v>YZ-ZQLC18</v>
          </cell>
        </row>
        <row r="7886">
          <cell r="A7886" t="str">
            <v>YZ-ZQLS062-K0-2XL</v>
          </cell>
          <cell r="B7886" t="str">
            <v>YZ-ZQLS062</v>
          </cell>
        </row>
        <row r="7887">
          <cell r="A7887" t="str">
            <v>YZ-ZQLS062-K0-3XL</v>
          </cell>
          <cell r="B7887" t="str">
            <v>YZ-ZQLS062</v>
          </cell>
        </row>
        <row r="7888">
          <cell r="A7888" t="str">
            <v>YZ-ZQLS062-K0-L</v>
          </cell>
          <cell r="B7888" t="str">
            <v>YZ-ZQLS062</v>
          </cell>
        </row>
        <row r="7889">
          <cell r="A7889" t="str">
            <v>YZ-ZQLS062-K0-M</v>
          </cell>
          <cell r="B7889" t="str">
            <v>YZ-ZQLS062</v>
          </cell>
        </row>
        <row r="7890">
          <cell r="A7890" t="str">
            <v>YZ-ZQLS062-K0-S</v>
          </cell>
          <cell r="B7890" t="str">
            <v>YZ-ZQLS062</v>
          </cell>
        </row>
        <row r="7891">
          <cell r="A7891" t="str">
            <v>YZ-ZQLS062-K0-XL</v>
          </cell>
          <cell r="B7891" t="str">
            <v>YZ-ZQLS062</v>
          </cell>
        </row>
        <row r="7892">
          <cell r="A7892" t="str">
            <v>YZ-ZQLS1353-K0-2X</v>
          </cell>
          <cell r="B7892" t="str">
            <v>YZ-ZQLS1353</v>
          </cell>
        </row>
        <row r="7893">
          <cell r="A7893" t="str">
            <v>YZ-ZQLS1353-K0-3X</v>
          </cell>
          <cell r="B7893" t="str">
            <v>YZ-ZQLS1353</v>
          </cell>
        </row>
        <row r="7894">
          <cell r="A7894" t="str">
            <v>YZ-ZQLS1353-K0-XL</v>
          </cell>
          <cell r="B7894" t="str">
            <v>YZ-ZQLS1353</v>
          </cell>
        </row>
        <row r="7895">
          <cell r="A7895" t="str">
            <v>YZ-ZQMICAIK02XL</v>
          </cell>
          <cell r="B7895" t="str">
            <v>YZ-ZQMICAI</v>
          </cell>
        </row>
        <row r="7896">
          <cell r="A7896" t="str">
            <v>YZ-ZQMICAIK03XL</v>
          </cell>
          <cell r="B7896" t="str">
            <v>YZ-ZQMICAI</v>
          </cell>
        </row>
        <row r="7897">
          <cell r="A7897" t="str">
            <v>YZ-ZQMICAIK04XL</v>
          </cell>
          <cell r="B7897" t="str">
            <v>YZ-ZQMICAI</v>
          </cell>
        </row>
        <row r="7898">
          <cell r="A7898" t="str">
            <v>YZ-ZQMICAIK05XL</v>
          </cell>
          <cell r="B7898" t="str">
            <v>YZ-ZQMICAI</v>
          </cell>
        </row>
        <row r="7899">
          <cell r="A7899" t="str">
            <v>YZ-ZQMICAIK0L</v>
          </cell>
          <cell r="B7899" t="str">
            <v>YZ-ZQMICAI</v>
          </cell>
        </row>
        <row r="7900">
          <cell r="A7900" t="str">
            <v>YZ-ZQMICAIK0M</v>
          </cell>
          <cell r="B7900" t="str">
            <v>YZ-ZQMICAI</v>
          </cell>
        </row>
        <row r="7901">
          <cell r="A7901" t="str">
            <v>YZ-ZQMICAIK0XL</v>
          </cell>
          <cell r="B7901" t="str">
            <v>YZ-ZQMICAI</v>
          </cell>
        </row>
        <row r="7902">
          <cell r="A7902" t="str">
            <v>YZ-ZQMS02-K0-L</v>
          </cell>
          <cell r="B7902" t="str">
            <v>YZ-ZQMS02</v>
          </cell>
        </row>
        <row r="7903">
          <cell r="A7903" t="str">
            <v>YZ-ZQMS02-K0-M</v>
          </cell>
          <cell r="B7903" t="str">
            <v>YZ-ZQMS02</v>
          </cell>
        </row>
        <row r="7904">
          <cell r="A7904" t="str">
            <v>YZ-ZQMS02-K0-S</v>
          </cell>
          <cell r="B7904" t="str">
            <v>YZ-ZQMS02</v>
          </cell>
        </row>
        <row r="7905">
          <cell r="A7905" t="str">
            <v>YZ-ZQN9002-B0-3X</v>
          </cell>
          <cell r="B7905" t="str">
            <v>YZ-ZQN9002</v>
          </cell>
        </row>
        <row r="7906">
          <cell r="A7906" t="str">
            <v>YZ-ZQN9002-G0-2X</v>
          </cell>
          <cell r="B7906" t="str">
            <v>YZ-ZQN9002</v>
          </cell>
        </row>
        <row r="7907">
          <cell r="A7907" t="str">
            <v>YZ-ZQN9002-G0-4X</v>
          </cell>
          <cell r="B7907" t="str">
            <v>YZ-ZQN9002</v>
          </cell>
        </row>
        <row r="7908">
          <cell r="A7908" t="str">
            <v>YZ-ZQN9002-G0-5X</v>
          </cell>
          <cell r="B7908" t="str">
            <v>YZ-ZQN9002</v>
          </cell>
        </row>
        <row r="7909">
          <cell r="A7909" t="str">
            <v>YZ-ZQN9002-G0-L</v>
          </cell>
          <cell r="B7909" t="str">
            <v>YZ-ZQN9002</v>
          </cell>
        </row>
        <row r="7910">
          <cell r="A7910" t="str">
            <v>YZ-ZQN9002-G0-XL</v>
          </cell>
          <cell r="B7910" t="str">
            <v>YZ-ZQN9002</v>
          </cell>
        </row>
        <row r="7911">
          <cell r="A7911" t="str">
            <v>YZ-ZQN9002-ND-3X</v>
          </cell>
          <cell r="B7911" t="str">
            <v>YZ-ZQN9002</v>
          </cell>
        </row>
        <row r="7912">
          <cell r="A7912" t="str">
            <v>YZ-ZQN9002-ND-4X</v>
          </cell>
          <cell r="B7912" t="str">
            <v>YZ-ZQN9002</v>
          </cell>
        </row>
        <row r="7913">
          <cell r="A7913" t="str">
            <v>YZ-ZQN9002-ND-5X</v>
          </cell>
          <cell r="B7913" t="str">
            <v>YZ-ZQN9002</v>
          </cell>
        </row>
        <row r="7914">
          <cell r="A7914" t="str">
            <v>YZ-ZQN9002-TL-L</v>
          </cell>
          <cell r="B7914" t="str">
            <v>YZ-ZQN9002</v>
          </cell>
        </row>
        <row r="7915">
          <cell r="A7915" t="str">
            <v>YZ-ZQN9002-TL-XL</v>
          </cell>
          <cell r="B7915" t="str">
            <v>YZ-ZQN9002</v>
          </cell>
        </row>
        <row r="7916">
          <cell r="A7916" t="str">
            <v>YZ-ZQN9003-B0-2X</v>
          </cell>
          <cell r="B7916" t="str">
            <v>YZ-ZQN9003</v>
          </cell>
        </row>
        <row r="7917">
          <cell r="A7917" t="str">
            <v>YZ-ZQN9003-B0-4X</v>
          </cell>
          <cell r="B7917" t="str">
            <v>YZ-ZQN9003</v>
          </cell>
        </row>
        <row r="7918">
          <cell r="A7918" t="str">
            <v>YZ-ZQN9003-B0-L</v>
          </cell>
          <cell r="B7918" t="str">
            <v>YZ-ZQN9003</v>
          </cell>
        </row>
        <row r="7919">
          <cell r="A7919" t="str">
            <v>YZ-ZQN9003-B0-M</v>
          </cell>
          <cell r="B7919" t="str">
            <v>YZ-ZQN9003</v>
          </cell>
        </row>
        <row r="7920">
          <cell r="A7920" t="str">
            <v>YZ-ZQN9003-K0-4X</v>
          </cell>
          <cell r="B7920" t="str">
            <v>YZ-ZQN9003</v>
          </cell>
        </row>
        <row r="7921">
          <cell r="A7921" t="str">
            <v>YZ-ZQN9003-K0-L</v>
          </cell>
          <cell r="B7921" t="str">
            <v>YZ-ZQN9003</v>
          </cell>
        </row>
        <row r="7922">
          <cell r="A7922" t="str">
            <v>YZ-ZQN9003-ZL-4X</v>
          </cell>
          <cell r="B7922" t="str">
            <v>YZ-ZQN9003</v>
          </cell>
        </row>
        <row r="7923">
          <cell r="A7923" t="str">
            <v>YZ-ZQN9003-ZL-L</v>
          </cell>
          <cell r="B7923" t="str">
            <v>YZ-ZQN9003</v>
          </cell>
        </row>
        <row r="7924">
          <cell r="A7924" t="str">
            <v>YZ-ZQN9076-G3-2X</v>
          </cell>
          <cell r="B7924" t="str">
            <v>YZ-ZQN9076</v>
          </cell>
        </row>
        <row r="7925">
          <cell r="A7925" t="str">
            <v>YZ-ZQN9076-G3-3X</v>
          </cell>
          <cell r="B7925" t="str">
            <v>YZ-ZQN9076</v>
          </cell>
        </row>
        <row r="7926">
          <cell r="A7926" t="str">
            <v>YZ-ZQN9076-H1-3X</v>
          </cell>
          <cell r="B7926" t="str">
            <v>YZ-ZQN9076</v>
          </cell>
        </row>
        <row r="7927">
          <cell r="A7927" t="str">
            <v>YZ-ZQN9200-K0-2X</v>
          </cell>
          <cell r="B7927" t="str">
            <v>YZ-ZQN9200</v>
          </cell>
        </row>
        <row r="7928">
          <cell r="A7928" t="str">
            <v>YZ-ZQN9200-K0-3X</v>
          </cell>
          <cell r="B7928" t="str">
            <v>YZ-ZQN9200</v>
          </cell>
        </row>
        <row r="7929">
          <cell r="A7929" t="str">
            <v>YZ-ZQN9200-K0-4X</v>
          </cell>
          <cell r="B7929" t="str">
            <v>YZ-ZQN9200</v>
          </cell>
        </row>
        <row r="7930">
          <cell r="A7930" t="str">
            <v>YZ-ZQN9200-K0-L</v>
          </cell>
          <cell r="B7930" t="str">
            <v>YZ-ZQN9200</v>
          </cell>
        </row>
        <row r="7931">
          <cell r="A7931" t="str">
            <v>YZ-ZQN9200-K0-M</v>
          </cell>
          <cell r="B7931" t="str">
            <v>YZ-ZQN9200</v>
          </cell>
        </row>
        <row r="7932">
          <cell r="A7932" t="str">
            <v>YZ-ZQN9200-K0-XL</v>
          </cell>
          <cell r="B7932" t="str">
            <v>YZ-ZQN9200</v>
          </cell>
        </row>
        <row r="7933">
          <cell r="A7933" t="str">
            <v>YZ-ZQNA16121E02XL</v>
          </cell>
          <cell r="B7933" t="str">
            <v>YZ-ZQNA16121</v>
          </cell>
        </row>
        <row r="7934">
          <cell r="A7934" t="str">
            <v>YZ-ZQNA16121E03XL</v>
          </cell>
          <cell r="B7934" t="str">
            <v>YZ-ZQNA16121</v>
          </cell>
        </row>
        <row r="7935">
          <cell r="A7935" t="str">
            <v>YZ-ZQNA16121E0L</v>
          </cell>
          <cell r="B7935" t="str">
            <v>YZ-ZQNA16121</v>
          </cell>
        </row>
        <row r="7936">
          <cell r="A7936" t="str">
            <v>YZ-ZQNA16121E0XL</v>
          </cell>
          <cell r="B7936" t="str">
            <v>YZ-ZQNA16121</v>
          </cell>
        </row>
        <row r="7937">
          <cell r="A7937" t="str">
            <v>YZ-ZQNA16121R02XL</v>
          </cell>
          <cell r="B7937" t="str">
            <v>YZ-ZQNA16121</v>
          </cell>
        </row>
        <row r="7938">
          <cell r="A7938" t="str">
            <v>YZ-ZQNA16121R03XL</v>
          </cell>
          <cell r="B7938" t="str">
            <v>YZ-ZQNA16121</v>
          </cell>
        </row>
        <row r="7939">
          <cell r="A7939" t="str">
            <v>YZ-ZQNA16121R0L</v>
          </cell>
          <cell r="B7939" t="str">
            <v>YZ-ZQNA16121</v>
          </cell>
        </row>
        <row r="7940">
          <cell r="A7940" t="str">
            <v>YZ-ZQNA16121R0XL</v>
          </cell>
          <cell r="B7940" t="str">
            <v>YZ-ZQNA16121</v>
          </cell>
        </row>
        <row r="7941">
          <cell r="A7941" t="str">
            <v>YZ-ZQNA161244-Y0-2XL</v>
          </cell>
          <cell r="B7941" t="str">
            <v>YZ-ZQNA161244</v>
          </cell>
        </row>
        <row r="7942">
          <cell r="A7942" t="str">
            <v>YZ-ZQNA161244-Y0-L</v>
          </cell>
          <cell r="B7942" t="str">
            <v>YZ-ZQNA161244</v>
          </cell>
        </row>
        <row r="7943">
          <cell r="A7943" t="str">
            <v>YZ-ZQNA161244-Y0-XL</v>
          </cell>
          <cell r="B7943" t="str">
            <v>YZ-ZQNA161244</v>
          </cell>
        </row>
        <row r="7944">
          <cell r="A7944" t="str">
            <v>YZ-ZQOM388-K0-2XL</v>
          </cell>
          <cell r="B7944" t="str">
            <v>YZ-ZQOM388</v>
          </cell>
        </row>
        <row r="7945">
          <cell r="A7945" t="str">
            <v>YZ-ZQOM388-K0-L</v>
          </cell>
          <cell r="B7945" t="str">
            <v>YZ-ZQOM388</v>
          </cell>
        </row>
        <row r="7946">
          <cell r="A7946" t="str">
            <v>YZ-ZQOM388-K0-M</v>
          </cell>
          <cell r="B7946" t="str">
            <v>YZ-ZQOM388</v>
          </cell>
        </row>
        <row r="7947">
          <cell r="A7947" t="str">
            <v>YZ-ZQOM388-K0-S</v>
          </cell>
          <cell r="B7947" t="str">
            <v>YZ-ZQOM388</v>
          </cell>
        </row>
        <row r="7948">
          <cell r="A7948" t="str">
            <v>YZ-ZQOM388-K0-XL</v>
          </cell>
          <cell r="B7948" t="str">
            <v>YZ-ZQOM388</v>
          </cell>
        </row>
        <row r="7949">
          <cell r="A7949" t="str">
            <v>YZ-ZQOM388-W0-2XL</v>
          </cell>
          <cell r="B7949" t="str">
            <v>YZ-ZQOM388</v>
          </cell>
        </row>
        <row r="7950">
          <cell r="A7950" t="str">
            <v>YZ-ZQOM388-W0-L</v>
          </cell>
          <cell r="B7950" t="str">
            <v>YZ-ZQOM388</v>
          </cell>
        </row>
        <row r="7951">
          <cell r="A7951" t="str">
            <v>YZ-ZQOM388-W0-M</v>
          </cell>
          <cell r="B7951" t="str">
            <v>YZ-ZQOM388</v>
          </cell>
        </row>
        <row r="7952">
          <cell r="A7952" t="str">
            <v>YZ-ZQOM388-W0-S</v>
          </cell>
          <cell r="B7952" t="str">
            <v>YZ-ZQOM388</v>
          </cell>
        </row>
        <row r="7953">
          <cell r="A7953" t="str">
            <v>YZ-ZQOM388-W0-XL</v>
          </cell>
          <cell r="B7953" t="str">
            <v>YZ-ZQOM388</v>
          </cell>
        </row>
        <row r="7954">
          <cell r="A7954" t="str">
            <v>YZ-ZQQ9227-K0-2X</v>
          </cell>
          <cell r="B7954" t="str">
            <v>YZ-ZQQ9227</v>
          </cell>
        </row>
        <row r="7955">
          <cell r="A7955" t="str">
            <v>YZ-ZQQ9227-K0-3X</v>
          </cell>
          <cell r="B7955" t="str">
            <v>YZ-ZQQ9227</v>
          </cell>
        </row>
        <row r="7956">
          <cell r="A7956" t="str">
            <v>YZ-ZQQ9227-K0-4X</v>
          </cell>
          <cell r="B7956" t="str">
            <v>YZ-ZQQ9227</v>
          </cell>
        </row>
        <row r="7957">
          <cell r="A7957" t="str">
            <v>YZ-ZQQ9227-K0-5X</v>
          </cell>
          <cell r="B7957" t="str">
            <v>YZ-ZQQ9227</v>
          </cell>
        </row>
        <row r="7958">
          <cell r="A7958" t="str">
            <v>YZ-ZQQ9227-K0-L</v>
          </cell>
          <cell r="B7958" t="str">
            <v>YZ-ZQQ9227</v>
          </cell>
        </row>
        <row r="7959">
          <cell r="A7959" t="str">
            <v>YZ-ZQQ9227-K0-M</v>
          </cell>
          <cell r="B7959" t="str">
            <v>YZ-ZQQ9227</v>
          </cell>
        </row>
        <row r="7960">
          <cell r="A7960" t="str">
            <v>YZ-ZQQ9227-K0-S</v>
          </cell>
          <cell r="B7960" t="str">
            <v>YZ-ZQQ9227</v>
          </cell>
        </row>
        <row r="7961">
          <cell r="A7961" t="str">
            <v>YZ-ZQQ9227-K0-XL</v>
          </cell>
          <cell r="B7961" t="str">
            <v>YZ-ZQQ9227</v>
          </cell>
        </row>
        <row r="7962">
          <cell r="A7962" t="str">
            <v>YZ-ZQSG16116-K0-2XL</v>
          </cell>
          <cell r="B7962" t="str">
            <v>YZ-ZQSG16116</v>
          </cell>
        </row>
        <row r="7963">
          <cell r="A7963" t="str">
            <v>YZ-ZQSG16116-K0-L</v>
          </cell>
          <cell r="B7963" t="str">
            <v>YZ-ZQSG16116</v>
          </cell>
        </row>
        <row r="7964">
          <cell r="A7964" t="str">
            <v>YZ-ZQSG16116-K0-XL</v>
          </cell>
          <cell r="B7964" t="str">
            <v>YZ-ZQSG16116</v>
          </cell>
        </row>
        <row r="7965">
          <cell r="A7965" t="str">
            <v>YZ-ZQSG16121E02XL</v>
          </cell>
          <cell r="B7965" t="str">
            <v>YZ-ZQSG16121</v>
          </cell>
        </row>
        <row r="7966">
          <cell r="A7966" t="str">
            <v>YZ-ZQSG16121E03XL</v>
          </cell>
          <cell r="B7966" t="str">
            <v>YZ-ZQSG16121</v>
          </cell>
        </row>
        <row r="7967">
          <cell r="A7967" t="str">
            <v>YZ-ZQSG16121E0L</v>
          </cell>
          <cell r="B7967" t="str">
            <v>YZ-ZQSG16121</v>
          </cell>
        </row>
        <row r="7968">
          <cell r="A7968" t="str">
            <v>YZ-ZQSG16121E0XL</v>
          </cell>
          <cell r="B7968" t="str">
            <v>YZ-ZQSG16121</v>
          </cell>
        </row>
        <row r="7969">
          <cell r="A7969" t="str">
            <v>YZ-ZQSG16121R02XL</v>
          </cell>
          <cell r="B7969" t="str">
            <v>YZ-ZQSG16121</v>
          </cell>
        </row>
        <row r="7970">
          <cell r="A7970" t="str">
            <v>YZ-ZQSG16121R03XL</v>
          </cell>
          <cell r="B7970" t="str">
            <v>YZ-ZQSG16121</v>
          </cell>
        </row>
        <row r="7971">
          <cell r="A7971" t="str">
            <v>YZ-ZQSG16121R0L</v>
          </cell>
          <cell r="B7971" t="str">
            <v>YZ-ZQSG16121</v>
          </cell>
        </row>
        <row r="7972">
          <cell r="A7972" t="str">
            <v>YZ-ZQSG16121R0XL</v>
          </cell>
          <cell r="B7972" t="str">
            <v>YZ-ZQSG16121</v>
          </cell>
        </row>
        <row r="7973">
          <cell r="A7973" t="str">
            <v>YZ-ZQSG161244-Y0-2XL</v>
          </cell>
          <cell r="B7973" t="str">
            <v>YZ-ZQSG161244</v>
          </cell>
        </row>
        <row r="7974">
          <cell r="A7974" t="str">
            <v>YZ-ZQSG161244-Y0-3XL</v>
          </cell>
          <cell r="B7974" t="str">
            <v>YZ-ZQSG161244</v>
          </cell>
        </row>
        <row r="7975">
          <cell r="A7975" t="str">
            <v>YZ-ZQSG161244-Y0-L</v>
          </cell>
          <cell r="B7975" t="str">
            <v>YZ-ZQSG161244</v>
          </cell>
        </row>
        <row r="7976">
          <cell r="A7976" t="str">
            <v>YZ-ZQSG161244-Y0-XL</v>
          </cell>
          <cell r="B7976" t="str">
            <v>YZ-ZQSG161244</v>
          </cell>
        </row>
        <row r="7977">
          <cell r="A7977" t="str">
            <v>YZ-ZQSG16124Y02XL</v>
          </cell>
          <cell r="B7977" t="str">
            <v>YZ-ZQSG16124</v>
          </cell>
        </row>
        <row r="7978">
          <cell r="A7978" t="str">
            <v>YZ-ZQSG16124Y03XL</v>
          </cell>
          <cell r="B7978" t="str">
            <v>YZ-ZQSG16124</v>
          </cell>
        </row>
        <row r="7979">
          <cell r="A7979" t="str">
            <v>YZ-ZQSG16124Y0L</v>
          </cell>
          <cell r="B7979" t="str">
            <v>YZ-ZQSG16124</v>
          </cell>
        </row>
        <row r="7980">
          <cell r="A7980" t="str">
            <v>YZ-ZQSG16124Y0XL</v>
          </cell>
          <cell r="B7980" t="str">
            <v>YZ-ZQSG16124</v>
          </cell>
        </row>
        <row r="7981">
          <cell r="A7981" t="str">
            <v>YZ-ZQTWA1-K0-2X</v>
          </cell>
          <cell r="B7981" t="str">
            <v>YZ-ZQTWA1</v>
          </cell>
        </row>
        <row r="7982">
          <cell r="A7982" t="str">
            <v>YZ-ZQTWA1-K0-3X</v>
          </cell>
          <cell r="B7982" t="str">
            <v>YZ-ZQTWA1</v>
          </cell>
        </row>
        <row r="7983">
          <cell r="A7983" t="str">
            <v>YZ-ZQTWA1-K0-4X</v>
          </cell>
          <cell r="B7983" t="str">
            <v>YZ-ZQTWA1</v>
          </cell>
        </row>
        <row r="7984">
          <cell r="A7984" t="str">
            <v>YZ-ZQTWA1-K0-5X</v>
          </cell>
          <cell r="B7984" t="str">
            <v>YZ-ZQTWA1</v>
          </cell>
        </row>
        <row r="7985">
          <cell r="A7985" t="str">
            <v>YZ-ZQTWA1-K0-L</v>
          </cell>
          <cell r="B7985" t="str">
            <v>YZ-ZQTWA1</v>
          </cell>
        </row>
        <row r="7986">
          <cell r="A7986" t="str">
            <v>YZ-ZQTWA1-K0-M</v>
          </cell>
          <cell r="B7986" t="str">
            <v>YZ-ZQTWA1</v>
          </cell>
        </row>
        <row r="7987">
          <cell r="A7987" t="str">
            <v>YZ-ZQTWA1-K0-S</v>
          </cell>
          <cell r="B7987" t="str">
            <v>YZ-ZQTWA1</v>
          </cell>
        </row>
        <row r="7988">
          <cell r="A7988" t="str">
            <v>YZ-ZQTWA1-K0-XL</v>
          </cell>
          <cell r="B7988" t="str">
            <v>YZ-ZQTWA1</v>
          </cell>
        </row>
        <row r="7989">
          <cell r="A7989" t="str">
            <v>YZ-ZQXZ345-G0-L</v>
          </cell>
          <cell r="B7989" t="str">
            <v>YZ-ZQXZ345</v>
          </cell>
        </row>
        <row r="7990">
          <cell r="A7990" t="str">
            <v>YZ-ZQXZ345-G0-M</v>
          </cell>
          <cell r="B7990" t="str">
            <v>YZ-ZQXZ345</v>
          </cell>
        </row>
        <row r="7991">
          <cell r="A7991" t="str">
            <v>YZ-ZQXZ345-G0-S</v>
          </cell>
          <cell r="B7991" t="str">
            <v>YZ-ZQXZ345</v>
          </cell>
        </row>
        <row r="7992">
          <cell r="A7992" t="str">
            <v>YZ-ZQXZ345-G0-XL</v>
          </cell>
          <cell r="B7992" t="str">
            <v>YZ-ZQXZ345</v>
          </cell>
        </row>
        <row r="7993">
          <cell r="A7993" t="str">
            <v>YZ-ZQZY456-R0-L</v>
          </cell>
          <cell r="B7993" t="str">
            <v>YZ-ZQZY456</v>
          </cell>
        </row>
        <row r="7994">
          <cell r="A7994" t="str">
            <v>YZ-ZQZY456-R0-M</v>
          </cell>
          <cell r="B7994" t="str">
            <v>YZ-ZQZY456</v>
          </cell>
        </row>
        <row r="7995">
          <cell r="A7995" t="str">
            <v>YZ-ZQZY456-R0-S</v>
          </cell>
          <cell r="B7995" t="str">
            <v>YZ-ZQZY456</v>
          </cell>
        </row>
        <row r="7996">
          <cell r="A7996" t="str">
            <v>ZS-CF2112-BK-L</v>
          </cell>
          <cell r="B7996" t="str">
            <v>ZS-CF2112</v>
          </cell>
        </row>
        <row r="7997">
          <cell r="A7997" t="str">
            <v>ZS-CF2112-CO-M</v>
          </cell>
          <cell r="B7997" t="str">
            <v>ZS-CF2112</v>
          </cell>
        </row>
        <row r="7998">
          <cell r="A7998" t="str">
            <v>ZS-CF2112-CO-XL</v>
          </cell>
          <cell r="B7998" t="str">
            <v>ZS-CF2112</v>
          </cell>
        </row>
        <row r="7999">
          <cell r="A7999" t="str">
            <v>ZS-CF2112-OR-L</v>
          </cell>
          <cell r="B7999" t="str">
            <v>ZS-CF2112</v>
          </cell>
        </row>
        <row r="8000">
          <cell r="A8000" t="str">
            <v>ZS-JY2300-BL-JM</v>
          </cell>
          <cell r="B8000" t="str">
            <v>ZS-JY2300</v>
          </cell>
        </row>
        <row r="8001">
          <cell r="A8001" t="str">
            <v>ZS-JY2300-ZL-JM</v>
          </cell>
          <cell r="B8001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3068</v>
          </cell>
          <cell r="C2">
            <v>24</v>
          </cell>
          <cell r="D2">
            <v>1065</v>
          </cell>
          <cell r="E2">
            <v>65</v>
          </cell>
          <cell r="F2">
            <v>1130</v>
          </cell>
          <cell r="G2">
            <v>408</v>
          </cell>
          <cell r="H2">
            <v>63</v>
          </cell>
          <cell r="I2">
            <v>33</v>
          </cell>
          <cell r="J2">
            <v>275</v>
          </cell>
          <cell r="K2">
            <v>317</v>
          </cell>
          <cell r="L2">
            <v>605</v>
          </cell>
          <cell r="M2">
            <v>0</v>
          </cell>
        </row>
        <row r="3">
          <cell r="A3" t="str">
            <v>AQD-IUYL330-BK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1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LGQ-IUYL100-PK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3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LGQ-IUYL100-RD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MJ-IUYL230-PK-S</v>
          </cell>
          <cell r="B6">
            <v>12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3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ST173-PK-XXL</v>
          </cell>
          <cell r="B7">
            <v>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ST173-WT1-S</v>
          </cell>
          <cell r="B8">
            <v>6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7</v>
          </cell>
          <cell r="M8">
            <v>0</v>
          </cell>
        </row>
        <row r="9">
          <cell r="A9" t="str">
            <v>ST173-BK-S</v>
          </cell>
          <cell r="B9">
            <v>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ST173-WR-S</v>
          </cell>
          <cell r="B10">
            <v>11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12</v>
          </cell>
          <cell r="M10">
            <v>0</v>
          </cell>
        </row>
        <row r="11">
          <cell r="A11" t="str">
            <v>ST172-WR-L</v>
          </cell>
          <cell r="B11">
            <v>8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9</v>
          </cell>
          <cell r="M11">
            <v>0</v>
          </cell>
        </row>
        <row r="12">
          <cell r="A12" t="str">
            <v>TZ-IUYL240LHY-ELPH-S</v>
          </cell>
          <cell r="B12">
            <v>21</v>
          </cell>
          <cell r="C12">
            <v>1</v>
          </cell>
          <cell r="D12">
            <v>220</v>
          </cell>
          <cell r="E12">
            <v>0</v>
          </cell>
          <cell r="F12">
            <v>220</v>
          </cell>
          <cell r="G12">
            <v>2</v>
          </cell>
          <cell r="H12">
            <v>12</v>
          </cell>
          <cell r="I12">
            <v>2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TZ-IUYL240LHY-DOT-S</v>
          </cell>
          <cell r="B13">
            <v>199</v>
          </cell>
          <cell r="C13">
            <v>2</v>
          </cell>
          <cell r="D13">
            <v>5</v>
          </cell>
          <cell r="E13">
            <v>0</v>
          </cell>
          <cell r="F13">
            <v>5</v>
          </cell>
          <cell r="G13">
            <v>13</v>
          </cell>
          <cell r="H13">
            <v>3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TZ-IUYL240LHY-BONE-L</v>
          </cell>
          <cell r="B14">
            <v>19</v>
          </cell>
          <cell r="C14">
            <v>0</v>
          </cell>
          <cell r="D14">
            <v>10</v>
          </cell>
          <cell r="E14">
            <v>2</v>
          </cell>
          <cell r="F14">
            <v>12</v>
          </cell>
          <cell r="G14">
            <v>14</v>
          </cell>
          <cell r="H14">
            <v>4</v>
          </cell>
          <cell r="I14">
            <v>2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TZ-IUYL240-BEAR-S</v>
          </cell>
          <cell r="B15">
            <v>54</v>
          </cell>
          <cell r="C15">
            <v>0</v>
          </cell>
          <cell r="D15">
            <v>30</v>
          </cell>
          <cell r="E15">
            <v>0</v>
          </cell>
          <cell r="F15">
            <v>30</v>
          </cell>
          <cell r="G15">
            <v>4</v>
          </cell>
          <cell r="H15">
            <v>2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TZ-IUYL240-BEAR-M</v>
          </cell>
          <cell r="B16">
            <v>26</v>
          </cell>
          <cell r="C16">
            <v>1</v>
          </cell>
          <cell r="D16">
            <v>0</v>
          </cell>
          <cell r="E16">
            <v>0</v>
          </cell>
          <cell r="F16">
            <v>0</v>
          </cell>
          <cell r="G16">
            <v>5</v>
          </cell>
          <cell r="H16">
            <v>0</v>
          </cell>
          <cell r="I16">
            <v>2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TZ-IUYL240LHY-DOT-L</v>
          </cell>
          <cell r="B17">
            <v>33</v>
          </cell>
          <cell r="C17">
            <v>0</v>
          </cell>
          <cell r="D17">
            <v>45</v>
          </cell>
          <cell r="E17">
            <v>0</v>
          </cell>
          <cell r="F17">
            <v>45</v>
          </cell>
          <cell r="G17">
            <v>16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TZ-IUYL240-STAR-M</v>
          </cell>
          <cell r="B18">
            <v>10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1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TZ-IUYL240LHY-PAW-L</v>
          </cell>
          <cell r="B19">
            <v>4</v>
          </cell>
          <cell r="C19">
            <v>0</v>
          </cell>
          <cell r="D19">
            <v>25</v>
          </cell>
          <cell r="E19">
            <v>11</v>
          </cell>
          <cell r="F19">
            <v>36</v>
          </cell>
          <cell r="G19">
            <v>79</v>
          </cell>
          <cell r="H19">
            <v>2</v>
          </cell>
          <cell r="I19">
            <v>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TZ-IUYL240LHY-STAR-S</v>
          </cell>
          <cell r="B20">
            <v>60</v>
          </cell>
          <cell r="C20">
            <v>0</v>
          </cell>
          <cell r="D20">
            <v>0</v>
          </cell>
          <cell r="E20">
            <v>8</v>
          </cell>
          <cell r="F20">
            <v>8</v>
          </cell>
          <cell r="G20">
            <v>1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TZ-IUYL240-RABBIT-S</v>
          </cell>
          <cell r="B21">
            <v>19</v>
          </cell>
          <cell r="C21">
            <v>0</v>
          </cell>
          <cell r="D21">
            <v>50</v>
          </cell>
          <cell r="E21">
            <v>0</v>
          </cell>
          <cell r="F21">
            <v>50</v>
          </cell>
          <cell r="G21">
            <v>0</v>
          </cell>
          <cell r="H21">
            <v>3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TZ-IUYL240LHY-ELPH-M</v>
          </cell>
          <cell r="B22">
            <v>101</v>
          </cell>
          <cell r="C22">
            <v>2</v>
          </cell>
          <cell r="D22">
            <v>34</v>
          </cell>
          <cell r="E22">
            <v>2</v>
          </cell>
          <cell r="F22">
            <v>36</v>
          </cell>
          <cell r="G22">
            <v>53</v>
          </cell>
          <cell r="H22">
            <v>5</v>
          </cell>
          <cell r="I22">
            <v>2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TZ-IUYL240LHY-PAW-S</v>
          </cell>
          <cell r="B23">
            <v>14</v>
          </cell>
          <cell r="C23">
            <v>0</v>
          </cell>
          <cell r="D23">
            <v>118</v>
          </cell>
          <cell r="E23">
            <v>2</v>
          </cell>
          <cell r="F23">
            <v>120</v>
          </cell>
          <cell r="G23">
            <v>37</v>
          </cell>
          <cell r="H23">
            <v>3</v>
          </cell>
          <cell r="I23">
            <v>4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TZ-IUYL240-DOT2-M</v>
          </cell>
          <cell r="B24">
            <v>30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14</v>
          </cell>
          <cell r="H24">
            <v>2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TZ-IUYL240-LOVE-M</v>
          </cell>
          <cell r="B25">
            <v>34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TZ-IUYL240LHY-STRAWBERRY-S</v>
          </cell>
          <cell r="B26">
            <v>155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4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TZ-IUYL240-DOT2-S</v>
          </cell>
          <cell r="B27">
            <v>36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21</v>
          </cell>
          <cell r="H27">
            <v>3</v>
          </cell>
          <cell r="I27">
            <v>3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TZ-IUYL240LHY-PAW-M</v>
          </cell>
          <cell r="B28">
            <v>22</v>
          </cell>
          <cell r="C28">
            <v>0</v>
          </cell>
          <cell r="D28">
            <v>140</v>
          </cell>
          <cell r="E28">
            <v>0</v>
          </cell>
          <cell r="F28">
            <v>140</v>
          </cell>
          <cell r="G28">
            <v>59</v>
          </cell>
          <cell r="H28">
            <v>1</v>
          </cell>
          <cell r="I28">
            <v>4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TZ-IUYL240LHY-ELPH-L</v>
          </cell>
          <cell r="B29">
            <v>59</v>
          </cell>
          <cell r="C29">
            <v>1</v>
          </cell>
          <cell r="D29">
            <v>0</v>
          </cell>
          <cell r="E29">
            <v>20</v>
          </cell>
          <cell r="F29">
            <v>20</v>
          </cell>
          <cell r="G29">
            <v>15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TZ-IUYL240-BEAR-L</v>
          </cell>
          <cell r="B30">
            <v>16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TZ-IUYL240LHY-STRAWBERRY-M</v>
          </cell>
          <cell r="B31">
            <v>74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11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TZ-IUYL240-DOT2-L</v>
          </cell>
          <cell r="B32">
            <v>10</v>
          </cell>
          <cell r="C32">
            <v>0</v>
          </cell>
          <cell r="D32">
            <v>15</v>
          </cell>
          <cell r="E32">
            <v>0</v>
          </cell>
          <cell r="F32">
            <v>15</v>
          </cell>
          <cell r="G32">
            <v>4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TZ-IUYL240-LOVE-L</v>
          </cell>
          <cell r="B33">
            <v>23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TZ-IUYL240LHY-DOT-M</v>
          </cell>
          <cell r="B34">
            <v>68</v>
          </cell>
          <cell r="C34">
            <v>1</v>
          </cell>
          <cell r="D34">
            <v>10</v>
          </cell>
          <cell r="E34">
            <v>0</v>
          </cell>
          <cell r="F34">
            <v>10</v>
          </cell>
          <cell r="G34">
            <v>20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TZ-IUYL240-RABBIT-L</v>
          </cell>
          <cell r="B35">
            <v>22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TZ-IUYL240LHY-BONE-S</v>
          </cell>
          <cell r="B36">
            <v>75</v>
          </cell>
          <cell r="C36">
            <v>1</v>
          </cell>
          <cell r="D36">
            <v>202</v>
          </cell>
          <cell r="E36">
            <v>0</v>
          </cell>
          <cell r="F36">
            <v>202</v>
          </cell>
          <cell r="G36">
            <v>1</v>
          </cell>
          <cell r="H36">
            <v>8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TZ-IUYL240LHY-BONE-M</v>
          </cell>
          <cell r="B37">
            <v>24</v>
          </cell>
          <cell r="C37">
            <v>0</v>
          </cell>
          <cell r="D37">
            <v>20</v>
          </cell>
          <cell r="E37">
            <v>0</v>
          </cell>
          <cell r="F37">
            <v>20</v>
          </cell>
          <cell r="G37">
            <v>20</v>
          </cell>
          <cell r="H37">
            <v>3</v>
          </cell>
          <cell r="I37">
            <v>2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MJ-IUYL230-PK-L</v>
          </cell>
          <cell r="B38">
            <v>3</v>
          </cell>
          <cell r="C38">
            <v>0</v>
          </cell>
          <cell r="D38">
            <v>0</v>
          </cell>
          <cell r="E38">
            <v>10</v>
          </cell>
          <cell r="F38">
            <v>10</v>
          </cell>
          <cell r="G38">
            <v>0</v>
          </cell>
          <cell r="H38">
            <v>0</v>
          </cell>
          <cell r="I38">
            <v>0</v>
          </cell>
          <cell r="J38">
            <v>3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ST172-NY-L</v>
          </cell>
          <cell r="B39">
            <v>14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1</v>
          </cell>
          <cell r="K39">
            <v>0</v>
          </cell>
          <cell r="L39">
            <v>13</v>
          </cell>
          <cell r="M39">
            <v>0</v>
          </cell>
        </row>
        <row r="40">
          <cell r="A40" t="str">
            <v>ST172-WT2-M</v>
          </cell>
          <cell r="B40">
            <v>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3</v>
          </cell>
          <cell r="M40">
            <v>0</v>
          </cell>
        </row>
        <row r="41">
          <cell r="A41" t="str">
            <v>XQ-IUYL320-BK-S</v>
          </cell>
          <cell r="B41">
            <v>4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KZ-LY021-KK-40</v>
          </cell>
          <cell r="B42">
            <v>3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3</v>
          </cell>
          <cell r="L42">
            <v>0</v>
          </cell>
          <cell r="M42">
            <v>0</v>
          </cell>
        </row>
        <row r="43">
          <cell r="A43" t="str">
            <v>ST172-WT2-S</v>
          </cell>
          <cell r="B43">
            <v>7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7</v>
          </cell>
          <cell r="M43">
            <v>0</v>
          </cell>
        </row>
        <row r="44">
          <cell r="A44" t="str">
            <v>ST172-WT1-M</v>
          </cell>
          <cell r="B44">
            <v>16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1</v>
          </cell>
          <cell r="K44">
            <v>0</v>
          </cell>
          <cell r="L44">
            <v>15</v>
          </cell>
          <cell r="M44">
            <v>0</v>
          </cell>
        </row>
        <row r="45">
          <cell r="A45" t="str">
            <v>XQ-IUYL320-PK-L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LYQ-WF7125-NO-XL</v>
          </cell>
          <cell r="B46">
            <v>5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5</v>
          </cell>
          <cell r="L46">
            <v>0</v>
          </cell>
          <cell r="M46">
            <v>0</v>
          </cell>
        </row>
        <row r="47">
          <cell r="A47" t="str">
            <v>ST172-PK-XXL</v>
          </cell>
          <cell r="B47">
            <v>18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18</v>
          </cell>
          <cell r="M47">
            <v>0</v>
          </cell>
        </row>
        <row r="48">
          <cell r="A48" t="str">
            <v>ST173-PK-XL</v>
          </cell>
          <cell r="B48">
            <v>4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4</v>
          </cell>
          <cell r="M48">
            <v>0</v>
          </cell>
        </row>
        <row r="49">
          <cell r="A49" t="str">
            <v>KZ-LY021-BL-40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</v>
          </cell>
          <cell r="L49">
            <v>0</v>
          </cell>
          <cell r="M49">
            <v>0</v>
          </cell>
        </row>
        <row r="50">
          <cell r="A50" t="str">
            <v>KZ-LY021-WR-36</v>
          </cell>
          <cell r="B50">
            <v>3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3</v>
          </cell>
          <cell r="L50">
            <v>0</v>
          </cell>
          <cell r="M50">
            <v>0</v>
          </cell>
        </row>
        <row r="51">
          <cell r="A51" t="str">
            <v>XQ-IUYL320-DB-S</v>
          </cell>
          <cell r="B51">
            <v>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4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ST172-PP-S</v>
          </cell>
          <cell r="B52">
            <v>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1</v>
          </cell>
          <cell r="L52">
            <v>5</v>
          </cell>
          <cell r="M52">
            <v>0</v>
          </cell>
        </row>
        <row r="53">
          <cell r="A53" t="str">
            <v>SCF-C01-018</v>
          </cell>
          <cell r="B53">
            <v>4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</v>
          </cell>
          <cell r="K53">
            <v>3</v>
          </cell>
          <cell r="L53">
            <v>0</v>
          </cell>
          <cell r="M53">
            <v>0</v>
          </cell>
        </row>
        <row r="54">
          <cell r="A54" t="str">
            <v>ST155-AG-32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GW-LULHY-10</v>
          </cell>
          <cell r="B55">
            <v>23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SCF-C01-010</v>
          </cell>
          <cell r="B56">
            <v>6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4</v>
          </cell>
          <cell r="L56">
            <v>2</v>
          </cell>
          <cell r="M56">
            <v>0</v>
          </cell>
        </row>
        <row r="57">
          <cell r="A57" t="str">
            <v>SCF-B01-017</v>
          </cell>
          <cell r="B57">
            <v>7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4</v>
          </cell>
          <cell r="L57">
            <v>3</v>
          </cell>
          <cell r="M57">
            <v>0</v>
          </cell>
        </row>
        <row r="58">
          <cell r="A58" t="str">
            <v>KZ-LY021-WR-32</v>
          </cell>
          <cell r="B58">
            <v>3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3</v>
          </cell>
          <cell r="L58">
            <v>0</v>
          </cell>
          <cell r="M58">
            <v>0</v>
          </cell>
        </row>
        <row r="59">
          <cell r="A59" t="str">
            <v>ST173-NY-S</v>
          </cell>
          <cell r="B59">
            <v>13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13</v>
          </cell>
          <cell r="M59">
            <v>0</v>
          </cell>
        </row>
        <row r="60">
          <cell r="A60" t="str">
            <v>SCF-C01-017</v>
          </cell>
          <cell r="B60">
            <v>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1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XQ-IUYL320-PP-M</v>
          </cell>
          <cell r="B61">
            <v>4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4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BBBD-1605A-RD</v>
          </cell>
          <cell r="B62">
            <v>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XQ-IUYL320-RD-M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4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SCF-B01-011</v>
          </cell>
          <cell r="B64">
            <v>5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4</v>
          </cell>
          <cell r="L64">
            <v>0</v>
          </cell>
          <cell r="M64">
            <v>0</v>
          </cell>
        </row>
        <row r="65">
          <cell r="A65" t="str">
            <v>XQ-IUYL320-CF-XL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4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ST172-NY-S</v>
          </cell>
          <cell r="B66">
            <v>16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16</v>
          </cell>
          <cell r="M66">
            <v>0</v>
          </cell>
        </row>
        <row r="67">
          <cell r="A67" t="str">
            <v>ST173-WR-M</v>
          </cell>
          <cell r="B67">
            <v>9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9</v>
          </cell>
          <cell r="M67">
            <v>0</v>
          </cell>
        </row>
        <row r="68">
          <cell r="A68" t="str">
            <v>ST172-BL-XXL</v>
          </cell>
          <cell r="B68">
            <v>6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4</v>
          </cell>
          <cell r="M68">
            <v>0</v>
          </cell>
        </row>
        <row r="69">
          <cell r="A69" t="str">
            <v>MJ-IUYL230-CF-S</v>
          </cell>
          <cell r="B69">
            <v>12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2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ST155-AG-30</v>
          </cell>
          <cell r="B70">
            <v>3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2</v>
          </cell>
          <cell r="M70">
            <v>0</v>
          </cell>
        </row>
        <row r="71">
          <cell r="A71" t="str">
            <v>XQ-IUYL320-PK-XL</v>
          </cell>
          <cell r="B71">
            <v>1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SCF-B01-003</v>
          </cell>
          <cell r="B72">
            <v>4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1</v>
          </cell>
          <cell r="K72">
            <v>2</v>
          </cell>
          <cell r="L72">
            <v>0</v>
          </cell>
          <cell r="M72">
            <v>0</v>
          </cell>
        </row>
        <row r="73">
          <cell r="A73" t="str">
            <v>SCF-B01-014</v>
          </cell>
          <cell r="B73">
            <v>6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4</v>
          </cell>
          <cell r="L73">
            <v>2</v>
          </cell>
          <cell r="M73">
            <v>0</v>
          </cell>
        </row>
        <row r="74">
          <cell r="A74" t="str">
            <v>XQ-IUYL320-CF-M</v>
          </cell>
          <cell r="B74">
            <v>4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4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LYQ-WF7125-PO-L</v>
          </cell>
          <cell r="B75">
            <v>5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5</v>
          </cell>
          <cell r="L75">
            <v>0</v>
          </cell>
          <cell r="M75">
            <v>0</v>
          </cell>
        </row>
        <row r="76">
          <cell r="A76" t="str">
            <v>ST172-WR-S</v>
          </cell>
          <cell r="B76">
            <v>11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10</v>
          </cell>
          <cell r="M76">
            <v>0</v>
          </cell>
        </row>
        <row r="77">
          <cell r="A77" t="str">
            <v>AQD-IUYL340-PK</v>
          </cell>
          <cell r="B77">
            <v>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3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XQ-IUYL260-BK-M</v>
          </cell>
          <cell r="B78">
            <v>1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LYQ-WF7125-PO-XS</v>
          </cell>
          <cell r="B79">
            <v>2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</v>
          </cell>
          <cell r="L79">
            <v>0</v>
          </cell>
          <cell r="M79">
            <v>0</v>
          </cell>
        </row>
        <row r="80">
          <cell r="A80" t="str">
            <v>SCF-C01-009</v>
          </cell>
          <cell r="B80">
            <v>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4</v>
          </cell>
          <cell r="L80">
            <v>0</v>
          </cell>
          <cell r="M80">
            <v>0</v>
          </cell>
        </row>
        <row r="81">
          <cell r="A81" t="str">
            <v>SCF-B01-022</v>
          </cell>
          <cell r="B81">
            <v>7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4</v>
          </cell>
          <cell r="L81">
            <v>3</v>
          </cell>
          <cell r="M81">
            <v>0</v>
          </cell>
        </row>
        <row r="82">
          <cell r="A82" t="str">
            <v>DZ-IUYL200-BK</v>
          </cell>
          <cell r="B82">
            <v>8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8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SCF-A01-010</v>
          </cell>
          <cell r="B83">
            <v>6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4</v>
          </cell>
          <cell r="L83">
            <v>2</v>
          </cell>
          <cell r="M83">
            <v>0</v>
          </cell>
        </row>
        <row r="84">
          <cell r="A84" t="str">
            <v>TZ-IUYL240-STRAWBERRY-M</v>
          </cell>
          <cell r="B84">
            <v>26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XQ-IUYL260-BL2-M</v>
          </cell>
          <cell r="B85">
            <v>12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7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XQ-IUYL260-BK-S</v>
          </cell>
          <cell r="B86">
            <v>10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ST172-BK-M</v>
          </cell>
          <cell r="B87">
            <v>6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6</v>
          </cell>
          <cell r="M87">
            <v>0</v>
          </cell>
        </row>
        <row r="88">
          <cell r="A88" t="str">
            <v>ST172-PP-L</v>
          </cell>
          <cell r="B88">
            <v>5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5</v>
          </cell>
          <cell r="M88">
            <v>0</v>
          </cell>
        </row>
        <row r="89">
          <cell r="A89" t="str">
            <v>scarf-0001-Peony</v>
          </cell>
          <cell r="B89">
            <v>10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</v>
          </cell>
          <cell r="L89">
            <v>0</v>
          </cell>
          <cell r="M89">
            <v>0</v>
          </cell>
        </row>
        <row r="90">
          <cell r="A90" t="str">
            <v>ST172-PK-L</v>
          </cell>
          <cell r="B90">
            <v>18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18</v>
          </cell>
          <cell r="M90">
            <v>0</v>
          </cell>
        </row>
        <row r="91">
          <cell r="A91" t="str">
            <v>KZ-LY021-NY-32</v>
          </cell>
          <cell r="B91">
            <v>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</v>
          </cell>
          <cell r="L91">
            <v>0</v>
          </cell>
          <cell r="M91">
            <v>0</v>
          </cell>
        </row>
        <row r="92">
          <cell r="A92" t="str">
            <v>SCF-B01-007</v>
          </cell>
          <cell r="B92">
            <v>6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4</v>
          </cell>
          <cell r="L92">
            <v>2</v>
          </cell>
          <cell r="M92">
            <v>0</v>
          </cell>
        </row>
        <row r="93">
          <cell r="A93" t="str">
            <v>ST172-NY-XXL</v>
          </cell>
          <cell r="B93">
            <v>10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2</v>
          </cell>
          <cell r="L93">
            <v>6</v>
          </cell>
          <cell r="M93">
            <v>0</v>
          </cell>
        </row>
        <row r="94">
          <cell r="A94" t="str">
            <v>LYQ-WF7125-PO-XL</v>
          </cell>
          <cell r="B94">
            <v>4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4</v>
          </cell>
          <cell r="L94">
            <v>0</v>
          </cell>
          <cell r="M94">
            <v>0</v>
          </cell>
        </row>
        <row r="95">
          <cell r="A95" t="str">
            <v>AQD-IUYL330-LB</v>
          </cell>
          <cell r="B95">
            <v>2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2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GW-LULHY-8.8</v>
          </cell>
          <cell r="B96">
            <v>22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BD-LUHM010</v>
          </cell>
          <cell r="B97">
            <v>19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SCF-C01-005</v>
          </cell>
          <cell r="B98">
            <v>2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</v>
          </cell>
          <cell r="L98">
            <v>1</v>
          </cell>
          <cell r="M98">
            <v>0</v>
          </cell>
        </row>
        <row r="99">
          <cell r="A99" t="str">
            <v>KZ-LY021-BL-32</v>
          </cell>
          <cell r="B99">
            <v>3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3</v>
          </cell>
          <cell r="L99">
            <v>0</v>
          </cell>
          <cell r="M99">
            <v>0</v>
          </cell>
        </row>
        <row r="100">
          <cell r="A100" t="str">
            <v>ST172-PK-XL</v>
          </cell>
          <cell r="B100">
            <v>18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18</v>
          </cell>
          <cell r="M100">
            <v>0</v>
          </cell>
        </row>
        <row r="101">
          <cell r="A101" t="str">
            <v>ST173-BL-M</v>
          </cell>
          <cell r="B101">
            <v>2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1</v>
          </cell>
          <cell r="K101">
            <v>0</v>
          </cell>
          <cell r="L101">
            <v>1</v>
          </cell>
          <cell r="M101">
            <v>0</v>
          </cell>
        </row>
        <row r="102">
          <cell r="A102" t="str">
            <v>SCF-C01-019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XQ-IUYL260-BL2-S</v>
          </cell>
          <cell r="B103">
            <v>12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7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LYQ-WF7125-PO-M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XQ-IUYL320-PP-S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XQ-IUYL320-YL-M</v>
          </cell>
          <cell r="B106">
            <v>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4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SCF-A01-012</v>
          </cell>
          <cell r="B107">
            <v>5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4</v>
          </cell>
          <cell r="L107">
            <v>1</v>
          </cell>
          <cell r="M107">
            <v>0</v>
          </cell>
        </row>
        <row r="108">
          <cell r="A108" t="str">
            <v>LYQ-WF7125-NO-L</v>
          </cell>
          <cell r="B108">
            <v>3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2</v>
          </cell>
          <cell r="L108">
            <v>0</v>
          </cell>
          <cell r="M108">
            <v>0</v>
          </cell>
        </row>
        <row r="109">
          <cell r="A109" t="str">
            <v>ST172-BL-M</v>
          </cell>
          <cell r="B109">
            <v>15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15</v>
          </cell>
          <cell r="M109">
            <v>0</v>
          </cell>
        </row>
        <row r="110">
          <cell r="A110" t="str">
            <v>SCF-C01-003</v>
          </cell>
          <cell r="B110">
            <v>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3</v>
          </cell>
          <cell r="L110">
            <v>1</v>
          </cell>
          <cell r="M110">
            <v>0</v>
          </cell>
        </row>
        <row r="111">
          <cell r="A111" t="str">
            <v>AQD-IUYL330-GR</v>
          </cell>
          <cell r="B111">
            <v>4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4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XQ-IUYL260-BL1-M</v>
          </cell>
          <cell r="B112">
            <v>3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ST172-GR-S</v>
          </cell>
          <cell r="B113">
            <v>19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19</v>
          </cell>
          <cell r="M113">
            <v>0</v>
          </cell>
        </row>
        <row r="114">
          <cell r="A114" t="str">
            <v>ST006-GN-S</v>
          </cell>
          <cell r="B114">
            <v>7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</v>
          </cell>
          <cell r="L114">
            <v>6</v>
          </cell>
          <cell r="M114">
            <v>0</v>
          </cell>
        </row>
        <row r="115">
          <cell r="A115" t="str">
            <v>SCF-B01-012</v>
          </cell>
          <cell r="B115">
            <v>6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1</v>
          </cell>
          <cell r="K115">
            <v>4</v>
          </cell>
          <cell r="L115">
            <v>0</v>
          </cell>
          <cell r="M115">
            <v>0</v>
          </cell>
        </row>
        <row r="116">
          <cell r="A116" t="str">
            <v>XQ-IUYL320-YL-S</v>
          </cell>
          <cell r="B116">
            <v>4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SCF-B01-021</v>
          </cell>
          <cell r="B117">
            <v>7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5</v>
          </cell>
          <cell r="L117">
            <v>1</v>
          </cell>
          <cell r="M117">
            <v>0</v>
          </cell>
        </row>
        <row r="118">
          <cell r="A118" t="str">
            <v>KZ-LY021-BK-40</v>
          </cell>
          <cell r="B118">
            <v>2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2</v>
          </cell>
          <cell r="L118">
            <v>0</v>
          </cell>
          <cell r="M118">
            <v>0</v>
          </cell>
        </row>
        <row r="119">
          <cell r="A119" t="str">
            <v>XQ-IUYL320-BL-L</v>
          </cell>
          <cell r="B119">
            <v>4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4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KZ-LY021-WR-40</v>
          </cell>
          <cell r="B120">
            <v>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</v>
          </cell>
          <cell r="L120">
            <v>0</v>
          </cell>
          <cell r="M120">
            <v>0</v>
          </cell>
        </row>
        <row r="121">
          <cell r="A121" t="str">
            <v>SCF-B01-016</v>
          </cell>
          <cell r="B121">
            <v>5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4</v>
          </cell>
          <cell r="L121">
            <v>1</v>
          </cell>
          <cell r="M121">
            <v>0</v>
          </cell>
        </row>
        <row r="122">
          <cell r="A122" t="str">
            <v>KZ-LY021-GY-40</v>
          </cell>
          <cell r="B122">
            <v>3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</v>
          </cell>
          <cell r="L122">
            <v>0</v>
          </cell>
          <cell r="M122">
            <v>0</v>
          </cell>
        </row>
        <row r="123">
          <cell r="A123" t="str">
            <v>LGQ-IUYL100-BL</v>
          </cell>
          <cell r="B123">
            <v>7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SCF-C01-008</v>
          </cell>
          <cell r="B124">
            <v>4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4</v>
          </cell>
          <cell r="L124">
            <v>0</v>
          </cell>
          <cell r="M124">
            <v>0</v>
          </cell>
        </row>
        <row r="125">
          <cell r="A125" t="str">
            <v>ST172-WT2-L</v>
          </cell>
          <cell r="B125">
            <v>15</v>
          </cell>
          <cell r="C125">
            <v>1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14</v>
          </cell>
          <cell r="M125">
            <v>0</v>
          </cell>
        </row>
        <row r="126">
          <cell r="A126" t="str">
            <v>AQD-IUYL340-OR</v>
          </cell>
          <cell r="B126">
            <v>1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1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XQ-IUYL260-PK-S</v>
          </cell>
          <cell r="B127">
            <v>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KZ-LY021-BK-32</v>
          </cell>
          <cell r="B128">
            <v>3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</v>
          </cell>
          <cell r="L128">
            <v>0</v>
          </cell>
          <cell r="M128">
            <v>0</v>
          </cell>
        </row>
        <row r="129">
          <cell r="A129" t="str">
            <v>LYQ-WF7125-PO-2L</v>
          </cell>
          <cell r="B129">
            <v>3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</v>
          </cell>
          <cell r="L129">
            <v>0</v>
          </cell>
          <cell r="M129">
            <v>0</v>
          </cell>
        </row>
        <row r="130">
          <cell r="A130" t="str">
            <v>ST005-BK-S</v>
          </cell>
          <cell r="B130">
            <v>8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7</v>
          </cell>
          <cell r="K130">
            <v>1</v>
          </cell>
          <cell r="L130">
            <v>0</v>
          </cell>
          <cell r="M130">
            <v>0</v>
          </cell>
        </row>
        <row r="131">
          <cell r="A131" t="str">
            <v>SCF-A01-009</v>
          </cell>
          <cell r="B131">
            <v>4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4</v>
          </cell>
          <cell r="L131">
            <v>0</v>
          </cell>
          <cell r="M131">
            <v>0</v>
          </cell>
        </row>
        <row r="132">
          <cell r="A132" t="str">
            <v>TZ-IUYL240-STAR-L</v>
          </cell>
          <cell r="B132">
            <v>13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XQ-IUYL320-DB-M</v>
          </cell>
          <cell r="B133">
            <v>4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4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XQ-IUYL320-BL-XL</v>
          </cell>
          <cell r="B134">
            <v>4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scarf-001-blueheart</v>
          </cell>
          <cell r="B135">
            <v>7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7</v>
          </cell>
          <cell r="M135">
            <v>0</v>
          </cell>
        </row>
        <row r="136">
          <cell r="A136" t="str">
            <v>ST172-BK-S</v>
          </cell>
          <cell r="B136">
            <v>2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1</v>
          </cell>
          <cell r="L136">
            <v>1</v>
          </cell>
          <cell r="M136">
            <v>0</v>
          </cell>
        </row>
        <row r="137">
          <cell r="A137" t="str">
            <v>LYQ-WF7125-BO-2X</v>
          </cell>
          <cell r="B137">
            <v>3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</v>
          </cell>
          <cell r="L137">
            <v>0</v>
          </cell>
          <cell r="M137">
            <v>0</v>
          </cell>
        </row>
        <row r="138">
          <cell r="A138" t="str">
            <v>ST172-WT1-XXL</v>
          </cell>
          <cell r="B138">
            <v>15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14</v>
          </cell>
          <cell r="M138">
            <v>0</v>
          </cell>
        </row>
        <row r="139">
          <cell r="A139" t="str">
            <v>LYQ-WF7125-BO-S</v>
          </cell>
          <cell r="B139">
            <v>4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4</v>
          </cell>
          <cell r="L139">
            <v>0</v>
          </cell>
          <cell r="M139">
            <v>0</v>
          </cell>
        </row>
        <row r="140">
          <cell r="A140" t="str">
            <v>XQ-IUYL320-BL-S</v>
          </cell>
          <cell r="B140">
            <v>4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4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SCF-B01-020</v>
          </cell>
          <cell r="B141">
            <v>6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4</v>
          </cell>
          <cell r="L141">
            <v>2</v>
          </cell>
          <cell r="M141">
            <v>0</v>
          </cell>
        </row>
        <row r="142">
          <cell r="A142" t="str">
            <v>XQ-IUYL260-PP-S</v>
          </cell>
          <cell r="B142">
            <v>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1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LYQ-WF7125-BO-L</v>
          </cell>
          <cell r="B143">
            <v>4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4</v>
          </cell>
          <cell r="L143">
            <v>0</v>
          </cell>
          <cell r="M143">
            <v>0</v>
          </cell>
        </row>
        <row r="144">
          <cell r="A144" t="str">
            <v>GS-IUYL280-2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3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LGQ-IUYL100-GN</v>
          </cell>
          <cell r="B145">
            <v>8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3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SCF-B01-001</v>
          </cell>
          <cell r="B146">
            <v>6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4</v>
          </cell>
          <cell r="L146">
            <v>2</v>
          </cell>
          <cell r="M146">
            <v>0</v>
          </cell>
        </row>
        <row r="147">
          <cell r="A147" t="str">
            <v>KZ-LY021-BL-38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1</v>
          </cell>
          <cell r="L147">
            <v>0</v>
          </cell>
          <cell r="M147">
            <v>0</v>
          </cell>
        </row>
        <row r="148">
          <cell r="A148" t="str">
            <v>LYQ-WF7125-KO-S</v>
          </cell>
          <cell r="B148">
            <v>5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1</v>
          </cell>
          <cell r="K148">
            <v>4</v>
          </cell>
          <cell r="L148">
            <v>0</v>
          </cell>
          <cell r="M148">
            <v>0</v>
          </cell>
        </row>
        <row r="149">
          <cell r="A149" t="str">
            <v>ST172-NY-M</v>
          </cell>
          <cell r="B149">
            <v>14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1</v>
          </cell>
          <cell r="K149">
            <v>0</v>
          </cell>
          <cell r="L149">
            <v>13</v>
          </cell>
          <cell r="M149">
            <v>0</v>
          </cell>
        </row>
        <row r="150">
          <cell r="A150" t="str">
            <v>TZ-IUYL240-RABBIT-M</v>
          </cell>
          <cell r="B150">
            <v>30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AQD-IUYL330-CF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4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LYQ-WF7125-K0-2L</v>
          </cell>
          <cell r="B152">
            <v>5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5</v>
          </cell>
          <cell r="L152">
            <v>0</v>
          </cell>
          <cell r="M152">
            <v>0</v>
          </cell>
        </row>
        <row r="153">
          <cell r="A153" t="str">
            <v>SCF-B01-002</v>
          </cell>
          <cell r="B153">
            <v>6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4</v>
          </cell>
          <cell r="L153">
            <v>2</v>
          </cell>
          <cell r="M153">
            <v>0</v>
          </cell>
        </row>
        <row r="154">
          <cell r="A154" t="str">
            <v>XQ-IUYL320-PK-S</v>
          </cell>
          <cell r="B154">
            <v>3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3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XQ-IUYL260-PP-M</v>
          </cell>
          <cell r="B155">
            <v>4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AQD-IUYL330-YL</v>
          </cell>
          <cell r="B156">
            <v>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2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BBBD-1605A-BL</v>
          </cell>
          <cell r="B157">
            <v>3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ST172-BL-S</v>
          </cell>
          <cell r="B158">
            <v>14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13</v>
          </cell>
          <cell r="M158">
            <v>0</v>
          </cell>
        </row>
        <row r="159">
          <cell r="A159" t="str">
            <v>LYQ-WF7125-BO-XL</v>
          </cell>
          <cell r="B159">
            <v>4</v>
          </cell>
          <cell r="C159">
            <v>1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</v>
          </cell>
          <cell r="L159">
            <v>0</v>
          </cell>
          <cell r="M159">
            <v>0</v>
          </cell>
        </row>
        <row r="160">
          <cell r="A160" t="str">
            <v>XQ-IUYL320-CF-S</v>
          </cell>
          <cell r="B160">
            <v>4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4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XQ-IUYL320-YL-XL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3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ST172-PP-M</v>
          </cell>
          <cell r="B162">
            <v>4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</v>
          </cell>
          <cell r="L162">
            <v>3</v>
          </cell>
          <cell r="M162">
            <v>0</v>
          </cell>
        </row>
        <row r="163">
          <cell r="A163" t="str">
            <v>LYQ-WF7125-KO-M</v>
          </cell>
          <cell r="B163">
            <v>4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</v>
          </cell>
          <cell r="L163">
            <v>0</v>
          </cell>
          <cell r="M163">
            <v>0</v>
          </cell>
        </row>
        <row r="164">
          <cell r="A164" t="str">
            <v>LGQ-IUYL100-YL</v>
          </cell>
          <cell r="B164">
            <v>21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XQ-IUYL260-PK-M</v>
          </cell>
          <cell r="B165">
            <v>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SCF-B01-005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3</v>
          </cell>
          <cell r="L166">
            <v>0</v>
          </cell>
          <cell r="M166">
            <v>0</v>
          </cell>
        </row>
        <row r="167">
          <cell r="A167" t="str">
            <v>ST172-WT2-XL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MMDC-IUHM100-BL</v>
          </cell>
          <cell r="B168">
            <v>5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MJ-IUYL230-BL-S</v>
          </cell>
          <cell r="B169">
            <v>13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3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SZ-IUYL002</v>
          </cell>
          <cell r="B170">
            <v>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4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SCF-B01-019</v>
          </cell>
          <cell r="B171">
            <v>7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</v>
          </cell>
          <cell r="L171">
            <v>3</v>
          </cell>
          <cell r="M171">
            <v>0</v>
          </cell>
        </row>
        <row r="172">
          <cell r="A172" t="str">
            <v>SCF-D01-009</v>
          </cell>
          <cell r="B172">
            <v>3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3</v>
          </cell>
          <cell r="L172">
            <v>0</v>
          </cell>
          <cell r="M172">
            <v>0</v>
          </cell>
        </row>
        <row r="173">
          <cell r="A173" t="str">
            <v>KZ-LY021-NY-40</v>
          </cell>
          <cell r="B173">
            <v>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3</v>
          </cell>
          <cell r="L173">
            <v>0</v>
          </cell>
          <cell r="M173">
            <v>0</v>
          </cell>
        </row>
        <row r="174">
          <cell r="A174" t="str">
            <v>MMDC-IUHM100-BK</v>
          </cell>
          <cell r="B174">
            <v>4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ST172-GR-L</v>
          </cell>
          <cell r="B175">
            <v>18</v>
          </cell>
          <cell r="C175">
            <v>1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18</v>
          </cell>
          <cell r="M175">
            <v>0</v>
          </cell>
        </row>
        <row r="176">
          <cell r="A176" t="str">
            <v>GW-LULHY-5.1</v>
          </cell>
          <cell r="B176">
            <v>13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MJ-IUYL230-BL-L</v>
          </cell>
          <cell r="B177">
            <v>1</v>
          </cell>
          <cell r="C177">
            <v>0</v>
          </cell>
          <cell r="D177">
            <v>0</v>
          </cell>
          <cell r="E177">
            <v>10</v>
          </cell>
          <cell r="F177">
            <v>10</v>
          </cell>
          <cell r="G177">
            <v>0</v>
          </cell>
          <cell r="H177">
            <v>0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TZ-IUYL240LHY-STRAWBERRY-L</v>
          </cell>
          <cell r="B178">
            <v>80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XQ-IUYL320-DB-L</v>
          </cell>
          <cell r="B179">
            <v>4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4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XQ-IUYL260-YL-M</v>
          </cell>
          <cell r="B180">
            <v>3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SCF-B01-009</v>
          </cell>
          <cell r="B181">
            <v>3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1</v>
          </cell>
          <cell r="L181">
            <v>2</v>
          </cell>
          <cell r="M181">
            <v>0</v>
          </cell>
        </row>
        <row r="182">
          <cell r="A182" t="str">
            <v>SCF-C01-014</v>
          </cell>
          <cell r="B182">
            <v>3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1</v>
          </cell>
          <cell r="K182">
            <v>2</v>
          </cell>
          <cell r="L182">
            <v>0</v>
          </cell>
          <cell r="M182">
            <v>0</v>
          </cell>
        </row>
        <row r="183">
          <cell r="A183" t="str">
            <v>ST166-K33-4-S</v>
          </cell>
          <cell r="B183">
            <v>5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5</v>
          </cell>
          <cell r="M183">
            <v>0</v>
          </cell>
        </row>
        <row r="184">
          <cell r="A184" t="str">
            <v>SCF-A01-013</v>
          </cell>
          <cell r="B184">
            <v>7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</v>
          </cell>
          <cell r="L184">
            <v>2</v>
          </cell>
          <cell r="M184">
            <v>0</v>
          </cell>
        </row>
        <row r="185">
          <cell r="A185" t="str">
            <v>GS-IUYL270</v>
          </cell>
          <cell r="B185">
            <v>2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2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XQ-IUYL320-BL-M</v>
          </cell>
          <cell r="B186">
            <v>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4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KZ-LY021-WR-34</v>
          </cell>
          <cell r="B187">
            <v>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3</v>
          </cell>
          <cell r="L187">
            <v>0</v>
          </cell>
          <cell r="M187">
            <v>0</v>
          </cell>
        </row>
        <row r="188">
          <cell r="A188" t="str">
            <v>KZ-LY021-WR-38</v>
          </cell>
          <cell r="B188">
            <v>3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3</v>
          </cell>
          <cell r="L188">
            <v>0</v>
          </cell>
          <cell r="M188">
            <v>0</v>
          </cell>
        </row>
        <row r="189">
          <cell r="A189" t="str">
            <v>AQD-IUYL340-LP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3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SCF-C01-013</v>
          </cell>
          <cell r="B190">
            <v>4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</v>
          </cell>
          <cell r="L190">
            <v>0</v>
          </cell>
          <cell r="M190">
            <v>0</v>
          </cell>
        </row>
        <row r="191">
          <cell r="A191" t="str">
            <v>ST172-WT2-XXL</v>
          </cell>
          <cell r="B191">
            <v>1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GW-LULHY-6.2</v>
          </cell>
          <cell r="B192">
            <v>10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KZ-LY021-BL-34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3</v>
          </cell>
          <cell r="L193">
            <v>0</v>
          </cell>
          <cell r="M193">
            <v>0</v>
          </cell>
        </row>
        <row r="194">
          <cell r="A194" t="str">
            <v>GS-IUYL280-1</v>
          </cell>
          <cell r="B194">
            <v>3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3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AQD-IUYL330-RD</v>
          </cell>
          <cell r="B195">
            <v>4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4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SCF-C01-007</v>
          </cell>
          <cell r="B196">
            <v>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4</v>
          </cell>
          <cell r="L196">
            <v>0</v>
          </cell>
          <cell r="M196">
            <v>0</v>
          </cell>
        </row>
        <row r="197">
          <cell r="A197" t="str">
            <v>AQD-IUYL330-PK</v>
          </cell>
          <cell r="B197">
            <v>3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3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KZ-LY021-BK-36</v>
          </cell>
          <cell r="B198">
            <v>3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3</v>
          </cell>
          <cell r="L198">
            <v>0</v>
          </cell>
          <cell r="M198">
            <v>0</v>
          </cell>
        </row>
        <row r="199">
          <cell r="A199" t="str">
            <v>ST173-GR-S</v>
          </cell>
          <cell r="B199">
            <v>11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11</v>
          </cell>
          <cell r="M199">
            <v>0</v>
          </cell>
        </row>
        <row r="200">
          <cell r="A200" t="str">
            <v>KZ-LY021-NY-36</v>
          </cell>
          <cell r="B200">
            <v>1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1</v>
          </cell>
          <cell r="L200">
            <v>0</v>
          </cell>
          <cell r="M200">
            <v>0</v>
          </cell>
        </row>
        <row r="201">
          <cell r="A201" t="str">
            <v>XQ-IUYL320-RD-S</v>
          </cell>
          <cell r="B201">
            <v>4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4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MJ-IUYL230-CF-L</v>
          </cell>
          <cell r="B202">
            <v>14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4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SCF-D01-006</v>
          </cell>
          <cell r="B203">
            <v>5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4</v>
          </cell>
          <cell r="L203">
            <v>1</v>
          </cell>
          <cell r="M203">
            <v>0</v>
          </cell>
        </row>
        <row r="204">
          <cell r="A204" t="str">
            <v>SCF-B01-008</v>
          </cell>
          <cell r="B204">
            <v>6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4</v>
          </cell>
          <cell r="L204">
            <v>2</v>
          </cell>
          <cell r="M204">
            <v>0</v>
          </cell>
        </row>
        <row r="205">
          <cell r="A205" t="str">
            <v>ST172-BL-L</v>
          </cell>
          <cell r="B205">
            <v>5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1</v>
          </cell>
          <cell r="L205">
            <v>4</v>
          </cell>
          <cell r="M205">
            <v>0</v>
          </cell>
        </row>
        <row r="206">
          <cell r="A206" t="str">
            <v>SCF-C01-016</v>
          </cell>
          <cell r="B206">
            <v>7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4</v>
          </cell>
          <cell r="L206">
            <v>3</v>
          </cell>
          <cell r="M206">
            <v>0</v>
          </cell>
        </row>
        <row r="207">
          <cell r="A207" t="str">
            <v>AQD-IUYL340-DP</v>
          </cell>
          <cell r="B207">
            <v>3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3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LYQ-WF7125-PO-S</v>
          </cell>
          <cell r="B208">
            <v>5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5</v>
          </cell>
          <cell r="L208">
            <v>0</v>
          </cell>
          <cell r="M208">
            <v>0</v>
          </cell>
        </row>
        <row r="209">
          <cell r="A209" t="str">
            <v>ST172-BL-XL</v>
          </cell>
          <cell r="B209">
            <v>5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5</v>
          </cell>
          <cell r="M209">
            <v>0</v>
          </cell>
        </row>
        <row r="210">
          <cell r="A210" t="str">
            <v>TZ-IUYL240LHY-STAR-L</v>
          </cell>
          <cell r="B210">
            <v>51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ST172-WT1-S</v>
          </cell>
          <cell r="B211">
            <v>10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8</v>
          </cell>
          <cell r="M211">
            <v>0</v>
          </cell>
        </row>
        <row r="212">
          <cell r="A212" t="str">
            <v>XQ-IUYL320-DB-XL</v>
          </cell>
          <cell r="B212">
            <v>4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4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LYQ-WF7125-NO-XS</v>
          </cell>
          <cell r="B213">
            <v>3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3</v>
          </cell>
          <cell r="L213">
            <v>0</v>
          </cell>
          <cell r="M213">
            <v>0</v>
          </cell>
        </row>
        <row r="214">
          <cell r="A214" t="str">
            <v>HZB-QJTZ-IUYL300310</v>
          </cell>
          <cell r="B214">
            <v>5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8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ST172-WR-XXL</v>
          </cell>
          <cell r="B215">
            <v>12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1</v>
          </cell>
          <cell r="L215">
            <v>11</v>
          </cell>
          <cell r="M215">
            <v>0</v>
          </cell>
        </row>
        <row r="216">
          <cell r="A216" t="str">
            <v>DZ-IUYL200-GR</v>
          </cell>
          <cell r="B216">
            <v>4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4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LYQ-WF7125-NO-S</v>
          </cell>
          <cell r="B217">
            <v>5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5</v>
          </cell>
          <cell r="L217">
            <v>0</v>
          </cell>
          <cell r="M217">
            <v>0</v>
          </cell>
        </row>
        <row r="218">
          <cell r="A218" t="str">
            <v>XQ-IUYL320-RD-XL</v>
          </cell>
          <cell r="B218">
            <v>4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4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KZ-LY021-KK-34</v>
          </cell>
          <cell r="B219">
            <v>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2</v>
          </cell>
          <cell r="L219">
            <v>0</v>
          </cell>
          <cell r="M219">
            <v>0</v>
          </cell>
        </row>
        <row r="220">
          <cell r="A220" t="str">
            <v>ST172-WR-M</v>
          </cell>
          <cell r="B220">
            <v>9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1</v>
          </cell>
          <cell r="L220">
            <v>8</v>
          </cell>
          <cell r="M220">
            <v>0</v>
          </cell>
        </row>
        <row r="221">
          <cell r="A221" t="str">
            <v>SCF-C01-011</v>
          </cell>
          <cell r="B221">
            <v>7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4</v>
          </cell>
          <cell r="L221">
            <v>3</v>
          </cell>
          <cell r="M221">
            <v>0</v>
          </cell>
        </row>
        <row r="222">
          <cell r="A222" t="str">
            <v>XQ-IUYL260-GN-S</v>
          </cell>
          <cell r="B222">
            <v>10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SCF-B01-013</v>
          </cell>
          <cell r="B223">
            <v>6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3</v>
          </cell>
          <cell r="L223">
            <v>3</v>
          </cell>
          <cell r="M223">
            <v>0</v>
          </cell>
        </row>
        <row r="224">
          <cell r="A224" t="str">
            <v>ST173-BL-S</v>
          </cell>
          <cell r="B224">
            <v>8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8</v>
          </cell>
          <cell r="M224">
            <v>0</v>
          </cell>
        </row>
        <row r="225">
          <cell r="A225" t="str">
            <v>TZ-IUYL240-LOVE-S</v>
          </cell>
          <cell r="B225">
            <v>44</v>
          </cell>
          <cell r="C225">
            <v>2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AQD-IUYL330-DB</v>
          </cell>
          <cell r="B226">
            <v>2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2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XQ-IUYL320-BK-L</v>
          </cell>
          <cell r="B227">
            <v>4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4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ST173-WR-L</v>
          </cell>
          <cell r="B228">
            <v>5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2</v>
          </cell>
          <cell r="L228">
            <v>3</v>
          </cell>
          <cell r="M228">
            <v>0</v>
          </cell>
        </row>
        <row r="229">
          <cell r="A229" t="str">
            <v>ST172-WT1-XL</v>
          </cell>
          <cell r="B229">
            <v>17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17</v>
          </cell>
          <cell r="M229">
            <v>0</v>
          </cell>
        </row>
        <row r="230">
          <cell r="A230" t="str">
            <v>KZ-LY021-NY-34</v>
          </cell>
          <cell r="B230">
            <v>3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2</v>
          </cell>
          <cell r="L230">
            <v>0</v>
          </cell>
          <cell r="M230">
            <v>0</v>
          </cell>
        </row>
        <row r="231">
          <cell r="A231" t="str">
            <v>XQ-IUYL260-RD-S</v>
          </cell>
          <cell r="B231">
            <v>1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XQ-IUYL320-GN-M</v>
          </cell>
          <cell r="B232">
            <v>4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4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XQ-IUYL320-BK-XL</v>
          </cell>
          <cell r="B233">
            <v>4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4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KZ-LY021-GY-32</v>
          </cell>
          <cell r="B234">
            <v>2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2</v>
          </cell>
          <cell r="L234">
            <v>0</v>
          </cell>
          <cell r="M234">
            <v>0</v>
          </cell>
        </row>
        <row r="235">
          <cell r="A235" t="str">
            <v>ST006-BL2-S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1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GS-IUYL280-3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3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TZ-IUYL240LHY-STAR-M</v>
          </cell>
          <cell r="B237">
            <v>71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ST172-PK-S</v>
          </cell>
          <cell r="B238">
            <v>18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18</v>
          </cell>
          <cell r="M238">
            <v>0</v>
          </cell>
        </row>
        <row r="239">
          <cell r="A239" t="str">
            <v>XQ-IUYL260-RD-M</v>
          </cell>
          <cell r="B239">
            <v>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XQ-IUYL320-GN-S</v>
          </cell>
          <cell r="B240">
            <v>4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ST172-WR-XL</v>
          </cell>
          <cell r="B241">
            <v>8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1</v>
          </cell>
          <cell r="L241">
            <v>7</v>
          </cell>
          <cell r="M241">
            <v>0</v>
          </cell>
        </row>
        <row r="242">
          <cell r="A242" t="str">
            <v>GW-LULHY-4.5</v>
          </cell>
          <cell r="B242">
            <v>13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LYQ-WF7125-WO-2L</v>
          </cell>
          <cell r="B243">
            <v>4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3</v>
          </cell>
          <cell r="L243">
            <v>0</v>
          </cell>
          <cell r="M243">
            <v>0</v>
          </cell>
        </row>
        <row r="244">
          <cell r="A244" t="str">
            <v>SCF-B01-018</v>
          </cell>
          <cell r="B244">
            <v>7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4</v>
          </cell>
          <cell r="L244">
            <v>3</v>
          </cell>
          <cell r="M244">
            <v>0</v>
          </cell>
        </row>
        <row r="245">
          <cell r="A245" t="str">
            <v>SCF-A01-011</v>
          </cell>
          <cell r="B245">
            <v>2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2</v>
          </cell>
          <cell r="L245">
            <v>0</v>
          </cell>
          <cell r="M245">
            <v>0</v>
          </cell>
        </row>
        <row r="246">
          <cell r="A246" t="str">
            <v>TZ-IUYL240-STRAWBERRY-L</v>
          </cell>
          <cell r="B246">
            <v>21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XQ-IUYL320-PK-M</v>
          </cell>
          <cell r="B247">
            <v>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2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ST-K559-KQ-44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1</v>
          </cell>
          <cell r="M248">
            <v>0</v>
          </cell>
        </row>
        <row r="249">
          <cell r="A249" t="str">
            <v>ST006-BL-S</v>
          </cell>
          <cell r="B249">
            <v>11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11</v>
          </cell>
          <cell r="M249">
            <v>0</v>
          </cell>
        </row>
        <row r="250">
          <cell r="A250" t="str">
            <v>LYQ-WF7125-KO-XL</v>
          </cell>
          <cell r="B250">
            <v>4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3</v>
          </cell>
          <cell r="L250">
            <v>0</v>
          </cell>
          <cell r="M250">
            <v>0</v>
          </cell>
        </row>
        <row r="251">
          <cell r="A251" t="str">
            <v>SCF-B01-015</v>
          </cell>
          <cell r="B251">
            <v>6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4</v>
          </cell>
          <cell r="L251">
            <v>2</v>
          </cell>
          <cell r="M251">
            <v>0</v>
          </cell>
        </row>
        <row r="252">
          <cell r="A252" t="str">
            <v>ST173-PK-S</v>
          </cell>
          <cell r="B252">
            <v>5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4</v>
          </cell>
          <cell r="M252">
            <v>0</v>
          </cell>
        </row>
        <row r="253">
          <cell r="A253" t="str">
            <v>SCF-B01-004</v>
          </cell>
          <cell r="B253">
            <v>10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8</v>
          </cell>
          <cell r="L253">
            <v>2</v>
          </cell>
          <cell r="M253">
            <v>0</v>
          </cell>
        </row>
        <row r="254">
          <cell r="A254" t="str">
            <v>KZ-LY021-KK-38</v>
          </cell>
          <cell r="B254">
            <v>2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2</v>
          </cell>
          <cell r="L254">
            <v>0</v>
          </cell>
          <cell r="M254">
            <v>0</v>
          </cell>
        </row>
        <row r="255">
          <cell r="A255" t="str">
            <v>ST171-LB916-XXL</v>
          </cell>
          <cell r="B255">
            <v>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1</v>
          </cell>
          <cell r="K255">
            <v>2</v>
          </cell>
          <cell r="L255">
            <v>0</v>
          </cell>
          <cell r="M255">
            <v>0</v>
          </cell>
        </row>
        <row r="256">
          <cell r="A256" t="str">
            <v>ST173-PK-L</v>
          </cell>
          <cell r="B256">
            <v>3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1</v>
          </cell>
          <cell r="K256">
            <v>0</v>
          </cell>
          <cell r="L256">
            <v>2</v>
          </cell>
          <cell r="M256">
            <v>0</v>
          </cell>
        </row>
        <row r="257">
          <cell r="A257" t="str">
            <v>ST172-PK-M</v>
          </cell>
          <cell r="B257">
            <v>18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18</v>
          </cell>
          <cell r="M257">
            <v>0</v>
          </cell>
        </row>
        <row r="258">
          <cell r="A258" t="str">
            <v>XQ-IUYL320-PP-XL</v>
          </cell>
          <cell r="B258">
            <v>3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3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SCF-B01-006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1</v>
          </cell>
          <cell r="L259">
            <v>0</v>
          </cell>
          <cell r="M259">
            <v>0</v>
          </cell>
        </row>
        <row r="260">
          <cell r="A260" t="str">
            <v>XQ-IUYL320-YL-L</v>
          </cell>
          <cell r="B260">
            <v>4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4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BBBD-BUSB1605B-RD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SCF-D01-004</v>
          </cell>
          <cell r="B262">
            <v>2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2</v>
          </cell>
          <cell r="L262">
            <v>0</v>
          </cell>
          <cell r="M262">
            <v>0</v>
          </cell>
        </row>
        <row r="263">
          <cell r="A263" t="str">
            <v>ST172-PP-XL</v>
          </cell>
          <cell r="B263">
            <v>2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2</v>
          </cell>
          <cell r="L263">
            <v>0</v>
          </cell>
          <cell r="M263">
            <v>0</v>
          </cell>
        </row>
        <row r="264">
          <cell r="A264" t="str">
            <v>KZ-LY021-GY-36</v>
          </cell>
          <cell r="B264">
            <v>3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3</v>
          </cell>
          <cell r="L264">
            <v>0</v>
          </cell>
          <cell r="M264">
            <v>0</v>
          </cell>
        </row>
        <row r="265">
          <cell r="A265" t="str">
            <v>XQ-IUYL320-CF-L</v>
          </cell>
          <cell r="B265">
            <v>4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4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XQ-IUYL320-BK-M</v>
          </cell>
          <cell r="B266">
            <v>4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4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KZ-LY021-GY-34</v>
          </cell>
          <cell r="B267">
            <v>3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</row>
        <row r="268">
          <cell r="A268" t="str">
            <v>XQ-IUYL320-GN-L</v>
          </cell>
          <cell r="B268">
            <v>4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4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ST172-GR-M</v>
          </cell>
          <cell r="B269">
            <v>14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14</v>
          </cell>
          <cell r="M269">
            <v>0</v>
          </cell>
        </row>
        <row r="270">
          <cell r="A270" t="str">
            <v>ST172-NY-XL</v>
          </cell>
          <cell r="B270">
            <v>16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</v>
          </cell>
          <cell r="K270">
            <v>0</v>
          </cell>
          <cell r="L270">
            <v>15</v>
          </cell>
          <cell r="M270">
            <v>0</v>
          </cell>
        </row>
        <row r="271">
          <cell r="A271" t="str">
            <v>XQ-IUYL320-RD-L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4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XQ-IUYL260-YL-S</v>
          </cell>
          <cell r="B272">
            <v>3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ST171-Sa911-S</v>
          </cell>
          <cell r="B273">
            <v>13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13</v>
          </cell>
          <cell r="M273">
            <v>0</v>
          </cell>
        </row>
        <row r="274">
          <cell r="A274" t="str">
            <v>KZ-LY021-NY-38</v>
          </cell>
          <cell r="B274">
            <v>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3</v>
          </cell>
          <cell r="L274">
            <v>0</v>
          </cell>
          <cell r="M274">
            <v>0</v>
          </cell>
        </row>
        <row r="275">
          <cell r="A275" t="str">
            <v>XQ-IUYL320-GN-XL</v>
          </cell>
          <cell r="B275">
            <v>4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4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LYQ-WF7125-KO-L</v>
          </cell>
          <cell r="B276">
            <v>4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3</v>
          </cell>
          <cell r="L276">
            <v>0</v>
          </cell>
          <cell r="M276">
            <v>0</v>
          </cell>
        </row>
        <row r="277">
          <cell r="A277" t="str">
            <v>LGQ-IUYL100-WT</v>
          </cell>
          <cell r="B277">
            <v>12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SCF-D01-017</v>
          </cell>
          <cell r="B278">
            <v>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1</v>
          </cell>
          <cell r="L278">
            <v>0</v>
          </cell>
          <cell r="M278">
            <v>0</v>
          </cell>
        </row>
        <row r="279">
          <cell r="A279" t="str">
            <v>ST172-GR-XL</v>
          </cell>
          <cell r="B279">
            <v>13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13</v>
          </cell>
          <cell r="M279">
            <v>0</v>
          </cell>
        </row>
        <row r="280">
          <cell r="A280" t="str">
            <v>KZ-LY021-GY-38</v>
          </cell>
          <cell r="B280">
            <v>2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2</v>
          </cell>
          <cell r="L280">
            <v>0</v>
          </cell>
          <cell r="M280">
            <v>0</v>
          </cell>
        </row>
        <row r="281">
          <cell r="A281" t="str">
            <v>MMDC-IUHM100-PK</v>
          </cell>
          <cell r="B281">
            <v>5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AQD-IUYL340-YL</v>
          </cell>
          <cell r="B282">
            <v>4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4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XQ-IUYL260-BL1-S</v>
          </cell>
          <cell r="B283">
            <v>9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4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ST172-GR-XXL</v>
          </cell>
          <cell r="B284">
            <v>14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14</v>
          </cell>
          <cell r="M284">
            <v>0</v>
          </cell>
        </row>
        <row r="285">
          <cell r="A285" t="str">
            <v>XQ-IUYL260-GN-M</v>
          </cell>
          <cell r="B285">
            <v>10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KZ-LY021-BK-34</v>
          </cell>
          <cell r="B286">
            <v>3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3</v>
          </cell>
          <cell r="L286">
            <v>0</v>
          </cell>
          <cell r="M286">
            <v>0</v>
          </cell>
        </row>
        <row r="287">
          <cell r="A287" t="str">
            <v>XQ-IUYL320-PP-L</v>
          </cell>
          <cell r="B287">
            <v>4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4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ST006-CF-S</v>
          </cell>
          <cell r="B288">
            <v>4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3</v>
          </cell>
          <cell r="M288">
            <v>0</v>
          </cell>
        </row>
        <row r="289">
          <cell r="A289" t="str">
            <v>SCF-C01-012</v>
          </cell>
          <cell r="B289">
            <v>5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1</v>
          </cell>
          <cell r="K289">
            <v>4</v>
          </cell>
          <cell r="L289">
            <v>0</v>
          </cell>
          <cell r="M289">
            <v>0</v>
          </cell>
        </row>
        <row r="290">
          <cell r="A290" t="str">
            <v>ST172-WT1-L</v>
          </cell>
          <cell r="B290">
            <v>15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15</v>
          </cell>
          <cell r="M290">
            <v>0</v>
          </cell>
        </row>
        <row r="291">
          <cell r="A291" t="str">
            <v>AQD-IUYL330-OR</v>
          </cell>
          <cell r="B291">
            <v>4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4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LYQ-WF7125-NO-2L</v>
          </cell>
          <cell r="B292">
            <v>5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5</v>
          </cell>
          <cell r="L292">
            <v>0</v>
          </cell>
          <cell r="M292">
            <v>0</v>
          </cell>
        </row>
        <row r="293">
          <cell r="A293" t="str">
            <v>SCF-D01-007</v>
          </cell>
          <cell r="B293">
            <v>3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2</v>
          </cell>
          <cell r="L293">
            <v>0</v>
          </cell>
          <cell r="M293">
            <v>0</v>
          </cell>
        </row>
        <row r="294">
          <cell r="A294" t="str">
            <v>ST005-BL2-S</v>
          </cell>
          <cell r="B294">
            <v>9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7</v>
          </cell>
          <cell r="K294">
            <v>0</v>
          </cell>
          <cell r="L294">
            <v>2</v>
          </cell>
          <cell r="M294">
            <v>0</v>
          </cell>
        </row>
        <row r="295">
          <cell r="A295" t="str">
            <v>AQD-IUYL330-PP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BBBD-BUSB1605A-BL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BBBD-BUSB1605A-CF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BBBD-BUSB1605A-PK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BBBD-BUSB1605A-RD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BBBD-BUSB1605B-BL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BBBD-BUSB1605B-PK</v>
          </cell>
          <cell r="B301">
            <v>0</v>
          </cell>
          <cell r="C301">
            <v>1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BD-PUHM101-B0-L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BD-PUHM101-B0-M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BD-PUHM101-B0-S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BD-PUHM101-B0-XL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BD-PUHM101-G0-L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BD-PUHM101-G0-M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BD-PUHM101-G0-S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BD-PUHM101-G0-XL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BD-PUHM101-K0-L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BD-PUHM101-K0-M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BD-PUHM101-K0-S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BD-PUHM101-K0-XL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BD-PUHM101-R0-L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BD-PUHM101-R0-M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BD-PUHM101-R0-S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BD-PUHM101-R0-XL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BX-PUHM000-G0-2XL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BX-PUHM000-G0-3XL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BX-PUHM000-G0-4XL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BX-PUHM000-G0-5XL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BX-PUHM000-G0-L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BX-PUHM000-G0-M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BX-PUHM000-G0-S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BX-PUHM000-G0-XL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BX-PUHM000-OR-2XL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BX-PUHM000-OR-3XL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BX-PUHM000-OR-4XL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BX-PUHM000-OR-5XL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BX-PUHM000-OR-L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BX-PUHM000-OR-M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BX-PUHM000-OR-S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BX-PUHM000-OR-XL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BX-PUHM000-P0-2XL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BX-PUHM000-P0-3XL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BX-PUHM000-P0-4XL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BX-PUHM000-P0-5XL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BX-PUHM000-P0-L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BX-PUHM000-P0-M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BX-PUHM000-P0-S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BX-PUHM000-P0-XL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BX-PUHM000-PI-2XL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BX-PUHM000-PI-3XL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BX-PUHM000-PI-4XL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BX-PUHM000-PI-5XL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BX-PUHM000-PI-L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BX-PUHM000-PI-M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BX-PUHM000-PI-S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BX-PUHM000-PI-XL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BX-PUHM000-R0-2XL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BX-PUHM000-R0-3XL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BX-PUHM000-R0-4XL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BX-PUHM000-R0-5XL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BX-PUHM000-R0-L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BX-PUHM000-R0-M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BX-PUHM000-R0-S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BX-PUHM000-R0-XL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BX-PUHM001-B0-L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BX-PUHM001-B0-M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BX-PUHM001-B0-S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BX-PUHM001-B0-XL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BX-PUHM001-B0-XS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BX-PUHM001-OR-L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BX-PUHM001-OR-M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BX-PUHM001-OR-S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BX-PUHM001-OR-XL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BX-PUHM001-OR-XS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BX-PUHM001-R0-L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BX-PUHM001-R0-M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BX-PUHM001-R0-S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BX-PUHM001-R0-XL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BX-PUHM001-R0-XS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CWB-PUHM021-CH-L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CWB-PUHM021-CH-M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CWB-PUHM021-CH-S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CWB-PUHM021-CH-XL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CWB-PUHM021-MC-L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CWB-PUHM021-MC-M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CWB-PUHM021-MC-S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CWB-PUHM021-MC-XL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CWB-PUHM021-TW-L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CWB-PUHM021-TW-M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CWB-PUHM021-TW-S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CWB-PUHM021-TW-XL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DZ-IUYL210-BK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DZ-IUYL210-GR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DZ-IUYL220-BK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DZ-IUYL220-GR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GS-PUHM019-B0-L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GS-PUHM019-B0-M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GS-PUHM019-B0-S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GS-PUHM019-B0-XL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GS-PUHM019-K0-L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GS-PUHM019-K0-M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GS-PUHM019-K0-S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GS-PUHM019-K0-XL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GS-PUHM019-R0-L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GS-PUHM019-R0-M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GS-PUHM019-R0-S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GS-PUHM019-R0-XL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GW-IUHM-BONE-BK-L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GW-IUHM-BONE-BK-M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GW-IUHM-BONE-BK-S</v>
          </cell>
          <cell r="B403">
            <v>0</v>
          </cell>
          <cell r="C403">
            <v>0</v>
          </cell>
          <cell r="D403">
            <v>30</v>
          </cell>
          <cell r="E403">
            <v>0</v>
          </cell>
          <cell r="F403">
            <v>30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GW-IUHM-BONE-BK-XL</v>
          </cell>
          <cell r="B404">
            <v>0</v>
          </cell>
          <cell r="C404">
            <v>0</v>
          </cell>
          <cell r="D404">
            <v>20</v>
          </cell>
          <cell r="E404">
            <v>0</v>
          </cell>
          <cell r="F404">
            <v>20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GW-IUHM-BONE-CF-L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GW-IUHM-BONE-CF-M</v>
          </cell>
          <cell r="B406">
            <v>0</v>
          </cell>
          <cell r="C406">
            <v>0</v>
          </cell>
          <cell r="D406">
            <v>30</v>
          </cell>
          <cell r="E406">
            <v>0</v>
          </cell>
          <cell r="F406">
            <v>30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GW-IUHM-BONE-CF-S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GW-IUHM-BONE-CF-XL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GW-IUHM-BONE-GR-L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GW-IUHM-BONE-GR-M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GW-IUHM-BONE-GR-S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GW-IUHM-BONE-GR-XL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GW-IUHM-BONE-LB-L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GW-IUHM-BONE-LB-M</v>
          </cell>
          <cell r="B414">
            <v>0</v>
          </cell>
          <cell r="C414">
            <v>0</v>
          </cell>
          <cell r="D414">
            <v>10</v>
          </cell>
          <cell r="E414">
            <v>0</v>
          </cell>
          <cell r="F414">
            <v>10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GW-IUHM-BONE-LB-S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GW-IUHM-BONE-LB-XL</v>
          </cell>
          <cell r="B416">
            <v>0</v>
          </cell>
          <cell r="C416">
            <v>0</v>
          </cell>
          <cell r="D416">
            <v>10</v>
          </cell>
          <cell r="E416">
            <v>0</v>
          </cell>
          <cell r="F416">
            <v>10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GW-IUHM-BONE-PK-L</v>
          </cell>
          <cell r="B417">
            <v>0</v>
          </cell>
          <cell r="C417">
            <v>0</v>
          </cell>
          <cell r="D417">
            <v>10</v>
          </cell>
          <cell r="E417">
            <v>0</v>
          </cell>
          <cell r="F417">
            <v>10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GW-IUHM-BONE-PK-M</v>
          </cell>
          <cell r="B418">
            <v>0</v>
          </cell>
          <cell r="C418">
            <v>0</v>
          </cell>
          <cell r="D418">
            <v>10</v>
          </cell>
          <cell r="E418">
            <v>0</v>
          </cell>
          <cell r="F418">
            <v>10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GW-IUHM-BONE-PK-S</v>
          </cell>
          <cell r="B419">
            <v>0</v>
          </cell>
          <cell r="C419">
            <v>0</v>
          </cell>
          <cell r="D419">
            <v>11</v>
          </cell>
          <cell r="E419">
            <v>0</v>
          </cell>
          <cell r="F419">
            <v>11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GW-IUHM-BONE-PK-XL</v>
          </cell>
          <cell r="B420">
            <v>0</v>
          </cell>
          <cell r="C420">
            <v>0</v>
          </cell>
          <cell r="D420">
            <v>10</v>
          </cell>
          <cell r="E420">
            <v>0</v>
          </cell>
          <cell r="F420">
            <v>10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GW-IUHM-PAW-CF-L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GW-IUHM-PAW-CF-M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GW-IUHM-PAW-CF-S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GW-IUHM-PAW-CF-XL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GW-IUHM-PAW-GN-L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GW-IUHM-PAW-GN-M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GW-IUHM-PAW-GN-S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GW-IUHM-PAW-GN-XL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GW-IUHM-PAW-LB-L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GW-IUHM-PAW-LB-M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GW-IUHM-PAW-LB-S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GW-IUHM-PAW-LB-XL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GW-IUHM-PAW-OR-L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GW-IUHM-PAW-OR-M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GW-IUHM-PAW-OR-S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GW-IUHM-PAW-OR-XL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GW-IUHM-PAW-PK-L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GW-IUHM-PAW-PK-M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GW-IUHM-PAW-PK-S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GW-IUHM-PAW-PK-XL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GW-LULHY-7.6</v>
          </cell>
          <cell r="B441">
            <v>20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KZ-LY021-BK-38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KZ-LY021-BL-36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KZ-LY021-KK-32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LYQ-WF7125-BO-M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LYQ-WF7125-WO-M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LYQ-WF7125-WO-XL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LYQ-WF7125-WO-XS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MY-PUHM001-OR-10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MY-PUHM001-OR-12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MY-PUHM001-OR-14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MY-PUHM001-OR-16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MY-PUHM001-OR-20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MY-PUHM001-OR-24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MY-PUHM001-OR-28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MY-PUHM001-OR-8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MY-PUHM001-R0-10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MY-PUHM001-R0-12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MY-PUHM001-R0-14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MY-PUHM001-R0-16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MY-PUHM001-R0-20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MY-PUHM001-R0-24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MY-PUHM001-R0-28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MY-PUHM001-R0-8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MY-PUHM001-ZL-10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MY-PUHM001-ZL-12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MY-PUHM001-ZL-14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MY-PUHM001-ZL-16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MY-PUHM001-ZL-20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MY-PUHM001-ZL-24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MY-PUHM001-ZL-28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MY-PUHM001-ZL-8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MY-PUHM035-R0-L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MY-PUHM035-R0-M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MY-PUHM035-R0-S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MY-PUHM035-R0-XL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MY-PUHM035-R0-XXL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MY-PUHM036-B0-L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MY-PUHM036-B0-M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MY-PUHM036-B0-S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MY-PUHM036-B0-XL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MY-PUHM036-B0-XXL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MY-PUHM582-B0-L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MY-PUHM582-B0-M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MY-PUHM582-B0-S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MY-PUHM582-B0-XL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MY-PUHM582-B0-XS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MY-PUHM582-R0-L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MY-PUHM582-R0-M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MY-PUHM582-R0-S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MY-PUHM582-R0-XL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MY-PUHM582-R0-XS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Pajamas-sb001-GR-L</v>
          </cell>
          <cell r="B493">
            <v>0</v>
          </cell>
          <cell r="C493">
            <v>2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Pajamas-sb001-GR-M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Pajamas-sb001-GR-XL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Pajamas-sb001-KK-L</v>
          </cell>
          <cell r="B496">
            <v>0</v>
          </cell>
          <cell r="C496">
            <v>1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Pajamas-sb001-KK-M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Pajamas-sb001-KK-XL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Pajamas-sb001-NY-M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Pajamas-sb001-WT-M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Pajamas-sb001-WT-XL</v>
          </cell>
          <cell r="B501">
            <v>0</v>
          </cell>
          <cell r="C501">
            <v>2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RY-PUHM716-B0-L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RY-PUHM716-B0-M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RY-PUHM716-B0-S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RY-PUHM716-B0-XL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RY-PUHM716-B0-XXL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RY-PUHM716-KQ-L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RY-PUHM716-KQ-M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RY-PUHM716-KQ-S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RY-PUHM716-KQ-XL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RY-PUHM716-KQ-XXL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RY-PUHM716-PI-L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RY-PUHM716-PI-M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RY-PUHM716-PI-S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RY-PUHM716-PI-XL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RY-PUHM716-PI-XXL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SCF-A01-007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SCF-A01-008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SCF-C01-006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SCF-D01-011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SCF-D01-012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SCF-D01-015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SCF-SJ006-Puzzle-OS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ST-K157-B0-32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ST-K157-KQ-32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ST-K559-KQ-34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ST-K559-OR-32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ST005-BL1-L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ST005-GN-S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ST005-RD-S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ST005-RD1-M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ST005-RD1-S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ST006-BK-XL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ST006-CF-M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ST006-GN-M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ST006-RD1-S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ST006-RD2-XL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ST084-H15-S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ST084-H15-XXL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ST085-LB916-M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ST085-LB916-S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ST122-N0-2XL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ST122-WR-S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ST155-AG-38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ST166-B28-4-L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ST166-B28-4-S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ST166-B28-4-XXL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ST166-K33-1-S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ST166-K33-1-XL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ST166-K33-1-XXL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ST166-K33-4-M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ST167-BK-XXL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ST167-K0-XXL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ST170-LB-L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ST170-LB-M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ST170-LB-S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ST170-LB-XL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ST170-LB-XXL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ST170-LG-L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ST170-LG-M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ST170-LG-S</v>
          </cell>
          <cell r="B561">
            <v>0</v>
          </cell>
          <cell r="C561">
            <v>1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ST170-LG-XXL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ST170-PK-M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ST170-PK-XL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ST170-PK-XXL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ST170-SA-M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ST170-SA-S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ST170-SA-XXL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ST170-WR-L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ST170-WR-S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ST170-WR-XL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ST170-WT-M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ST170-ZL-L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ST170-ZL-M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ST170-ZL-S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ST170-ZL-XL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ST171-LB916-M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ST171-LB916-S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ST171-Sa911-L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ST171-Sa911-M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ST171-Sa911-XL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ST171-W902-M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ST171-W902-XL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ST172-BK-L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ST172-BK-XL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ST173-BK-L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ST173-BK-XL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ST173-BK-XXL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ST173-BL-L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ST173-BL-XXL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ST173-GR-L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ST173-GR-M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ST173-GR-XL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ST173-GR-XXL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ST173-NY-L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ST173-NY-M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ST173-NY-XL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ST173-NY-XXL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ST173-PK-M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ST173-PP-L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ST173-PP-S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ST173-WR-XL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ST173-WR-XXL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ST173-WT1-L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ST173-WT1-M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ST173-WT1-XXL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ST173-WT2-S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ST173-WT2-XL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TZ-IUYL240-BONE-L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TZ-IUYL240-BONE-M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TZ-IUYL240-BONE-S</v>
          </cell>
          <cell r="B611">
            <v>0</v>
          </cell>
          <cell r="C611">
            <v>1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TZ-IUYL240-CHRISMAS-L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TZ-IUYL240-CHRISMAS-M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TZ-IUYL240-CHRISMAS-S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TZ-IUYL240-DOT-L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TZ-IUYL240-DOT-M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TZ-IUYL240-DOT-S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TZ-IUYL240-ELPH-L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TZ-IUYL240-ELPH-M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TZ-IUYL240-ELPH-S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TZ-IUYL240-PAW-L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TZ-IUYL240-PAW-M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TZ-IUYL240-PAW-S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TZ-IUYL240-STAR-S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TZ-IUYL240-STRAWBERRY-S</v>
          </cell>
          <cell r="B625">
            <v>0</v>
          </cell>
          <cell r="C625">
            <v>1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TZ-SY240-BONE-S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TZ-SY240-ELPH-S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TZ-SY240-STRAWBERRY-S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scarf-0001-Blue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1330</v>
          </cell>
          <cell r="D2">
            <v>459</v>
          </cell>
          <cell r="E2">
            <v>307</v>
          </cell>
          <cell r="F2">
            <v>293</v>
          </cell>
        </row>
        <row r="3">
          <cell r="A3" t="str">
            <v>TZ-IUYL240LHY-PAW-M</v>
          </cell>
          <cell r="B3" t="str">
            <v>TZ-IUYL240</v>
          </cell>
          <cell r="C3">
            <v>67</v>
          </cell>
          <cell r="D3">
            <v>40</v>
          </cell>
          <cell r="E3">
            <v>16</v>
          </cell>
          <cell r="F3">
            <v>23</v>
          </cell>
        </row>
        <row r="4">
          <cell r="A4" t="str">
            <v>XQ-IUYL260-PK-M</v>
          </cell>
          <cell r="B4" t="str">
            <v>XQ-IUYL260</v>
          </cell>
          <cell r="C4">
            <v>1</v>
          </cell>
          <cell r="D4">
            <v>1</v>
          </cell>
          <cell r="E4">
            <v>0</v>
          </cell>
          <cell r="F4">
            <v>2</v>
          </cell>
        </row>
        <row r="5">
          <cell r="A5" t="str">
            <v>ST171-LB916-S</v>
          </cell>
          <cell r="B5" t="str">
            <v>ST171</v>
          </cell>
          <cell r="C5">
            <v>1</v>
          </cell>
          <cell r="D5">
            <v>1</v>
          </cell>
          <cell r="E5">
            <v>1</v>
          </cell>
          <cell r="F5">
            <v>1</v>
          </cell>
        </row>
        <row r="6">
          <cell r="A6" t="str">
            <v>TZ-IUYL240LHY-DOT-L</v>
          </cell>
          <cell r="B6" t="str">
            <v>TZ-IUYL240</v>
          </cell>
          <cell r="C6">
            <v>49</v>
          </cell>
          <cell r="D6">
            <v>2</v>
          </cell>
          <cell r="E6">
            <v>9</v>
          </cell>
          <cell r="F6">
            <v>5</v>
          </cell>
        </row>
        <row r="7">
          <cell r="A7" t="str">
            <v>TZ-IUYL240LHY-ELPH-M</v>
          </cell>
          <cell r="B7" t="str">
            <v>TZ-IUYL240</v>
          </cell>
          <cell r="C7">
            <v>99</v>
          </cell>
          <cell r="D7">
            <v>26</v>
          </cell>
          <cell r="E7">
            <v>21</v>
          </cell>
          <cell r="F7">
            <v>20</v>
          </cell>
        </row>
        <row r="8">
          <cell r="A8" t="str">
            <v>TZ-IUYL240-BEAR-M</v>
          </cell>
          <cell r="B8" t="str">
            <v>TZ-IUYL240</v>
          </cell>
          <cell r="C8">
            <v>4</v>
          </cell>
          <cell r="D8">
            <v>5</v>
          </cell>
          <cell r="E8">
            <v>3</v>
          </cell>
          <cell r="F8">
            <v>6</v>
          </cell>
        </row>
        <row r="9">
          <cell r="A9" t="str">
            <v>TZ-IUYL240LHY-DOT-M</v>
          </cell>
          <cell r="B9" t="str">
            <v>TZ-IUYL240</v>
          </cell>
          <cell r="C9">
            <v>73</v>
          </cell>
          <cell r="D9">
            <v>12</v>
          </cell>
          <cell r="E9">
            <v>7</v>
          </cell>
          <cell r="F9">
            <v>14</v>
          </cell>
        </row>
        <row r="10">
          <cell r="A10" t="str">
            <v>TZ-IUYL240LHY-DOT-S</v>
          </cell>
          <cell r="B10" t="str">
            <v>TZ-IUYL240</v>
          </cell>
          <cell r="C10">
            <v>63</v>
          </cell>
          <cell r="D10">
            <v>27</v>
          </cell>
          <cell r="E10">
            <v>17</v>
          </cell>
          <cell r="F10">
            <v>19</v>
          </cell>
        </row>
        <row r="11">
          <cell r="A11" t="str">
            <v>TZ-IUYL240-DOT2-M</v>
          </cell>
          <cell r="B11" t="str">
            <v>TZ-IUYL240</v>
          </cell>
          <cell r="C11">
            <v>1</v>
          </cell>
          <cell r="D11">
            <v>12</v>
          </cell>
          <cell r="E11">
            <v>5</v>
          </cell>
          <cell r="F11">
            <v>11</v>
          </cell>
        </row>
        <row r="12">
          <cell r="A12" t="str">
            <v>TZ-IUYL240-STRAWBERRY-S</v>
          </cell>
          <cell r="B12" t="str">
            <v>TZ-IUYL240</v>
          </cell>
          <cell r="C12">
            <v>0</v>
          </cell>
          <cell r="D12">
            <v>0</v>
          </cell>
          <cell r="E12">
            <v>0</v>
          </cell>
          <cell r="F12">
            <v>6</v>
          </cell>
        </row>
        <row r="13">
          <cell r="A13" t="str">
            <v>BBBD-1605A-BL</v>
          </cell>
          <cell r="B13" t="str">
            <v>BBBD-1605A</v>
          </cell>
          <cell r="C13">
            <v>0</v>
          </cell>
          <cell r="D13">
            <v>1</v>
          </cell>
          <cell r="E13">
            <v>2</v>
          </cell>
          <cell r="F13">
            <v>2</v>
          </cell>
        </row>
        <row r="14">
          <cell r="A14" t="str">
            <v>ST170-LG-S</v>
          </cell>
          <cell r="B14" t="str">
            <v>ST170</v>
          </cell>
          <cell r="C14">
            <v>1</v>
          </cell>
          <cell r="D14">
            <v>0</v>
          </cell>
          <cell r="E14">
            <v>0</v>
          </cell>
          <cell r="F14">
            <v>1</v>
          </cell>
        </row>
        <row r="15">
          <cell r="A15" t="str">
            <v>TZ-IUYL240LHY-PAW-L</v>
          </cell>
          <cell r="B15" t="str">
            <v>TZ-IUYL240</v>
          </cell>
          <cell r="C15">
            <v>65</v>
          </cell>
          <cell r="D15">
            <v>23</v>
          </cell>
          <cell r="E15">
            <v>12</v>
          </cell>
          <cell r="F15">
            <v>13</v>
          </cell>
        </row>
        <row r="16">
          <cell r="A16" t="str">
            <v>LYQ-WF7125-BO-M</v>
          </cell>
          <cell r="B16" t="str">
            <v>WF7125</v>
          </cell>
          <cell r="C16">
            <v>0</v>
          </cell>
          <cell r="D16">
            <v>1</v>
          </cell>
          <cell r="E16">
            <v>1</v>
          </cell>
          <cell r="F16">
            <v>1</v>
          </cell>
        </row>
        <row r="17">
          <cell r="A17" t="str">
            <v>BBBD-BUSB1605B-RD</v>
          </cell>
          <cell r="B17" t="str">
            <v>BBBD-BUSB1605</v>
          </cell>
          <cell r="C17">
            <v>0</v>
          </cell>
          <cell r="D17">
            <v>0</v>
          </cell>
          <cell r="E17">
            <v>1</v>
          </cell>
          <cell r="F17">
            <v>4</v>
          </cell>
        </row>
        <row r="18">
          <cell r="A18" t="str">
            <v>TZ-IUYL240-STAR-S</v>
          </cell>
          <cell r="B18" t="str">
            <v>TZ-IUYL240</v>
          </cell>
          <cell r="C18">
            <v>0</v>
          </cell>
          <cell r="D18">
            <v>1</v>
          </cell>
          <cell r="E18">
            <v>3</v>
          </cell>
          <cell r="F18">
            <v>5</v>
          </cell>
        </row>
        <row r="19">
          <cell r="A19" t="str">
            <v>ST085-LB916-S</v>
          </cell>
          <cell r="B19" t="str">
            <v>ST085</v>
          </cell>
          <cell r="C19">
            <v>1</v>
          </cell>
          <cell r="D19">
            <v>1</v>
          </cell>
          <cell r="E19">
            <v>2</v>
          </cell>
          <cell r="F19">
            <v>2</v>
          </cell>
        </row>
        <row r="20">
          <cell r="A20" t="str">
            <v>TZ-IUYL240-DOT2-S</v>
          </cell>
          <cell r="B20" t="str">
            <v>TZ-IUYL240</v>
          </cell>
          <cell r="C20">
            <v>31</v>
          </cell>
          <cell r="D20">
            <v>7</v>
          </cell>
          <cell r="E20">
            <v>11</v>
          </cell>
          <cell r="F20">
            <v>9</v>
          </cell>
        </row>
        <row r="21">
          <cell r="A21" t="str">
            <v>TZ-IUYL240LHY-BONE-M</v>
          </cell>
          <cell r="B21" t="str">
            <v>TZ-IUYL240</v>
          </cell>
          <cell r="C21">
            <v>124</v>
          </cell>
          <cell r="D21">
            <v>41</v>
          </cell>
          <cell r="E21">
            <v>15</v>
          </cell>
          <cell r="F21">
            <v>16</v>
          </cell>
        </row>
        <row r="22">
          <cell r="A22" t="str">
            <v>TZ-IUYL240-DOT2-L</v>
          </cell>
          <cell r="B22" t="str">
            <v>TZ-IUYL240</v>
          </cell>
          <cell r="C22">
            <v>3</v>
          </cell>
          <cell r="D22">
            <v>4</v>
          </cell>
          <cell r="E22">
            <v>1</v>
          </cell>
          <cell r="F22">
            <v>5</v>
          </cell>
        </row>
        <row r="23">
          <cell r="A23" t="str">
            <v>AQD-IUYL330-PP</v>
          </cell>
          <cell r="B23" t="str">
            <v>AQD-IUYL330</v>
          </cell>
          <cell r="C23">
            <v>0</v>
          </cell>
          <cell r="D23">
            <v>0</v>
          </cell>
          <cell r="E23">
            <v>1</v>
          </cell>
          <cell r="F23">
            <v>1</v>
          </cell>
        </row>
        <row r="24">
          <cell r="A24" t="str">
            <v>TZ-IUYL240-BEAR-S</v>
          </cell>
          <cell r="B24" t="str">
            <v>TZ-IUYL240</v>
          </cell>
          <cell r="C24">
            <v>3</v>
          </cell>
          <cell r="D24">
            <v>5</v>
          </cell>
          <cell r="E24">
            <v>7</v>
          </cell>
          <cell r="F24">
            <v>8</v>
          </cell>
        </row>
        <row r="25">
          <cell r="A25" t="str">
            <v>LYQ-WF7125-BO-XL</v>
          </cell>
          <cell r="B25" t="str">
            <v>WF7125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</row>
        <row r="26">
          <cell r="A26" t="str">
            <v>TZ-IUYL240LHY-BONE-L</v>
          </cell>
          <cell r="B26" t="str">
            <v>TZ-IUYL240</v>
          </cell>
          <cell r="C26">
            <v>42</v>
          </cell>
          <cell r="D26">
            <v>10</v>
          </cell>
          <cell r="E26">
            <v>12</v>
          </cell>
          <cell r="F26">
            <v>11</v>
          </cell>
        </row>
        <row r="27">
          <cell r="A27" t="str">
            <v>Pajamas-sb001-GR-L</v>
          </cell>
          <cell r="B27" t="str">
            <v>Pajamas-sb001</v>
          </cell>
          <cell r="C27">
            <v>0</v>
          </cell>
          <cell r="D27">
            <v>0</v>
          </cell>
          <cell r="E27">
            <v>1</v>
          </cell>
          <cell r="F27">
            <v>2</v>
          </cell>
        </row>
        <row r="28">
          <cell r="A28" t="str">
            <v>SCF-C01-017</v>
          </cell>
          <cell r="B28" t="str">
            <v>SCF-C01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</row>
        <row r="29">
          <cell r="A29" t="str">
            <v>TZ-IUYL240LHY-STAR-S</v>
          </cell>
          <cell r="B29" t="str">
            <v>TZ-IUYL240</v>
          </cell>
          <cell r="C29">
            <v>26</v>
          </cell>
          <cell r="D29">
            <v>2</v>
          </cell>
          <cell r="E29">
            <v>0</v>
          </cell>
          <cell r="F29">
            <v>1</v>
          </cell>
        </row>
        <row r="30">
          <cell r="A30" t="str">
            <v>TZ-IUYL240-LOVE-S</v>
          </cell>
          <cell r="B30" t="str">
            <v>TZ-IUYL240</v>
          </cell>
          <cell r="C30">
            <v>4</v>
          </cell>
          <cell r="D30">
            <v>4</v>
          </cell>
          <cell r="E30">
            <v>3</v>
          </cell>
          <cell r="F30">
            <v>1</v>
          </cell>
        </row>
        <row r="31">
          <cell r="A31" t="str">
            <v>XQ-IUYL260-PK-S</v>
          </cell>
          <cell r="B31" t="str">
            <v>XQ-IUYL260</v>
          </cell>
          <cell r="C31">
            <v>1</v>
          </cell>
          <cell r="D31">
            <v>2</v>
          </cell>
          <cell r="E31">
            <v>0</v>
          </cell>
          <cell r="F31">
            <v>2</v>
          </cell>
        </row>
        <row r="32">
          <cell r="A32" t="str">
            <v>SCF-D01-006</v>
          </cell>
          <cell r="B32" t="str">
            <v>SCF-D01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</row>
        <row r="33">
          <cell r="A33" t="str">
            <v>TZ-IUYL240-LOVE-M</v>
          </cell>
          <cell r="B33" t="str">
            <v>TZ-IUYL240</v>
          </cell>
          <cell r="C33">
            <v>5</v>
          </cell>
          <cell r="D33">
            <v>2</v>
          </cell>
          <cell r="E33">
            <v>3</v>
          </cell>
          <cell r="F33">
            <v>3</v>
          </cell>
        </row>
        <row r="34">
          <cell r="A34" t="str">
            <v>BBBD-BUSB1605B-PK</v>
          </cell>
          <cell r="B34" t="str">
            <v>BBBD-BUSB1605</v>
          </cell>
          <cell r="C34">
            <v>0</v>
          </cell>
          <cell r="D34">
            <v>1</v>
          </cell>
          <cell r="E34">
            <v>1</v>
          </cell>
          <cell r="F34">
            <v>1</v>
          </cell>
        </row>
        <row r="35">
          <cell r="A35" t="str">
            <v>TZ-IUYL240-STAR-M</v>
          </cell>
          <cell r="B35" t="str">
            <v>TZ-IUYL240</v>
          </cell>
          <cell r="C35">
            <v>4</v>
          </cell>
          <cell r="D35">
            <v>0</v>
          </cell>
          <cell r="E35">
            <v>1</v>
          </cell>
          <cell r="F35">
            <v>2</v>
          </cell>
        </row>
        <row r="36">
          <cell r="A36" t="str">
            <v>TZ-IUYL240LHY-STAR-L</v>
          </cell>
          <cell r="B36" t="str">
            <v>TZ-IUYL240</v>
          </cell>
          <cell r="C36">
            <v>33</v>
          </cell>
          <cell r="D36">
            <v>5</v>
          </cell>
          <cell r="E36">
            <v>3</v>
          </cell>
          <cell r="F36">
            <v>6</v>
          </cell>
        </row>
        <row r="37">
          <cell r="A37" t="str">
            <v>TZ-IUYL240LHY-ELPH-L</v>
          </cell>
          <cell r="B37" t="str">
            <v>TZ-IUYL240</v>
          </cell>
          <cell r="C37">
            <v>80</v>
          </cell>
          <cell r="D37">
            <v>21</v>
          </cell>
          <cell r="E37">
            <v>9</v>
          </cell>
          <cell r="F37">
            <v>3</v>
          </cell>
        </row>
        <row r="38">
          <cell r="A38" t="str">
            <v>XQ-IUYL260-YL-M</v>
          </cell>
          <cell r="B38" t="str">
            <v>XQ-IUYL260</v>
          </cell>
          <cell r="C38">
            <v>0</v>
          </cell>
          <cell r="D38">
            <v>1</v>
          </cell>
          <cell r="E38">
            <v>0</v>
          </cell>
          <cell r="F38">
            <v>1</v>
          </cell>
        </row>
        <row r="39">
          <cell r="A39" t="str">
            <v>XQ-IUYL260-RD-S</v>
          </cell>
          <cell r="B39" t="str">
            <v>XQ-IUYL260</v>
          </cell>
          <cell r="C39">
            <v>1</v>
          </cell>
          <cell r="D39">
            <v>1</v>
          </cell>
          <cell r="E39">
            <v>0</v>
          </cell>
          <cell r="F39">
            <v>1</v>
          </cell>
        </row>
        <row r="40">
          <cell r="A40" t="str">
            <v>TZ-IUYL240-DOT-S</v>
          </cell>
          <cell r="B40" t="str">
            <v>TZ-IUYL240</v>
          </cell>
          <cell r="C40">
            <v>0</v>
          </cell>
          <cell r="D40">
            <v>0</v>
          </cell>
          <cell r="E40">
            <v>0</v>
          </cell>
          <cell r="F40">
            <v>1</v>
          </cell>
        </row>
        <row r="41">
          <cell r="A41" t="str">
            <v>BBBD-BUSB1605B-BL</v>
          </cell>
          <cell r="B41" t="str">
            <v>BBBD-BUSB1605</v>
          </cell>
          <cell r="C41">
            <v>0</v>
          </cell>
          <cell r="D41">
            <v>0</v>
          </cell>
          <cell r="E41">
            <v>3</v>
          </cell>
          <cell r="F41">
            <v>1</v>
          </cell>
        </row>
        <row r="42">
          <cell r="A42" t="str">
            <v>ST173-BL-XXL</v>
          </cell>
          <cell r="B42" t="str">
            <v>ST173</v>
          </cell>
          <cell r="C42">
            <v>0</v>
          </cell>
          <cell r="D42">
            <v>1</v>
          </cell>
          <cell r="E42">
            <v>1</v>
          </cell>
          <cell r="F42">
            <v>1</v>
          </cell>
        </row>
        <row r="43">
          <cell r="A43" t="str">
            <v>LYQ-WF7125-WO-XS</v>
          </cell>
          <cell r="B43" t="str">
            <v>WF7125</v>
          </cell>
          <cell r="C43">
            <v>1</v>
          </cell>
          <cell r="D43">
            <v>0</v>
          </cell>
          <cell r="E43">
            <v>1</v>
          </cell>
          <cell r="F43">
            <v>1</v>
          </cell>
        </row>
        <row r="44">
          <cell r="A44" t="str">
            <v>TZ-IUYL240LHY-ELPH-S</v>
          </cell>
          <cell r="B44" t="str">
            <v>TZ-IUYL240</v>
          </cell>
          <cell r="C44">
            <v>124</v>
          </cell>
          <cell r="D44">
            <v>41</v>
          </cell>
          <cell r="E44">
            <v>30</v>
          </cell>
          <cell r="F44">
            <v>15</v>
          </cell>
        </row>
        <row r="45">
          <cell r="A45" t="str">
            <v>ST173-BK-S</v>
          </cell>
          <cell r="B45" t="str">
            <v>ST173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</row>
        <row r="46">
          <cell r="A46" t="str">
            <v>ST173-WT2-S</v>
          </cell>
          <cell r="B46" t="str">
            <v>ST173</v>
          </cell>
          <cell r="C46">
            <v>0</v>
          </cell>
          <cell r="D46">
            <v>2</v>
          </cell>
          <cell r="E46">
            <v>0</v>
          </cell>
          <cell r="F46">
            <v>2</v>
          </cell>
        </row>
        <row r="47">
          <cell r="A47" t="str">
            <v>ST173-BL-S</v>
          </cell>
          <cell r="B47" t="str">
            <v>ST173</v>
          </cell>
          <cell r="C47">
            <v>0</v>
          </cell>
          <cell r="D47">
            <v>1</v>
          </cell>
          <cell r="E47">
            <v>0</v>
          </cell>
          <cell r="F47">
            <v>1</v>
          </cell>
        </row>
        <row r="48">
          <cell r="A48" t="str">
            <v>TZ-IUYL240LHY-PAW-S</v>
          </cell>
          <cell r="B48" t="str">
            <v>TZ-IUYL240</v>
          </cell>
          <cell r="C48">
            <v>139</v>
          </cell>
          <cell r="D48">
            <v>36</v>
          </cell>
          <cell r="E48">
            <v>27</v>
          </cell>
          <cell r="F48">
            <v>9</v>
          </cell>
        </row>
        <row r="49">
          <cell r="A49" t="str">
            <v>LGQ-IUYL100-WT</v>
          </cell>
          <cell r="B49" t="str">
            <v>LGQ-IUYL100</v>
          </cell>
          <cell r="C49">
            <v>0</v>
          </cell>
          <cell r="D49">
            <v>1</v>
          </cell>
          <cell r="E49">
            <v>0</v>
          </cell>
          <cell r="F49">
            <v>1</v>
          </cell>
        </row>
        <row r="50">
          <cell r="A50" t="str">
            <v>ST173-NY-XL</v>
          </cell>
          <cell r="B50" t="str">
            <v>ST173</v>
          </cell>
          <cell r="C50">
            <v>0</v>
          </cell>
          <cell r="D50">
            <v>0</v>
          </cell>
          <cell r="E50">
            <v>1</v>
          </cell>
          <cell r="F50">
            <v>2</v>
          </cell>
        </row>
        <row r="51">
          <cell r="A51" t="str">
            <v>TZ-IUYL240LHY-BONE-S</v>
          </cell>
          <cell r="B51" t="str">
            <v>TZ-IUYL240</v>
          </cell>
          <cell r="C51">
            <v>88</v>
          </cell>
          <cell r="D51">
            <v>17</v>
          </cell>
          <cell r="E51">
            <v>15</v>
          </cell>
          <cell r="F51">
            <v>10</v>
          </cell>
        </row>
        <row r="52">
          <cell r="A52" t="str">
            <v>AQD-IUYL330-YL</v>
          </cell>
          <cell r="B52" t="str">
            <v>AQD-IUYL330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</row>
        <row r="53">
          <cell r="A53" t="str">
            <v>LYQ-WF7125-PO-2L</v>
          </cell>
          <cell r="B53" t="str">
            <v>WF7125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</row>
        <row r="54">
          <cell r="A54" t="str">
            <v>XQ-IUYL260-PP-M</v>
          </cell>
          <cell r="B54" t="str">
            <v>XQ-IUYL260</v>
          </cell>
          <cell r="C54">
            <v>0</v>
          </cell>
          <cell r="D54">
            <v>1</v>
          </cell>
          <cell r="E54">
            <v>1</v>
          </cell>
          <cell r="F54">
            <v>2</v>
          </cell>
        </row>
        <row r="55">
          <cell r="A55" t="str">
            <v>TZ-IUYL240LHY-STRAWBERRY-M</v>
          </cell>
          <cell r="B55" t="str">
            <v>TZ-IUYL240</v>
          </cell>
          <cell r="C55">
            <v>30</v>
          </cell>
          <cell r="D55">
            <v>3</v>
          </cell>
          <cell r="E55">
            <v>2</v>
          </cell>
          <cell r="F55">
            <v>2</v>
          </cell>
        </row>
        <row r="56">
          <cell r="A56" t="str">
            <v>ST173-NY-M</v>
          </cell>
          <cell r="B56" t="str">
            <v>ST173</v>
          </cell>
          <cell r="C56">
            <v>0</v>
          </cell>
          <cell r="D56">
            <v>0</v>
          </cell>
          <cell r="E56">
            <v>2</v>
          </cell>
          <cell r="F56">
            <v>1</v>
          </cell>
        </row>
        <row r="57">
          <cell r="A57" t="str">
            <v>BBBD-BUSB1605A-CF</v>
          </cell>
          <cell r="B57" t="str">
            <v>BBBD-BUSB1605</v>
          </cell>
          <cell r="C57">
            <v>0</v>
          </cell>
          <cell r="D57">
            <v>0</v>
          </cell>
          <cell r="E57">
            <v>0</v>
          </cell>
          <cell r="F57">
            <v>2</v>
          </cell>
        </row>
        <row r="58">
          <cell r="A58" t="str">
            <v>TZ-IUYL240LHY-STRAWBERRY-S</v>
          </cell>
          <cell r="B58" t="str">
            <v>TZ-IUYL240</v>
          </cell>
          <cell r="C58">
            <v>26</v>
          </cell>
          <cell r="D58">
            <v>9</v>
          </cell>
          <cell r="E58">
            <v>6</v>
          </cell>
          <cell r="F58">
            <v>1</v>
          </cell>
        </row>
        <row r="59">
          <cell r="A59" t="str">
            <v>TZ-IUYL240-RABBIT-L</v>
          </cell>
          <cell r="B59" t="str">
            <v>TZ-IUYL240</v>
          </cell>
          <cell r="C59">
            <v>3</v>
          </cell>
          <cell r="D59">
            <v>2</v>
          </cell>
          <cell r="E59">
            <v>1</v>
          </cell>
          <cell r="F59">
            <v>1</v>
          </cell>
        </row>
        <row r="60">
          <cell r="A60" t="str">
            <v>TZ-IUYL240-BEAR-L</v>
          </cell>
          <cell r="B60" t="str">
            <v>TZ-IUYL240</v>
          </cell>
          <cell r="C60">
            <v>5</v>
          </cell>
          <cell r="D60">
            <v>5</v>
          </cell>
          <cell r="E60">
            <v>4</v>
          </cell>
          <cell r="F60">
            <v>3</v>
          </cell>
        </row>
        <row r="61">
          <cell r="A61" t="str">
            <v>ST173-PK-XL</v>
          </cell>
          <cell r="B61" t="str">
            <v>ST173</v>
          </cell>
          <cell r="C61">
            <v>2</v>
          </cell>
          <cell r="D61">
            <v>0</v>
          </cell>
          <cell r="E61">
            <v>1</v>
          </cell>
          <cell r="F61">
            <v>1</v>
          </cell>
        </row>
        <row r="62">
          <cell r="A62" t="str">
            <v>ST173-PK-L</v>
          </cell>
          <cell r="B62" t="str">
            <v>ST173</v>
          </cell>
          <cell r="C62">
            <v>3</v>
          </cell>
          <cell r="D62">
            <v>2</v>
          </cell>
          <cell r="E62">
            <v>0</v>
          </cell>
          <cell r="F62">
            <v>2</v>
          </cell>
        </row>
        <row r="63">
          <cell r="A63" t="str">
            <v>LYQ-WF7125-PO-M</v>
          </cell>
          <cell r="B63" t="str">
            <v>WF7125</v>
          </cell>
          <cell r="C63">
            <v>1</v>
          </cell>
          <cell r="D63">
            <v>0</v>
          </cell>
          <cell r="E63">
            <v>0</v>
          </cell>
          <cell r="F63">
            <v>1</v>
          </cell>
        </row>
        <row r="64">
          <cell r="A64" t="str">
            <v>TZ-IUYL240LHY-STRAWBERRY-L</v>
          </cell>
          <cell r="B64" t="str">
            <v>TZ-IUYL240</v>
          </cell>
          <cell r="C64">
            <v>12</v>
          </cell>
          <cell r="D64">
            <v>1</v>
          </cell>
          <cell r="E64">
            <v>2</v>
          </cell>
          <cell r="F64">
            <v>2</v>
          </cell>
        </row>
        <row r="65">
          <cell r="A65" t="str">
            <v>ST172-WT2-L</v>
          </cell>
          <cell r="B65" t="str">
            <v>ST172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</row>
        <row r="66">
          <cell r="A66" t="str">
            <v>TZ-IUYL240-STRAWBERRY-L</v>
          </cell>
          <cell r="B66" t="str">
            <v>TZ-IUYL240</v>
          </cell>
          <cell r="C66">
            <v>0</v>
          </cell>
          <cell r="D66">
            <v>0</v>
          </cell>
          <cell r="E66">
            <v>1</v>
          </cell>
          <cell r="F66">
            <v>1</v>
          </cell>
        </row>
        <row r="67">
          <cell r="A67" t="str">
            <v>MJ-IUYL230-PK-S</v>
          </cell>
          <cell r="B67" t="str">
            <v>MJ-IUYL230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</row>
        <row r="68">
          <cell r="A68" t="str">
            <v>XQ-IUYL260-GN-S</v>
          </cell>
          <cell r="B68" t="str">
            <v>XQ-IUYL260</v>
          </cell>
          <cell r="C68">
            <v>0</v>
          </cell>
          <cell r="D68">
            <v>0</v>
          </cell>
          <cell r="E68">
            <v>1</v>
          </cell>
          <cell r="F68">
            <v>1</v>
          </cell>
        </row>
        <row r="69">
          <cell r="A69" t="str">
            <v>TZ-IUYL240-PAW-L</v>
          </cell>
          <cell r="B69" t="str">
            <v>TZ-IUYL240</v>
          </cell>
          <cell r="C69">
            <v>14</v>
          </cell>
          <cell r="D69">
            <v>1</v>
          </cell>
          <cell r="E69">
            <v>1</v>
          </cell>
          <cell r="F69">
            <v>1</v>
          </cell>
        </row>
        <row r="70">
          <cell r="A70" t="str">
            <v>LGQ-IUYL100-PK</v>
          </cell>
          <cell r="B70" t="str">
            <v>LGQ-IUYL100</v>
          </cell>
          <cell r="C70">
            <v>0</v>
          </cell>
          <cell r="D70">
            <v>3</v>
          </cell>
          <cell r="E70">
            <v>1</v>
          </cell>
          <cell r="F70">
            <v>1</v>
          </cell>
        </row>
        <row r="71">
          <cell r="A71" t="str">
            <v>TZ-IUYL240-RABBIT-M</v>
          </cell>
          <cell r="B71" t="str">
            <v>TZ-IUYL240</v>
          </cell>
          <cell r="C71">
            <v>5</v>
          </cell>
          <cell r="D71">
            <v>5</v>
          </cell>
          <cell r="E71">
            <v>3</v>
          </cell>
          <cell r="F71">
            <v>1</v>
          </cell>
        </row>
        <row r="72">
          <cell r="A72" t="str">
            <v>XQ-IUYL260-BK-M</v>
          </cell>
          <cell r="B72" t="str">
            <v>XQ-IUYL260</v>
          </cell>
          <cell r="C72">
            <v>2</v>
          </cell>
          <cell r="D72">
            <v>0</v>
          </cell>
          <cell r="E72">
            <v>0</v>
          </cell>
          <cell r="F72">
            <v>1</v>
          </cell>
        </row>
        <row r="73">
          <cell r="A73" t="str">
            <v>GW-LULHY-10</v>
          </cell>
          <cell r="B73" t="str">
            <v>GW-LULHY</v>
          </cell>
          <cell r="C73">
            <v>0</v>
          </cell>
          <cell r="D73">
            <v>0</v>
          </cell>
          <cell r="E73">
            <v>0</v>
          </cell>
          <cell r="F73">
            <v>2</v>
          </cell>
        </row>
        <row r="74">
          <cell r="A74" t="str">
            <v>SCF-B01-012</v>
          </cell>
          <cell r="B74" t="str">
            <v>SCF-B01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</row>
        <row r="75">
          <cell r="A75" t="str">
            <v>ST006-CF-S</v>
          </cell>
          <cell r="B75" t="str">
            <v>ST006</v>
          </cell>
          <cell r="C75">
            <v>1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ST173-WR-M</v>
          </cell>
          <cell r="B76" t="str">
            <v>ST173</v>
          </cell>
          <cell r="C76">
            <v>0</v>
          </cell>
          <cell r="D76">
            <v>0</v>
          </cell>
          <cell r="E76">
            <v>0</v>
          </cell>
          <cell r="F76">
            <v>1</v>
          </cell>
        </row>
        <row r="77">
          <cell r="A77" t="str">
            <v>TZ-IUYL240-RABBIT-S</v>
          </cell>
          <cell r="B77" t="str">
            <v>TZ-IUYL240</v>
          </cell>
          <cell r="C77">
            <v>7</v>
          </cell>
          <cell r="D77">
            <v>11</v>
          </cell>
          <cell r="E77">
            <v>4</v>
          </cell>
          <cell r="F77">
            <v>1</v>
          </cell>
        </row>
        <row r="78">
          <cell r="A78" t="str">
            <v>XQ-IUYL260-GN-M</v>
          </cell>
          <cell r="B78" t="str">
            <v>XQ-IUYL260</v>
          </cell>
          <cell r="C78">
            <v>0</v>
          </cell>
          <cell r="D78">
            <v>0</v>
          </cell>
          <cell r="E78">
            <v>0</v>
          </cell>
          <cell r="F78">
            <v>1</v>
          </cell>
        </row>
        <row r="79">
          <cell r="A79" t="str">
            <v>TZ-IUYL240-STRAWBERRY-M</v>
          </cell>
          <cell r="B79" t="str">
            <v>TZ-IUYL240</v>
          </cell>
          <cell r="C79">
            <v>5</v>
          </cell>
          <cell r="D79">
            <v>0</v>
          </cell>
          <cell r="E79">
            <v>0</v>
          </cell>
          <cell r="F79">
            <v>1</v>
          </cell>
        </row>
        <row r="80">
          <cell r="A80" t="str">
            <v>LGQ-IUYL100-RD</v>
          </cell>
          <cell r="B80" t="str">
            <v>LGQ-IUYL100</v>
          </cell>
          <cell r="C80">
            <v>2</v>
          </cell>
          <cell r="D80">
            <v>6</v>
          </cell>
          <cell r="E80">
            <v>1</v>
          </cell>
          <cell r="F80">
            <v>1</v>
          </cell>
        </row>
        <row r="81">
          <cell r="A81" t="str">
            <v>XQ-IUYL260-PP-S</v>
          </cell>
          <cell r="B81" t="str">
            <v>XQ-IUYL260</v>
          </cell>
          <cell r="C81">
            <v>1</v>
          </cell>
          <cell r="D81">
            <v>0</v>
          </cell>
          <cell r="E81">
            <v>1</v>
          </cell>
          <cell r="F81">
            <v>0</v>
          </cell>
        </row>
        <row r="82">
          <cell r="A82" t="str">
            <v>ST173-PP-S</v>
          </cell>
          <cell r="B82" t="str">
            <v>ST173</v>
          </cell>
          <cell r="C82">
            <v>0</v>
          </cell>
          <cell r="D82">
            <v>0</v>
          </cell>
          <cell r="E82">
            <v>1</v>
          </cell>
          <cell r="F82">
            <v>0</v>
          </cell>
        </row>
        <row r="83">
          <cell r="A83" t="str">
            <v>ST173-PK-M</v>
          </cell>
          <cell r="B83" t="str">
            <v>ST173</v>
          </cell>
          <cell r="C83">
            <v>0</v>
          </cell>
          <cell r="D83">
            <v>1</v>
          </cell>
          <cell r="E83">
            <v>1</v>
          </cell>
          <cell r="F83">
            <v>0</v>
          </cell>
        </row>
        <row r="84">
          <cell r="A84" t="str">
            <v>LYQ-WF7125-KO-XL</v>
          </cell>
          <cell r="B84" t="str">
            <v>WF7125</v>
          </cell>
          <cell r="C84">
            <v>0</v>
          </cell>
          <cell r="D84">
            <v>0</v>
          </cell>
          <cell r="E84">
            <v>1</v>
          </cell>
          <cell r="F84">
            <v>0</v>
          </cell>
        </row>
        <row r="85">
          <cell r="A85" t="str">
            <v>BBBD-1605A-RD</v>
          </cell>
          <cell r="B85" t="str">
            <v>BBBD-1605A</v>
          </cell>
          <cell r="C85">
            <v>0</v>
          </cell>
          <cell r="D85">
            <v>0</v>
          </cell>
          <cell r="E85">
            <v>1</v>
          </cell>
          <cell r="F85">
            <v>0</v>
          </cell>
        </row>
        <row r="86">
          <cell r="A86" t="str">
            <v>TZ-IUYL240-LOVE-L</v>
          </cell>
          <cell r="B86" t="str">
            <v>TZ-IUYL240</v>
          </cell>
          <cell r="C86">
            <v>5</v>
          </cell>
          <cell r="D86">
            <v>0</v>
          </cell>
          <cell r="E86">
            <v>1</v>
          </cell>
          <cell r="F86">
            <v>0</v>
          </cell>
        </row>
        <row r="87">
          <cell r="A87" t="str">
            <v>ST173-PK-XXL</v>
          </cell>
          <cell r="B87" t="str">
            <v>ST173</v>
          </cell>
          <cell r="C87">
            <v>1</v>
          </cell>
          <cell r="D87">
            <v>1</v>
          </cell>
          <cell r="E87">
            <v>1</v>
          </cell>
          <cell r="F87">
            <v>0</v>
          </cell>
        </row>
        <row r="88">
          <cell r="A88" t="str">
            <v>ST173-BL-M</v>
          </cell>
          <cell r="B88" t="str">
            <v>ST173</v>
          </cell>
          <cell r="C88">
            <v>0</v>
          </cell>
          <cell r="D88">
            <v>1</v>
          </cell>
          <cell r="E88">
            <v>1</v>
          </cell>
          <cell r="F88">
            <v>0</v>
          </cell>
        </row>
        <row r="89">
          <cell r="A89" t="str">
            <v>DZ-IUYL210-BK</v>
          </cell>
          <cell r="B89" t="str">
            <v>DZ-IUYL210</v>
          </cell>
          <cell r="C89">
            <v>0</v>
          </cell>
          <cell r="D89">
            <v>1</v>
          </cell>
          <cell r="E89">
            <v>1</v>
          </cell>
          <cell r="F89">
            <v>0</v>
          </cell>
        </row>
        <row r="90">
          <cell r="A90" t="str">
            <v>GW-LULHY-5.1</v>
          </cell>
          <cell r="B90" t="str">
            <v>GW-LULHY</v>
          </cell>
          <cell r="C90">
            <v>0</v>
          </cell>
          <cell r="D90">
            <v>0</v>
          </cell>
          <cell r="E90">
            <v>1</v>
          </cell>
          <cell r="F90">
            <v>0</v>
          </cell>
        </row>
        <row r="91">
          <cell r="A91" t="str">
            <v>XQ-IUYL260-BL1-M</v>
          </cell>
          <cell r="B91" t="str">
            <v>XQ-IUYL260</v>
          </cell>
          <cell r="C91">
            <v>1</v>
          </cell>
          <cell r="D91">
            <v>2</v>
          </cell>
          <cell r="E91">
            <v>2</v>
          </cell>
          <cell r="F91">
            <v>0</v>
          </cell>
        </row>
        <row r="92">
          <cell r="A92" t="str">
            <v>ST173-BL-L</v>
          </cell>
          <cell r="B92" t="str">
            <v>ST173</v>
          </cell>
          <cell r="C92">
            <v>3</v>
          </cell>
          <cell r="D92">
            <v>3</v>
          </cell>
          <cell r="E92">
            <v>2</v>
          </cell>
          <cell r="F92">
            <v>0</v>
          </cell>
        </row>
        <row r="93">
          <cell r="A93" t="str">
            <v>GW-LULHY-8.8</v>
          </cell>
          <cell r="B93" t="str">
            <v>GW-LULHY</v>
          </cell>
          <cell r="C93">
            <v>1</v>
          </cell>
          <cell r="D93">
            <v>0</v>
          </cell>
          <cell r="E93">
            <v>1</v>
          </cell>
          <cell r="F93">
            <v>0</v>
          </cell>
        </row>
        <row r="94">
          <cell r="A94" t="str">
            <v>LYQ-WF7125-WO-XL</v>
          </cell>
          <cell r="B94" t="str">
            <v>WF7125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</row>
        <row r="95">
          <cell r="A95" t="str">
            <v>LYQ-WF7125-WO-M</v>
          </cell>
          <cell r="B95" t="str">
            <v>WF7125</v>
          </cell>
          <cell r="C95">
            <v>0</v>
          </cell>
          <cell r="D95">
            <v>0</v>
          </cell>
          <cell r="E95">
            <v>1</v>
          </cell>
          <cell r="F95">
            <v>0</v>
          </cell>
        </row>
        <row r="96">
          <cell r="A96" t="str">
            <v>LYQ-WF7125-KO-M</v>
          </cell>
          <cell r="B96" t="str">
            <v>WF7125</v>
          </cell>
          <cell r="C96">
            <v>0</v>
          </cell>
          <cell r="D96">
            <v>0</v>
          </cell>
          <cell r="E96">
            <v>1</v>
          </cell>
          <cell r="F96">
            <v>0</v>
          </cell>
        </row>
        <row r="97">
          <cell r="A97" t="str">
            <v>SCF-C01-007</v>
          </cell>
          <cell r="B97" t="str">
            <v>SCF-C01</v>
          </cell>
          <cell r="C97">
            <v>0</v>
          </cell>
          <cell r="D97">
            <v>0</v>
          </cell>
          <cell r="E97">
            <v>1</v>
          </cell>
          <cell r="F97">
            <v>0</v>
          </cell>
        </row>
        <row r="98">
          <cell r="A98" t="str">
            <v>SCF-C01-010</v>
          </cell>
          <cell r="B98" t="str">
            <v>SCF-C01</v>
          </cell>
          <cell r="C98">
            <v>0</v>
          </cell>
          <cell r="D98">
            <v>0</v>
          </cell>
          <cell r="E98">
            <v>1</v>
          </cell>
          <cell r="F98">
            <v>0</v>
          </cell>
        </row>
        <row r="99">
          <cell r="A99" t="str">
            <v>XQ-IUYL260-BL1-S</v>
          </cell>
          <cell r="B99" t="str">
            <v>XQ-IUYL260</v>
          </cell>
          <cell r="C99">
            <v>0</v>
          </cell>
          <cell r="D99">
            <v>0</v>
          </cell>
          <cell r="E99">
            <v>1</v>
          </cell>
          <cell r="F99">
            <v>0</v>
          </cell>
        </row>
        <row r="100">
          <cell r="A100" t="str">
            <v>TZ-IUYL240-PAW-M</v>
          </cell>
          <cell r="B100" t="str">
            <v>TZ-IUYL240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</row>
        <row r="101">
          <cell r="A101" t="str">
            <v>TZ-IUYL240LHY-STAR-M</v>
          </cell>
          <cell r="B101" t="str">
            <v>TZ-IUYL240</v>
          </cell>
          <cell r="C101">
            <v>38</v>
          </cell>
          <cell r="D101">
            <v>1</v>
          </cell>
          <cell r="E101">
            <v>1</v>
          </cell>
          <cell r="F101">
            <v>0</v>
          </cell>
        </row>
        <row r="102">
          <cell r="A102" t="str">
            <v>KZ-LY021-KK-32</v>
          </cell>
          <cell r="B102" t="str">
            <v>KZ-LY021</v>
          </cell>
          <cell r="C102">
            <v>1</v>
          </cell>
          <cell r="D102">
            <v>0</v>
          </cell>
          <cell r="E102">
            <v>2</v>
          </cell>
          <cell r="F102">
            <v>0</v>
          </cell>
        </row>
        <row r="103">
          <cell r="A103" t="str">
            <v>LGQ-IUYL100-GN</v>
          </cell>
          <cell r="B103" t="str">
            <v>LGQ-IUYL100</v>
          </cell>
          <cell r="C103">
            <v>0</v>
          </cell>
          <cell r="D103">
            <v>0</v>
          </cell>
          <cell r="E103">
            <v>1</v>
          </cell>
          <cell r="F103">
            <v>0</v>
          </cell>
        </row>
        <row r="104">
          <cell r="A104" t="str">
            <v>Pajamas-sb001-KK-XL</v>
          </cell>
          <cell r="B104" t="str">
            <v>Pajamas-sb001</v>
          </cell>
          <cell r="C104">
            <v>0</v>
          </cell>
          <cell r="D104">
            <v>0</v>
          </cell>
          <cell r="E104">
            <v>1</v>
          </cell>
          <cell r="F104">
            <v>0</v>
          </cell>
        </row>
        <row r="105">
          <cell r="A105" t="str">
            <v>AQD-IUYL330-BK</v>
          </cell>
          <cell r="B105" t="str">
            <v>AQD-IUYL330</v>
          </cell>
          <cell r="C105">
            <v>0</v>
          </cell>
          <cell r="D105">
            <v>0</v>
          </cell>
          <cell r="E105">
            <v>1</v>
          </cell>
          <cell r="F105">
            <v>0</v>
          </cell>
        </row>
        <row r="106">
          <cell r="A106" t="str">
            <v>SCF-B01-005</v>
          </cell>
          <cell r="B106" t="str">
            <v>SCF-B01</v>
          </cell>
          <cell r="C106">
            <v>0</v>
          </cell>
          <cell r="D106">
            <v>0</v>
          </cell>
          <cell r="E106">
            <v>1</v>
          </cell>
          <cell r="F106">
            <v>0</v>
          </cell>
        </row>
        <row r="107">
          <cell r="A107" t="str">
            <v>ST172-WR-M</v>
          </cell>
          <cell r="B107" t="str">
            <v>ST172</v>
          </cell>
          <cell r="C107">
            <v>0</v>
          </cell>
          <cell r="D107">
            <v>4</v>
          </cell>
          <cell r="E107">
            <v>1</v>
          </cell>
          <cell r="F107">
            <v>0</v>
          </cell>
        </row>
        <row r="108">
          <cell r="A108" t="str">
            <v>ST172-WR-XL</v>
          </cell>
          <cell r="B108" t="str">
            <v>ST172</v>
          </cell>
          <cell r="C108">
            <v>0</v>
          </cell>
          <cell r="D108">
            <v>0</v>
          </cell>
          <cell r="E108">
            <v>1</v>
          </cell>
          <cell r="F108">
            <v>0</v>
          </cell>
        </row>
        <row r="109">
          <cell r="A109" t="str">
            <v>ST006-GN-S</v>
          </cell>
          <cell r="B109" t="str">
            <v>ST006</v>
          </cell>
          <cell r="C109">
            <v>1</v>
          </cell>
          <cell r="D109">
            <v>1</v>
          </cell>
          <cell r="E109">
            <v>0</v>
          </cell>
          <cell r="F109">
            <v>0</v>
          </cell>
        </row>
        <row r="110">
          <cell r="A110" t="str">
            <v>SCF-B01-011</v>
          </cell>
          <cell r="B110" t="str">
            <v>SCF-B01</v>
          </cell>
          <cell r="C110">
            <v>0</v>
          </cell>
          <cell r="D110">
            <v>1</v>
          </cell>
          <cell r="E110">
            <v>0</v>
          </cell>
          <cell r="F110">
            <v>0</v>
          </cell>
        </row>
        <row r="111">
          <cell r="A111" t="str">
            <v>DZ-IUYL200-GR</v>
          </cell>
          <cell r="B111" t="str">
            <v>DZ-IUYL200</v>
          </cell>
          <cell r="C111">
            <v>0</v>
          </cell>
          <cell r="D111">
            <v>1</v>
          </cell>
          <cell r="E111">
            <v>0</v>
          </cell>
          <cell r="F111">
            <v>0</v>
          </cell>
        </row>
        <row r="112">
          <cell r="A112" t="str">
            <v>ST172-WT1-S</v>
          </cell>
          <cell r="B112" t="str">
            <v>ST172</v>
          </cell>
          <cell r="C112">
            <v>0</v>
          </cell>
          <cell r="D112">
            <v>1</v>
          </cell>
          <cell r="E112">
            <v>0</v>
          </cell>
          <cell r="F112">
            <v>0</v>
          </cell>
        </row>
        <row r="113">
          <cell r="A113" t="str">
            <v>ST172-WT2-XL</v>
          </cell>
          <cell r="B113" t="str">
            <v>ST172</v>
          </cell>
          <cell r="C113">
            <v>0</v>
          </cell>
          <cell r="D113">
            <v>1</v>
          </cell>
          <cell r="E113">
            <v>0</v>
          </cell>
          <cell r="F113">
            <v>0</v>
          </cell>
        </row>
        <row r="114">
          <cell r="A114" t="str">
            <v>ST173-WR-L</v>
          </cell>
          <cell r="B114" t="str">
            <v>ST173</v>
          </cell>
          <cell r="C114">
            <v>0</v>
          </cell>
          <cell r="D114">
            <v>1</v>
          </cell>
          <cell r="E114">
            <v>0</v>
          </cell>
          <cell r="F114">
            <v>0</v>
          </cell>
        </row>
        <row r="115">
          <cell r="A115" t="str">
            <v>XQ-IUYL260-BK-S</v>
          </cell>
          <cell r="B115" t="str">
            <v>XQ-IUYL260</v>
          </cell>
          <cell r="C115">
            <v>0</v>
          </cell>
          <cell r="D115">
            <v>3</v>
          </cell>
          <cell r="E115">
            <v>0</v>
          </cell>
          <cell r="F115">
            <v>0</v>
          </cell>
        </row>
        <row r="116">
          <cell r="A116" t="str">
            <v>LGQ-IUYL100-BL</v>
          </cell>
          <cell r="B116" t="str">
            <v>LGQ-IUYL100</v>
          </cell>
          <cell r="C116">
            <v>0</v>
          </cell>
          <cell r="D116">
            <v>1</v>
          </cell>
          <cell r="E116">
            <v>0</v>
          </cell>
          <cell r="F116">
            <v>0</v>
          </cell>
        </row>
        <row r="117">
          <cell r="A117" t="str">
            <v>KZ-LY021-GY-32</v>
          </cell>
          <cell r="B117" t="str">
            <v>KZ-LY021</v>
          </cell>
          <cell r="C117">
            <v>0</v>
          </cell>
          <cell r="D117">
            <v>1</v>
          </cell>
          <cell r="E117">
            <v>0</v>
          </cell>
          <cell r="F117">
            <v>0</v>
          </cell>
        </row>
        <row r="118">
          <cell r="A118" t="str">
            <v>ST172-WR-L</v>
          </cell>
          <cell r="B118" t="str">
            <v>ST172</v>
          </cell>
          <cell r="C118">
            <v>0</v>
          </cell>
          <cell r="D118">
            <v>1</v>
          </cell>
          <cell r="E118">
            <v>0</v>
          </cell>
          <cell r="F118">
            <v>0</v>
          </cell>
        </row>
        <row r="119">
          <cell r="A119" t="str">
            <v>ST172-WR-S</v>
          </cell>
          <cell r="B119" t="str">
            <v>ST172</v>
          </cell>
          <cell r="C119">
            <v>0</v>
          </cell>
          <cell r="D119">
            <v>3</v>
          </cell>
          <cell r="E119">
            <v>0</v>
          </cell>
          <cell r="F119">
            <v>0</v>
          </cell>
        </row>
        <row r="120">
          <cell r="A120" t="str">
            <v>ST173-PK-S</v>
          </cell>
          <cell r="B120" t="str">
            <v>ST173</v>
          </cell>
          <cell r="C120">
            <v>2</v>
          </cell>
          <cell r="D120">
            <v>3</v>
          </cell>
          <cell r="E120">
            <v>0</v>
          </cell>
          <cell r="F120">
            <v>0</v>
          </cell>
        </row>
        <row r="121">
          <cell r="A121" t="str">
            <v>HZB-QJTZ-IUYL300310</v>
          </cell>
          <cell r="B121" t="str">
            <v>HZB-QJTZ-IUYL300310</v>
          </cell>
          <cell r="C121">
            <v>5</v>
          </cell>
          <cell r="D121">
            <v>3</v>
          </cell>
          <cell r="E121">
            <v>0</v>
          </cell>
          <cell r="F121">
            <v>0</v>
          </cell>
        </row>
        <row r="122">
          <cell r="A122" t="str">
            <v>GW-LULHY-4.5</v>
          </cell>
          <cell r="B122" t="str">
            <v>GW-LULHY</v>
          </cell>
          <cell r="C122">
            <v>3</v>
          </cell>
          <cell r="D122">
            <v>2</v>
          </cell>
          <cell r="E122">
            <v>0</v>
          </cell>
          <cell r="F122">
            <v>0</v>
          </cell>
        </row>
        <row r="123">
          <cell r="A123" t="str">
            <v>SCF-D01-015</v>
          </cell>
          <cell r="B123" t="str">
            <v>SCF-D01</v>
          </cell>
          <cell r="C123">
            <v>1</v>
          </cell>
          <cell r="D123">
            <v>1</v>
          </cell>
          <cell r="E123">
            <v>0</v>
          </cell>
          <cell r="F123">
            <v>0</v>
          </cell>
        </row>
        <row r="124">
          <cell r="A124" t="str">
            <v>SCF-D01-012</v>
          </cell>
          <cell r="B124" t="str">
            <v>SCF-D01</v>
          </cell>
          <cell r="C124">
            <v>0</v>
          </cell>
          <cell r="D124">
            <v>1</v>
          </cell>
          <cell r="E124">
            <v>0</v>
          </cell>
          <cell r="F124">
            <v>0</v>
          </cell>
        </row>
        <row r="125">
          <cell r="A125" t="str">
            <v>ST170-LB-S</v>
          </cell>
          <cell r="B125" t="str">
            <v>ST170</v>
          </cell>
          <cell r="C125">
            <v>0</v>
          </cell>
          <cell r="D125">
            <v>2</v>
          </cell>
          <cell r="E125">
            <v>0</v>
          </cell>
          <cell r="F125">
            <v>0</v>
          </cell>
        </row>
        <row r="126">
          <cell r="A126" t="str">
            <v>ST006-BL2-S</v>
          </cell>
          <cell r="B126" t="str">
            <v>ST006</v>
          </cell>
          <cell r="C126">
            <v>1</v>
          </cell>
          <cell r="D126">
            <v>1</v>
          </cell>
          <cell r="E126">
            <v>0</v>
          </cell>
          <cell r="F126">
            <v>0</v>
          </cell>
        </row>
        <row r="127">
          <cell r="A127" t="str">
            <v>GW-LULHY-7.6</v>
          </cell>
          <cell r="B127" t="str">
            <v>GW-LULHY</v>
          </cell>
          <cell r="C127">
            <v>0</v>
          </cell>
          <cell r="D127">
            <v>4</v>
          </cell>
          <cell r="E127">
            <v>0</v>
          </cell>
          <cell r="F127">
            <v>0</v>
          </cell>
        </row>
        <row r="128">
          <cell r="A128" t="str">
            <v>GS-IUYL280-1</v>
          </cell>
          <cell r="B128" t="str">
            <v>GS-IUYL280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</row>
        <row r="129">
          <cell r="A129" t="str">
            <v>SZ-IUYL002</v>
          </cell>
          <cell r="B129" t="str">
            <v>SZ-IUYL002</v>
          </cell>
          <cell r="C129">
            <v>0</v>
          </cell>
          <cell r="D129">
            <v>1</v>
          </cell>
          <cell r="E129">
            <v>0</v>
          </cell>
          <cell r="F129">
            <v>0</v>
          </cell>
        </row>
        <row r="130">
          <cell r="A130" t="str">
            <v>XQ-IUYL260-YL-S</v>
          </cell>
          <cell r="B130" t="str">
            <v>XQ-IUYL260</v>
          </cell>
          <cell r="C130">
            <v>0</v>
          </cell>
          <cell r="D130">
            <v>2</v>
          </cell>
          <cell r="E130">
            <v>0</v>
          </cell>
          <cell r="F130">
            <v>0</v>
          </cell>
        </row>
        <row r="131">
          <cell r="A131" t="str">
            <v>ST172-NY-L</v>
          </cell>
          <cell r="B131" t="str">
            <v>ST172</v>
          </cell>
          <cell r="C131">
            <v>0</v>
          </cell>
          <cell r="D131">
            <v>2</v>
          </cell>
          <cell r="E131">
            <v>0</v>
          </cell>
          <cell r="F131">
            <v>0</v>
          </cell>
        </row>
        <row r="132">
          <cell r="A132" t="str">
            <v>XQ-IUYL260-RD-M</v>
          </cell>
          <cell r="B132" t="str">
            <v>XQ-IUYL260</v>
          </cell>
          <cell r="C132">
            <v>0</v>
          </cell>
          <cell r="D132">
            <v>1</v>
          </cell>
          <cell r="E132">
            <v>0</v>
          </cell>
          <cell r="F132">
            <v>0</v>
          </cell>
        </row>
        <row r="133">
          <cell r="A133" t="str">
            <v>BD-LUHM010</v>
          </cell>
          <cell r="B133" t="str">
            <v>BD-LUHM010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</row>
        <row r="134">
          <cell r="A134" t="str">
            <v>LYQ-WF7125-PO-XS</v>
          </cell>
          <cell r="B134" t="str">
            <v>WF7125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</row>
        <row r="135">
          <cell r="A135" t="str">
            <v>XQ-IUYL320-PK-L</v>
          </cell>
          <cell r="B135" t="str">
            <v>XQ-IUYL320</v>
          </cell>
          <cell r="C135">
            <v>1</v>
          </cell>
          <cell r="D135">
            <v>0</v>
          </cell>
          <cell r="E135">
            <v>0</v>
          </cell>
          <cell r="F135">
            <v>0</v>
          </cell>
        </row>
        <row r="136">
          <cell r="A136" t="str">
            <v>MJ-IUYL230-PK-L</v>
          </cell>
          <cell r="B136" t="str">
            <v>MJ-IUYL230</v>
          </cell>
          <cell r="C136">
            <v>2</v>
          </cell>
          <cell r="D136">
            <v>0</v>
          </cell>
          <cell r="E136">
            <v>0</v>
          </cell>
          <cell r="F136">
            <v>0</v>
          </cell>
        </row>
        <row r="137">
          <cell r="A137" t="str">
            <v>scarf-0001-Blue</v>
          </cell>
          <cell r="B137" t="str">
            <v>scarf-0001</v>
          </cell>
          <cell r="C137">
            <v>2</v>
          </cell>
          <cell r="D137">
            <v>0</v>
          </cell>
          <cell r="E137">
            <v>0</v>
          </cell>
          <cell r="F137">
            <v>0</v>
          </cell>
        </row>
        <row r="138">
          <cell r="A138" t="str">
            <v>SCF-D01-007</v>
          </cell>
          <cell r="B138" t="str">
            <v>SCF-D01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</row>
        <row r="139">
          <cell r="A139" t="str">
            <v>SCF-D01-009</v>
          </cell>
          <cell r="B139" t="str">
            <v>SCF-D01</v>
          </cell>
          <cell r="C139">
            <v>2</v>
          </cell>
          <cell r="D139">
            <v>0</v>
          </cell>
          <cell r="E139">
            <v>0</v>
          </cell>
          <cell r="F139">
            <v>0</v>
          </cell>
        </row>
        <row r="140">
          <cell r="A140" t="str">
            <v>KZ-LY021-NY-32</v>
          </cell>
          <cell r="B140" t="str">
            <v>KZ-LY021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</row>
        <row r="141">
          <cell r="A141" t="str">
            <v>DZ-IUYL200-BK</v>
          </cell>
          <cell r="B141" t="str">
            <v>DZ-IUYL200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</row>
        <row r="142">
          <cell r="A142" t="str">
            <v>MJ-IUYL230-BL-S</v>
          </cell>
          <cell r="B142" t="str">
            <v>MJ-IUYL230</v>
          </cell>
          <cell r="C142">
            <v>1</v>
          </cell>
          <cell r="D142">
            <v>0</v>
          </cell>
          <cell r="E142">
            <v>0</v>
          </cell>
          <cell r="F142">
            <v>0</v>
          </cell>
        </row>
        <row r="143">
          <cell r="A143" t="str">
            <v>MMDC-IUHM100-BK</v>
          </cell>
          <cell r="B143" t="str">
            <v>MMDC-IUHM100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</row>
        <row r="2399">
          <cell r="A2399" t="str">
            <v>TZ-IUYL240LHY-PAW-L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TZ-IUYL240</v>
          </cell>
          <cell r="B2">
            <v>18.2755906976744</v>
          </cell>
        </row>
        <row r="3">
          <cell r="A3" t="str">
            <v>XQ-IUYL260</v>
          </cell>
          <cell r="B3">
            <v>9.9</v>
          </cell>
        </row>
        <row r="4">
          <cell r="A4" t="str">
            <v>ST171</v>
          </cell>
          <cell r="B4">
            <v>15.98</v>
          </cell>
        </row>
        <row r="5">
          <cell r="A5" t="str">
            <v>BBBD-1605A</v>
          </cell>
          <cell r="B5">
            <v>34.99</v>
          </cell>
        </row>
        <row r="6">
          <cell r="A6" t="str">
            <v>ST170</v>
          </cell>
          <cell r="B6">
            <v>17.48</v>
          </cell>
        </row>
        <row r="7">
          <cell r="A7" t="str">
            <v>WF7125</v>
          </cell>
          <cell r="B7">
            <v>12</v>
          </cell>
        </row>
        <row r="8">
          <cell r="A8" t="str">
            <v>BBBD-BUSB1605</v>
          </cell>
          <cell r="B8">
            <v>29.99</v>
          </cell>
        </row>
        <row r="9">
          <cell r="A9" t="str">
            <v>ST085</v>
          </cell>
          <cell r="B9">
            <v>10</v>
          </cell>
        </row>
        <row r="10">
          <cell r="A10" t="str">
            <v>AQD-IUYL330</v>
          </cell>
          <cell r="B10">
            <v>8.99</v>
          </cell>
        </row>
        <row r="11">
          <cell r="A11" t="str">
            <v>Pajamas-sb001</v>
          </cell>
          <cell r="B11">
            <v>10.98</v>
          </cell>
        </row>
        <row r="12">
          <cell r="A12" t="str">
            <v>SCF-C01</v>
          </cell>
          <cell r="B12">
            <v>16.6666666666667</v>
          </cell>
        </row>
        <row r="13">
          <cell r="A13" t="str">
            <v>SCF-D01</v>
          </cell>
          <cell r="B13">
            <v>10.7142857142857</v>
          </cell>
        </row>
        <row r="14">
          <cell r="A14" t="str">
            <v>ST173</v>
          </cell>
          <cell r="B14">
            <v>11.3722</v>
          </cell>
        </row>
        <row r="15">
          <cell r="A15" t="str">
            <v>LGQ-IUYL100</v>
          </cell>
          <cell r="B15">
            <v>17.9421052631579</v>
          </cell>
        </row>
        <row r="16">
          <cell r="A16" t="str">
            <v>ST172</v>
          </cell>
          <cell r="B16">
            <v>14.58</v>
          </cell>
        </row>
        <row r="17">
          <cell r="A17" t="str">
            <v>MJ-IUYL230</v>
          </cell>
          <cell r="B17">
            <v>10.7425</v>
          </cell>
        </row>
        <row r="18">
          <cell r="A18" t="str">
            <v>GW-LULHY</v>
          </cell>
          <cell r="B18">
            <v>9.78214285714286</v>
          </cell>
        </row>
        <row r="19">
          <cell r="A19" t="str">
            <v>SCF-B01</v>
          </cell>
          <cell r="B19">
            <v>20</v>
          </cell>
        </row>
        <row r="20">
          <cell r="A20" t="str">
            <v>ST006</v>
          </cell>
          <cell r="B20">
            <v>18.3133333333333</v>
          </cell>
        </row>
        <row r="21">
          <cell r="A21" t="str">
            <v>DZ-IUYL210</v>
          </cell>
          <cell r="B21">
            <v>25.99</v>
          </cell>
        </row>
        <row r="22">
          <cell r="A22" t="str">
            <v>KZ-LY021</v>
          </cell>
          <cell r="B22">
            <v>12</v>
          </cell>
        </row>
        <row r="23">
          <cell r="A23" t="str">
            <v>DZ-IUYL200</v>
          </cell>
          <cell r="B23">
            <v>20.99</v>
          </cell>
        </row>
        <row r="24">
          <cell r="A24" t="str">
            <v>HZB-QJTZ-IUYL300310</v>
          </cell>
          <cell r="B24">
            <v>30.99</v>
          </cell>
        </row>
        <row r="25">
          <cell r="A25" t="str">
            <v>GS-IUYL280</v>
          </cell>
          <cell r="B25" t="e">
            <v>#DIV/0!</v>
          </cell>
        </row>
        <row r="26">
          <cell r="A26" t="str">
            <v>SZ-IUYL002</v>
          </cell>
          <cell r="B26">
            <v>10.99</v>
          </cell>
        </row>
        <row r="27">
          <cell r="A27" t="str">
            <v>BD-LUHM010</v>
          </cell>
          <cell r="B27">
            <v>40.99</v>
          </cell>
        </row>
        <row r="28">
          <cell r="A28" t="str">
            <v>XQ-IUYL320</v>
          </cell>
          <cell r="B28">
            <v>9.5</v>
          </cell>
        </row>
        <row r="29">
          <cell r="A29" t="str">
            <v>scarf-0001</v>
          </cell>
          <cell r="B29">
            <v>10</v>
          </cell>
        </row>
        <row r="30">
          <cell r="A30" t="str">
            <v>MMDC-IUHM100</v>
          </cell>
          <cell r="B30">
            <v>10.99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884.14</v>
          </cell>
        </row>
        <row r="3">
          <cell r="G3">
            <v>537.12</v>
          </cell>
        </row>
        <row r="3">
          <cell r="J3">
            <v>537.12</v>
          </cell>
        </row>
        <row r="3">
          <cell r="M3">
            <v>476.68</v>
          </cell>
        </row>
        <row r="4">
          <cell r="A4" t="str">
            <v>SCF-C01-003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364</v>
          </cell>
          <cell r="L4">
            <v>0</v>
          </cell>
          <cell r="M4">
            <v>0</v>
          </cell>
        </row>
        <row r="5">
          <cell r="A5" t="str">
            <v>DZ-IUYL220-BK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81</v>
          </cell>
          <cell r="L5">
            <v>0</v>
          </cell>
          <cell r="M5">
            <v>0</v>
          </cell>
        </row>
        <row r="6">
          <cell r="A6" t="str">
            <v>MJ-IUYL230-BL-S</v>
          </cell>
          <cell r="B6">
            <v>1309</v>
          </cell>
          <cell r="C6">
            <v>21</v>
          </cell>
          <cell r="D6">
            <v>27.48</v>
          </cell>
          <cell r="E6">
            <v>20</v>
          </cell>
          <cell r="F6">
            <v>0</v>
          </cell>
          <cell r="G6">
            <v>0</v>
          </cell>
          <cell r="H6">
            <v>20</v>
          </cell>
          <cell r="I6">
            <v>0</v>
          </cell>
          <cell r="J6">
            <v>0</v>
          </cell>
          <cell r="K6">
            <v>23</v>
          </cell>
          <cell r="L6">
            <v>0</v>
          </cell>
          <cell r="M6">
            <v>0</v>
          </cell>
        </row>
        <row r="7">
          <cell r="A7" t="str">
            <v>MJ-IUYL230-CF-S</v>
          </cell>
          <cell r="B7">
            <v>508</v>
          </cell>
          <cell r="C7">
            <v>8</v>
          </cell>
          <cell r="D7">
            <v>7.15</v>
          </cell>
          <cell r="E7">
            <v>114</v>
          </cell>
          <cell r="F7">
            <v>0</v>
          </cell>
          <cell r="G7">
            <v>0</v>
          </cell>
          <cell r="H7">
            <v>114</v>
          </cell>
          <cell r="I7">
            <v>0</v>
          </cell>
          <cell r="J7">
            <v>0</v>
          </cell>
          <cell r="K7">
            <v>38</v>
          </cell>
          <cell r="L7">
            <v>0</v>
          </cell>
          <cell r="M7">
            <v>0</v>
          </cell>
        </row>
        <row r="8">
          <cell r="A8" t="str">
            <v>MJ-IUYL230-PK-S</v>
          </cell>
          <cell r="B8">
            <v>1893</v>
          </cell>
          <cell r="C8">
            <v>7</v>
          </cell>
          <cell r="D8">
            <v>5.7</v>
          </cell>
          <cell r="E8">
            <v>132</v>
          </cell>
          <cell r="F8">
            <v>0</v>
          </cell>
          <cell r="G8">
            <v>0</v>
          </cell>
          <cell r="H8">
            <v>132</v>
          </cell>
          <cell r="I8">
            <v>0</v>
          </cell>
          <cell r="J8">
            <v>0</v>
          </cell>
          <cell r="K8">
            <v>443</v>
          </cell>
          <cell r="L8">
            <v>0</v>
          </cell>
          <cell r="M8">
            <v>0</v>
          </cell>
        </row>
        <row r="9">
          <cell r="A9" t="str">
            <v>SCF-B01-004</v>
          </cell>
          <cell r="B9">
            <v>239</v>
          </cell>
          <cell r="C9">
            <v>2</v>
          </cell>
          <cell r="D9">
            <v>0.62</v>
          </cell>
          <cell r="E9">
            <v>257</v>
          </cell>
          <cell r="F9">
            <v>0</v>
          </cell>
          <cell r="G9">
            <v>0</v>
          </cell>
          <cell r="H9">
            <v>257</v>
          </cell>
          <cell r="I9">
            <v>0</v>
          </cell>
          <cell r="J9">
            <v>0</v>
          </cell>
          <cell r="K9">
            <v>836</v>
          </cell>
          <cell r="L9">
            <v>2</v>
          </cell>
          <cell r="M9">
            <v>0.27</v>
          </cell>
        </row>
        <row r="10">
          <cell r="A10" t="str">
            <v>ST172-WR-XXL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20</v>
          </cell>
          <cell r="L10">
            <v>1</v>
          </cell>
          <cell r="M10">
            <v>0.28</v>
          </cell>
        </row>
        <row r="11">
          <cell r="A11" t="str">
            <v>ST172-WT2-L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1469</v>
          </cell>
          <cell r="L11">
            <v>20</v>
          </cell>
          <cell r="M11">
            <v>14.07</v>
          </cell>
        </row>
        <row r="12">
          <cell r="A12" t="str">
            <v>ST172-BL-L</v>
          </cell>
          <cell r="B12">
            <v>608</v>
          </cell>
          <cell r="C12">
            <v>1</v>
          </cell>
          <cell r="D12">
            <v>0.35</v>
          </cell>
          <cell r="E12">
            <v>246</v>
          </cell>
          <cell r="F12">
            <v>0</v>
          </cell>
          <cell r="G12">
            <v>0</v>
          </cell>
          <cell r="H12">
            <v>246</v>
          </cell>
          <cell r="I12">
            <v>0</v>
          </cell>
          <cell r="J12">
            <v>0</v>
          </cell>
          <cell r="K12">
            <v>227</v>
          </cell>
          <cell r="L12">
            <v>0</v>
          </cell>
          <cell r="M12">
            <v>0</v>
          </cell>
        </row>
        <row r="13">
          <cell r="A13" t="str">
            <v>ST172-WR-L</v>
          </cell>
          <cell r="B13">
            <v>1578</v>
          </cell>
          <cell r="C13">
            <v>2</v>
          </cell>
          <cell r="D13">
            <v>0.52</v>
          </cell>
          <cell r="E13">
            <v>778</v>
          </cell>
          <cell r="F13">
            <v>2</v>
          </cell>
          <cell r="G13">
            <v>0.61</v>
          </cell>
          <cell r="H13">
            <v>778</v>
          </cell>
          <cell r="I13">
            <v>2</v>
          </cell>
          <cell r="J13">
            <v>0.61</v>
          </cell>
          <cell r="K13">
            <v>971</v>
          </cell>
          <cell r="L13">
            <v>1</v>
          </cell>
          <cell r="M13">
            <v>0.35</v>
          </cell>
        </row>
        <row r="14">
          <cell r="A14" t="str">
            <v>ST172-WT2-M</v>
          </cell>
          <cell r="B14">
            <v>170</v>
          </cell>
          <cell r="C14">
            <v>0</v>
          </cell>
          <cell r="D14">
            <v>0</v>
          </cell>
          <cell r="E14">
            <v>55</v>
          </cell>
          <cell r="F14">
            <v>0</v>
          </cell>
          <cell r="G14">
            <v>0</v>
          </cell>
          <cell r="H14">
            <v>55</v>
          </cell>
          <cell r="I14">
            <v>0</v>
          </cell>
          <cell r="J14">
            <v>0</v>
          </cell>
          <cell r="K14">
            <v>197</v>
          </cell>
          <cell r="L14">
            <v>0</v>
          </cell>
          <cell r="M14">
            <v>0</v>
          </cell>
        </row>
        <row r="15">
          <cell r="A15" t="str">
            <v>AQD-IUYL330-BK</v>
          </cell>
          <cell r="B15">
            <v>156</v>
          </cell>
          <cell r="C15">
            <v>1</v>
          </cell>
          <cell r="D15">
            <v>0.43</v>
          </cell>
          <cell r="E15">
            <v>118</v>
          </cell>
          <cell r="F15">
            <v>0</v>
          </cell>
          <cell r="G15">
            <v>0</v>
          </cell>
          <cell r="H15">
            <v>118</v>
          </cell>
          <cell r="I15">
            <v>0</v>
          </cell>
          <cell r="J15">
            <v>0</v>
          </cell>
          <cell r="K15">
            <v>128</v>
          </cell>
          <cell r="L15">
            <v>0</v>
          </cell>
          <cell r="M15">
            <v>0</v>
          </cell>
        </row>
        <row r="16">
          <cell r="A16" t="str">
            <v>AQD-IUYL330-PP</v>
          </cell>
          <cell r="B16">
            <v>0</v>
          </cell>
          <cell r="C16">
            <v>0</v>
          </cell>
          <cell r="D16">
            <v>0</v>
          </cell>
          <cell r="E16">
            <v>145</v>
          </cell>
          <cell r="F16">
            <v>2</v>
          </cell>
          <cell r="G16">
            <v>0.48</v>
          </cell>
          <cell r="H16">
            <v>145</v>
          </cell>
          <cell r="I16">
            <v>2</v>
          </cell>
          <cell r="J16">
            <v>0.48</v>
          </cell>
          <cell r="K16">
            <v>270</v>
          </cell>
          <cell r="L16">
            <v>1</v>
          </cell>
          <cell r="M16">
            <v>0.29</v>
          </cell>
        </row>
        <row r="17">
          <cell r="A17" t="str">
            <v>AQD-IUYL330-RD</v>
          </cell>
          <cell r="B17">
            <v>111</v>
          </cell>
          <cell r="C17">
            <v>2</v>
          </cell>
          <cell r="D17">
            <v>0.72</v>
          </cell>
          <cell r="E17">
            <v>90</v>
          </cell>
          <cell r="F17">
            <v>0</v>
          </cell>
          <cell r="G17">
            <v>0</v>
          </cell>
          <cell r="H17">
            <v>90</v>
          </cell>
          <cell r="I17">
            <v>0</v>
          </cell>
          <cell r="J17">
            <v>0</v>
          </cell>
          <cell r="K17">
            <v>85</v>
          </cell>
          <cell r="L17">
            <v>0</v>
          </cell>
          <cell r="M17">
            <v>0</v>
          </cell>
        </row>
        <row r="18">
          <cell r="A18" t="str">
            <v>AQD-IUYL330-YL</v>
          </cell>
          <cell r="B18">
            <v>157</v>
          </cell>
          <cell r="C18">
            <v>0</v>
          </cell>
          <cell r="D18">
            <v>0</v>
          </cell>
          <cell r="E18">
            <v>91</v>
          </cell>
          <cell r="F18">
            <v>0</v>
          </cell>
          <cell r="G18">
            <v>0</v>
          </cell>
          <cell r="H18">
            <v>91</v>
          </cell>
          <cell r="I18">
            <v>0</v>
          </cell>
          <cell r="J18">
            <v>0</v>
          </cell>
          <cell r="K18">
            <v>117</v>
          </cell>
          <cell r="L18">
            <v>0</v>
          </cell>
          <cell r="M18">
            <v>0</v>
          </cell>
        </row>
        <row r="19">
          <cell r="A19" t="str">
            <v>LGQ-IUYL100-PK</v>
          </cell>
          <cell r="B19">
            <v>0</v>
          </cell>
          <cell r="C19">
            <v>0</v>
          </cell>
          <cell r="D19">
            <v>0</v>
          </cell>
          <cell r="E19">
            <v>1511</v>
          </cell>
          <cell r="F19">
            <v>0</v>
          </cell>
          <cell r="G19">
            <v>0</v>
          </cell>
          <cell r="H19">
            <v>1511</v>
          </cell>
          <cell r="I19">
            <v>0</v>
          </cell>
          <cell r="J19">
            <v>0</v>
          </cell>
          <cell r="K19">
            <v>558</v>
          </cell>
          <cell r="L19">
            <v>1</v>
          </cell>
          <cell r="M19">
            <v>0.36</v>
          </cell>
        </row>
        <row r="20">
          <cell r="A20" t="str">
            <v>SCF-C01-007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818</v>
          </cell>
          <cell r="L20">
            <v>1</v>
          </cell>
          <cell r="M20">
            <v>0.21</v>
          </cell>
        </row>
        <row r="21">
          <cell r="A21" t="str">
            <v>LGQ-IUYL100-BL</v>
          </cell>
          <cell r="B21">
            <v>0</v>
          </cell>
          <cell r="C21">
            <v>0</v>
          </cell>
          <cell r="D21">
            <v>0</v>
          </cell>
          <cell r="E21">
            <v>45</v>
          </cell>
          <cell r="F21">
            <v>0</v>
          </cell>
          <cell r="G21">
            <v>0</v>
          </cell>
          <cell r="H21">
            <v>45</v>
          </cell>
          <cell r="I21">
            <v>0</v>
          </cell>
          <cell r="J21">
            <v>0</v>
          </cell>
          <cell r="K21">
            <v>188</v>
          </cell>
          <cell r="L21">
            <v>0</v>
          </cell>
          <cell r="M21">
            <v>0</v>
          </cell>
        </row>
        <row r="22">
          <cell r="A22" t="str">
            <v>LGQ-IUYL100-RD</v>
          </cell>
          <cell r="B22">
            <v>11024</v>
          </cell>
          <cell r="C22">
            <v>39</v>
          </cell>
          <cell r="D22">
            <v>30.2</v>
          </cell>
          <cell r="E22">
            <v>24200</v>
          </cell>
          <cell r="F22">
            <v>22</v>
          </cell>
          <cell r="G22">
            <v>16.07</v>
          </cell>
          <cell r="H22">
            <v>24200</v>
          </cell>
          <cell r="I22">
            <v>22</v>
          </cell>
          <cell r="J22">
            <v>16.07</v>
          </cell>
          <cell r="K22">
            <v>1931</v>
          </cell>
          <cell r="L22">
            <v>10</v>
          </cell>
          <cell r="M22">
            <v>6.94</v>
          </cell>
        </row>
        <row r="23">
          <cell r="A23" t="str">
            <v>SCF-B01-020</v>
          </cell>
          <cell r="B23">
            <v>122</v>
          </cell>
          <cell r="C23">
            <v>1</v>
          </cell>
          <cell r="D23">
            <v>0.49</v>
          </cell>
          <cell r="E23">
            <v>148</v>
          </cell>
          <cell r="F23">
            <v>1</v>
          </cell>
          <cell r="G23">
            <v>0.5</v>
          </cell>
          <cell r="H23">
            <v>148</v>
          </cell>
          <cell r="I23">
            <v>1</v>
          </cell>
          <cell r="J23">
            <v>0.5</v>
          </cell>
          <cell r="K23">
            <v>671</v>
          </cell>
          <cell r="L23">
            <v>0</v>
          </cell>
          <cell r="M23">
            <v>0</v>
          </cell>
        </row>
        <row r="24">
          <cell r="A24" t="str">
            <v>SCF-C01-012</v>
          </cell>
          <cell r="B24">
            <v>851</v>
          </cell>
          <cell r="C24">
            <v>6</v>
          </cell>
          <cell r="D24">
            <v>1.61</v>
          </cell>
          <cell r="E24">
            <v>1085</v>
          </cell>
          <cell r="F24">
            <v>3</v>
          </cell>
          <cell r="G24">
            <v>0.82</v>
          </cell>
          <cell r="H24">
            <v>1085</v>
          </cell>
          <cell r="I24">
            <v>3</v>
          </cell>
          <cell r="J24">
            <v>0.82</v>
          </cell>
          <cell r="K24">
            <v>1223</v>
          </cell>
          <cell r="L24">
            <v>0</v>
          </cell>
          <cell r="M24">
            <v>0</v>
          </cell>
        </row>
        <row r="25">
          <cell r="A25" t="str">
            <v>SCF-B01-011</v>
          </cell>
          <cell r="B25">
            <v>277</v>
          </cell>
          <cell r="C25">
            <v>0</v>
          </cell>
          <cell r="D25">
            <v>0</v>
          </cell>
          <cell r="E25">
            <v>119</v>
          </cell>
          <cell r="F25">
            <v>0</v>
          </cell>
          <cell r="G25">
            <v>0</v>
          </cell>
          <cell r="H25">
            <v>119</v>
          </cell>
          <cell r="I25">
            <v>0</v>
          </cell>
          <cell r="J25">
            <v>0</v>
          </cell>
          <cell r="K25">
            <v>448</v>
          </cell>
          <cell r="L25">
            <v>0</v>
          </cell>
          <cell r="M25">
            <v>0</v>
          </cell>
        </row>
        <row r="26">
          <cell r="A26" t="str">
            <v>BBBD-BUSB1605B-BL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TZ-IUYL240-BONE-S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ST173-BL-XXL</v>
          </cell>
          <cell r="B28">
            <v>0</v>
          </cell>
          <cell r="C28">
            <v>0</v>
          </cell>
          <cell r="D28">
            <v>0</v>
          </cell>
          <cell r="E28">
            <v>394</v>
          </cell>
          <cell r="F28">
            <v>7</v>
          </cell>
          <cell r="G28">
            <v>4.58</v>
          </cell>
          <cell r="H28">
            <v>394</v>
          </cell>
          <cell r="I28">
            <v>7</v>
          </cell>
          <cell r="J28">
            <v>4.58</v>
          </cell>
          <cell r="K28">
            <v>1111</v>
          </cell>
          <cell r="L28">
            <v>23</v>
          </cell>
          <cell r="M28">
            <v>14.64</v>
          </cell>
        </row>
        <row r="29">
          <cell r="A29" t="str">
            <v>ST173-NY-S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3</v>
          </cell>
          <cell r="L29">
            <v>0</v>
          </cell>
          <cell r="M29">
            <v>0</v>
          </cell>
        </row>
        <row r="30">
          <cell r="A30" t="str">
            <v>ST173-WT1-S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2</v>
          </cell>
          <cell r="L30">
            <v>0</v>
          </cell>
          <cell r="M30">
            <v>0</v>
          </cell>
        </row>
        <row r="31">
          <cell r="A31" t="str">
            <v>XQ-IUYL260-RD-S</v>
          </cell>
          <cell r="B31">
            <v>5419</v>
          </cell>
          <cell r="C31">
            <v>22</v>
          </cell>
          <cell r="D31">
            <v>10.64</v>
          </cell>
          <cell r="E31">
            <v>4628</v>
          </cell>
          <cell r="F31">
            <v>25</v>
          </cell>
          <cell r="G31">
            <v>12.16</v>
          </cell>
          <cell r="H31">
            <v>4628</v>
          </cell>
          <cell r="I31">
            <v>25</v>
          </cell>
          <cell r="J31">
            <v>12.16</v>
          </cell>
          <cell r="K31">
            <v>2090</v>
          </cell>
          <cell r="L31">
            <v>23</v>
          </cell>
          <cell r="M31">
            <v>12.37</v>
          </cell>
        </row>
        <row r="32">
          <cell r="A32" t="str">
            <v>TZ-IUYL240-RABBIT-S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335</v>
          </cell>
          <cell r="L32">
            <v>7</v>
          </cell>
          <cell r="M32">
            <v>6.25</v>
          </cell>
        </row>
        <row r="33">
          <cell r="A33" t="str">
            <v>TZ-IUYL240-BEAR-S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2534</v>
          </cell>
          <cell r="L33">
            <v>40</v>
          </cell>
          <cell r="M33">
            <v>35.1</v>
          </cell>
        </row>
        <row r="34">
          <cell r="A34" t="str">
            <v>TZ-IUYL240-DOT2-S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4651</v>
          </cell>
          <cell r="L34">
            <v>37</v>
          </cell>
          <cell r="M34">
            <v>31.19</v>
          </cell>
        </row>
        <row r="35">
          <cell r="A35" t="str">
            <v>TZ-IUYL240LHY-ELPH-S</v>
          </cell>
          <cell r="B35">
            <v>153924</v>
          </cell>
          <cell r="C35">
            <v>911</v>
          </cell>
          <cell r="D35">
            <v>650.69</v>
          </cell>
          <cell r="E35">
            <v>93339</v>
          </cell>
          <cell r="F35">
            <v>596</v>
          </cell>
          <cell r="G35">
            <v>433.06</v>
          </cell>
          <cell r="H35">
            <v>93339</v>
          </cell>
          <cell r="I35">
            <v>596</v>
          </cell>
          <cell r="J35">
            <v>433.06</v>
          </cell>
          <cell r="K35">
            <v>46539</v>
          </cell>
          <cell r="L35">
            <v>342</v>
          </cell>
          <cell r="M35">
            <v>264.91</v>
          </cell>
        </row>
        <row r="36">
          <cell r="A36" t="str">
            <v>BD-LUHM010</v>
          </cell>
          <cell r="B36">
            <v>1050</v>
          </cell>
          <cell r="C36">
            <v>2</v>
          </cell>
          <cell r="D36">
            <v>0.75</v>
          </cell>
          <cell r="E36">
            <v>4858</v>
          </cell>
          <cell r="F36">
            <v>15</v>
          </cell>
          <cell r="G36">
            <v>15.28</v>
          </cell>
          <cell r="H36">
            <v>4858</v>
          </cell>
          <cell r="I36">
            <v>15</v>
          </cell>
          <cell r="J36">
            <v>15.28</v>
          </cell>
          <cell r="K36">
            <v>1277</v>
          </cell>
          <cell r="L36">
            <v>0</v>
          </cell>
          <cell r="M36">
            <v>0</v>
          </cell>
        </row>
        <row r="37">
          <cell r="A37" t="str">
            <v>SCF-B01-005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61</v>
          </cell>
          <cell r="L37">
            <v>0</v>
          </cell>
          <cell r="M37">
            <v>0</v>
          </cell>
        </row>
        <row r="38">
          <cell r="A38" t="str">
            <v>SCF-B01-006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83</v>
          </cell>
          <cell r="L38">
            <v>0</v>
          </cell>
          <cell r="M38">
            <v>0</v>
          </cell>
        </row>
        <row r="39">
          <cell r="A39" t="str">
            <v>SCF-C01-008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22052</v>
          </cell>
          <cell r="L39">
            <v>30</v>
          </cell>
          <cell r="M39">
            <v>17.95</v>
          </cell>
        </row>
        <row r="40">
          <cell r="A40" t="str">
            <v>SCF-C01-009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9112</v>
          </cell>
          <cell r="L40">
            <v>11</v>
          </cell>
          <cell r="M40">
            <v>5.21</v>
          </cell>
        </row>
        <row r="41">
          <cell r="A41" t="str">
            <v>BBBD-BUSB1605B-RD</v>
          </cell>
          <cell r="B41">
            <v>0</v>
          </cell>
          <cell r="C41">
            <v>0</v>
          </cell>
          <cell r="D41">
            <v>0</v>
          </cell>
          <cell r="E41">
            <v>1977</v>
          </cell>
          <cell r="F41">
            <v>7</v>
          </cell>
          <cell r="G41">
            <v>2.2</v>
          </cell>
          <cell r="H41">
            <v>1977</v>
          </cell>
          <cell r="I41">
            <v>7</v>
          </cell>
          <cell r="J41">
            <v>2.2</v>
          </cell>
          <cell r="K41">
            <v>29825</v>
          </cell>
          <cell r="L41">
            <v>63</v>
          </cell>
          <cell r="M41">
            <v>31.19</v>
          </cell>
        </row>
        <row r="42">
          <cell r="A42" t="str">
            <v>GW-LULHY-6.2</v>
          </cell>
          <cell r="B42">
            <v>0</v>
          </cell>
          <cell r="C42">
            <v>0</v>
          </cell>
          <cell r="D42">
            <v>0</v>
          </cell>
          <cell r="E42">
            <v>169</v>
          </cell>
          <cell r="F42">
            <v>2</v>
          </cell>
          <cell r="G42">
            <v>0.69</v>
          </cell>
          <cell r="H42">
            <v>169</v>
          </cell>
          <cell r="I42">
            <v>2</v>
          </cell>
          <cell r="J42">
            <v>0.69</v>
          </cell>
          <cell r="K42">
            <v>200</v>
          </cell>
          <cell r="L42">
            <v>0</v>
          </cell>
          <cell r="M42">
            <v>0</v>
          </cell>
        </row>
        <row r="43">
          <cell r="A43" t="str">
            <v>TZ-IUYL240-RABBIT-M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139</v>
          </cell>
          <cell r="L43">
            <v>0</v>
          </cell>
          <cell r="M43">
            <v>0</v>
          </cell>
        </row>
        <row r="44">
          <cell r="A44" t="str">
            <v>scarf-0001-Peony</v>
          </cell>
          <cell r="B44">
            <v>86</v>
          </cell>
          <cell r="C44">
            <v>1</v>
          </cell>
          <cell r="D44">
            <v>0.09</v>
          </cell>
          <cell r="E44">
            <v>79</v>
          </cell>
          <cell r="F44">
            <v>2</v>
          </cell>
          <cell r="G44">
            <v>0.17</v>
          </cell>
          <cell r="H44">
            <v>79</v>
          </cell>
          <cell r="I44">
            <v>2</v>
          </cell>
          <cell r="J44">
            <v>0.17</v>
          </cell>
          <cell r="K44">
            <v>12063</v>
          </cell>
          <cell r="L44">
            <v>13</v>
          </cell>
          <cell r="M44">
            <v>7.95</v>
          </cell>
        </row>
        <row r="45">
          <cell r="A45" t="str">
            <v>BBBD-1605A-BL</v>
          </cell>
          <cell r="B45">
            <v>31957</v>
          </cell>
          <cell r="C45">
            <v>53</v>
          </cell>
          <cell r="D45">
            <v>16.63</v>
          </cell>
          <cell r="E45">
            <v>12559</v>
          </cell>
          <cell r="F45">
            <v>44</v>
          </cell>
          <cell r="G45">
            <v>19.34</v>
          </cell>
          <cell r="H45">
            <v>12559</v>
          </cell>
          <cell r="I45">
            <v>44</v>
          </cell>
          <cell r="J45">
            <v>19.34</v>
          </cell>
          <cell r="K45">
            <v>4367</v>
          </cell>
          <cell r="L45">
            <v>12</v>
          </cell>
          <cell r="M45">
            <v>5.61</v>
          </cell>
        </row>
        <row r="46">
          <cell r="A46" t="str">
            <v>TZ-IUYL240LHY-DOT-S</v>
          </cell>
          <cell r="B46">
            <v>0</v>
          </cell>
          <cell r="C46">
            <v>0</v>
          </cell>
          <cell r="D46">
            <v>0</v>
          </cell>
          <cell r="E46">
            <v>1362</v>
          </cell>
          <cell r="F46">
            <v>15</v>
          </cell>
          <cell r="G46">
            <v>9.39</v>
          </cell>
          <cell r="H46">
            <v>1362</v>
          </cell>
          <cell r="I46">
            <v>15</v>
          </cell>
          <cell r="J46">
            <v>9.39</v>
          </cell>
          <cell r="K46">
            <v>1011</v>
          </cell>
          <cell r="L46">
            <v>9</v>
          </cell>
          <cell r="M46">
            <v>4.76</v>
          </cell>
        </row>
        <row r="47">
          <cell r="A47" t="str">
            <v>TZ-IUYL240LHY-PAW-M</v>
          </cell>
          <cell r="B47">
            <v>0</v>
          </cell>
          <cell r="C47">
            <v>0</v>
          </cell>
          <cell r="D47">
            <v>0</v>
          </cell>
          <cell r="E47">
            <v>509</v>
          </cell>
          <cell r="F47">
            <v>6</v>
          </cell>
          <cell r="G47">
            <v>5.19</v>
          </cell>
          <cell r="H47">
            <v>509</v>
          </cell>
          <cell r="I47">
            <v>6</v>
          </cell>
          <cell r="J47">
            <v>5.19</v>
          </cell>
          <cell r="K47">
            <v>997</v>
          </cell>
          <cell r="L47">
            <v>19</v>
          </cell>
          <cell r="M47">
            <v>16.78</v>
          </cell>
        </row>
        <row r="48">
          <cell r="A48" t="str">
            <v>BBBD-1605A-RD</v>
          </cell>
          <cell r="B48">
            <v>0</v>
          </cell>
          <cell r="C48">
            <v>0</v>
          </cell>
          <cell r="D48">
            <v>0</v>
          </cell>
          <cell r="E48">
            <v>1236</v>
          </cell>
          <cell r="F48">
            <v>4</v>
          </cell>
          <cell r="G48">
            <v>1.74</v>
          </cell>
          <cell r="H48">
            <v>1236</v>
          </cell>
          <cell r="I48">
            <v>4</v>
          </cell>
          <cell r="J48">
            <v>1.74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TZ-IUYL240LHY-PAW-S</v>
          </cell>
          <cell r="B49">
            <v>1010</v>
          </cell>
          <cell r="C49">
            <v>48</v>
          </cell>
          <cell r="D49">
            <v>27.58</v>
          </cell>
          <cell r="E49">
            <v>1279</v>
          </cell>
          <cell r="F49">
            <v>14</v>
          </cell>
          <cell r="G49">
            <v>9.66</v>
          </cell>
          <cell r="H49">
            <v>1279</v>
          </cell>
          <cell r="I49">
            <v>14</v>
          </cell>
          <cell r="J49">
            <v>9.66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BBBD-BUSB1605B-PK</v>
          </cell>
          <cell r="B50">
            <v>0</v>
          </cell>
          <cell r="C50">
            <v>0</v>
          </cell>
          <cell r="D50">
            <v>0</v>
          </cell>
          <cell r="E50">
            <v>3078</v>
          </cell>
          <cell r="F50">
            <v>10</v>
          </cell>
          <cell r="G50">
            <v>5.18</v>
          </cell>
          <cell r="H50">
            <v>3078</v>
          </cell>
          <cell r="I50">
            <v>10</v>
          </cell>
          <cell r="J50">
            <v>5.18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ST173-PK-XXL</v>
          </cell>
          <cell r="B51">
            <v>1193</v>
          </cell>
          <cell r="C51">
            <v>25</v>
          </cell>
          <cell r="D51">
            <v>17.02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HZB-QJTZ-IUYL300310</v>
          </cell>
          <cell r="B52">
            <v>36597</v>
          </cell>
          <cell r="C52">
            <v>27</v>
          </cell>
          <cell r="D52">
            <v>28.86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GW-LULHY-4.5</v>
          </cell>
          <cell r="B53">
            <v>950</v>
          </cell>
          <cell r="C53">
            <v>10</v>
          </cell>
          <cell r="D53">
            <v>10.97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XQ-IUYL260-GN-M</v>
          </cell>
          <cell r="B54">
            <v>239</v>
          </cell>
          <cell r="C54">
            <v>3</v>
          </cell>
          <cell r="D54">
            <v>0.85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MMDC-IUHM100-BK</v>
          </cell>
          <cell r="B55">
            <v>2016</v>
          </cell>
          <cell r="C55">
            <v>13</v>
          </cell>
          <cell r="D55">
            <v>15.08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MMDC-IUHM100-PK</v>
          </cell>
          <cell r="B56">
            <v>2396</v>
          </cell>
          <cell r="C56">
            <v>14</v>
          </cell>
          <cell r="D56">
            <v>17.98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MMDC-IUHM100-BL</v>
          </cell>
          <cell r="B57">
            <v>1790</v>
          </cell>
          <cell r="C57">
            <v>10</v>
          </cell>
          <cell r="D57">
            <v>11.73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B07BGW4LWX</v>
          </cell>
          <cell r="B2">
            <v>525</v>
          </cell>
          <cell r="C2">
            <v>151</v>
          </cell>
          <cell r="D2">
            <v>81</v>
          </cell>
          <cell r="E2">
            <v>53</v>
          </cell>
        </row>
        <row r="3">
          <cell r="A3" t="str">
            <v>B07C1P3Z1B</v>
          </cell>
          <cell r="B3">
            <v>136</v>
          </cell>
          <cell r="C3">
            <v>33</v>
          </cell>
          <cell r="D3">
            <v>22</v>
          </cell>
          <cell r="E3">
            <v>12</v>
          </cell>
        </row>
        <row r="4">
          <cell r="A4" t="str">
            <v>B07DF81JBH</v>
          </cell>
          <cell r="B4">
            <v>94</v>
          </cell>
          <cell r="C4">
            <v>72</v>
          </cell>
          <cell r="D4">
            <v>28</v>
          </cell>
          <cell r="E4">
            <v>32</v>
          </cell>
        </row>
        <row r="5">
          <cell r="A5" t="str">
            <v>B019V6P53K</v>
          </cell>
          <cell r="B5">
            <v>16</v>
          </cell>
          <cell r="C5">
            <v>3</v>
          </cell>
          <cell r="D5">
            <v>7</v>
          </cell>
          <cell r="E5">
            <v>11</v>
          </cell>
        </row>
        <row r="6">
          <cell r="A6" t="str">
            <v>B019V6RKPQ</v>
          </cell>
          <cell r="B6">
            <v>0</v>
          </cell>
          <cell r="C6">
            <v>3</v>
          </cell>
          <cell r="D6">
            <v>5</v>
          </cell>
          <cell r="E6">
            <v>2</v>
          </cell>
        </row>
        <row r="7">
          <cell r="A7" t="str">
            <v>B01M3R3CVA</v>
          </cell>
          <cell r="B7">
            <v>15</v>
          </cell>
          <cell r="C7">
            <v>6</v>
          </cell>
          <cell r="D7">
            <v>7</v>
          </cell>
          <cell r="E7">
            <v>6</v>
          </cell>
        </row>
        <row r="8">
          <cell r="A8" t="str">
            <v>B06XYZF3QP</v>
          </cell>
          <cell r="B8">
            <v>2</v>
          </cell>
          <cell r="C8">
            <v>22</v>
          </cell>
          <cell r="D8">
            <v>24</v>
          </cell>
          <cell r="E8">
            <v>27</v>
          </cell>
        </row>
        <row r="9">
          <cell r="A9" t="str">
            <v>B07173Q2FN</v>
          </cell>
          <cell r="B9">
            <v>8</v>
          </cell>
          <cell r="C9">
            <v>5</v>
          </cell>
          <cell r="D9">
            <v>5</v>
          </cell>
          <cell r="E9">
            <v>8</v>
          </cell>
        </row>
        <row r="10">
          <cell r="A10" t="str">
            <v>B071JY11V7</v>
          </cell>
          <cell r="B10">
            <v>12</v>
          </cell>
          <cell r="C10">
            <v>2</v>
          </cell>
          <cell r="D10">
            <v>12</v>
          </cell>
          <cell r="E10">
            <v>2</v>
          </cell>
        </row>
        <row r="11">
          <cell r="A11" t="str">
            <v>B073GX87XH</v>
          </cell>
          <cell r="B11">
            <v>3</v>
          </cell>
          <cell r="C11">
            <v>1</v>
          </cell>
          <cell r="D11">
            <v>2</v>
          </cell>
          <cell r="E11">
            <v>9</v>
          </cell>
        </row>
        <row r="12">
          <cell r="A12" t="str">
            <v>B073GXT1YF</v>
          </cell>
          <cell r="B12">
            <v>4</v>
          </cell>
          <cell r="C12">
            <v>3</v>
          </cell>
          <cell r="D12">
            <v>2</v>
          </cell>
          <cell r="E12">
            <v>6</v>
          </cell>
        </row>
        <row r="13">
          <cell r="A13" t="str">
            <v>B073GY4FL6</v>
          </cell>
          <cell r="B13">
            <v>2</v>
          </cell>
          <cell r="C13">
            <v>1</v>
          </cell>
          <cell r="D13">
            <v>3</v>
          </cell>
          <cell r="E13">
            <v>4</v>
          </cell>
        </row>
        <row r="14">
          <cell r="A14" t="str">
            <v>B073PPFLNM</v>
          </cell>
          <cell r="B14">
            <v>15</v>
          </cell>
          <cell r="C14">
            <v>8</v>
          </cell>
          <cell r="D14">
            <v>3</v>
          </cell>
          <cell r="E14">
            <v>5</v>
          </cell>
        </row>
        <row r="15">
          <cell r="A15" t="str">
            <v>B073PPSG6W</v>
          </cell>
          <cell r="B15">
            <v>14</v>
          </cell>
          <cell r="C15">
            <v>28</v>
          </cell>
          <cell r="D15">
            <v>0</v>
          </cell>
          <cell r="E15">
            <v>19</v>
          </cell>
        </row>
        <row r="16">
          <cell r="A16" t="str">
            <v>B073PQ6BZ4</v>
          </cell>
          <cell r="B16">
            <v>2</v>
          </cell>
          <cell r="C16">
            <v>14</v>
          </cell>
          <cell r="D16">
            <v>10</v>
          </cell>
          <cell r="E16">
            <v>7</v>
          </cell>
        </row>
        <row r="17">
          <cell r="A17" t="str">
            <v>B073PQXDQX</v>
          </cell>
          <cell r="B17">
            <v>12</v>
          </cell>
          <cell r="C17">
            <v>5</v>
          </cell>
          <cell r="D17">
            <v>7</v>
          </cell>
          <cell r="E17">
            <v>11</v>
          </cell>
        </row>
        <row r="18">
          <cell r="A18" t="str">
            <v>B073QH2KWY</v>
          </cell>
          <cell r="B18">
            <v>8</v>
          </cell>
          <cell r="C18">
            <v>7</v>
          </cell>
          <cell r="D18">
            <v>4</v>
          </cell>
          <cell r="E18">
            <v>6</v>
          </cell>
        </row>
        <row r="19">
          <cell r="A19" t="str">
            <v>B073ZYMTGH</v>
          </cell>
          <cell r="B19">
            <v>5</v>
          </cell>
          <cell r="C19">
            <v>2</v>
          </cell>
          <cell r="D19">
            <v>17</v>
          </cell>
          <cell r="E19">
            <v>15</v>
          </cell>
        </row>
        <row r="20">
          <cell r="A20" t="str">
            <v>B0747L9WY7</v>
          </cell>
          <cell r="B20">
            <v>0</v>
          </cell>
          <cell r="C20">
            <v>0</v>
          </cell>
          <cell r="D20">
            <v>11</v>
          </cell>
          <cell r="E20">
            <v>26</v>
          </cell>
        </row>
        <row r="21">
          <cell r="A21" t="str">
            <v>B074NQZMVQ</v>
          </cell>
          <cell r="B21">
            <v>13</v>
          </cell>
          <cell r="C21">
            <v>7</v>
          </cell>
          <cell r="D21">
            <v>4</v>
          </cell>
          <cell r="E21">
            <v>3</v>
          </cell>
        </row>
        <row r="22">
          <cell r="A22" t="str">
            <v>B074NVH8G2</v>
          </cell>
          <cell r="B22">
            <v>8</v>
          </cell>
          <cell r="C22">
            <v>8</v>
          </cell>
          <cell r="D22">
            <v>4</v>
          </cell>
          <cell r="E22">
            <v>3</v>
          </cell>
        </row>
        <row r="23">
          <cell r="A23" t="str">
            <v>B074P1LKV2</v>
          </cell>
          <cell r="B23">
            <v>11</v>
          </cell>
          <cell r="C23">
            <v>15</v>
          </cell>
          <cell r="D23">
            <v>2</v>
          </cell>
          <cell r="E23">
            <v>8</v>
          </cell>
        </row>
        <row r="24">
          <cell r="A24" t="str">
            <v>B074P2B6M8</v>
          </cell>
          <cell r="B24">
            <v>9</v>
          </cell>
          <cell r="C24">
            <v>6</v>
          </cell>
          <cell r="D24">
            <v>4</v>
          </cell>
          <cell r="E24">
            <v>5</v>
          </cell>
        </row>
        <row r="25">
          <cell r="A25" t="str">
            <v>B074P3WK1B</v>
          </cell>
          <cell r="B25">
            <v>10</v>
          </cell>
          <cell r="C25">
            <v>9</v>
          </cell>
          <cell r="D25">
            <v>16</v>
          </cell>
          <cell r="E25">
            <v>9</v>
          </cell>
        </row>
        <row r="26">
          <cell r="A26" t="str">
            <v>B074P5N47H</v>
          </cell>
          <cell r="B26">
            <v>8</v>
          </cell>
          <cell r="C26">
            <v>4</v>
          </cell>
          <cell r="D26">
            <v>4</v>
          </cell>
          <cell r="E26">
            <v>4</v>
          </cell>
        </row>
        <row r="27">
          <cell r="A27" t="str">
            <v>B074SK47ZJ</v>
          </cell>
          <cell r="B27">
            <v>4</v>
          </cell>
          <cell r="C27">
            <v>3</v>
          </cell>
          <cell r="D27">
            <v>4</v>
          </cell>
          <cell r="E27">
            <v>3</v>
          </cell>
        </row>
        <row r="28">
          <cell r="A28" t="str">
            <v>B074SKGH3S</v>
          </cell>
          <cell r="B28">
            <v>0</v>
          </cell>
          <cell r="C28">
            <v>0</v>
          </cell>
          <cell r="D28">
            <v>2</v>
          </cell>
          <cell r="E28">
            <v>3</v>
          </cell>
        </row>
        <row r="29">
          <cell r="A29" t="str">
            <v>B074SKGP6T</v>
          </cell>
          <cell r="B29">
            <v>3</v>
          </cell>
          <cell r="C29">
            <v>1</v>
          </cell>
          <cell r="D29">
            <v>1</v>
          </cell>
          <cell r="E29">
            <v>3</v>
          </cell>
        </row>
        <row r="30">
          <cell r="A30" t="str">
            <v>B074SKM7WZ</v>
          </cell>
          <cell r="B30">
            <v>2</v>
          </cell>
          <cell r="C30">
            <v>1</v>
          </cell>
          <cell r="D30">
            <v>3</v>
          </cell>
          <cell r="E30">
            <v>3</v>
          </cell>
        </row>
        <row r="31">
          <cell r="A31" t="str">
            <v>B074SL7P58</v>
          </cell>
          <cell r="B31">
            <v>4</v>
          </cell>
          <cell r="C31">
            <v>2</v>
          </cell>
          <cell r="D31">
            <v>2</v>
          </cell>
          <cell r="E31">
            <v>2</v>
          </cell>
        </row>
        <row r="32">
          <cell r="A32" t="str">
            <v>B074SL9T1Y</v>
          </cell>
          <cell r="B32">
            <v>18</v>
          </cell>
          <cell r="C32">
            <v>5</v>
          </cell>
          <cell r="D32">
            <v>5</v>
          </cell>
          <cell r="E32">
            <v>2</v>
          </cell>
        </row>
        <row r="33">
          <cell r="A33" t="str">
            <v>B074SL9Y3C</v>
          </cell>
          <cell r="B33">
            <v>0</v>
          </cell>
          <cell r="C33">
            <v>0</v>
          </cell>
          <cell r="D33">
            <v>0</v>
          </cell>
          <cell r="E33">
            <v>5</v>
          </cell>
        </row>
        <row r="34">
          <cell r="A34" t="str">
            <v>B074SLMBT9</v>
          </cell>
          <cell r="B34">
            <v>10</v>
          </cell>
          <cell r="C34">
            <v>7</v>
          </cell>
          <cell r="D34">
            <v>5</v>
          </cell>
          <cell r="E34">
            <v>5</v>
          </cell>
        </row>
        <row r="35">
          <cell r="A35" t="str">
            <v>B074SLPFD9</v>
          </cell>
          <cell r="B35">
            <v>3</v>
          </cell>
          <cell r="C35">
            <v>3</v>
          </cell>
          <cell r="D35">
            <v>1</v>
          </cell>
          <cell r="E35">
            <v>4</v>
          </cell>
        </row>
        <row r="36">
          <cell r="A36" t="str">
            <v>B074SLTLS9</v>
          </cell>
          <cell r="B36">
            <v>2</v>
          </cell>
          <cell r="C36">
            <v>0</v>
          </cell>
          <cell r="D36">
            <v>2</v>
          </cell>
          <cell r="E36">
            <v>3</v>
          </cell>
        </row>
        <row r="37">
          <cell r="A37" t="str">
            <v>B074SLZVWD</v>
          </cell>
          <cell r="B37">
            <v>2</v>
          </cell>
          <cell r="C37">
            <v>0</v>
          </cell>
          <cell r="D37">
            <v>4</v>
          </cell>
          <cell r="E37">
            <v>4</v>
          </cell>
        </row>
        <row r="38">
          <cell r="A38" t="str">
            <v>B074SM144J</v>
          </cell>
          <cell r="B38">
            <v>5</v>
          </cell>
          <cell r="C38">
            <v>2</v>
          </cell>
          <cell r="D38">
            <v>2</v>
          </cell>
          <cell r="E38">
            <v>5</v>
          </cell>
        </row>
        <row r="39">
          <cell r="A39" t="str">
            <v>B074SM3B1W</v>
          </cell>
          <cell r="B39">
            <v>4</v>
          </cell>
          <cell r="C39">
            <v>0</v>
          </cell>
          <cell r="D39">
            <v>2</v>
          </cell>
          <cell r="E39">
            <v>5</v>
          </cell>
        </row>
        <row r="40">
          <cell r="A40" t="str">
            <v>B074SM5RZS</v>
          </cell>
          <cell r="B40">
            <v>5</v>
          </cell>
          <cell r="C40">
            <v>4</v>
          </cell>
          <cell r="D40">
            <v>4</v>
          </cell>
          <cell r="E40">
            <v>3</v>
          </cell>
        </row>
        <row r="41">
          <cell r="A41" t="str">
            <v>B074SMGT88</v>
          </cell>
          <cell r="B41">
            <v>0</v>
          </cell>
          <cell r="C41">
            <v>0</v>
          </cell>
          <cell r="D41">
            <v>4</v>
          </cell>
          <cell r="E41">
            <v>11</v>
          </cell>
        </row>
        <row r="42">
          <cell r="A42" t="str">
            <v>B074SMS5NT</v>
          </cell>
          <cell r="B42">
            <v>1</v>
          </cell>
          <cell r="C42">
            <v>1</v>
          </cell>
          <cell r="D42">
            <v>4</v>
          </cell>
          <cell r="E42">
            <v>4</v>
          </cell>
        </row>
        <row r="43">
          <cell r="A43" t="str">
            <v>B074SMT9CV</v>
          </cell>
          <cell r="B43">
            <v>5</v>
          </cell>
          <cell r="C43">
            <v>0</v>
          </cell>
          <cell r="D43">
            <v>3</v>
          </cell>
          <cell r="E43">
            <v>5</v>
          </cell>
        </row>
        <row r="44">
          <cell r="A44" t="str">
            <v>B074SN3YQP</v>
          </cell>
          <cell r="B44">
            <v>0</v>
          </cell>
          <cell r="C44">
            <v>0</v>
          </cell>
          <cell r="D44">
            <v>3</v>
          </cell>
          <cell r="E44">
            <v>7</v>
          </cell>
        </row>
        <row r="45">
          <cell r="A45" t="str">
            <v>B074SN3YQT</v>
          </cell>
          <cell r="B45">
            <v>2</v>
          </cell>
          <cell r="C45">
            <v>3</v>
          </cell>
          <cell r="D45">
            <v>8</v>
          </cell>
          <cell r="E45">
            <v>5</v>
          </cell>
        </row>
        <row r="46">
          <cell r="A46" t="str">
            <v>B074SN4V6M</v>
          </cell>
          <cell r="B46">
            <v>2</v>
          </cell>
          <cell r="C46">
            <v>1</v>
          </cell>
          <cell r="D46">
            <v>1</v>
          </cell>
          <cell r="E46">
            <v>2</v>
          </cell>
        </row>
        <row r="47">
          <cell r="A47" t="str">
            <v>B074SNF6PC</v>
          </cell>
          <cell r="B47">
            <v>10</v>
          </cell>
          <cell r="C47">
            <v>1</v>
          </cell>
          <cell r="D47">
            <v>2</v>
          </cell>
          <cell r="E47">
            <v>5</v>
          </cell>
        </row>
        <row r="48">
          <cell r="A48" t="str">
            <v>B074SNMHQJ</v>
          </cell>
          <cell r="B48">
            <v>2</v>
          </cell>
          <cell r="C48">
            <v>3</v>
          </cell>
          <cell r="D48">
            <v>2</v>
          </cell>
          <cell r="E48">
            <v>4</v>
          </cell>
        </row>
        <row r="49">
          <cell r="A49" t="str">
            <v>B074SNMJJ9</v>
          </cell>
          <cell r="B49">
            <v>1</v>
          </cell>
          <cell r="C49">
            <v>3</v>
          </cell>
          <cell r="D49">
            <v>1</v>
          </cell>
          <cell r="E49">
            <v>4</v>
          </cell>
        </row>
        <row r="50">
          <cell r="A50" t="str">
            <v>B074SNP44C</v>
          </cell>
          <cell r="B50">
            <v>2</v>
          </cell>
          <cell r="C50">
            <v>0</v>
          </cell>
          <cell r="D50">
            <v>1</v>
          </cell>
          <cell r="E50">
            <v>2</v>
          </cell>
        </row>
        <row r="51">
          <cell r="A51" t="str">
            <v>B074SNVWHH</v>
          </cell>
          <cell r="B51">
            <v>2</v>
          </cell>
          <cell r="C51">
            <v>1</v>
          </cell>
          <cell r="D51">
            <v>1</v>
          </cell>
          <cell r="E51">
            <v>2</v>
          </cell>
        </row>
        <row r="52">
          <cell r="A52" t="str">
            <v>B074SPF7P1</v>
          </cell>
          <cell r="B52">
            <v>8</v>
          </cell>
          <cell r="C52">
            <v>6</v>
          </cell>
          <cell r="D52">
            <v>1</v>
          </cell>
          <cell r="E52">
            <v>4</v>
          </cell>
        </row>
        <row r="53">
          <cell r="A53" t="str">
            <v>B074SPWGPS</v>
          </cell>
          <cell r="B53">
            <v>2</v>
          </cell>
          <cell r="C53">
            <v>3</v>
          </cell>
          <cell r="D53">
            <v>1</v>
          </cell>
          <cell r="E53">
            <v>3</v>
          </cell>
        </row>
        <row r="54">
          <cell r="A54" t="str">
            <v>B074SQ1FJK</v>
          </cell>
          <cell r="B54">
            <v>1</v>
          </cell>
          <cell r="C54">
            <v>4</v>
          </cell>
          <cell r="D54">
            <v>0</v>
          </cell>
          <cell r="E54">
            <v>3</v>
          </cell>
        </row>
        <row r="55">
          <cell r="A55" t="str">
            <v>B074SQ5NX1</v>
          </cell>
          <cell r="B55">
            <v>0</v>
          </cell>
          <cell r="C55">
            <v>2</v>
          </cell>
          <cell r="D55">
            <v>0</v>
          </cell>
          <cell r="E55">
            <v>3</v>
          </cell>
        </row>
        <row r="56">
          <cell r="A56" t="str">
            <v>B074SQ5PJS</v>
          </cell>
          <cell r="B56">
            <v>1</v>
          </cell>
          <cell r="C56">
            <v>3</v>
          </cell>
          <cell r="D56">
            <v>0</v>
          </cell>
          <cell r="E56">
            <v>2</v>
          </cell>
        </row>
        <row r="57">
          <cell r="A57" t="str">
            <v>B074SQ5R3F</v>
          </cell>
          <cell r="B57">
            <v>1</v>
          </cell>
          <cell r="C57">
            <v>2</v>
          </cell>
          <cell r="D57">
            <v>0</v>
          </cell>
          <cell r="E57">
            <v>4</v>
          </cell>
        </row>
        <row r="58">
          <cell r="A58" t="str">
            <v>B074ST3T2H</v>
          </cell>
          <cell r="B58">
            <v>0</v>
          </cell>
          <cell r="C58">
            <v>4</v>
          </cell>
          <cell r="D58">
            <v>10</v>
          </cell>
          <cell r="E58">
            <v>19</v>
          </cell>
        </row>
        <row r="59">
          <cell r="A59" t="str">
            <v>B074SVP22M</v>
          </cell>
          <cell r="B59">
            <v>26</v>
          </cell>
          <cell r="C59">
            <v>12</v>
          </cell>
          <cell r="D59">
            <v>4</v>
          </cell>
          <cell r="E59">
            <v>6</v>
          </cell>
        </row>
        <row r="60">
          <cell r="A60" t="str">
            <v>B074SVYFJC</v>
          </cell>
          <cell r="B60">
            <v>2</v>
          </cell>
          <cell r="C60">
            <v>2</v>
          </cell>
          <cell r="D60">
            <v>2</v>
          </cell>
          <cell r="E60">
            <v>4</v>
          </cell>
        </row>
        <row r="61">
          <cell r="A61" t="str">
            <v>B074SWFPBG</v>
          </cell>
          <cell r="B61">
            <v>3</v>
          </cell>
          <cell r="C61">
            <v>2</v>
          </cell>
          <cell r="D61">
            <v>1</v>
          </cell>
          <cell r="E61">
            <v>16</v>
          </cell>
        </row>
        <row r="62">
          <cell r="A62" t="str">
            <v>B074SWPTKB</v>
          </cell>
          <cell r="B62">
            <v>1</v>
          </cell>
          <cell r="C62">
            <v>1</v>
          </cell>
          <cell r="D62">
            <v>2</v>
          </cell>
          <cell r="E62">
            <v>6</v>
          </cell>
        </row>
        <row r="63">
          <cell r="A63" t="str">
            <v>B074SWQY9F</v>
          </cell>
          <cell r="B63">
            <v>5</v>
          </cell>
          <cell r="C63">
            <v>8</v>
          </cell>
          <cell r="D63">
            <v>1</v>
          </cell>
          <cell r="E63">
            <v>7</v>
          </cell>
        </row>
        <row r="64">
          <cell r="A64" t="str">
            <v>B074SXQ5MY</v>
          </cell>
          <cell r="B64">
            <v>1</v>
          </cell>
          <cell r="C64">
            <v>3</v>
          </cell>
          <cell r="D64">
            <v>2</v>
          </cell>
          <cell r="E64">
            <v>4</v>
          </cell>
        </row>
        <row r="65">
          <cell r="A65" t="str">
            <v>B074SXQT5Z</v>
          </cell>
          <cell r="B65">
            <v>3</v>
          </cell>
          <cell r="C65">
            <v>2</v>
          </cell>
          <cell r="D65">
            <v>1</v>
          </cell>
          <cell r="E65">
            <v>5</v>
          </cell>
        </row>
        <row r="66">
          <cell r="A66" t="str">
            <v>B074SXT27T</v>
          </cell>
          <cell r="B66">
            <v>4</v>
          </cell>
          <cell r="C66">
            <v>4</v>
          </cell>
          <cell r="D66">
            <v>5</v>
          </cell>
          <cell r="E66">
            <v>7</v>
          </cell>
        </row>
        <row r="67">
          <cell r="A67" t="str">
            <v>B074SXT853</v>
          </cell>
          <cell r="B67">
            <v>8</v>
          </cell>
          <cell r="C67">
            <v>3</v>
          </cell>
          <cell r="D67">
            <v>5</v>
          </cell>
          <cell r="E67">
            <v>5</v>
          </cell>
        </row>
        <row r="68">
          <cell r="A68" t="str">
            <v>B074SXT999</v>
          </cell>
          <cell r="B68">
            <v>3</v>
          </cell>
          <cell r="C68">
            <v>2</v>
          </cell>
          <cell r="D68">
            <v>2</v>
          </cell>
          <cell r="E68">
            <v>4</v>
          </cell>
        </row>
        <row r="69">
          <cell r="A69" t="str">
            <v>B074SY2NWC</v>
          </cell>
          <cell r="B69">
            <v>2</v>
          </cell>
          <cell r="C69">
            <v>3</v>
          </cell>
          <cell r="D69">
            <v>1</v>
          </cell>
          <cell r="E69">
            <v>5</v>
          </cell>
        </row>
        <row r="70">
          <cell r="A70" t="str">
            <v>B074SYX9RW</v>
          </cell>
          <cell r="B70">
            <v>0</v>
          </cell>
          <cell r="C70">
            <v>7</v>
          </cell>
          <cell r="D70">
            <v>1</v>
          </cell>
          <cell r="E70">
            <v>6</v>
          </cell>
        </row>
        <row r="71">
          <cell r="A71" t="str">
            <v>B074SYXBT8</v>
          </cell>
          <cell r="B71">
            <v>0</v>
          </cell>
          <cell r="C71">
            <v>3</v>
          </cell>
          <cell r="D71">
            <v>2</v>
          </cell>
          <cell r="E71">
            <v>4</v>
          </cell>
        </row>
        <row r="72">
          <cell r="A72" t="str">
            <v>B074SYY7Q7</v>
          </cell>
          <cell r="B72">
            <v>1</v>
          </cell>
          <cell r="C72">
            <v>3</v>
          </cell>
          <cell r="D72">
            <v>2</v>
          </cell>
          <cell r="E72">
            <v>5</v>
          </cell>
        </row>
        <row r="73">
          <cell r="A73" t="str">
            <v>B074SZ4SDW</v>
          </cell>
          <cell r="B73">
            <v>3</v>
          </cell>
          <cell r="C73">
            <v>3</v>
          </cell>
          <cell r="D73">
            <v>3</v>
          </cell>
          <cell r="E73">
            <v>5</v>
          </cell>
        </row>
        <row r="74">
          <cell r="A74" t="str">
            <v>B074SZ6CL6</v>
          </cell>
          <cell r="B74">
            <v>2</v>
          </cell>
          <cell r="C74">
            <v>4</v>
          </cell>
          <cell r="D74">
            <v>1</v>
          </cell>
          <cell r="E74">
            <v>3</v>
          </cell>
        </row>
        <row r="75">
          <cell r="A75" t="str">
            <v>B074SZCMCP</v>
          </cell>
          <cell r="B75">
            <v>5</v>
          </cell>
          <cell r="C75">
            <v>5</v>
          </cell>
          <cell r="D75">
            <v>1</v>
          </cell>
          <cell r="E75">
            <v>2</v>
          </cell>
        </row>
        <row r="76">
          <cell r="A76" t="str">
            <v>B074SZCXH9</v>
          </cell>
          <cell r="B76">
            <v>5</v>
          </cell>
          <cell r="C76">
            <v>1</v>
          </cell>
          <cell r="D76">
            <v>1</v>
          </cell>
          <cell r="E76">
            <v>3</v>
          </cell>
        </row>
        <row r="77">
          <cell r="A77" t="str">
            <v>B074SZD1GM</v>
          </cell>
          <cell r="B77">
            <v>14</v>
          </cell>
          <cell r="C77">
            <v>5</v>
          </cell>
          <cell r="D77">
            <v>3</v>
          </cell>
          <cell r="E77">
            <v>3</v>
          </cell>
        </row>
        <row r="78">
          <cell r="A78" t="str">
            <v>B074SZJPSD</v>
          </cell>
          <cell r="B78">
            <v>2</v>
          </cell>
          <cell r="C78">
            <v>1</v>
          </cell>
          <cell r="D78">
            <v>2</v>
          </cell>
          <cell r="E78">
            <v>2</v>
          </cell>
        </row>
        <row r="79">
          <cell r="A79" t="str">
            <v>B074SZJYJJ</v>
          </cell>
          <cell r="B79">
            <v>3</v>
          </cell>
          <cell r="C79">
            <v>6</v>
          </cell>
          <cell r="D79">
            <v>2</v>
          </cell>
          <cell r="E79">
            <v>3</v>
          </cell>
        </row>
        <row r="80">
          <cell r="A80" t="str">
            <v>B074SZKQMT</v>
          </cell>
          <cell r="B80">
            <v>3</v>
          </cell>
          <cell r="C80">
            <v>1</v>
          </cell>
          <cell r="D80">
            <v>2</v>
          </cell>
          <cell r="E80">
            <v>2</v>
          </cell>
        </row>
        <row r="81">
          <cell r="A81" t="str">
            <v>B074SZQ1LP</v>
          </cell>
          <cell r="B81">
            <v>2</v>
          </cell>
          <cell r="C81">
            <v>1</v>
          </cell>
          <cell r="D81">
            <v>1</v>
          </cell>
          <cell r="E81">
            <v>2</v>
          </cell>
        </row>
        <row r="82">
          <cell r="A82" t="str">
            <v>B074SZQ3FG</v>
          </cell>
          <cell r="B82">
            <v>0</v>
          </cell>
          <cell r="C82">
            <v>0</v>
          </cell>
          <cell r="D82">
            <v>1</v>
          </cell>
          <cell r="E82">
            <v>3</v>
          </cell>
        </row>
        <row r="83">
          <cell r="A83" t="str">
            <v>B074T17WTF</v>
          </cell>
          <cell r="B83">
            <v>3</v>
          </cell>
          <cell r="C83">
            <v>2</v>
          </cell>
          <cell r="D83">
            <v>4</v>
          </cell>
          <cell r="E83">
            <v>2</v>
          </cell>
        </row>
        <row r="84">
          <cell r="A84" t="str">
            <v>B074T24DYN</v>
          </cell>
          <cell r="B84">
            <v>3</v>
          </cell>
          <cell r="C84">
            <v>3</v>
          </cell>
          <cell r="D84">
            <v>5</v>
          </cell>
          <cell r="E84">
            <v>3</v>
          </cell>
        </row>
        <row r="85">
          <cell r="A85" t="str">
            <v>B074T25JWG</v>
          </cell>
          <cell r="B85">
            <v>4</v>
          </cell>
          <cell r="C85">
            <v>1</v>
          </cell>
          <cell r="D85">
            <v>3</v>
          </cell>
          <cell r="E85">
            <v>4</v>
          </cell>
        </row>
        <row r="86">
          <cell r="A86" t="str">
            <v>B074T74SF7</v>
          </cell>
          <cell r="B86">
            <v>6</v>
          </cell>
          <cell r="C86">
            <v>5</v>
          </cell>
          <cell r="D86">
            <v>9</v>
          </cell>
          <cell r="E86">
            <v>18</v>
          </cell>
        </row>
        <row r="87">
          <cell r="A87" t="str">
            <v>B075WNZJSF</v>
          </cell>
          <cell r="B87">
            <v>2</v>
          </cell>
          <cell r="C87">
            <v>2</v>
          </cell>
          <cell r="D87">
            <v>2</v>
          </cell>
          <cell r="E87">
            <v>16</v>
          </cell>
        </row>
        <row r="88">
          <cell r="A88" t="str">
            <v>B075WPHHKW</v>
          </cell>
          <cell r="B88">
            <v>2</v>
          </cell>
          <cell r="C88">
            <v>5</v>
          </cell>
          <cell r="D88">
            <v>3</v>
          </cell>
          <cell r="E88">
            <v>3</v>
          </cell>
        </row>
        <row r="89">
          <cell r="A89" t="str">
            <v>B075WPSRD1</v>
          </cell>
          <cell r="B89">
            <v>0</v>
          </cell>
          <cell r="C89">
            <v>2</v>
          </cell>
          <cell r="D89">
            <v>4</v>
          </cell>
          <cell r="E89">
            <v>4</v>
          </cell>
        </row>
        <row r="90">
          <cell r="A90" t="str">
            <v>B075WPX32B</v>
          </cell>
          <cell r="B90">
            <v>4</v>
          </cell>
          <cell r="C90">
            <v>3</v>
          </cell>
          <cell r="D90">
            <v>4</v>
          </cell>
          <cell r="E90">
            <v>5</v>
          </cell>
        </row>
        <row r="91">
          <cell r="A91" t="str">
            <v>B075WQJ859</v>
          </cell>
          <cell r="B91">
            <v>4</v>
          </cell>
          <cell r="C91">
            <v>2</v>
          </cell>
          <cell r="D91">
            <v>4</v>
          </cell>
          <cell r="E91">
            <v>5</v>
          </cell>
        </row>
        <row r="92">
          <cell r="A92" t="str">
            <v>B075WQNT6B</v>
          </cell>
          <cell r="B92">
            <v>4</v>
          </cell>
          <cell r="C92">
            <v>4</v>
          </cell>
          <cell r="D92">
            <v>7</v>
          </cell>
          <cell r="E92">
            <v>3</v>
          </cell>
        </row>
        <row r="93">
          <cell r="A93" t="str">
            <v>B075WQQC8L</v>
          </cell>
          <cell r="B93">
            <v>3</v>
          </cell>
          <cell r="C93">
            <v>1</v>
          </cell>
          <cell r="D93">
            <v>3</v>
          </cell>
          <cell r="E93">
            <v>4</v>
          </cell>
        </row>
        <row r="94">
          <cell r="A94" t="str">
            <v>B075WR57PJ</v>
          </cell>
          <cell r="B94">
            <v>4</v>
          </cell>
          <cell r="C94">
            <v>3</v>
          </cell>
          <cell r="D94">
            <v>7</v>
          </cell>
          <cell r="E94">
            <v>3</v>
          </cell>
        </row>
        <row r="95">
          <cell r="A95" t="str">
            <v>B075WRD5KM</v>
          </cell>
          <cell r="B95">
            <v>3</v>
          </cell>
          <cell r="C95">
            <v>2</v>
          </cell>
          <cell r="D95">
            <v>4</v>
          </cell>
          <cell r="E95">
            <v>4</v>
          </cell>
        </row>
        <row r="96">
          <cell r="A96" t="str">
            <v>B075WRTSV9</v>
          </cell>
          <cell r="B96">
            <v>0</v>
          </cell>
          <cell r="C96">
            <v>3</v>
          </cell>
          <cell r="D96">
            <v>4</v>
          </cell>
          <cell r="E96">
            <v>4</v>
          </cell>
        </row>
        <row r="97">
          <cell r="A97" t="str">
            <v>B075WRWK44</v>
          </cell>
          <cell r="B97">
            <v>4</v>
          </cell>
          <cell r="C97">
            <v>4</v>
          </cell>
          <cell r="D97">
            <v>4</v>
          </cell>
          <cell r="E97">
            <v>5</v>
          </cell>
        </row>
        <row r="98">
          <cell r="A98" t="str">
            <v>B075WSD44L</v>
          </cell>
          <cell r="B98">
            <v>4</v>
          </cell>
          <cell r="C98">
            <v>4</v>
          </cell>
          <cell r="D98">
            <v>5</v>
          </cell>
          <cell r="E98">
            <v>5</v>
          </cell>
        </row>
        <row r="99">
          <cell r="A99" t="str">
            <v>B075WSSK1M</v>
          </cell>
          <cell r="B99">
            <v>3</v>
          </cell>
          <cell r="C99">
            <v>4</v>
          </cell>
          <cell r="D99">
            <v>4</v>
          </cell>
          <cell r="E99">
            <v>3</v>
          </cell>
        </row>
        <row r="100">
          <cell r="A100" t="str">
            <v>B075WSXH1N</v>
          </cell>
          <cell r="B100">
            <v>2</v>
          </cell>
          <cell r="C100">
            <v>4</v>
          </cell>
          <cell r="D100">
            <v>5</v>
          </cell>
          <cell r="E100">
            <v>2</v>
          </cell>
        </row>
        <row r="101">
          <cell r="A101" t="str">
            <v>B075WSZF3P</v>
          </cell>
          <cell r="B101">
            <v>3</v>
          </cell>
          <cell r="C101">
            <v>2</v>
          </cell>
          <cell r="D101">
            <v>3</v>
          </cell>
          <cell r="E101">
            <v>3</v>
          </cell>
        </row>
        <row r="102">
          <cell r="A102" t="str">
            <v>B075WT1YR6</v>
          </cell>
          <cell r="B102">
            <v>3</v>
          </cell>
          <cell r="C102">
            <v>3</v>
          </cell>
          <cell r="D102">
            <v>3</v>
          </cell>
          <cell r="E102">
            <v>6</v>
          </cell>
        </row>
        <row r="103">
          <cell r="A103" t="str">
            <v>B075WT1YRZ</v>
          </cell>
          <cell r="B103">
            <v>3</v>
          </cell>
          <cell r="C103">
            <v>3</v>
          </cell>
          <cell r="D103">
            <v>2</v>
          </cell>
          <cell r="E103">
            <v>3</v>
          </cell>
        </row>
        <row r="104">
          <cell r="A104" t="str">
            <v>B075WT8RQN</v>
          </cell>
          <cell r="B104">
            <v>2</v>
          </cell>
          <cell r="C104">
            <v>3</v>
          </cell>
          <cell r="D104">
            <v>1</v>
          </cell>
          <cell r="E104">
            <v>4</v>
          </cell>
        </row>
        <row r="105">
          <cell r="A105" t="str">
            <v>B075WT9XBG</v>
          </cell>
          <cell r="B105">
            <v>3</v>
          </cell>
          <cell r="C105">
            <v>6</v>
          </cell>
          <cell r="D105">
            <v>2</v>
          </cell>
          <cell r="E105">
            <v>3</v>
          </cell>
        </row>
        <row r="106">
          <cell r="A106" t="str">
            <v>B075WTH7BJ</v>
          </cell>
          <cell r="B106">
            <v>3</v>
          </cell>
          <cell r="C106">
            <v>5</v>
          </cell>
          <cell r="D106">
            <v>1</v>
          </cell>
          <cell r="E106">
            <v>2</v>
          </cell>
        </row>
        <row r="107">
          <cell r="A107" t="str">
            <v>B075WTKCN3</v>
          </cell>
          <cell r="B107">
            <v>2</v>
          </cell>
          <cell r="C107">
            <v>4</v>
          </cell>
          <cell r="D107">
            <v>2</v>
          </cell>
          <cell r="E107">
            <v>3</v>
          </cell>
        </row>
        <row r="108">
          <cell r="A108" t="str">
            <v>B075X946ZN</v>
          </cell>
          <cell r="B108">
            <v>3</v>
          </cell>
          <cell r="C108">
            <v>4</v>
          </cell>
          <cell r="D108">
            <v>2</v>
          </cell>
          <cell r="E108">
            <v>3</v>
          </cell>
        </row>
        <row r="109">
          <cell r="A109" t="str">
            <v>B075X9JZX3</v>
          </cell>
          <cell r="B109">
            <v>3</v>
          </cell>
          <cell r="C109">
            <v>4</v>
          </cell>
          <cell r="D109">
            <v>2</v>
          </cell>
          <cell r="E109">
            <v>3</v>
          </cell>
        </row>
        <row r="110">
          <cell r="A110" t="str">
            <v>B075XBDWFK</v>
          </cell>
          <cell r="B110">
            <v>4</v>
          </cell>
          <cell r="C110">
            <v>4</v>
          </cell>
          <cell r="D110">
            <v>3</v>
          </cell>
          <cell r="E110">
            <v>2</v>
          </cell>
        </row>
        <row r="111">
          <cell r="A111" t="str">
            <v>B075XC664H</v>
          </cell>
          <cell r="B111">
            <v>3</v>
          </cell>
          <cell r="C111">
            <v>4</v>
          </cell>
          <cell r="D111">
            <v>3</v>
          </cell>
          <cell r="E111">
            <v>1</v>
          </cell>
        </row>
        <row r="112">
          <cell r="A112" t="str">
            <v>B075XCBHHN</v>
          </cell>
          <cell r="B112">
            <v>16</v>
          </cell>
          <cell r="C112">
            <v>11</v>
          </cell>
          <cell r="D112">
            <v>11</v>
          </cell>
          <cell r="E112">
            <v>3</v>
          </cell>
        </row>
        <row r="113">
          <cell r="A113" t="str">
            <v>B075XDV8DB</v>
          </cell>
          <cell r="B113">
            <v>5</v>
          </cell>
          <cell r="C113">
            <v>3</v>
          </cell>
          <cell r="D113">
            <v>3</v>
          </cell>
          <cell r="E113">
            <v>1</v>
          </cell>
        </row>
        <row r="114">
          <cell r="A114" t="str">
            <v>B075XF6KDQ</v>
          </cell>
          <cell r="B114">
            <v>4</v>
          </cell>
          <cell r="C114">
            <v>2</v>
          </cell>
          <cell r="D114">
            <v>1</v>
          </cell>
          <cell r="E114">
            <v>1</v>
          </cell>
        </row>
        <row r="115">
          <cell r="A115" t="str">
            <v>B075XF75YS</v>
          </cell>
          <cell r="B115">
            <v>5</v>
          </cell>
          <cell r="C115">
            <v>2</v>
          </cell>
          <cell r="D115">
            <v>1</v>
          </cell>
          <cell r="E115">
            <v>1</v>
          </cell>
        </row>
        <row r="116">
          <cell r="A116" t="str">
            <v>B075XF8TFV</v>
          </cell>
          <cell r="B116">
            <v>1</v>
          </cell>
          <cell r="C116">
            <v>1</v>
          </cell>
          <cell r="D116">
            <v>3</v>
          </cell>
          <cell r="E116">
            <v>2</v>
          </cell>
        </row>
        <row r="117">
          <cell r="A117" t="str">
            <v>B075XFH141</v>
          </cell>
          <cell r="B117">
            <v>2</v>
          </cell>
          <cell r="C117">
            <v>1</v>
          </cell>
          <cell r="D117">
            <v>3</v>
          </cell>
          <cell r="E117">
            <v>1</v>
          </cell>
        </row>
        <row r="118">
          <cell r="A118" t="str">
            <v>B075XFQC8B</v>
          </cell>
          <cell r="B118">
            <v>5</v>
          </cell>
          <cell r="C118">
            <v>2</v>
          </cell>
          <cell r="D118">
            <v>4</v>
          </cell>
          <cell r="E118">
            <v>2</v>
          </cell>
        </row>
        <row r="119">
          <cell r="A119" t="str">
            <v>B075XFT9C9</v>
          </cell>
          <cell r="B119">
            <v>4</v>
          </cell>
          <cell r="C119">
            <v>2</v>
          </cell>
          <cell r="D119">
            <v>2</v>
          </cell>
          <cell r="E119">
            <v>3</v>
          </cell>
        </row>
        <row r="120">
          <cell r="A120" t="str">
            <v>B075XG5JVY</v>
          </cell>
          <cell r="B120">
            <v>3</v>
          </cell>
          <cell r="C120">
            <v>1</v>
          </cell>
          <cell r="D120">
            <v>4</v>
          </cell>
          <cell r="E120">
            <v>4</v>
          </cell>
        </row>
        <row r="121">
          <cell r="A121" t="str">
            <v>B075XG6Z6C</v>
          </cell>
          <cell r="B121">
            <v>4</v>
          </cell>
          <cell r="C121">
            <v>1</v>
          </cell>
          <cell r="D121">
            <v>4</v>
          </cell>
          <cell r="E121">
            <v>4</v>
          </cell>
        </row>
        <row r="122">
          <cell r="A122" t="str">
            <v>B075XGCNH2</v>
          </cell>
          <cell r="B122">
            <v>3</v>
          </cell>
          <cell r="C122">
            <v>2</v>
          </cell>
          <cell r="D122">
            <v>6</v>
          </cell>
          <cell r="E122">
            <v>4</v>
          </cell>
        </row>
        <row r="123">
          <cell r="A123" t="str">
            <v>B075XH1TBD</v>
          </cell>
          <cell r="B123">
            <v>3</v>
          </cell>
          <cell r="C123">
            <v>5</v>
          </cell>
          <cell r="D123">
            <v>3</v>
          </cell>
          <cell r="E123">
            <v>4</v>
          </cell>
        </row>
        <row r="124">
          <cell r="A124" t="str">
            <v>B075XH273G</v>
          </cell>
          <cell r="B124">
            <v>3</v>
          </cell>
          <cell r="C124">
            <v>2</v>
          </cell>
          <cell r="D124">
            <v>3</v>
          </cell>
          <cell r="E124">
            <v>3</v>
          </cell>
        </row>
        <row r="125">
          <cell r="A125" t="str">
            <v>B075XH35SF</v>
          </cell>
          <cell r="B125">
            <v>3</v>
          </cell>
          <cell r="C125">
            <v>2</v>
          </cell>
          <cell r="D125">
            <v>5</v>
          </cell>
          <cell r="E125">
            <v>1</v>
          </cell>
        </row>
        <row r="126">
          <cell r="A126" t="str">
            <v>B075XHCCFQ</v>
          </cell>
          <cell r="B126">
            <v>3</v>
          </cell>
          <cell r="C126">
            <v>3</v>
          </cell>
          <cell r="D126">
            <v>4</v>
          </cell>
          <cell r="E126">
            <v>1</v>
          </cell>
        </row>
        <row r="127">
          <cell r="A127" t="str">
            <v>B075XJBNCS</v>
          </cell>
          <cell r="B127">
            <v>2</v>
          </cell>
          <cell r="C127">
            <v>2</v>
          </cell>
          <cell r="D127">
            <v>5</v>
          </cell>
          <cell r="E127">
            <v>1</v>
          </cell>
        </row>
        <row r="128">
          <cell r="A128" t="str">
            <v>B077XQBJQ8</v>
          </cell>
          <cell r="B128">
            <v>2</v>
          </cell>
          <cell r="C128">
            <v>5</v>
          </cell>
          <cell r="D128">
            <v>2</v>
          </cell>
          <cell r="E128">
            <v>1</v>
          </cell>
        </row>
        <row r="129">
          <cell r="A129" t="str">
            <v>B077XQBVHJ</v>
          </cell>
          <cell r="B129">
            <v>2</v>
          </cell>
          <cell r="C129">
            <v>4</v>
          </cell>
          <cell r="D129">
            <v>1</v>
          </cell>
          <cell r="E129">
            <v>3</v>
          </cell>
        </row>
        <row r="130">
          <cell r="A130" t="str">
            <v>B077XQDLK1</v>
          </cell>
          <cell r="B130">
            <v>3</v>
          </cell>
          <cell r="C130">
            <v>5</v>
          </cell>
          <cell r="D130">
            <v>1</v>
          </cell>
          <cell r="E130">
            <v>3</v>
          </cell>
        </row>
        <row r="131">
          <cell r="A131" t="str">
            <v>B077XQDLK8</v>
          </cell>
          <cell r="B131">
            <v>3</v>
          </cell>
          <cell r="C131">
            <v>7</v>
          </cell>
          <cell r="D131">
            <v>1</v>
          </cell>
          <cell r="E131">
            <v>2</v>
          </cell>
        </row>
        <row r="132">
          <cell r="A132" t="str">
            <v>B077XRHLYX</v>
          </cell>
          <cell r="B132">
            <v>1</v>
          </cell>
          <cell r="C132">
            <v>3</v>
          </cell>
          <cell r="D132">
            <v>1</v>
          </cell>
          <cell r="E132">
            <v>4</v>
          </cell>
        </row>
        <row r="133">
          <cell r="A133" t="str">
            <v>B077XRYWSK</v>
          </cell>
          <cell r="B133">
            <v>0</v>
          </cell>
          <cell r="C133">
            <v>0</v>
          </cell>
          <cell r="D133">
            <v>1</v>
          </cell>
          <cell r="E133">
            <v>1</v>
          </cell>
        </row>
        <row r="134">
          <cell r="A134" t="str">
            <v>B077XRZ4P9</v>
          </cell>
          <cell r="B134">
            <v>0</v>
          </cell>
          <cell r="C134">
            <v>5</v>
          </cell>
          <cell r="D134">
            <v>1</v>
          </cell>
          <cell r="E134">
            <v>3</v>
          </cell>
        </row>
        <row r="135">
          <cell r="A135" t="str">
            <v>B077XRZBGV</v>
          </cell>
          <cell r="B135">
            <v>2</v>
          </cell>
          <cell r="C135">
            <v>3</v>
          </cell>
          <cell r="D135">
            <v>0</v>
          </cell>
          <cell r="E135">
            <v>2</v>
          </cell>
        </row>
        <row r="136">
          <cell r="A136" t="str">
            <v>B077XTXG7X</v>
          </cell>
          <cell r="B136">
            <v>0</v>
          </cell>
          <cell r="C136">
            <v>0</v>
          </cell>
          <cell r="D136">
            <v>2</v>
          </cell>
          <cell r="E136">
            <v>2</v>
          </cell>
        </row>
        <row r="137">
          <cell r="A137" t="str">
            <v>B077XTXHVH</v>
          </cell>
          <cell r="B137">
            <v>2</v>
          </cell>
          <cell r="C137">
            <v>2</v>
          </cell>
          <cell r="D137">
            <v>0</v>
          </cell>
          <cell r="E137">
            <v>4</v>
          </cell>
        </row>
        <row r="138">
          <cell r="A138" t="str">
            <v>B077XTXJ7Q</v>
          </cell>
          <cell r="B138">
            <v>2</v>
          </cell>
          <cell r="C138">
            <v>2</v>
          </cell>
          <cell r="D138">
            <v>0</v>
          </cell>
          <cell r="E138">
            <v>4</v>
          </cell>
        </row>
        <row r="139">
          <cell r="A139" t="str">
            <v>B077XTZVP8</v>
          </cell>
          <cell r="B139">
            <v>2</v>
          </cell>
          <cell r="C139">
            <v>2</v>
          </cell>
          <cell r="D139">
            <v>0</v>
          </cell>
          <cell r="E139">
            <v>1</v>
          </cell>
        </row>
        <row r="140">
          <cell r="A140" t="str">
            <v>B077XV3LFS</v>
          </cell>
          <cell r="B140">
            <v>1</v>
          </cell>
          <cell r="C140">
            <v>2</v>
          </cell>
          <cell r="D140">
            <v>1</v>
          </cell>
          <cell r="E140">
            <v>2</v>
          </cell>
        </row>
        <row r="141">
          <cell r="A141" t="str">
            <v>B077XVD9Y3</v>
          </cell>
          <cell r="B141">
            <v>8</v>
          </cell>
          <cell r="C141">
            <v>22</v>
          </cell>
          <cell r="D141">
            <v>26</v>
          </cell>
          <cell r="E141">
            <v>19</v>
          </cell>
        </row>
        <row r="142">
          <cell r="A142" t="str">
            <v>B077XVSQHX</v>
          </cell>
          <cell r="B142">
            <v>1</v>
          </cell>
          <cell r="C142">
            <v>2</v>
          </cell>
          <cell r="D142">
            <v>0</v>
          </cell>
          <cell r="E142">
            <v>3</v>
          </cell>
        </row>
        <row r="143">
          <cell r="A143" t="str">
            <v>B077XVSW32</v>
          </cell>
          <cell r="B143">
            <v>1</v>
          </cell>
          <cell r="C143">
            <v>2</v>
          </cell>
          <cell r="D143">
            <v>0</v>
          </cell>
          <cell r="E143">
            <v>3</v>
          </cell>
        </row>
        <row r="144">
          <cell r="A144" t="str">
            <v>B077XVV8MB</v>
          </cell>
          <cell r="B144">
            <v>1</v>
          </cell>
          <cell r="C144">
            <v>4</v>
          </cell>
          <cell r="D144">
            <v>0</v>
          </cell>
          <cell r="E144">
            <v>3</v>
          </cell>
        </row>
        <row r="145">
          <cell r="A145" t="str">
            <v>B077XX3FN9</v>
          </cell>
          <cell r="B145">
            <v>1</v>
          </cell>
          <cell r="C145">
            <v>2</v>
          </cell>
          <cell r="D145">
            <v>3</v>
          </cell>
          <cell r="E145">
            <v>2</v>
          </cell>
        </row>
        <row r="146">
          <cell r="A146" t="str">
            <v>B077XX5QDF</v>
          </cell>
          <cell r="B146">
            <v>2</v>
          </cell>
          <cell r="C146">
            <v>2</v>
          </cell>
          <cell r="D146">
            <v>0</v>
          </cell>
          <cell r="E146">
            <v>3</v>
          </cell>
        </row>
        <row r="147">
          <cell r="A147" t="str">
            <v>B077XX5X7K</v>
          </cell>
          <cell r="B147">
            <v>2</v>
          </cell>
          <cell r="C147">
            <v>3</v>
          </cell>
          <cell r="D147">
            <v>1</v>
          </cell>
          <cell r="E147">
            <v>1</v>
          </cell>
        </row>
        <row r="148">
          <cell r="A148" t="str">
            <v>B077XX612Q</v>
          </cell>
          <cell r="B148">
            <v>0</v>
          </cell>
          <cell r="C148">
            <v>0</v>
          </cell>
          <cell r="D148">
            <v>0</v>
          </cell>
          <cell r="E148">
            <v>2</v>
          </cell>
        </row>
        <row r="149">
          <cell r="A149" t="str">
            <v>B077YWGR1B</v>
          </cell>
          <cell r="B149">
            <v>1</v>
          </cell>
          <cell r="C149">
            <v>1</v>
          </cell>
          <cell r="D149">
            <v>2</v>
          </cell>
          <cell r="E149">
            <v>2</v>
          </cell>
        </row>
        <row r="150">
          <cell r="A150" t="str">
            <v>B077YWGW7H</v>
          </cell>
          <cell r="B150">
            <v>0</v>
          </cell>
          <cell r="C150">
            <v>1</v>
          </cell>
          <cell r="D150">
            <v>1</v>
          </cell>
          <cell r="E150">
            <v>3</v>
          </cell>
        </row>
        <row r="151">
          <cell r="A151" t="str">
            <v>B077YWGXBQ</v>
          </cell>
          <cell r="B151">
            <v>1</v>
          </cell>
          <cell r="C151">
            <v>3</v>
          </cell>
          <cell r="D151">
            <v>2</v>
          </cell>
          <cell r="E151">
            <v>1</v>
          </cell>
        </row>
        <row r="152">
          <cell r="A152" t="str">
            <v>B077YWGZ93</v>
          </cell>
          <cell r="B152">
            <v>1</v>
          </cell>
          <cell r="C152">
            <v>1</v>
          </cell>
          <cell r="D152">
            <v>2</v>
          </cell>
          <cell r="E152">
            <v>1</v>
          </cell>
        </row>
        <row r="153">
          <cell r="A153" t="str">
            <v>B077YWH21S</v>
          </cell>
          <cell r="B153">
            <v>1</v>
          </cell>
          <cell r="C153">
            <v>2</v>
          </cell>
          <cell r="D153">
            <v>2</v>
          </cell>
          <cell r="E153">
            <v>2</v>
          </cell>
        </row>
        <row r="154">
          <cell r="A154" t="str">
            <v>B077YWH5DT</v>
          </cell>
          <cell r="B154">
            <v>2</v>
          </cell>
          <cell r="C154">
            <v>3</v>
          </cell>
          <cell r="D154">
            <v>2</v>
          </cell>
          <cell r="E154">
            <v>1</v>
          </cell>
        </row>
        <row r="155">
          <cell r="A155" t="str">
            <v>B077Z1QNCD</v>
          </cell>
          <cell r="B155">
            <v>0</v>
          </cell>
          <cell r="C155">
            <v>1</v>
          </cell>
          <cell r="D155">
            <v>2</v>
          </cell>
          <cell r="E155">
            <v>1</v>
          </cell>
        </row>
        <row r="156">
          <cell r="A156" t="str">
            <v>B077Z1QPRQ</v>
          </cell>
          <cell r="B156">
            <v>0</v>
          </cell>
          <cell r="C156">
            <v>0</v>
          </cell>
          <cell r="D156">
            <v>2</v>
          </cell>
          <cell r="E156">
            <v>1</v>
          </cell>
        </row>
        <row r="157">
          <cell r="A157" t="str">
            <v>B077Z1SBLC</v>
          </cell>
          <cell r="B157">
            <v>0</v>
          </cell>
          <cell r="C157">
            <v>2</v>
          </cell>
          <cell r="D157">
            <v>2</v>
          </cell>
          <cell r="E157">
            <v>3</v>
          </cell>
        </row>
        <row r="158">
          <cell r="A158" t="str">
            <v>B077Z1SFPY</v>
          </cell>
          <cell r="B158">
            <v>0</v>
          </cell>
          <cell r="C158">
            <v>0</v>
          </cell>
          <cell r="D158">
            <v>3</v>
          </cell>
          <cell r="E158">
            <v>2</v>
          </cell>
        </row>
        <row r="159">
          <cell r="A159" t="str">
            <v>B077Z1TXX5</v>
          </cell>
          <cell r="B159">
            <v>0</v>
          </cell>
          <cell r="C159">
            <v>0</v>
          </cell>
          <cell r="D159">
            <v>2</v>
          </cell>
          <cell r="E159">
            <v>3</v>
          </cell>
        </row>
        <row r="160">
          <cell r="A160" t="str">
            <v>B077Z3FG6P</v>
          </cell>
          <cell r="B160">
            <v>0</v>
          </cell>
          <cell r="C160">
            <v>3</v>
          </cell>
          <cell r="D160">
            <v>3</v>
          </cell>
          <cell r="E160">
            <v>2</v>
          </cell>
        </row>
        <row r="161">
          <cell r="A161" t="str">
            <v>B077Z3FG6V</v>
          </cell>
          <cell r="B161">
            <v>1</v>
          </cell>
          <cell r="C161">
            <v>0</v>
          </cell>
          <cell r="D161">
            <v>4</v>
          </cell>
          <cell r="E161">
            <v>2</v>
          </cell>
        </row>
        <row r="162">
          <cell r="A162" t="str">
            <v>B077Z5LR3B</v>
          </cell>
          <cell r="B162">
            <v>0</v>
          </cell>
          <cell r="C162">
            <v>1</v>
          </cell>
          <cell r="D162">
            <v>2</v>
          </cell>
          <cell r="E162">
            <v>2</v>
          </cell>
        </row>
        <row r="163">
          <cell r="A163" t="str">
            <v>B077Z5M1T9</v>
          </cell>
          <cell r="B163">
            <v>1</v>
          </cell>
          <cell r="C163">
            <v>0</v>
          </cell>
          <cell r="D163">
            <v>3</v>
          </cell>
          <cell r="E163">
            <v>1</v>
          </cell>
        </row>
        <row r="164">
          <cell r="A164" t="str">
            <v>B077Z7QZZY</v>
          </cell>
          <cell r="B164">
            <v>1</v>
          </cell>
          <cell r="C164">
            <v>1</v>
          </cell>
          <cell r="D164">
            <v>2</v>
          </cell>
          <cell r="E164">
            <v>1</v>
          </cell>
        </row>
        <row r="165">
          <cell r="A165" t="str">
            <v>B077Z7R3DQ</v>
          </cell>
          <cell r="B165">
            <v>0</v>
          </cell>
          <cell r="C165">
            <v>1</v>
          </cell>
          <cell r="D165">
            <v>0</v>
          </cell>
          <cell r="E165">
            <v>1</v>
          </cell>
        </row>
        <row r="166">
          <cell r="A166" t="str">
            <v>B077Z7RY9J</v>
          </cell>
          <cell r="B166">
            <v>2</v>
          </cell>
          <cell r="C166">
            <v>1</v>
          </cell>
          <cell r="D166">
            <v>1</v>
          </cell>
          <cell r="E166">
            <v>2</v>
          </cell>
        </row>
        <row r="167">
          <cell r="A167" t="str">
            <v>B0785HZPS2</v>
          </cell>
          <cell r="B167">
            <v>2</v>
          </cell>
          <cell r="C167">
            <v>0</v>
          </cell>
          <cell r="D167">
            <v>1</v>
          </cell>
          <cell r="E167">
            <v>2</v>
          </cell>
        </row>
        <row r="168">
          <cell r="A168" t="str">
            <v>B0785JC4N5</v>
          </cell>
          <cell r="B168">
            <v>2</v>
          </cell>
          <cell r="C168">
            <v>2</v>
          </cell>
          <cell r="D168">
            <v>1</v>
          </cell>
          <cell r="E168">
            <v>3</v>
          </cell>
        </row>
        <row r="169">
          <cell r="A169" t="str">
            <v>B0785K545N</v>
          </cell>
          <cell r="B169">
            <v>2</v>
          </cell>
          <cell r="C169">
            <v>0</v>
          </cell>
          <cell r="D169">
            <v>0</v>
          </cell>
          <cell r="E169">
            <v>1</v>
          </cell>
        </row>
        <row r="170">
          <cell r="A170" t="str">
            <v>B0785L1H91</v>
          </cell>
          <cell r="B170">
            <v>2</v>
          </cell>
          <cell r="C170">
            <v>3</v>
          </cell>
          <cell r="D170">
            <v>0</v>
          </cell>
          <cell r="E170">
            <v>2</v>
          </cell>
        </row>
        <row r="171">
          <cell r="A171" t="str">
            <v>B0785L1RRG</v>
          </cell>
          <cell r="B171">
            <v>5</v>
          </cell>
          <cell r="C171">
            <v>2</v>
          </cell>
          <cell r="D171">
            <v>0</v>
          </cell>
          <cell r="E171">
            <v>2</v>
          </cell>
        </row>
        <row r="172">
          <cell r="A172" t="str">
            <v>B0785P964M</v>
          </cell>
          <cell r="B172">
            <v>4</v>
          </cell>
          <cell r="C172">
            <v>3</v>
          </cell>
          <cell r="D172">
            <v>1</v>
          </cell>
          <cell r="E172">
            <v>2</v>
          </cell>
        </row>
        <row r="173">
          <cell r="A173" t="str">
            <v>B0785PHFJC</v>
          </cell>
          <cell r="B173">
            <v>3</v>
          </cell>
          <cell r="C173">
            <v>3</v>
          </cell>
          <cell r="D173">
            <v>1</v>
          </cell>
          <cell r="E173">
            <v>3</v>
          </cell>
        </row>
        <row r="174">
          <cell r="A174" t="str">
            <v>B0785PS8WV</v>
          </cell>
          <cell r="B174">
            <v>4</v>
          </cell>
          <cell r="C174">
            <v>2</v>
          </cell>
          <cell r="D174">
            <v>1</v>
          </cell>
          <cell r="E174">
            <v>1</v>
          </cell>
        </row>
        <row r="175">
          <cell r="A175" t="str">
            <v>B0785PV9GH</v>
          </cell>
          <cell r="B175">
            <v>3</v>
          </cell>
          <cell r="C175">
            <v>1</v>
          </cell>
          <cell r="D175">
            <v>1</v>
          </cell>
          <cell r="E175">
            <v>2</v>
          </cell>
        </row>
        <row r="176">
          <cell r="A176" t="str">
            <v>B0785Q5CB9</v>
          </cell>
          <cell r="B176">
            <v>2</v>
          </cell>
          <cell r="C176">
            <v>2</v>
          </cell>
          <cell r="D176">
            <v>1</v>
          </cell>
          <cell r="E176">
            <v>2</v>
          </cell>
        </row>
        <row r="177">
          <cell r="A177" t="str">
            <v>B0785RM358</v>
          </cell>
          <cell r="B177">
            <v>4</v>
          </cell>
          <cell r="C177">
            <v>1</v>
          </cell>
          <cell r="D177">
            <v>1</v>
          </cell>
          <cell r="E177">
            <v>2</v>
          </cell>
        </row>
        <row r="178">
          <cell r="A178" t="str">
            <v>B0785SC1FB</v>
          </cell>
          <cell r="B178">
            <v>4</v>
          </cell>
          <cell r="C178">
            <v>1</v>
          </cell>
          <cell r="D178">
            <v>1</v>
          </cell>
          <cell r="E178">
            <v>1</v>
          </cell>
        </row>
        <row r="179">
          <cell r="A179" t="str">
            <v>B078H79DCY</v>
          </cell>
          <cell r="B179">
            <v>12</v>
          </cell>
          <cell r="C179">
            <v>3</v>
          </cell>
          <cell r="D179">
            <v>10</v>
          </cell>
          <cell r="E179">
            <v>4</v>
          </cell>
        </row>
        <row r="180">
          <cell r="A180" t="str">
            <v>B078HD4M37</v>
          </cell>
          <cell r="B180">
            <v>11</v>
          </cell>
          <cell r="C180">
            <v>4</v>
          </cell>
          <cell r="D180">
            <v>7</v>
          </cell>
          <cell r="E180">
            <v>1</v>
          </cell>
        </row>
        <row r="181">
          <cell r="A181" t="str">
            <v>B078HNLGWS</v>
          </cell>
          <cell r="B181">
            <v>15</v>
          </cell>
          <cell r="C181">
            <v>20</v>
          </cell>
          <cell r="D181">
            <v>6</v>
          </cell>
          <cell r="E181">
            <v>1</v>
          </cell>
        </row>
        <row r="182">
          <cell r="A182" t="str">
            <v>B0798NZCMN</v>
          </cell>
          <cell r="B182">
            <v>6</v>
          </cell>
          <cell r="C182">
            <v>3</v>
          </cell>
          <cell r="D182">
            <v>3</v>
          </cell>
          <cell r="E182">
            <v>4</v>
          </cell>
        </row>
        <row r="183">
          <cell r="A183" t="str">
            <v>B0798NZTJD</v>
          </cell>
          <cell r="B183">
            <v>6</v>
          </cell>
          <cell r="C183">
            <v>2</v>
          </cell>
          <cell r="D183">
            <v>2</v>
          </cell>
          <cell r="E183">
            <v>6</v>
          </cell>
        </row>
        <row r="184">
          <cell r="A184" t="str">
            <v>B0798P1DCX</v>
          </cell>
          <cell r="B184">
            <v>12</v>
          </cell>
          <cell r="C184">
            <v>5</v>
          </cell>
          <cell r="D184">
            <v>5</v>
          </cell>
          <cell r="E184">
            <v>7</v>
          </cell>
        </row>
        <row r="185">
          <cell r="A185" t="str">
            <v>B0798PCSXB</v>
          </cell>
          <cell r="B185">
            <v>18</v>
          </cell>
          <cell r="C185">
            <v>9</v>
          </cell>
          <cell r="D185">
            <v>3</v>
          </cell>
          <cell r="E185">
            <v>3</v>
          </cell>
        </row>
        <row r="186">
          <cell r="A186" t="str">
            <v>B0798PX336</v>
          </cell>
          <cell r="B186">
            <v>0</v>
          </cell>
          <cell r="C186">
            <v>6</v>
          </cell>
          <cell r="D186">
            <v>13</v>
          </cell>
          <cell r="E186">
            <v>1</v>
          </cell>
        </row>
        <row r="187">
          <cell r="A187" t="str">
            <v>B0798PY6XT</v>
          </cell>
          <cell r="B187">
            <v>40</v>
          </cell>
          <cell r="C187">
            <v>29</v>
          </cell>
          <cell r="D187">
            <v>16</v>
          </cell>
          <cell r="E187">
            <v>2</v>
          </cell>
        </row>
        <row r="188">
          <cell r="A188" t="str">
            <v>B079GLZ6K8</v>
          </cell>
          <cell r="B188">
            <v>6</v>
          </cell>
          <cell r="C188">
            <v>11</v>
          </cell>
          <cell r="D188">
            <v>6</v>
          </cell>
          <cell r="E188">
            <v>4</v>
          </cell>
        </row>
        <row r="189">
          <cell r="A189" t="str">
            <v>B079GM3BXL</v>
          </cell>
          <cell r="B189">
            <v>11</v>
          </cell>
          <cell r="C189">
            <v>21</v>
          </cell>
          <cell r="D189">
            <v>15</v>
          </cell>
          <cell r="E189">
            <v>12</v>
          </cell>
        </row>
        <row r="190">
          <cell r="A190" t="str">
            <v>B079GML28B</v>
          </cell>
          <cell r="B190">
            <v>11</v>
          </cell>
          <cell r="C190">
            <v>2</v>
          </cell>
          <cell r="D190">
            <v>5</v>
          </cell>
          <cell r="E190">
            <v>6</v>
          </cell>
        </row>
        <row r="191">
          <cell r="A191" t="str">
            <v>B079GMMWG2</v>
          </cell>
          <cell r="B191">
            <v>11</v>
          </cell>
          <cell r="C191">
            <v>8</v>
          </cell>
          <cell r="D191">
            <v>15</v>
          </cell>
          <cell r="E191">
            <v>9</v>
          </cell>
        </row>
        <row r="192">
          <cell r="A192" t="str">
            <v>B079GNL7BD</v>
          </cell>
          <cell r="B192">
            <v>6</v>
          </cell>
          <cell r="C192">
            <v>3</v>
          </cell>
          <cell r="D192">
            <v>5</v>
          </cell>
          <cell r="E192">
            <v>3</v>
          </cell>
        </row>
        <row r="193">
          <cell r="A193" t="str">
            <v>B079GPD2NN</v>
          </cell>
          <cell r="B193">
            <v>4</v>
          </cell>
          <cell r="C193">
            <v>4</v>
          </cell>
          <cell r="D193">
            <v>6</v>
          </cell>
          <cell r="E193">
            <v>7</v>
          </cell>
        </row>
        <row r="194">
          <cell r="A194" t="str">
            <v>B079GPRVHY</v>
          </cell>
          <cell r="B194">
            <v>5</v>
          </cell>
          <cell r="C194">
            <v>11</v>
          </cell>
          <cell r="D194">
            <v>8</v>
          </cell>
          <cell r="E194">
            <v>4</v>
          </cell>
        </row>
        <row r="195">
          <cell r="A195" t="str">
            <v>B079GQ2C5K</v>
          </cell>
          <cell r="B195">
            <v>4</v>
          </cell>
          <cell r="C195">
            <v>5</v>
          </cell>
          <cell r="D195">
            <v>5</v>
          </cell>
          <cell r="E195">
            <v>2</v>
          </cell>
        </row>
        <row r="196">
          <cell r="A196" t="str">
            <v>B079GQ697Z</v>
          </cell>
          <cell r="B196">
            <v>11</v>
          </cell>
          <cell r="C196">
            <v>5</v>
          </cell>
          <cell r="D196">
            <v>6</v>
          </cell>
          <cell r="E196">
            <v>6</v>
          </cell>
        </row>
        <row r="197">
          <cell r="A197" t="str">
            <v>B079GQ7X19</v>
          </cell>
          <cell r="B197">
            <v>15</v>
          </cell>
          <cell r="C197">
            <v>5</v>
          </cell>
          <cell r="D197">
            <v>5</v>
          </cell>
          <cell r="E197">
            <v>1</v>
          </cell>
        </row>
        <row r="198">
          <cell r="A198" t="str">
            <v>B079GQ99MR</v>
          </cell>
          <cell r="B198">
            <v>7</v>
          </cell>
          <cell r="C198">
            <v>8</v>
          </cell>
          <cell r="D198">
            <v>4</v>
          </cell>
          <cell r="E198">
            <v>4</v>
          </cell>
        </row>
        <row r="199">
          <cell r="A199" t="str">
            <v>B079GQB66Z</v>
          </cell>
          <cell r="B199">
            <v>5</v>
          </cell>
          <cell r="C199">
            <v>9</v>
          </cell>
          <cell r="D199">
            <v>6</v>
          </cell>
          <cell r="E199">
            <v>9</v>
          </cell>
        </row>
        <row r="200">
          <cell r="A200" t="str">
            <v>B079GQWL9S</v>
          </cell>
          <cell r="B200">
            <v>16</v>
          </cell>
          <cell r="C200">
            <v>15</v>
          </cell>
          <cell r="D200">
            <v>2</v>
          </cell>
          <cell r="E200">
            <v>1</v>
          </cell>
        </row>
        <row r="201">
          <cell r="A201" t="str">
            <v>B079GQYYYF</v>
          </cell>
          <cell r="B201">
            <v>2</v>
          </cell>
          <cell r="C201">
            <v>3</v>
          </cell>
          <cell r="D201">
            <v>5</v>
          </cell>
          <cell r="E201">
            <v>3</v>
          </cell>
        </row>
        <row r="202">
          <cell r="A202" t="str">
            <v>B079GQZMQ2</v>
          </cell>
          <cell r="B202">
            <v>5</v>
          </cell>
          <cell r="C202">
            <v>13</v>
          </cell>
          <cell r="D202">
            <v>5</v>
          </cell>
          <cell r="E202">
            <v>3</v>
          </cell>
        </row>
        <row r="203">
          <cell r="A203" t="str">
            <v>B079GR91JK</v>
          </cell>
          <cell r="B203">
            <v>4</v>
          </cell>
          <cell r="C203">
            <v>5</v>
          </cell>
          <cell r="D203">
            <v>2</v>
          </cell>
          <cell r="E203">
            <v>6</v>
          </cell>
        </row>
        <row r="204">
          <cell r="A204" t="str">
            <v>B079GRXYH8</v>
          </cell>
          <cell r="B204">
            <v>13</v>
          </cell>
          <cell r="C204">
            <v>20</v>
          </cell>
          <cell r="D204">
            <v>16</v>
          </cell>
          <cell r="E204">
            <v>13</v>
          </cell>
        </row>
        <row r="205">
          <cell r="A205" t="str">
            <v>B079GS1ZJR</v>
          </cell>
          <cell r="B205">
            <v>23</v>
          </cell>
          <cell r="C205">
            <v>16</v>
          </cell>
          <cell r="D205">
            <v>6</v>
          </cell>
          <cell r="E205">
            <v>6</v>
          </cell>
        </row>
        <row r="206">
          <cell r="A206" t="str">
            <v>B079GS81P9</v>
          </cell>
          <cell r="B206">
            <v>8</v>
          </cell>
          <cell r="C206">
            <v>5</v>
          </cell>
          <cell r="D206">
            <v>6</v>
          </cell>
          <cell r="E206">
            <v>8</v>
          </cell>
        </row>
        <row r="207">
          <cell r="A207" t="str">
            <v>B079GTFGYN</v>
          </cell>
          <cell r="B207">
            <v>12</v>
          </cell>
          <cell r="C207">
            <v>4</v>
          </cell>
          <cell r="D207">
            <v>1</v>
          </cell>
          <cell r="E207">
            <v>1</v>
          </cell>
        </row>
        <row r="208">
          <cell r="A208" t="str">
            <v>B079HP2RFZ</v>
          </cell>
          <cell r="B208">
            <v>735</v>
          </cell>
          <cell r="C208">
            <v>148</v>
          </cell>
          <cell r="D208">
            <v>48</v>
          </cell>
          <cell r="E208">
            <v>54</v>
          </cell>
        </row>
        <row r="209">
          <cell r="A209" t="str">
            <v>B079HPCGB9</v>
          </cell>
          <cell r="B209">
            <v>2284</v>
          </cell>
          <cell r="C209">
            <v>114</v>
          </cell>
          <cell r="D209">
            <v>36</v>
          </cell>
          <cell r="E209">
            <v>55</v>
          </cell>
        </row>
        <row r="210">
          <cell r="A210" t="str">
            <v>B079HPLTVC</v>
          </cell>
          <cell r="B210">
            <v>1186</v>
          </cell>
          <cell r="C210">
            <v>518</v>
          </cell>
          <cell r="D210">
            <v>75</v>
          </cell>
          <cell r="E210">
            <v>106</v>
          </cell>
        </row>
        <row r="211">
          <cell r="A211" t="str">
            <v>B079HQGKS9</v>
          </cell>
          <cell r="B211">
            <v>200</v>
          </cell>
          <cell r="C211">
            <v>55</v>
          </cell>
          <cell r="D211">
            <v>21</v>
          </cell>
          <cell r="E211">
            <v>23</v>
          </cell>
        </row>
        <row r="212">
          <cell r="A212" t="str">
            <v>B079HQPJP2</v>
          </cell>
          <cell r="B212">
            <v>1599</v>
          </cell>
          <cell r="C212">
            <v>162</v>
          </cell>
          <cell r="D212">
            <v>106</v>
          </cell>
          <cell r="E212">
            <v>60</v>
          </cell>
        </row>
        <row r="213">
          <cell r="A213" t="str">
            <v>B079HQW62H</v>
          </cell>
          <cell r="B213">
            <v>660</v>
          </cell>
          <cell r="C213">
            <v>115</v>
          </cell>
          <cell r="D213">
            <v>83</v>
          </cell>
          <cell r="E213">
            <v>65</v>
          </cell>
        </row>
        <row r="214">
          <cell r="A214" t="str">
            <v>B079HRST93</v>
          </cell>
          <cell r="B214">
            <v>5</v>
          </cell>
          <cell r="C214">
            <v>176</v>
          </cell>
          <cell r="D214">
            <v>34</v>
          </cell>
          <cell r="E214">
            <v>31</v>
          </cell>
        </row>
        <row r="215">
          <cell r="A215" t="str">
            <v>B079HRYZ8F</v>
          </cell>
          <cell r="B215">
            <v>363</v>
          </cell>
          <cell r="C215">
            <v>36</v>
          </cell>
          <cell r="D215">
            <v>22</v>
          </cell>
          <cell r="E215">
            <v>13</v>
          </cell>
        </row>
        <row r="216">
          <cell r="A216" t="str">
            <v>B079HS8H93</v>
          </cell>
          <cell r="B216">
            <v>192</v>
          </cell>
          <cell r="C216">
            <v>37</v>
          </cell>
          <cell r="D216">
            <v>23</v>
          </cell>
          <cell r="E216">
            <v>31</v>
          </cell>
        </row>
        <row r="217">
          <cell r="A217" t="str">
            <v>B079J99WVX</v>
          </cell>
          <cell r="B217">
            <v>2</v>
          </cell>
          <cell r="C217">
            <v>5</v>
          </cell>
          <cell r="D217">
            <v>3</v>
          </cell>
          <cell r="E217">
            <v>2</v>
          </cell>
        </row>
        <row r="218">
          <cell r="A218" t="str">
            <v>B079JD7ZJ2</v>
          </cell>
          <cell r="B218">
            <v>3</v>
          </cell>
          <cell r="C218">
            <v>3</v>
          </cell>
          <cell r="D218">
            <v>0</v>
          </cell>
          <cell r="E218">
            <v>1</v>
          </cell>
        </row>
        <row r="219">
          <cell r="A219" t="str">
            <v>B079JF8TQM</v>
          </cell>
          <cell r="B219">
            <v>7</v>
          </cell>
          <cell r="C219">
            <v>19</v>
          </cell>
          <cell r="D219">
            <v>2</v>
          </cell>
          <cell r="E219">
            <v>4</v>
          </cell>
        </row>
        <row r="220">
          <cell r="A220" t="str">
            <v>B079JGMFTB</v>
          </cell>
          <cell r="B220">
            <v>0</v>
          </cell>
          <cell r="C220">
            <v>5</v>
          </cell>
          <cell r="D220">
            <v>10</v>
          </cell>
          <cell r="E220">
            <v>2</v>
          </cell>
        </row>
        <row r="221">
          <cell r="A221" t="str">
            <v>B079M1Y4YS</v>
          </cell>
          <cell r="B221">
            <v>3</v>
          </cell>
          <cell r="C221">
            <v>4</v>
          </cell>
          <cell r="D221">
            <v>0</v>
          </cell>
          <cell r="E221">
            <v>1</v>
          </cell>
        </row>
        <row r="222">
          <cell r="A222" t="str">
            <v>B079M2W31H</v>
          </cell>
          <cell r="B222">
            <v>1</v>
          </cell>
          <cell r="C222">
            <v>4</v>
          </cell>
          <cell r="D222">
            <v>0</v>
          </cell>
          <cell r="E222">
            <v>1</v>
          </cell>
        </row>
        <row r="223">
          <cell r="A223" t="str">
            <v>B079M4C6DT</v>
          </cell>
          <cell r="B223">
            <v>3</v>
          </cell>
          <cell r="C223">
            <v>4</v>
          </cell>
          <cell r="D223">
            <v>1</v>
          </cell>
          <cell r="E223">
            <v>1</v>
          </cell>
        </row>
        <row r="224">
          <cell r="A224" t="str">
            <v>B079MDCK5Y</v>
          </cell>
          <cell r="B224">
            <v>2</v>
          </cell>
          <cell r="C224">
            <v>3</v>
          </cell>
          <cell r="D224">
            <v>2</v>
          </cell>
          <cell r="E224">
            <v>3</v>
          </cell>
        </row>
        <row r="225">
          <cell r="A225" t="str">
            <v>B07B9WYZG3</v>
          </cell>
          <cell r="B225">
            <v>40</v>
          </cell>
          <cell r="C225">
            <v>3</v>
          </cell>
          <cell r="D225">
            <v>9</v>
          </cell>
          <cell r="E225">
            <v>12</v>
          </cell>
        </row>
        <row r="226">
          <cell r="A226" t="str">
            <v>B07BGSSQLV</v>
          </cell>
          <cell r="B226">
            <v>494</v>
          </cell>
          <cell r="C226">
            <v>242</v>
          </cell>
          <cell r="D226">
            <v>123</v>
          </cell>
          <cell r="E226">
            <v>143</v>
          </cell>
        </row>
        <row r="227">
          <cell r="A227" t="str">
            <v>B07BGWTSX6</v>
          </cell>
          <cell r="B227">
            <v>1083</v>
          </cell>
          <cell r="C227">
            <v>551</v>
          </cell>
          <cell r="D227">
            <v>425</v>
          </cell>
          <cell r="E227">
            <v>277</v>
          </cell>
        </row>
        <row r="228">
          <cell r="A228" t="str">
            <v>B07BLQ5R6S</v>
          </cell>
          <cell r="B228">
            <v>8</v>
          </cell>
          <cell r="C228">
            <v>4</v>
          </cell>
          <cell r="D228">
            <v>0</v>
          </cell>
          <cell r="E228">
            <v>2</v>
          </cell>
        </row>
        <row r="229">
          <cell r="A229" t="str">
            <v>B07BLQFM2G</v>
          </cell>
          <cell r="B229">
            <v>7</v>
          </cell>
          <cell r="C229">
            <v>2</v>
          </cell>
          <cell r="D229">
            <v>3</v>
          </cell>
          <cell r="E229">
            <v>1</v>
          </cell>
        </row>
        <row r="230">
          <cell r="A230" t="str">
            <v>B07BLQJYGS</v>
          </cell>
          <cell r="B230">
            <v>5</v>
          </cell>
          <cell r="C230">
            <v>2</v>
          </cell>
          <cell r="D230">
            <v>2</v>
          </cell>
          <cell r="E230">
            <v>0</v>
          </cell>
        </row>
        <row r="231">
          <cell r="A231" t="str">
            <v>B07BLR41F3</v>
          </cell>
          <cell r="B231">
            <v>6</v>
          </cell>
          <cell r="C231">
            <v>1</v>
          </cell>
          <cell r="D231">
            <v>2</v>
          </cell>
          <cell r="E231">
            <v>1</v>
          </cell>
        </row>
        <row r="232">
          <cell r="A232" t="str">
            <v>B07BLRDXJK</v>
          </cell>
          <cell r="B232">
            <v>4</v>
          </cell>
          <cell r="C232">
            <v>0</v>
          </cell>
          <cell r="D232">
            <v>2</v>
          </cell>
          <cell r="E232">
            <v>2</v>
          </cell>
        </row>
        <row r="233">
          <cell r="A233" t="str">
            <v>B07BLRLRW6</v>
          </cell>
          <cell r="B233">
            <v>2</v>
          </cell>
          <cell r="C233">
            <v>0</v>
          </cell>
          <cell r="D233">
            <v>2</v>
          </cell>
          <cell r="E233">
            <v>1</v>
          </cell>
        </row>
        <row r="234">
          <cell r="A234" t="str">
            <v>B07BLRNMV5</v>
          </cell>
          <cell r="B234">
            <v>3</v>
          </cell>
          <cell r="C234">
            <v>0</v>
          </cell>
          <cell r="D234">
            <v>2</v>
          </cell>
          <cell r="E234">
            <v>3</v>
          </cell>
        </row>
        <row r="235">
          <cell r="A235" t="str">
            <v>B07BLRT4X9</v>
          </cell>
          <cell r="B235">
            <v>2</v>
          </cell>
          <cell r="C235">
            <v>2</v>
          </cell>
          <cell r="D235">
            <v>1</v>
          </cell>
          <cell r="E235">
            <v>2</v>
          </cell>
        </row>
        <row r="236">
          <cell r="A236" t="str">
            <v>B07BLRTLGM</v>
          </cell>
          <cell r="B236">
            <v>2</v>
          </cell>
          <cell r="C236">
            <v>0</v>
          </cell>
          <cell r="D236">
            <v>1</v>
          </cell>
          <cell r="E236">
            <v>4</v>
          </cell>
        </row>
        <row r="237">
          <cell r="A237" t="str">
            <v>B07BLRWPX4</v>
          </cell>
          <cell r="B237">
            <v>2</v>
          </cell>
          <cell r="C237">
            <v>0</v>
          </cell>
          <cell r="D237">
            <v>2</v>
          </cell>
          <cell r="E237">
            <v>2</v>
          </cell>
        </row>
        <row r="238">
          <cell r="A238" t="str">
            <v>B07BLRWWB9</v>
          </cell>
          <cell r="B238">
            <v>1</v>
          </cell>
          <cell r="C238">
            <v>0</v>
          </cell>
          <cell r="D238">
            <v>1</v>
          </cell>
          <cell r="E238">
            <v>1</v>
          </cell>
        </row>
        <row r="239">
          <cell r="A239" t="str">
            <v>B07BLRYV4K</v>
          </cell>
          <cell r="B239">
            <v>4</v>
          </cell>
          <cell r="C239">
            <v>3</v>
          </cell>
          <cell r="D239">
            <v>1</v>
          </cell>
          <cell r="E239">
            <v>1</v>
          </cell>
        </row>
        <row r="240">
          <cell r="A240" t="str">
            <v>B07BLS3RH4</v>
          </cell>
          <cell r="B240">
            <v>2</v>
          </cell>
          <cell r="C240">
            <v>1</v>
          </cell>
          <cell r="D240">
            <v>1</v>
          </cell>
          <cell r="E240">
            <v>1</v>
          </cell>
        </row>
        <row r="241">
          <cell r="A241" t="str">
            <v>B07BLSKPGN</v>
          </cell>
          <cell r="B241">
            <v>2</v>
          </cell>
          <cell r="C241">
            <v>2</v>
          </cell>
          <cell r="D241">
            <v>0</v>
          </cell>
          <cell r="E241">
            <v>1</v>
          </cell>
        </row>
        <row r="242">
          <cell r="A242" t="str">
            <v>B07BLSLVNQ</v>
          </cell>
          <cell r="B242">
            <v>1</v>
          </cell>
          <cell r="C242">
            <v>1</v>
          </cell>
          <cell r="D242">
            <v>0</v>
          </cell>
          <cell r="E242">
            <v>3</v>
          </cell>
        </row>
        <row r="243">
          <cell r="A243" t="str">
            <v>B07BLSQB24</v>
          </cell>
          <cell r="B243">
            <v>1</v>
          </cell>
          <cell r="C243">
            <v>2</v>
          </cell>
          <cell r="D243">
            <v>0</v>
          </cell>
          <cell r="E243">
            <v>1</v>
          </cell>
        </row>
        <row r="244">
          <cell r="A244" t="str">
            <v>B07BLSR168</v>
          </cell>
          <cell r="B244">
            <v>1</v>
          </cell>
          <cell r="C244">
            <v>1</v>
          </cell>
          <cell r="D244">
            <v>1</v>
          </cell>
          <cell r="E244">
            <v>1</v>
          </cell>
        </row>
        <row r="245">
          <cell r="A245" t="str">
            <v>B07BLT8K4B</v>
          </cell>
          <cell r="B245">
            <v>4</v>
          </cell>
          <cell r="C245">
            <v>1</v>
          </cell>
          <cell r="D245">
            <v>1</v>
          </cell>
          <cell r="E245">
            <v>1</v>
          </cell>
        </row>
        <row r="246">
          <cell r="A246" t="str">
            <v>B07BLTGHH9</v>
          </cell>
          <cell r="B246">
            <v>1</v>
          </cell>
          <cell r="C246">
            <v>2</v>
          </cell>
          <cell r="D246">
            <v>1</v>
          </cell>
          <cell r="E246">
            <v>2</v>
          </cell>
        </row>
        <row r="247">
          <cell r="A247" t="str">
            <v>B07BLVMB53</v>
          </cell>
          <cell r="B247">
            <v>2</v>
          </cell>
          <cell r="C247">
            <v>1</v>
          </cell>
          <cell r="D247">
            <v>0</v>
          </cell>
          <cell r="E247">
            <v>1</v>
          </cell>
        </row>
        <row r="248">
          <cell r="A248" t="str">
            <v>B07BLVSWRJ</v>
          </cell>
          <cell r="B248">
            <v>2</v>
          </cell>
          <cell r="C248">
            <v>1</v>
          </cell>
          <cell r="D248">
            <v>0</v>
          </cell>
          <cell r="E248">
            <v>4</v>
          </cell>
        </row>
        <row r="249">
          <cell r="A249" t="str">
            <v>B07BLX8JTR</v>
          </cell>
          <cell r="B249">
            <v>3</v>
          </cell>
          <cell r="C249">
            <v>3</v>
          </cell>
          <cell r="D249">
            <v>0</v>
          </cell>
          <cell r="E249">
            <v>1</v>
          </cell>
        </row>
        <row r="250">
          <cell r="A250" t="str">
            <v>B07BLX976V</v>
          </cell>
          <cell r="B250">
            <v>3</v>
          </cell>
          <cell r="C250">
            <v>1</v>
          </cell>
          <cell r="D250">
            <v>0</v>
          </cell>
          <cell r="E250">
            <v>1</v>
          </cell>
        </row>
        <row r="251">
          <cell r="A251" t="str">
            <v>B07BLXBP85</v>
          </cell>
          <cell r="B251">
            <v>2</v>
          </cell>
          <cell r="C251">
            <v>1</v>
          </cell>
          <cell r="D251">
            <v>0</v>
          </cell>
          <cell r="E251">
            <v>1</v>
          </cell>
        </row>
        <row r="252">
          <cell r="A252" t="str">
            <v>B07BLXGT2T</v>
          </cell>
          <cell r="B252">
            <v>3</v>
          </cell>
          <cell r="C252">
            <v>3</v>
          </cell>
          <cell r="D252">
            <v>0</v>
          </cell>
          <cell r="E252">
            <v>1</v>
          </cell>
        </row>
        <row r="253">
          <cell r="A253" t="str">
            <v>B07BLXHTK7</v>
          </cell>
          <cell r="B253">
            <v>3</v>
          </cell>
          <cell r="C253">
            <v>1</v>
          </cell>
          <cell r="D253">
            <v>1</v>
          </cell>
          <cell r="E253">
            <v>2</v>
          </cell>
        </row>
        <row r="254">
          <cell r="A254" t="str">
            <v>B07BLXSN84</v>
          </cell>
          <cell r="B254">
            <v>2</v>
          </cell>
          <cell r="C254">
            <v>3</v>
          </cell>
          <cell r="D254">
            <v>2</v>
          </cell>
          <cell r="E254">
            <v>1</v>
          </cell>
        </row>
        <row r="255">
          <cell r="A255" t="str">
            <v>B07BLXYK2X</v>
          </cell>
          <cell r="B255">
            <v>3</v>
          </cell>
          <cell r="C255">
            <v>2</v>
          </cell>
          <cell r="D255">
            <v>2</v>
          </cell>
          <cell r="E255">
            <v>2</v>
          </cell>
        </row>
        <row r="256">
          <cell r="A256" t="str">
            <v>B07BLYK979</v>
          </cell>
          <cell r="B256">
            <v>2</v>
          </cell>
          <cell r="C256">
            <v>2</v>
          </cell>
          <cell r="D256">
            <v>2</v>
          </cell>
          <cell r="E256">
            <v>1</v>
          </cell>
        </row>
        <row r="257">
          <cell r="A257" t="str">
            <v>B07BLZ5PS4</v>
          </cell>
          <cell r="B257">
            <v>2</v>
          </cell>
          <cell r="C257">
            <v>2</v>
          </cell>
          <cell r="D257">
            <v>1</v>
          </cell>
          <cell r="E257">
            <v>2</v>
          </cell>
        </row>
        <row r="258">
          <cell r="A258" t="str">
            <v>B07BLZ8QQW</v>
          </cell>
          <cell r="B258">
            <v>2</v>
          </cell>
          <cell r="C258">
            <v>0</v>
          </cell>
          <cell r="D258">
            <v>3</v>
          </cell>
          <cell r="E258">
            <v>1</v>
          </cell>
        </row>
        <row r="259">
          <cell r="A259" t="str">
            <v>B07BLZDS36</v>
          </cell>
          <cell r="B259">
            <v>2</v>
          </cell>
          <cell r="C259">
            <v>2</v>
          </cell>
          <cell r="D259">
            <v>1</v>
          </cell>
          <cell r="E259">
            <v>1</v>
          </cell>
        </row>
        <row r="260">
          <cell r="A260" t="str">
            <v>B07BM3PGBP</v>
          </cell>
          <cell r="B260">
            <v>0</v>
          </cell>
          <cell r="C260">
            <v>0</v>
          </cell>
          <cell r="D260">
            <v>5</v>
          </cell>
          <cell r="E260">
            <v>3</v>
          </cell>
        </row>
        <row r="261">
          <cell r="A261" t="str">
            <v>B07BXDRZR3</v>
          </cell>
          <cell r="B261">
            <v>0</v>
          </cell>
          <cell r="C261">
            <v>1553</v>
          </cell>
          <cell r="D261">
            <v>427</v>
          </cell>
          <cell r="E261">
            <v>233</v>
          </cell>
        </row>
        <row r="262">
          <cell r="A262" t="str">
            <v>B07C16NFVZ</v>
          </cell>
          <cell r="B262">
            <v>328</v>
          </cell>
          <cell r="C262">
            <v>51</v>
          </cell>
          <cell r="D262">
            <v>29</v>
          </cell>
          <cell r="E262">
            <v>30</v>
          </cell>
        </row>
        <row r="263">
          <cell r="A263" t="str">
            <v>B07C178LY1</v>
          </cell>
          <cell r="B263">
            <v>0</v>
          </cell>
          <cell r="C263">
            <v>0</v>
          </cell>
          <cell r="D263">
            <v>10</v>
          </cell>
          <cell r="E263">
            <v>13</v>
          </cell>
        </row>
        <row r="264">
          <cell r="A264" t="str">
            <v>B07C178M2R</v>
          </cell>
          <cell r="B264">
            <v>0</v>
          </cell>
          <cell r="C264">
            <v>0</v>
          </cell>
          <cell r="D264">
            <v>14</v>
          </cell>
          <cell r="E264">
            <v>33</v>
          </cell>
        </row>
        <row r="265">
          <cell r="A265" t="str">
            <v>B07C1KX15Z</v>
          </cell>
          <cell r="B265">
            <v>0</v>
          </cell>
          <cell r="C265">
            <v>0</v>
          </cell>
          <cell r="D265">
            <v>6</v>
          </cell>
          <cell r="E265">
            <v>16</v>
          </cell>
        </row>
        <row r="266">
          <cell r="A266" t="str">
            <v>B07C1LYHW7</v>
          </cell>
          <cell r="B266">
            <v>0</v>
          </cell>
          <cell r="C266">
            <v>0</v>
          </cell>
          <cell r="D266">
            <v>0</v>
          </cell>
          <cell r="E266">
            <v>13</v>
          </cell>
        </row>
        <row r="267">
          <cell r="A267" t="str">
            <v>B07C5SXQ14</v>
          </cell>
          <cell r="B267">
            <v>0</v>
          </cell>
          <cell r="C267">
            <v>612</v>
          </cell>
          <cell r="D267">
            <v>472</v>
          </cell>
          <cell r="E267">
            <v>509</v>
          </cell>
        </row>
        <row r="268">
          <cell r="A268" t="str">
            <v>B07C6X3XM7</v>
          </cell>
          <cell r="B268">
            <v>42</v>
          </cell>
          <cell r="C268">
            <v>34</v>
          </cell>
          <cell r="D268">
            <v>27</v>
          </cell>
          <cell r="E268">
            <v>46</v>
          </cell>
        </row>
        <row r="269">
          <cell r="A269" t="str">
            <v>B07C75PL9W</v>
          </cell>
          <cell r="B269">
            <v>287</v>
          </cell>
          <cell r="C269">
            <v>301</v>
          </cell>
          <cell r="D269">
            <v>249</v>
          </cell>
          <cell r="E269">
            <v>229</v>
          </cell>
        </row>
        <row r="270">
          <cell r="A270" t="str">
            <v>B07C8GHD9F</v>
          </cell>
          <cell r="B270">
            <v>2</v>
          </cell>
          <cell r="C270">
            <v>1</v>
          </cell>
          <cell r="D270">
            <v>1</v>
          </cell>
          <cell r="E270">
            <v>2</v>
          </cell>
        </row>
        <row r="271">
          <cell r="A271" t="str">
            <v>B07C8GM14Z</v>
          </cell>
          <cell r="B271">
            <v>3</v>
          </cell>
          <cell r="C271">
            <v>3</v>
          </cell>
          <cell r="D271">
            <v>1</v>
          </cell>
          <cell r="E271">
            <v>4</v>
          </cell>
        </row>
        <row r="272">
          <cell r="A272" t="str">
            <v>B07C8GM23V</v>
          </cell>
          <cell r="B272">
            <v>2</v>
          </cell>
          <cell r="C272">
            <v>1</v>
          </cell>
          <cell r="D272">
            <v>0</v>
          </cell>
          <cell r="E272">
            <v>3</v>
          </cell>
        </row>
        <row r="273">
          <cell r="A273" t="str">
            <v>B07C8R5S2P</v>
          </cell>
          <cell r="B273">
            <v>4</v>
          </cell>
          <cell r="C273">
            <v>2</v>
          </cell>
          <cell r="D273">
            <v>1</v>
          </cell>
          <cell r="E273">
            <v>2</v>
          </cell>
        </row>
        <row r="274">
          <cell r="A274" t="str">
            <v>B07CBPJCK5</v>
          </cell>
          <cell r="B274">
            <v>396</v>
          </cell>
          <cell r="C274">
            <v>81</v>
          </cell>
          <cell r="D274">
            <v>45</v>
          </cell>
          <cell r="E274">
            <v>59</v>
          </cell>
        </row>
        <row r="275">
          <cell r="A275" t="str">
            <v>B07CBPP52D</v>
          </cell>
          <cell r="B275">
            <v>230</v>
          </cell>
          <cell r="C275">
            <v>70</v>
          </cell>
          <cell r="D275">
            <v>50</v>
          </cell>
          <cell r="E275">
            <v>49</v>
          </cell>
        </row>
        <row r="276">
          <cell r="A276" t="str">
            <v>B07CBPWQZT</v>
          </cell>
          <cell r="B276">
            <v>310</v>
          </cell>
          <cell r="C276">
            <v>118</v>
          </cell>
          <cell r="D276">
            <v>103</v>
          </cell>
          <cell r="E276">
            <v>157</v>
          </cell>
        </row>
        <row r="277">
          <cell r="A277" t="str">
            <v>B07CBPY63R</v>
          </cell>
          <cell r="B277">
            <v>11</v>
          </cell>
          <cell r="C277">
            <v>1</v>
          </cell>
          <cell r="D277">
            <v>5</v>
          </cell>
          <cell r="E277">
            <v>40</v>
          </cell>
        </row>
        <row r="278">
          <cell r="A278" t="str">
            <v>B07CBR7LCS</v>
          </cell>
          <cell r="B278">
            <v>162</v>
          </cell>
          <cell r="C278">
            <v>54</v>
          </cell>
          <cell r="D278">
            <v>28</v>
          </cell>
          <cell r="E278">
            <v>30</v>
          </cell>
        </row>
        <row r="279">
          <cell r="A279" t="str">
            <v>B07CGJVWW6</v>
          </cell>
          <cell r="B279">
            <v>29</v>
          </cell>
          <cell r="C279">
            <v>8</v>
          </cell>
          <cell r="D279">
            <v>8</v>
          </cell>
          <cell r="E279">
            <v>11</v>
          </cell>
        </row>
        <row r="280">
          <cell r="A280" t="str">
            <v>B07CNVG6NZ</v>
          </cell>
          <cell r="B280">
            <v>120</v>
          </cell>
          <cell r="C280">
            <v>87</v>
          </cell>
          <cell r="D280">
            <v>112</v>
          </cell>
          <cell r="E280">
            <v>146</v>
          </cell>
        </row>
        <row r="281">
          <cell r="A281" t="str">
            <v>B07CQJNLWX</v>
          </cell>
          <cell r="B281">
            <v>38</v>
          </cell>
          <cell r="C281">
            <v>36</v>
          </cell>
          <cell r="D281">
            <v>22</v>
          </cell>
          <cell r="E281">
            <v>13</v>
          </cell>
        </row>
        <row r="282">
          <cell r="A282" t="str">
            <v>B07CRZGRK6</v>
          </cell>
          <cell r="B282">
            <v>78</v>
          </cell>
          <cell r="C282">
            <v>45</v>
          </cell>
          <cell r="D282">
            <v>41</v>
          </cell>
          <cell r="E282">
            <v>47</v>
          </cell>
        </row>
        <row r="283">
          <cell r="A283" t="str">
            <v>B07D8S8R3B</v>
          </cell>
          <cell r="B283">
            <v>55</v>
          </cell>
          <cell r="C283">
            <v>47</v>
          </cell>
          <cell r="D283">
            <v>13</v>
          </cell>
          <cell r="E283">
            <v>9</v>
          </cell>
        </row>
        <row r="284">
          <cell r="A284" t="str">
            <v>B07DF6DDNM</v>
          </cell>
          <cell r="B284">
            <v>64</v>
          </cell>
          <cell r="C284">
            <v>29</v>
          </cell>
          <cell r="D284">
            <v>62</v>
          </cell>
          <cell r="E284">
            <v>79</v>
          </cell>
        </row>
        <row r="285">
          <cell r="A285" t="str">
            <v>B07DF6XZQC</v>
          </cell>
          <cell r="B285">
            <v>147</v>
          </cell>
          <cell r="C285">
            <v>49</v>
          </cell>
          <cell r="D285">
            <v>20</v>
          </cell>
          <cell r="E285">
            <v>19</v>
          </cell>
        </row>
        <row r="286">
          <cell r="A286" t="str">
            <v>B07DF9YBBV</v>
          </cell>
          <cell r="B286">
            <v>303</v>
          </cell>
          <cell r="C286">
            <v>47</v>
          </cell>
          <cell r="D286">
            <v>42</v>
          </cell>
          <cell r="E286">
            <v>70</v>
          </cell>
        </row>
        <row r="287">
          <cell r="A287" t="str">
            <v>B07DFBHNBF</v>
          </cell>
          <cell r="B287">
            <v>347</v>
          </cell>
          <cell r="C287">
            <v>70</v>
          </cell>
          <cell r="D287">
            <v>21</v>
          </cell>
          <cell r="E287">
            <v>14</v>
          </cell>
        </row>
        <row r="288">
          <cell r="A288" t="str">
            <v>B07DFBKQ2D</v>
          </cell>
          <cell r="B288">
            <v>60</v>
          </cell>
          <cell r="C288">
            <v>22</v>
          </cell>
          <cell r="D288">
            <v>20</v>
          </cell>
          <cell r="E288">
            <v>19</v>
          </cell>
        </row>
        <row r="289">
          <cell r="A289" t="str">
            <v>B07DFBM9N3</v>
          </cell>
          <cell r="B289">
            <v>174</v>
          </cell>
          <cell r="C289">
            <v>37</v>
          </cell>
          <cell r="D289">
            <v>22</v>
          </cell>
          <cell r="E289">
            <v>6</v>
          </cell>
        </row>
        <row r="290">
          <cell r="A290" t="str">
            <v>B07DFC3CFS</v>
          </cell>
          <cell r="B290">
            <v>16</v>
          </cell>
          <cell r="C290">
            <v>24</v>
          </cell>
          <cell r="D290">
            <v>26</v>
          </cell>
          <cell r="E290">
            <v>33</v>
          </cell>
        </row>
        <row r="291">
          <cell r="A291" t="str">
            <v>B07DFCKR8T</v>
          </cell>
          <cell r="B291">
            <v>306</v>
          </cell>
          <cell r="C291">
            <v>77</v>
          </cell>
          <cell r="D291">
            <v>35</v>
          </cell>
          <cell r="E291">
            <v>36</v>
          </cell>
        </row>
        <row r="292">
          <cell r="A292" t="str">
            <v>B07DJ8MH2Q</v>
          </cell>
          <cell r="B292">
            <v>15</v>
          </cell>
          <cell r="C292">
            <v>12</v>
          </cell>
          <cell r="D292">
            <v>2</v>
          </cell>
          <cell r="E292">
            <v>2</v>
          </cell>
        </row>
        <row r="293">
          <cell r="A293" t="str">
            <v>B07DL53SBF</v>
          </cell>
          <cell r="B293">
            <v>233</v>
          </cell>
          <cell r="C293">
            <v>53</v>
          </cell>
          <cell r="D293">
            <v>26</v>
          </cell>
          <cell r="E293">
            <v>21</v>
          </cell>
        </row>
        <row r="294">
          <cell r="A294" t="str">
            <v>B07DL5G8KV</v>
          </cell>
          <cell r="B294">
            <v>347</v>
          </cell>
          <cell r="C294">
            <v>72</v>
          </cell>
          <cell r="D294">
            <v>44</v>
          </cell>
          <cell r="E294">
            <v>44</v>
          </cell>
        </row>
        <row r="295">
          <cell r="A295" t="str">
            <v>B07DL5W2R6</v>
          </cell>
          <cell r="B295">
            <v>163</v>
          </cell>
          <cell r="C295">
            <v>34</v>
          </cell>
          <cell r="D295">
            <v>15</v>
          </cell>
          <cell r="E295">
            <v>14</v>
          </cell>
        </row>
        <row r="296">
          <cell r="A296" t="str">
            <v>B071JXZVZV</v>
          </cell>
          <cell r="B296">
            <v>4</v>
          </cell>
          <cell r="C296">
            <v>1</v>
          </cell>
          <cell r="D296">
            <v>2</v>
          </cell>
          <cell r="E296">
            <v>0</v>
          </cell>
        </row>
        <row r="297">
          <cell r="A297" t="str">
            <v>B071WW2SX5</v>
          </cell>
          <cell r="B297">
            <v>4</v>
          </cell>
          <cell r="C297">
            <v>4</v>
          </cell>
          <cell r="D297">
            <v>4</v>
          </cell>
          <cell r="E297">
            <v>0</v>
          </cell>
        </row>
        <row r="298">
          <cell r="A298" t="str">
            <v>B073PPS7FM</v>
          </cell>
          <cell r="B298">
            <v>0</v>
          </cell>
          <cell r="C298">
            <v>88</v>
          </cell>
          <cell r="D298">
            <v>16</v>
          </cell>
          <cell r="E298">
            <v>0</v>
          </cell>
        </row>
        <row r="299">
          <cell r="A299" t="str">
            <v>B0747PHS7V</v>
          </cell>
          <cell r="B299">
            <v>0</v>
          </cell>
          <cell r="C299">
            <v>0</v>
          </cell>
          <cell r="D299">
            <v>29</v>
          </cell>
          <cell r="E299">
            <v>0</v>
          </cell>
        </row>
        <row r="300">
          <cell r="A300" t="str">
            <v>B0747SC2YK</v>
          </cell>
          <cell r="B300">
            <v>0</v>
          </cell>
          <cell r="C300">
            <v>0</v>
          </cell>
          <cell r="D300">
            <v>5</v>
          </cell>
          <cell r="E300">
            <v>0</v>
          </cell>
        </row>
        <row r="301">
          <cell r="A301" t="str">
            <v>B075XCJ63F</v>
          </cell>
          <cell r="B301">
            <v>3</v>
          </cell>
          <cell r="C301">
            <v>4</v>
          </cell>
          <cell r="D301">
            <v>3</v>
          </cell>
          <cell r="E301">
            <v>0</v>
          </cell>
        </row>
        <row r="302">
          <cell r="A302" t="str">
            <v>B075XCS3QN</v>
          </cell>
          <cell r="B302">
            <v>2</v>
          </cell>
          <cell r="C302">
            <v>2</v>
          </cell>
          <cell r="D302">
            <v>4</v>
          </cell>
          <cell r="E302">
            <v>0</v>
          </cell>
        </row>
        <row r="303">
          <cell r="A303" t="str">
            <v>B075XD8MYM</v>
          </cell>
          <cell r="B303">
            <v>2</v>
          </cell>
          <cell r="C303">
            <v>1</v>
          </cell>
          <cell r="D303">
            <v>2</v>
          </cell>
          <cell r="E303">
            <v>0</v>
          </cell>
        </row>
        <row r="304">
          <cell r="A304" t="str">
            <v>B075XDTMSM</v>
          </cell>
          <cell r="B304">
            <v>4</v>
          </cell>
          <cell r="C304">
            <v>2</v>
          </cell>
          <cell r="D304">
            <v>2</v>
          </cell>
          <cell r="E304">
            <v>0</v>
          </cell>
        </row>
        <row r="305">
          <cell r="A305" t="str">
            <v>B075XHVZNY</v>
          </cell>
          <cell r="B305">
            <v>4</v>
          </cell>
          <cell r="C305">
            <v>2</v>
          </cell>
          <cell r="D305">
            <v>3</v>
          </cell>
          <cell r="E305">
            <v>0</v>
          </cell>
        </row>
        <row r="306">
          <cell r="A306" t="str">
            <v>B075XJLDVB</v>
          </cell>
          <cell r="B306">
            <v>2</v>
          </cell>
          <cell r="C306">
            <v>4</v>
          </cell>
          <cell r="D306">
            <v>1</v>
          </cell>
          <cell r="E306">
            <v>0</v>
          </cell>
        </row>
        <row r="307">
          <cell r="A307" t="str">
            <v>B077Z617BX</v>
          </cell>
          <cell r="B307">
            <v>1</v>
          </cell>
          <cell r="C307">
            <v>5</v>
          </cell>
          <cell r="D307">
            <v>3</v>
          </cell>
          <cell r="E307">
            <v>0</v>
          </cell>
        </row>
        <row r="308">
          <cell r="A308" t="str">
            <v>B077Z7RK81</v>
          </cell>
          <cell r="B308">
            <v>1</v>
          </cell>
          <cell r="C308">
            <v>0</v>
          </cell>
          <cell r="D308">
            <v>1</v>
          </cell>
          <cell r="E308">
            <v>0</v>
          </cell>
        </row>
        <row r="309">
          <cell r="A309" t="str">
            <v>B0785S9XKS</v>
          </cell>
          <cell r="B309">
            <v>8</v>
          </cell>
          <cell r="C309">
            <v>2</v>
          </cell>
          <cell r="D309">
            <v>3</v>
          </cell>
          <cell r="E309">
            <v>0</v>
          </cell>
        </row>
        <row r="310">
          <cell r="A310" t="str">
            <v>B079GN5DSL</v>
          </cell>
          <cell r="B310">
            <v>28</v>
          </cell>
          <cell r="C310">
            <v>23</v>
          </cell>
          <cell r="D310">
            <v>4</v>
          </cell>
          <cell r="E310">
            <v>0</v>
          </cell>
        </row>
        <row r="311">
          <cell r="A311" t="str">
            <v>B079GNVPFC</v>
          </cell>
          <cell r="B311">
            <v>18</v>
          </cell>
          <cell r="C311">
            <v>4</v>
          </cell>
          <cell r="D311">
            <v>3</v>
          </cell>
          <cell r="E311">
            <v>0</v>
          </cell>
        </row>
        <row r="312">
          <cell r="A312" t="str">
            <v>B07BLQJYGV</v>
          </cell>
          <cell r="B312">
            <v>3</v>
          </cell>
          <cell r="C312">
            <v>2</v>
          </cell>
          <cell r="D312">
            <v>2</v>
          </cell>
          <cell r="E312">
            <v>0</v>
          </cell>
        </row>
        <row r="313">
          <cell r="A313" t="str">
            <v>B07BLR3VDW</v>
          </cell>
          <cell r="B313">
            <v>2</v>
          </cell>
          <cell r="C313">
            <v>0</v>
          </cell>
          <cell r="D313">
            <v>1</v>
          </cell>
          <cell r="E313">
            <v>0</v>
          </cell>
        </row>
        <row r="314">
          <cell r="A314" t="str">
            <v>B07BLT6QLH</v>
          </cell>
          <cell r="B314">
            <v>1</v>
          </cell>
          <cell r="C314">
            <v>0</v>
          </cell>
          <cell r="D314">
            <v>2</v>
          </cell>
          <cell r="E314">
            <v>0</v>
          </cell>
        </row>
        <row r="315">
          <cell r="A315" t="str">
            <v>B07BLT8Z76</v>
          </cell>
          <cell r="B315">
            <v>2</v>
          </cell>
          <cell r="C315">
            <v>0</v>
          </cell>
          <cell r="D315">
            <v>1</v>
          </cell>
          <cell r="E315">
            <v>0</v>
          </cell>
        </row>
        <row r="316">
          <cell r="A316" t="str">
            <v>B07BLT9556</v>
          </cell>
          <cell r="B316">
            <v>1</v>
          </cell>
          <cell r="C316">
            <v>2</v>
          </cell>
          <cell r="D316">
            <v>1</v>
          </cell>
          <cell r="E316">
            <v>0</v>
          </cell>
        </row>
        <row r="317">
          <cell r="A317" t="str">
            <v>B07BLTCKF4</v>
          </cell>
          <cell r="B317">
            <v>3</v>
          </cell>
          <cell r="C317">
            <v>1</v>
          </cell>
          <cell r="D317">
            <v>1</v>
          </cell>
          <cell r="E317">
            <v>0</v>
          </cell>
        </row>
        <row r="318">
          <cell r="A318" t="str">
            <v>B07BLV5B1Y</v>
          </cell>
          <cell r="B318">
            <v>2</v>
          </cell>
          <cell r="C318">
            <v>2</v>
          </cell>
          <cell r="D318">
            <v>3</v>
          </cell>
          <cell r="E318">
            <v>0</v>
          </cell>
        </row>
        <row r="319">
          <cell r="A319" t="str">
            <v>B07BLV8M7G</v>
          </cell>
          <cell r="B319">
            <v>2</v>
          </cell>
          <cell r="C319">
            <v>2</v>
          </cell>
          <cell r="D319">
            <v>1</v>
          </cell>
          <cell r="E319">
            <v>0</v>
          </cell>
        </row>
        <row r="320">
          <cell r="A320" t="str">
            <v>B07BLWPJFH</v>
          </cell>
          <cell r="B320">
            <v>2</v>
          </cell>
          <cell r="C320">
            <v>4</v>
          </cell>
          <cell r="D320">
            <v>2</v>
          </cell>
          <cell r="E320">
            <v>0</v>
          </cell>
        </row>
        <row r="321">
          <cell r="A321" t="str">
            <v>B07BLWQZKS</v>
          </cell>
          <cell r="B321">
            <v>2</v>
          </cell>
          <cell r="C321">
            <v>3</v>
          </cell>
          <cell r="D321">
            <v>1</v>
          </cell>
          <cell r="E321">
            <v>0</v>
          </cell>
        </row>
        <row r="322">
          <cell r="A322" t="str">
            <v>B07BLXLBHX</v>
          </cell>
          <cell r="B322">
            <v>2</v>
          </cell>
          <cell r="C322">
            <v>1</v>
          </cell>
          <cell r="D322">
            <v>2</v>
          </cell>
          <cell r="E322">
            <v>0</v>
          </cell>
        </row>
        <row r="323">
          <cell r="A323" t="str">
            <v>B0747MN5MG</v>
          </cell>
          <cell r="B323">
            <v>0</v>
          </cell>
          <cell r="C323">
            <v>2</v>
          </cell>
          <cell r="D323">
            <v>0</v>
          </cell>
          <cell r="E323">
            <v>0</v>
          </cell>
        </row>
        <row r="324">
          <cell r="A324" t="str">
            <v>B074SL2P7T</v>
          </cell>
          <cell r="B324">
            <v>4</v>
          </cell>
          <cell r="C324">
            <v>0</v>
          </cell>
          <cell r="D324">
            <v>0</v>
          </cell>
          <cell r="E324">
            <v>0</v>
          </cell>
        </row>
        <row r="325">
          <cell r="A325" t="str">
            <v>B07BLSNYZP</v>
          </cell>
          <cell r="B325">
            <v>0</v>
          </cell>
          <cell r="C325">
            <v>1</v>
          </cell>
          <cell r="D325">
            <v>0</v>
          </cell>
          <cell r="E325">
            <v>0</v>
          </cell>
        </row>
        <row r="326">
          <cell r="A326" t="str">
            <v>B07BLV93M3</v>
          </cell>
          <cell r="B326">
            <v>4</v>
          </cell>
          <cell r="C326">
            <v>1</v>
          </cell>
          <cell r="D326">
            <v>0</v>
          </cell>
          <cell r="E326">
            <v>0</v>
          </cell>
        </row>
        <row r="327">
          <cell r="A327" t="str">
            <v>B07BLV93M6</v>
          </cell>
          <cell r="B327">
            <v>2</v>
          </cell>
          <cell r="C327">
            <v>1</v>
          </cell>
          <cell r="D327">
            <v>0</v>
          </cell>
          <cell r="E327">
            <v>0</v>
          </cell>
        </row>
        <row r="328">
          <cell r="A328" t="str">
            <v>B074SZQ5DF</v>
          </cell>
          <cell r="B328">
            <v>3</v>
          </cell>
          <cell r="C328">
            <v>0</v>
          </cell>
          <cell r="D328">
            <v>0</v>
          </cell>
          <cell r="E328">
            <v>0</v>
          </cell>
        </row>
        <row r="329">
          <cell r="A329" t="str">
            <v>B07FM7ZQJJ</v>
          </cell>
          <cell r="B329">
            <v>6</v>
          </cell>
          <cell r="C329">
            <v>0</v>
          </cell>
          <cell r="D329">
            <v>0</v>
          </cell>
          <cell r="E329">
            <v>0</v>
          </cell>
        </row>
        <row r="330">
          <cell r="A330" t="str">
            <v>B07FMJ852L</v>
          </cell>
          <cell r="B330">
            <v>10</v>
          </cell>
          <cell r="C330">
            <v>0</v>
          </cell>
          <cell r="D330">
            <v>0</v>
          </cell>
          <cell r="E330">
            <v>0</v>
          </cell>
        </row>
        <row r="331">
          <cell r="A331" t="str">
            <v>B07FMJW6W8</v>
          </cell>
          <cell r="B331">
            <v>9</v>
          </cell>
          <cell r="C331">
            <v>0</v>
          </cell>
          <cell r="D331">
            <v>0</v>
          </cell>
          <cell r="E33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632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43276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3">
        <f>IFERROR(VLOOKUP(A2,[2]数据处理!$A:$D,4,0),0)</f>
        <v>0</v>
      </c>
      <c r="K2" s="33">
        <f>IFERROR(VLOOKUP(A2,[2]数据处理!$A:$E,5,0),0)</f>
        <v>0</v>
      </c>
      <c r="L2" s="33">
        <f>IFERROR(VLOOKUP(A2,[2]数据处理!$A:$G,7,0),0)</f>
        <v>0</v>
      </c>
      <c r="M2">
        <f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2018/7/16-2018/7/22</v>
      </c>
      <c r="E3" s="14" t="str">
        <f>TEXT(时间!$B$8,"yyyy/M/d")&amp;"-"&amp;TEXT(时间!$B$7,"yyyy/M/d")</f>
        <v>2018/7/9-2018/7/15</v>
      </c>
      <c r="F3" s="14" t="str">
        <f>TEXT(时间!$B$10,"yyyy/M/d")&amp;"-"&amp;TEXT(时间!$B$9,"yyyy/M/d")</f>
        <v>2018/7/2-2018/7/8</v>
      </c>
      <c r="G3" s="14" t="str">
        <f>TEXT(时间!$B$12,"yyyy/M/d")&amp;"-"&amp;TEXT(时间!$B$11,"yyyy/M/d")</f>
        <v>2018/6/25-2018/7/1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43297</v>
      </c>
      <c r="AG4" s="21">
        <f>时间!$B$7</f>
        <v>43296</v>
      </c>
      <c r="AH4" s="21">
        <f>时间!$B$8</f>
        <v>43290</v>
      </c>
      <c r="AI4" s="21">
        <f>时间!$B$9</f>
        <v>43289</v>
      </c>
      <c r="AJ4" s="21">
        <f>时间!$B$6</f>
        <v>43297</v>
      </c>
      <c r="AK4" s="21">
        <f>时间!$B$7</f>
        <v>43296</v>
      </c>
      <c r="AL4" s="21">
        <f>时间!$B$8</f>
        <v>43290</v>
      </c>
      <c r="AM4" s="21">
        <f>时间!$B$9</f>
        <v>43289</v>
      </c>
      <c r="AN4" s="21">
        <f>时间!$B$6</f>
        <v>43297</v>
      </c>
      <c r="AO4" s="21">
        <f>时间!$B$7</f>
        <v>43296</v>
      </c>
      <c r="AP4" s="21">
        <f>时间!$B$8</f>
        <v>43290</v>
      </c>
      <c r="AQ4" s="21">
        <f>时间!$B$9</f>
        <v>43289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1330</v>
      </c>
      <c r="E5" s="4">
        <f>SUM(E6:E19999)</f>
        <v>459</v>
      </c>
      <c r="F5" s="4">
        <f>SUM(F6:F19999)</f>
        <v>307</v>
      </c>
      <c r="G5" s="4">
        <f>SUM(G6:G19999)</f>
        <v>293</v>
      </c>
      <c r="I5" s="4">
        <f t="shared" ref="I5:O5" si="3">SUM(I6:I29999)</f>
        <v>3068</v>
      </c>
      <c r="J5" s="4">
        <f t="shared" si="3"/>
        <v>1065</v>
      </c>
      <c r="K5" s="4">
        <f t="shared" si="3"/>
        <v>65</v>
      </c>
      <c r="L5" s="4">
        <f t="shared" si="3"/>
        <v>408</v>
      </c>
      <c r="M5" s="4">
        <f t="shared" si="3"/>
        <v>4606</v>
      </c>
      <c r="N5" s="4">
        <f t="shared" si="3"/>
        <v>24</v>
      </c>
      <c r="O5" s="4">
        <f t="shared" si="3"/>
        <v>1197</v>
      </c>
      <c r="AB5" s="4">
        <f>SUM(AB6:AB2099)</f>
        <v>884.14</v>
      </c>
      <c r="AC5" s="4">
        <f>SUM(AC6:AC2099)</f>
        <v>537.12</v>
      </c>
      <c r="AD5" s="4">
        <f>SUM(AD6:AD2099)</f>
        <v>537.12</v>
      </c>
      <c r="AE5" s="4">
        <f>SUM(AE6:AE2099)</f>
        <v>476.68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1</v>
      </c>
      <c r="G6" s="31">
        <v>0</v>
      </c>
      <c r="H6" s="32">
        <v>8.99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1</v>
      </c>
      <c r="P6">
        <v>156</v>
      </c>
      <c r="Q6">
        <v>118</v>
      </c>
      <c r="R6">
        <v>118</v>
      </c>
      <c r="S6">
        <v>128</v>
      </c>
      <c r="T6">
        <v>1</v>
      </c>
      <c r="U6">
        <v>0</v>
      </c>
      <c r="V6">
        <v>0</v>
      </c>
      <c r="W6">
        <v>0</v>
      </c>
      <c r="X6" s="23">
        <v>0.00641025641025641</v>
      </c>
      <c r="Y6" s="23">
        <v>0</v>
      </c>
      <c r="Z6" s="23">
        <v>0</v>
      </c>
      <c r="AA6" s="23">
        <v>0</v>
      </c>
      <c r="AB6">
        <v>0.43</v>
      </c>
      <c r="AC6">
        <v>0</v>
      </c>
      <c r="AD6">
        <v>0</v>
      </c>
      <c r="AE6">
        <v>0</v>
      </c>
      <c r="AF6" s="23">
        <v>0</v>
      </c>
      <c r="AG6" s="23" t="s">
        <v>54</v>
      </c>
      <c r="AH6" s="23" t="s">
        <v>54</v>
      </c>
      <c r="AI6" s="23" t="s">
        <v>54</v>
      </c>
      <c r="AJ6">
        <v>7</v>
      </c>
      <c r="AK6">
        <v>2</v>
      </c>
      <c r="AL6">
        <v>3</v>
      </c>
      <c r="AM6">
        <v>1</v>
      </c>
      <c r="AN6" s="23">
        <v>0</v>
      </c>
      <c r="AO6" s="23">
        <v>0</v>
      </c>
      <c r="AP6" s="23">
        <v>0.333333333333333</v>
      </c>
      <c r="AQ6" s="23">
        <v>0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IFERROR($A$2+AU6,"上周无销量")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4</v>
      </c>
      <c r="J7" s="33">
        <v>0</v>
      </c>
      <c r="K7" s="33">
        <v>0</v>
      </c>
      <c r="L7" s="33">
        <v>0</v>
      </c>
      <c r="M7">
        <v>4</v>
      </c>
      <c r="N7">
        <v>0</v>
      </c>
      <c r="O7">
        <v>4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1</v>
      </c>
      <c r="AK7">
        <v>2</v>
      </c>
      <c r="AL7">
        <v>0</v>
      </c>
      <c r="AM7">
        <v>1</v>
      </c>
      <c r="AN7" s="23">
        <v>0</v>
      </c>
      <c r="AO7" s="23">
        <v>0</v>
      </c>
      <c r="AP7" s="23" t="s">
        <v>54</v>
      </c>
      <c r="AQ7" s="23">
        <v>0</v>
      </c>
      <c r="AR7" s="35">
        <v>0</v>
      </c>
      <c r="AS7" s="35">
        <v>0</v>
      </c>
      <c r="AT7" s="35">
        <v>4</v>
      </c>
      <c r="AU7" s="31" t="str">
        <f t="shared" si="2"/>
        <v>库存为4</v>
      </c>
      <c r="AV7" s="36" t="str">
        <f>IFERROR($A$2+AU7,"上周无销量")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2</v>
      </c>
      <c r="J8" s="33">
        <v>0</v>
      </c>
      <c r="K8" s="33">
        <v>0</v>
      </c>
      <c r="L8" s="33">
        <v>0</v>
      </c>
      <c r="M8">
        <v>2</v>
      </c>
      <c r="N8">
        <v>0</v>
      </c>
      <c r="O8">
        <v>2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6</v>
      </c>
      <c r="AK8">
        <v>1</v>
      </c>
      <c r="AL8">
        <v>2</v>
      </c>
      <c r="AM8">
        <v>1</v>
      </c>
      <c r="AN8" s="23">
        <v>0</v>
      </c>
      <c r="AO8" s="23">
        <v>0</v>
      </c>
      <c r="AP8" s="23">
        <v>0</v>
      </c>
      <c r="AQ8" s="23">
        <v>0</v>
      </c>
      <c r="AR8" s="35">
        <v>0</v>
      </c>
      <c r="AS8" s="35">
        <v>0</v>
      </c>
      <c r="AT8" s="35">
        <v>2</v>
      </c>
      <c r="AU8" s="31" t="str">
        <f t="shared" si="2"/>
        <v>库存为2</v>
      </c>
      <c r="AV8" s="36" t="str">
        <f>IFERROR($A$2+AU8,"上周无销量")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4</v>
      </c>
      <c r="J9" s="33">
        <v>0</v>
      </c>
      <c r="K9" s="33">
        <v>0</v>
      </c>
      <c r="L9" s="33">
        <v>0</v>
      </c>
      <c r="M9">
        <v>4</v>
      </c>
      <c r="N9">
        <v>0</v>
      </c>
      <c r="O9">
        <v>4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3</v>
      </c>
      <c r="AK9">
        <v>3</v>
      </c>
      <c r="AL9">
        <v>0</v>
      </c>
      <c r="AM9">
        <v>1</v>
      </c>
      <c r="AN9" s="23">
        <v>0</v>
      </c>
      <c r="AO9" s="23">
        <v>0</v>
      </c>
      <c r="AP9" s="23" t="s">
        <v>54</v>
      </c>
      <c r="AQ9" s="23">
        <v>0</v>
      </c>
      <c r="AR9" s="35">
        <v>0</v>
      </c>
      <c r="AS9" s="35">
        <v>0</v>
      </c>
      <c r="AT9" s="35">
        <v>4</v>
      </c>
      <c r="AU9" s="31" t="str">
        <f t="shared" si="2"/>
        <v>库存为4</v>
      </c>
      <c r="AV9" s="36" t="str">
        <f>IFERROR($A$2+AU9,"上周无销量")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2</v>
      </c>
      <c r="J10" s="33">
        <v>0</v>
      </c>
      <c r="K10" s="33">
        <v>0</v>
      </c>
      <c r="L10" s="33">
        <v>0</v>
      </c>
      <c r="M10">
        <v>2</v>
      </c>
      <c r="N10">
        <v>0</v>
      </c>
      <c r="O10">
        <v>2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3</v>
      </c>
      <c r="AK10">
        <v>2</v>
      </c>
      <c r="AL10">
        <v>2</v>
      </c>
      <c r="AM10">
        <v>0</v>
      </c>
      <c r="AN10" s="23">
        <v>0</v>
      </c>
      <c r="AO10" s="23">
        <v>0</v>
      </c>
      <c r="AP10" s="23">
        <v>0</v>
      </c>
      <c r="AQ10" s="23" t="s">
        <v>54</v>
      </c>
      <c r="AR10" s="35">
        <v>0</v>
      </c>
      <c r="AS10" s="35">
        <v>0</v>
      </c>
      <c r="AT10" s="35">
        <v>2</v>
      </c>
      <c r="AU10" s="31" t="str">
        <f t="shared" si="2"/>
        <v>库存为2</v>
      </c>
      <c r="AV10" s="36" t="str">
        <f>IFERROR($A$2+AU10,"上周无销量")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4</v>
      </c>
      <c r="J11" s="33">
        <v>0</v>
      </c>
      <c r="K11" s="33">
        <v>0</v>
      </c>
      <c r="L11" s="33">
        <v>0</v>
      </c>
      <c r="M11">
        <v>4</v>
      </c>
      <c r="N11">
        <v>0</v>
      </c>
      <c r="O11">
        <v>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2</v>
      </c>
      <c r="AK11">
        <v>2</v>
      </c>
      <c r="AL11">
        <v>1</v>
      </c>
      <c r="AM11">
        <v>2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4</v>
      </c>
      <c r="AU11" s="31" t="str">
        <f t="shared" si="2"/>
        <v>库存为4</v>
      </c>
      <c r="AV11" s="36" t="str">
        <f>IFERROR($A$2+AU11,"上周无销量")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3</v>
      </c>
      <c r="J12" s="33">
        <v>0</v>
      </c>
      <c r="K12" s="33">
        <v>0</v>
      </c>
      <c r="L12" s="33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4</v>
      </c>
      <c r="AK12">
        <v>1</v>
      </c>
      <c r="AL12">
        <v>1</v>
      </c>
      <c r="AM12">
        <v>1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3</v>
      </c>
      <c r="AU12" s="31" t="str">
        <f t="shared" si="2"/>
        <v>库存为3</v>
      </c>
      <c r="AV12" s="36" t="str">
        <f>IFERROR($A$2+AU12,"上周无销量")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1">
        <v>0</v>
      </c>
      <c r="E13" s="31">
        <v>0</v>
      </c>
      <c r="F13" s="31">
        <v>1</v>
      </c>
      <c r="G13" s="31">
        <v>1</v>
      </c>
      <c r="H13" s="32">
        <v>8.99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>
        <v>0</v>
      </c>
      <c r="Q13">
        <v>145</v>
      </c>
      <c r="R13">
        <v>145</v>
      </c>
      <c r="S13">
        <v>270</v>
      </c>
      <c r="T13">
        <v>0</v>
      </c>
      <c r="U13">
        <v>2</v>
      </c>
      <c r="V13">
        <v>2</v>
      </c>
      <c r="W13">
        <v>1</v>
      </c>
      <c r="X13" s="23" t="s">
        <v>54</v>
      </c>
      <c r="Y13" s="23">
        <v>0.0137931034482759</v>
      </c>
      <c r="Z13" s="23">
        <v>0.0137931034482759</v>
      </c>
      <c r="AA13" s="23">
        <v>0.0037037037037037</v>
      </c>
      <c r="AB13">
        <v>0</v>
      </c>
      <c r="AC13">
        <v>0.48</v>
      </c>
      <c r="AD13">
        <v>0.48</v>
      </c>
      <c r="AE13">
        <v>0.29</v>
      </c>
      <c r="AF13" s="23" t="s">
        <v>54</v>
      </c>
      <c r="AG13" s="23">
        <v>0</v>
      </c>
      <c r="AH13" s="23">
        <v>0.0533926585094549</v>
      </c>
      <c r="AI13" s="23">
        <v>0.032258064516129</v>
      </c>
      <c r="AJ13">
        <v>0</v>
      </c>
      <c r="AK13">
        <v>0</v>
      </c>
      <c r="AL13">
        <v>5</v>
      </c>
      <c r="AM13">
        <v>3</v>
      </c>
      <c r="AN13" s="23" t="s">
        <v>54</v>
      </c>
      <c r="AO13" s="23" t="s">
        <v>54</v>
      </c>
      <c r="AP13" s="23">
        <v>0.2</v>
      </c>
      <c r="AQ13" s="23">
        <v>0.333333333333333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IFERROR($A$2+AU13,"上周无销量")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4</v>
      </c>
      <c r="J14" s="33">
        <v>0</v>
      </c>
      <c r="K14" s="33">
        <v>0</v>
      </c>
      <c r="L14" s="33">
        <v>0</v>
      </c>
      <c r="M14">
        <v>4</v>
      </c>
      <c r="N14">
        <v>0</v>
      </c>
      <c r="O14">
        <v>4</v>
      </c>
      <c r="P14">
        <v>111</v>
      </c>
      <c r="Q14">
        <v>90</v>
      </c>
      <c r="R14">
        <v>90</v>
      </c>
      <c r="S14">
        <v>85</v>
      </c>
      <c r="T14">
        <v>2</v>
      </c>
      <c r="U14">
        <v>0</v>
      </c>
      <c r="V14">
        <v>0</v>
      </c>
      <c r="W14">
        <v>0</v>
      </c>
      <c r="X14" s="23">
        <v>0.018018018018018</v>
      </c>
      <c r="Y14" s="23">
        <v>0</v>
      </c>
      <c r="Z14" s="23">
        <v>0</v>
      </c>
      <c r="AA14" s="23">
        <v>0</v>
      </c>
      <c r="AB14">
        <v>0.72</v>
      </c>
      <c r="AC14">
        <v>0</v>
      </c>
      <c r="AD14">
        <v>0</v>
      </c>
      <c r="AE14">
        <v>0</v>
      </c>
      <c r="AF14" s="23">
        <v>0</v>
      </c>
      <c r="AG14" s="23" t="s">
        <v>54</v>
      </c>
      <c r="AH14" s="23" t="s">
        <v>54</v>
      </c>
      <c r="AI14" s="23" t="s">
        <v>54</v>
      </c>
      <c r="AJ14">
        <v>3</v>
      </c>
      <c r="AK14">
        <v>3</v>
      </c>
      <c r="AL14">
        <v>1</v>
      </c>
      <c r="AM14">
        <v>4</v>
      </c>
      <c r="AN14" s="23">
        <v>0</v>
      </c>
      <c r="AO14" s="23">
        <v>0</v>
      </c>
      <c r="AP14" s="23">
        <v>0</v>
      </c>
      <c r="AQ14" s="23">
        <v>0</v>
      </c>
      <c r="AR14" s="35">
        <v>0</v>
      </c>
      <c r="AS14" s="35">
        <v>0</v>
      </c>
      <c r="AT14" s="35">
        <v>4</v>
      </c>
      <c r="AU14" s="31" t="str">
        <f t="shared" si="2"/>
        <v>库存为4</v>
      </c>
      <c r="AV14" s="36" t="str">
        <f>IFERROR($A$2+AU14,"上周无销量")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1">
        <v>0</v>
      </c>
      <c r="E15" s="31">
        <v>0</v>
      </c>
      <c r="F15" s="31">
        <v>0</v>
      </c>
      <c r="G15" s="31">
        <v>1</v>
      </c>
      <c r="H15" s="32">
        <v>8.99</v>
      </c>
      <c r="I15">
        <v>2</v>
      </c>
      <c r="J15" s="33">
        <v>0</v>
      </c>
      <c r="K15" s="33">
        <v>0</v>
      </c>
      <c r="L15" s="33">
        <v>0</v>
      </c>
      <c r="M15">
        <v>2</v>
      </c>
      <c r="N15">
        <v>0</v>
      </c>
      <c r="O15">
        <v>2</v>
      </c>
      <c r="P15">
        <v>157</v>
      </c>
      <c r="Q15">
        <v>91</v>
      </c>
      <c r="R15">
        <v>91</v>
      </c>
      <c r="S15">
        <v>117</v>
      </c>
      <c r="T15">
        <v>0</v>
      </c>
      <c r="U15">
        <v>0</v>
      </c>
      <c r="V15">
        <v>0</v>
      </c>
      <c r="W15">
        <v>0</v>
      </c>
      <c r="X15" s="23">
        <v>0</v>
      </c>
      <c r="Y15" s="23">
        <v>0</v>
      </c>
      <c r="Z15" s="23">
        <v>0</v>
      </c>
      <c r="AA15" s="23">
        <v>0</v>
      </c>
      <c r="AB15">
        <v>0</v>
      </c>
      <c r="AC15">
        <v>0</v>
      </c>
      <c r="AD15">
        <v>0</v>
      </c>
      <c r="AE15">
        <v>0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5</v>
      </c>
      <c r="AK15">
        <v>2</v>
      </c>
      <c r="AL15">
        <v>2</v>
      </c>
      <c r="AM15">
        <v>0</v>
      </c>
      <c r="AN15" s="23">
        <v>0</v>
      </c>
      <c r="AO15" s="23">
        <v>0</v>
      </c>
      <c r="AP15" s="23">
        <v>0</v>
      </c>
      <c r="AQ15" s="23" t="s">
        <v>54</v>
      </c>
      <c r="AR15" s="35">
        <v>0</v>
      </c>
      <c r="AS15" s="35">
        <v>0</v>
      </c>
      <c r="AT15" s="35">
        <v>2</v>
      </c>
      <c r="AU15" s="31" t="str">
        <f t="shared" si="2"/>
        <v>库存为2</v>
      </c>
      <c r="AV15" s="36" t="str">
        <f>IFERROR($A$2+AU15,"上周无销量")</f>
        <v>上周无销量</v>
      </c>
    </row>
    <row r="16" spans="1:48">
      <c r="A16" s="21" t="s">
        <v>73</v>
      </c>
      <c r="B16" t="s">
        <v>74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3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4</v>
      </c>
      <c r="AK16">
        <v>2</v>
      </c>
      <c r="AL16">
        <v>1</v>
      </c>
      <c r="AM16">
        <v>2</v>
      </c>
      <c r="AN16" s="23">
        <v>0</v>
      </c>
      <c r="AO16" s="23">
        <v>0</v>
      </c>
      <c r="AP16" s="23">
        <v>0</v>
      </c>
      <c r="AQ16" s="23">
        <v>0</v>
      </c>
      <c r="AR16" s="35">
        <v>0</v>
      </c>
      <c r="AS16" s="35">
        <v>0</v>
      </c>
      <c r="AT16" s="35">
        <v>3</v>
      </c>
      <c r="AU16" s="31" t="str">
        <f t="shared" si="2"/>
        <v>库存为3</v>
      </c>
      <c r="AV16" s="36" t="str">
        <f>IFERROR($A$2+AU16,"上周无销量")</f>
        <v>上周无销量</v>
      </c>
    </row>
    <row r="17" spans="1:48">
      <c r="A17" s="21" t="s">
        <v>76</v>
      </c>
      <c r="B17" t="s">
        <v>77</v>
      </c>
      <c r="C17" t="s">
        <v>75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3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3</v>
      </c>
      <c r="AK17">
        <v>3</v>
      </c>
      <c r="AL17">
        <v>0</v>
      </c>
      <c r="AM17">
        <v>1</v>
      </c>
      <c r="AN17" s="23">
        <v>0</v>
      </c>
      <c r="AO17" s="23">
        <v>0</v>
      </c>
      <c r="AP17" s="23" t="s">
        <v>54</v>
      </c>
      <c r="AQ17" s="23">
        <v>0</v>
      </c>
      <c r="AR17" s="35">
        <v>0</v>
      </c>
      <c r="AS17" s="35">
        <v>0</v>
      </c>
      <c r="AT17" s="35">
        <v>3</v>
      </c>
      <c r="AU17" s="31" t="str">
        <f t="shared" si="2"/>
        <v>库存为3</v>
      </c>
      <c r="AV17" s="36" t="str">
        <f>IFERROR($A$2+AU17,"上周无销量")</f>
        <v>上周无销量</v>
      </c>
    </row>
    <row r="18" spans="1:48">
      <c r="A18" s="21" t="s">
        <v>78</v>
      </c>
      <c r="B18" t="s">
        <v>79</v>
      </c>
      <c r="C18" t="s">
        <v>75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1</v>
      </c>
      <c r="J18" s="33">
        <v>0</v>
      </c>
      <c r="K18" s="33">
        <v>0</v>
      </c>
      <c r="L18" s="33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4</v>
      </c>
      <c r="AK18">
        <v>3</v>
      </c>
      <c r="AL18">
        <v>1</v>
      </c>
      <c r="AM18">
        <v>1</v>
      </c>
      <c r="AN18" s="23">
        <v>0</v>
      </c>
      <c r="AO18" s="23">
        <v>0</v>
      </c>
      <c r="AP18" s="23">
        <v>0</v>
      </c>
      <c r="AQ18" s="23">
        <v>0</v>
      </c>
      <c r="AR18" s="35">
        <v>0</v>
      </c>
      <c r="AS18" s="35">
        <v>0</v>
      </c>
      <c r="AT18" s="35">
        <v>1</v>
      </c>
      <c r="AU18" s="31" t="str">
        <f t="shared" si="2"/>
        <v>库存为1</v>
      </c>
      <c r="AV18" s="36" t="str">
        <f>IFERROR($A$2+AU18,"上周无销量")</f>
        <v>上周无销量</v>
      </c>
    </row>
    <row r="19" spans="1:48">
      <c r="A19" s="21" t="s">
        <v>80</v>
      </c>
      <c r="B19" t="s">
        <v>81</v>
      </c>
      <c r="C19" t="s">
        <v>75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8</v>
      </c>
      <c r="AK19">
        <v>4</v>
      </c>
      <c r="AL19">
        <v>0</v>
      </c>
      <c r="AM19">
        <v>2</v>
      </c>
      <c r="AN19" s="23">
        <v>0</v>
      </c>
      <c r="AO19" s="23">
        <v>0</v>
      </c>
      <c r="AP19" s="23" t="s">
        <v>54</v>
      </c>
      <c r="AQ19" s="23">
        <v>0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IFERROR($A$2+AU19,"上周无销量")</f>
        <v>上周无销量</v>
      </c>
    </row>
    <row r="20" spans="1:48">
      <c r="A20" s="21" t="s">
        <v>82</v>
      </c>
      <c r="B20" t="s">
        <v>83</v>
      </c>
      <c r="C20" t="s">
        <v>75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4</v>
      </c>
      <c r="J20" s="33">
        <v>0</v>
      </c>
      <c r="K20" s="33">
        <v>0</v>
      </c>
      <c r="L20" s="33">
        <v>0</v>
      </c>
      <c r="M20">
        <v>4</v>
      </c>
      <c r="N20">
        <v>0</v>
      </c>
      <c r="O20">
        <v>4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2</v>
      </c>
      <c r="AK20">
        <v>2</v>
      </c>
      <c r="AL20">
        <v>0</v>
      </c>
      <c r="AM20">
        <v>1</v>
      </c>
      <c r="AN20" s="23">
        <v>0</v>
      </c>
      <c r="AO20" s="23">
        <v>0</v>
      </c>
      <c r="AP20" s="23" t="s">
        <v>54</v>
      </c>
      <c r="AQ20" s="23">
        <v>0</v>
      </c>
      <c r="AR20" s="35">
        <v>0</v>
      </c>
      <c r="AS20" s="35">
        <v>0</v>
      </c>
      <c r="AT20" s="35">
        <v>4</v>
      </c>
      <c r="AU20" s="31" t="str">
        <f t="shared" si="2"/>
        <v>库存为4</v>
      </c>
      <c r="AV20" s="36" t="str">
        <f>IFERROR($A$2+AU20,"上周无销量")</f>
        <v>上周无销量</v>
      </c>
    </row>
    <row r="21" spans="1:48">
      <c r="A21" s="21" t="s">
        <v>84</v>
      </c>
      <c r="B21" t="s">
        <v>85</v>
      </c>
      <c r="C21" t="s">
        <v>86</v>
      </c>
      <c r="D21" s="31">
        <v>0</v>
      </c>
      <c r="E21" s="31">
        <v>1</v>
      </c>
      <c r="F21" s="31">
        <v>2</v>
      </c>
      <c r="G21" s="31">
        <v>2</v>
      </c>
      <c r="H21" s="32">
        <v>35.99</v>
      </c>
      <c r="I21">
        <v>3</v>
      </c>
      <c r="J21" s="33">
        <v>0</v>
      </c>
      <c r="K21" s="33">
        <v>0</v>
      </c>
      <c r="L21" s="33">
        <v>0</v>
      </c>
      <c r="M21">
        <v>3</v>
      </c>
      <c r="N21">
        <v>0</v>
      </c>
      <c r="O21">
        <v>0</v>
      </c>
      <c r="P21">
        <v>31957</v>
      </c>
      <c r="Q21">
        <v>12559</v>
      </c>
      <c r="R21">
        <v>12559</v>
      </c>
      <c r="S21">
        <v>4367</v>
      </c>
      <c r="T21">
        <v>53</v>
      </c>
      <c r="U21">
        <v>44</v>
      </c>
      <c r="V21">
        <v>44</v>
      </c>
      <c r="W21">
        <v>12</v>
      </c>
      <c r="X21" s="23">
        <v>0.00165847858059267</v>
      </c>
      <c r="Y21" s="23">
        <v>0.00350346365156461</v>
      </c>
      <c r="Z21" s="23">
        <v>0.00350346365156461</v>
      </c>
      <c r="AA21" s="23">
        <v>0.00274788184108083</v>
      </c>
      <c r="AB21">
        <v>16.63</v>
      </c>
      <c r="AC21">
        <v>19.34</v>
      </c>
      <c r="AD21">
        <v>19.34</v>
      </c>
      <c r="AE21">
        <v>5.61</v>
      </c>
      <c r="AF21" s="23">
        <v>0</v>
      </c>
      <c r="AG21" s="23">
        <v>0.537371492081134</v>
      </c>
      <c r="AH21" s="23">
        <v>0.268685746040567</v>
      </c>
      <c r="AI21" s="23">
        <v>0.0779383161989441</v>
      </c>
      <c r="AJ21">
        <v>55</v>
      </c>
      <c r="AK21">
        <v>47</v>
      </c>
      <c r="AL21">
        <v>13</v>
      </c>
      <c r="AM21">
        <v>9</v>
      </c>
      <c r="AN21" s="23">
        <v>0</v>
      </c>
      <c r="AO21" s="23">
        <v>0.0212765957446809</v>
      </c>
      <c r="AP21" s="23">
        <v>0.153846153846154</v>
      </c>
      <c r="AQ21" s="23">
        <v>0.222222222222222</v>
      </c>
      <c r="AR21" s="35">
        <v>0</v>
      </c>
      <c r="AS21" s="35">
        <v>0</v>
      </c>
      <c r="AT21" s="35">
        <v>3</v>
      </c>
      <c r="AU21" s="31" t="str">
        <f t="shared" si="2"/>
        <v>库存为3</v>
      </c>
      <c r="AV21" s="36" t="str">
        <f>IFERROR($A$2+AU21,"上周无销量")</f>
        <v>上周无销量</v>
      </c>
    </row>
    <row r="22" spans="1:48">
      <c r="A22" s="21" t="s">
        <v>87</v>
      </c>
      <c r="B22" t="s">
        <v>88</v>
      </c>
      <c r="C22" t="s">
        <v>86</v>
      </c>
      <c r="D22" s="31">
        <v>0</v>
      </c>
      <c r="E22" s="31">
        <v>0</v>
      </c>
      <c r="F22" s="31">
        <v>1</v>
      </c>
      <c r="G22" s="31">
        <v>0</v>
      </c>
      <c r="H22" s="32">
        <v>29.99</v>
      </c>
      <c r="I22">
        <v>2</v>
      </c>
      <c r="J22" s="33">
        <v>0</v>
      </c>
      <c r="K22" s="33">
        <v>0</v>
      </c>
      <c r="L22" s="33">
        <v>0</v>
      </c>
      <c r="M22">
        <v>2</v>
      </c>
      <c r="N22">
        <v>0</v>
      </c>
      <c r="O22">
        <v>0</v>
      </c>
      <c r="P22">
        <v>0</v>
      </c>
      <c r="Q22">
        <v>1236</v>
      </c>
      <c r="R22">
        <v>1236</v>
      </c>
      <c r="S22">
        <v>0</v>
      </c>
      <c r="T22">
        <v>0</v>
      </c>
      <c r="U22">
        <v>4</v>
      </c>
      <c r="V22">
        <v>4</v>
      </c>
      <c r="W22">
        <v>0</v>
      </c>
      <c r="X22" s="23" t="s">
        <v>54</v>
      </c>
      <c r="Y22" s="23">
        <v>0.00323624595469256</v>
      </c>
      <c r="Z22" s="23">
        <v>0.00323624595469256</v>
      </c>
      <c r="AA22" s="23" t="s">
        <v>54</v>
      </c>
      <c r="AB22">
        <v>0</v>
      </c>
      <c r="AC22">
        <v>1.74</v>
      </c>
      <c r="AD22">
        <v>1.74</v>
      </c>
      <c r="AE22">
        <v>0</v>
      </c>
      <c r="AF22" s="23" t="s">
        <v>54</v>
      </c>
      <c r="AG22" s="23">
        <v>0</v>
      </c>
      <c r="AH22" s="23">
        <v>0.0580193397799266</v>
      </c>
      <c r="AI22" s="23" t="s">
        <v>54</v>
      </c>
      <c r="AJ22">
        <v>0</v>
      </c>
      <c r="AK22">
        <v>0</v>
      </c>
      <c r="AL22">
        <v>14</v>
      </c>
      <c r="AM22">
        <v>33</v>
      </c>
      <c r="AN22" s="23" t="s">
        <v>54</v>
      </c>
      <c r="AO22" s="23" t="s">
        <v>54</v>
      </c>
      <c r="AP22" s="23">
        <v>0.0714285714285714</v>
      </c>
      <c r="AQ22" s="23">
        <v>0</v>
      </c>
      <c r="AR22" s="35">
        <v>0</v>
      </c>
      <c r="AS22" s="35">
        <v>0</v>
      </c>
      <c r="AT22" s="35">
        <v>2</v>
      </c>
      <c r="AU22" s="31" t="str">
        <f t="shared" si="2"/>
        <v>库存为2</v>
      </c>
      <c r="AV22" s="36" t="str">
        <f>IFERROR($A$2+AU22,"上周无销量")</f>
        <v>上周无销量</v>
      </c>
    </row>
    <row r="23" spans="1:48">
      <c r="A23" s="21" t="s">
        <v>89</v>
      </c>
      <c r="B23" t="s">
        <v>90</v>
      </c>
      <c r="C23" t="s">
        <v>91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IFERROR($A$2+AU23,"上周无销量")</f>
        <v>上周无销量</v>
      </c>
    </row>
    <row r="24" spans="1:48">
      <c r="A24" s="21" t="s">
        <v>92</v>
      </c>
      <c r="B24" t="s">
        <v>93</v>
      </c>
      <c r="C24" t="s">
        <v>91</v>
      </c>
      <c r="D24" s="31">
        <v>0</v>
      </c>
      <c r="E24" s="31">
        <v>0</v>
      </c>
      <c r="F24" s="31">
        <v>0</v>
      </c>
      <c r="G24" s="31">
        <v>2</v>
      </c>
      <c r="H24" s="32">
        <v>29.99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13</v>
      </c>
      <c r="AN24" s="23" t="s">
        <v>54</v>
      </c>
      <c r="AO24" s="23" t="s">
        <v>54</v>
      </c>
      <c r="AP24" s="23" t="s">
        <v>54</v>
      </c>
      <c r="AQ24" s="23">
        <v>0.153846153846154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IFERROR($A$2+AU24,"上周无销量")</f>
        <v>上周无销量</v>
      </c>
    </row>
    <row r="25" spans="1:48">
      <c r="A25" s="21" t="s">
        <v>94</v>
      </c>
      <c r="B25" t="s">
        <v>95</v>
      </c>
      <c r="C25" t="s">
        <v>91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IFERROR($A$2+AU25,"上周无销量")</f>
        <v>上周无销量</v>
      </c>
    </row>
    <row r="26" spans="1:48">
      <c r="A26" s="21" t="s">
        <v>96</v>
      </c>
      <c r="B26" t="s">
        <v>88</v>
      </c>
      <c r="C26" t="s">
        <v>91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14</v>
      </c>
      <c r="AM26">
        <v>33</v>
      </c>
      <c r="AN26" s="23" t="s">
        <v>54</v>
      </c>
      <c r="AO26" s="23" t="s">
        <v>54</v>
      </c>
      <c r="AP26" s="23">
        <v>0</v>
      </c>
      <c r="AQ26" s="23">
        <v>0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IFERROR($A$2+AU26,"上周无销量")</f>
        <v>上周无销量</v>
      </c>
    </row>
    <row r="27" spans="1:48">
      <c r="A27" s="21" t="s">
        <v>97</v>
      </c>
      <c r="B27" t="s">
        <v>98</v>
      </c>
      <c r="C27" t="s">
        <v>91</v>
      </c>
      <c r="D27" s="31">
        <v>0</v>
      </c>
      <c r="E27" s="31">
        <v>0</v>
      </c>
      <c r="F27" s="31">
        <v>3</v>
      </c>
      <c r="G27" s="31">
        <v>1</v>
      </c>
      <c r="H27" s="32">
        <v>29.99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 s="23" t="s">
        <v>54</v>
      </c>
      <c r="Y27" s="23" t="s">
        <v>54</v>
      </c>
      <c r="Z27" s="23" t="s">
        <v>54</v>
      </c>
      <c r="AA27" s="23" t="s">
        <v>54</v>
      </c>
      <c r="AB27">
        <v>0</v>
      </c>
      <c r="AC27">
        <v>0</v>
      </c>
      <c r="AD27">
        <v>0</v>
      </c>
      <c r="AE27">
        <v>0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10</v>
      </c>
      <c r="AM27">
        <v>13</v>
      </c>
      <c r="AN27" s="23" t="s">
        <v>54</v>
      </c>
      <c r="AO27" s="23" t="s">
        <v>54</v>
      </c>
      <c r="AP27" s="23">
        <v>0.3</v>
      </c>
      <c r="AQ27" s="23">
        <v>0.0769230769230769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IFERROR($A$2+AU27,"上周无销量")</f>
        <v>上周无销量</v>
      </c>
    </row>
    <row r="28" spans="1:48">
      <c r="A28" s="21" t="s">
        <v>99</v>
      </c>
      <c r="B28" t="s">
        <v>100</v>
      </c>
      <c r="C28" t="s">
        <v>91</v>
      </c>
      <c r="D28" s="31">
        <v>0</v>
      </c>
      <c r="E28" s="31">
        <v>1</v>
      </c>
      <c r="F28" s="31">
        <v>1</v>
      </c>
      <c r="G28" s="31">
        <v>1</v>
      </c>
      <c r="H28" s="32">
        <v>29.99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1</v>
      </c>
      <c r="O28">
        <v>0</v>
      </c>
      <c r="P28">
        <v>0</v>
      </c>
      <c r="Q28">
        <v>3078</v>
      </c>
      <c r="R28">
        <v>3078</v>
      </c>
      <c r="S28">
        <v>0</v>
      </c>
      <c r="T28">
        <v>0</v>
      </c>
      <c r="U28">
        <v>10</v>
      </c>
      <c r="V28">
        <v>10</v>
      </c>
      <c r="W28">
        <v>0</v>
      </c>
      <c r="X28" s="23" t="s">
        <v>54</v>
      </c>
      <c r="Y28" s="23">
        <v>0.0032488628979857</v>
      </c>
      <c r="Z28" s="23">
        <v>0.0032488628979857</v>
      </c>
      <c r="AA28" s="23" t="s">
        <v>54</v>
      </c>
      <c r="AB28">
        <v>0</v>
      </c>
      <c r="AC28">
        <v>5.18</v>
      </c>
      <c r="AD28">
        <v>5.18</v>
      </c>
      <c r="AE28">
        <v>0</v>
      </c>
      <c r="AF28" s="23" t="s">
        <v>54</v>
      </c>
      <c r="AG28" s="23">
        <v>0.172724241413805</v>
      </c>
      <c r="AH28" s="23">
        <v>0.172724241413805</v>
      </c>
      <c r="AI28" s="23" t="s">
        <v>54</v>
      </c>
      <c r="AJ28">
        <v>0</v>
      </c>
      <c r="AK28">
        <v>0</v>
      </c>
      <c r="AL28">
        <v>6</v>
      </c>
      <c r="AM28">
        <v>16</v>
      </c>
      <c r="AN28" s="23" t="s">
        <v>54</v>
      </c>
      <c r="AO28" s="23" t="s">
        <v>54</v>
      </c>
      <c r="AP28" s="23">
        <v>0.166666666666667</v>
      </c>
      <c r="AQ28" s="23">
        <v>0.0625</v>
      </c>
      <c r="AR28" s="35">
        <v>0</v>
      </c>
      <c r="AS28" s="35">
        <v>0</v>
      </c>
      <c r="AT28" s="35">
        <v>0</v>
      </c>
      <c r="AU28" s="31" t="str">
        <f t="shared" si="2"/>
        <v>库存为0</v>
      </c>
      <c r="AV28" s="36" t="str">
        <f>IFERROR($A$2+AU28,"上周无销量")</f>
        <v>上周无销量</v>
      </c>
    </row>
    <row r="29" spans="1:48">
      <c r="A29" s="21" t="s">
        <v>101</v>
      </c>
      <c r="B29" t="s">
        <v>102</v>
      </c>
      <c r="C29" t="s">
        <v>91</v>
      </c>
      <c r="D29" s="31">
        <v>0</v>
      </c>
      <c r="E29" s="31">
        <v>0</v>
      </c>
      <c r="F29" s="31">
        <v>1</v>
      </c>
      <c r="G29" s="31">
        <v>4</v>
      </c>
      <c r="H29" s="32">
        <v>29.99</v>
      </c>
      <c r="I29">
        <v>1</v>
      </c>
      <c r="J29" s="33">
        <v>0</v>
      </c>
      <c r="K29" s="33">
        <v>0</v>
      </c>
      <c r="L29" s="33">
        <v>0</v>
      </c>
      <c r="M29">
        <v>1</v>
      </c>
      <c r="N29">
        <v>0</v>
      </c>
      <c r="O29">
        <v>0</v>
      </c>
      <c r="P29">
        <v>0</v>
      </c>
      <c r="Q29">
        <v>1977</v>
      </c>
      <c r="R29">
        <v>1977</v>
      </c>
      <c r="S29">
        <v>29825</v>
      </c>
      <c r="T29">
        <v>0</v>
      </c>
      <c r="U29">
        <v>7</v>
      </c>
      <c r="V29">
        <v>7</v>
      </c>
      <c r="W29">
        <v>63</v>
      </c>
      <c r="X29" s="23" t="s">
        <v>54</v>
      </c>
      <c r="Y29" s="23">
        <v>0.00354071825998988</v>
      </c>
      <c r="Z29" s="23">
        <v>0.00354071825998988</v>
      </c>
      <c r="AA29" s="23">
        <v>0.00211232187761945</v>
      </c>
      <c r="AB29">
        <v>0</v>
      </c>
      <c r="AC29">
        <v>2.2</v>
      </c>
      <c r="AD29">
        <v>2.2</v>
      </c>
      <c r="AE29">
        <v>31.19</v>
      </c>
      <c r="AF29" s="23" t="s">
        <v>54</v>
      </c>
      <c r="AG29" s="23">
        <v>0</v>
      </c>
      <c r="AH29" s="23">
        <v>0.0733577859286429</v>
      </c>
      <c r="AI29" s="23">
        <v>0.260003334444815</v>
      </c>
      <c r="AJ29">
        <v>11</v>
      </c>
      <c r="AK29">
        <v>1</v>
      </c>
      <c r="AL29">
        <v>5</v>
      </c>
      <c r="AM29">
        <v>40</v>
      </c>
      <c r="AN29" s="23">
        <v>0</v>
      </c>
      <c r="AO29" s="23">
        <v>0</v>
      </c>
      <c r="AP29" s="23">
        <v>0.2</v>
      </c>
      <c r="AQ29" s="23">
        <v>0.1</v>
      </c>
      <c r="AR29" s="35">
        <v>0</v>
      </c>
      <c r="AS29" s="35">
        <v>0</v>
      </c>
      <c r="AT29" s="35">
        <v>1</v>
      </c>
      <c r="AU29" s="31" t="str">
        <f t="shared" si="2"/>
        <v>库存为1</v>
      </c>
      <c r="AV29" s="36" t="str">
        <f>IFERROR($A$2+AU29,"上周无销量")</f>
        <v>上周无销量</v>
      </c>
    </row>
    <row r="30" spans="1:48">
      <c r="A30" s="21" t="s">
        <v>103</v>
      </c>
      <c r="B30" t="s">
        <v>104</v>
      </c>
      <c r="C30" t="s">
        <v>103</v>
      </c>
      <c r="D30" s="31">
        <v>1</v>
      </c>
      <c r="E30" s="31">
        <v>0</v>
      </c>
      <c r="F30" s="31">
        <v>0</v>
      </c>
      <c r="G30" s="31">
        <v>0</v>
      </c>
      <c r="H30" s="32">
        <v>40.99</v>
      </c>
      <c r="I30">
        <v>19</v>
      </c>
      <c r="J30" s="33">
        <v>0</v>
      </c>
      <c r="K30" s="33">
        <v>0</v>
      </c>
      <c r="L30" s="33">
        <v>0</v>
      </c>
      <c r="M30">
        <v>19</v>
      </c>
      <c r="N30">
        <v>0</v>
      </c>
      <c r="O30">
        <v>0</v>
      </c>
      <c r="P30">
        <v>1050</v>
      </c>
      <c r="Q30">
        <v>4858</v>
      </c>
      <c r="R30">
        <v>4858</v>
      </c>
      <c r="S30">
        <v>1277</v>
      </c>
      <c r="T30">
        <v>2</v>
      </c>
      <c r="U30">
        <v>15</v>
      </c>
      <c r="V30">
        <v>15</v>
      </c>
      <c r="W30">
        <v>0</v>
      </c>
      <c r="X30" s="23">
        <v>0.0019047619047619</v>
      </c>
      <c r="Y30" s="23">
        <v>0.00308769040757513</v>
      </c>
      <c r="Z30" s="23">
        <v>0.00308769040757513</v>
      </c>
      <c r="AA30" s="23">
        <v>0</v>
      </c>
      <c r="AB30">
        <v>0.75</v>
      </c>
      <c r="AC30">
        <v>15.28</v>
      </c>
      <c r="AD30">
        <v>15.28</v>
      </c>
      <c r="AE30">
        <v>0</v>
      </c>
      <c r="AF30" s="23">
        <v>0.0182971456452793</v>
      </c>
      <c r="AG30" s="23">
        <v>0</v>
      </c>
      <c r="AH30" s="23">
        <v>0</v>
      </c>
      <c r="AI30" s="23" t="s">
        <v>54</v>
      </c>
      <c r="AJ30">
        <v>15</v>
      </c>
      <c r="AK30">
        <v>12</v>
      </c>
      <c r="AL30">
        <v>2</v>
      </c>
      <c r="AM30">
        <v>2</v>
      </c>
      <c r="AN30" s="23">
        <v>0.0666666666666667</v>
      </c>
      <c r="AO30" s="23">
        <v>0</v>
      </c>
      <c r="AP30" s="23">
        <v>0</v>
      </c>
      <c r="AQ30" s="23">
        <v>0</v>
      </c>
      <c r="AR30" s="35">
        <v>0.142857142857143</v>
      </c>
      <c r="AS30" s="35">
        <v>8.57142857142857</v>
      </c>
      <c r="AT30" s="35">
        <v>10.4285714285714</v>
      </c>
      <c r="AU30" s="31">
        <f t="shared" si="2"/>
        <v>133</v>
      </c>
      <c r="AV30" s="36">
        <f>IFERROR($A$2+AU30,"上周无销量")</f>
        <v>43409</v>
      </c>
    </row>
    <row r="31" spans="1:48">
      <c r="A31" s="21" t="s">
        <v>105</v>
      </c>
      <c r="B31" t="s">
        <v>106</v>
      </c>
      <c r="C31" t="s">
        <v>107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s">
        <v>54</v>
      </c>
      <c r="AO31" s="23" t="s">
        <v>54</v>
      </c>
      <c r="AP31" s="23" t="s">
        <v>54</v>
      </c>
      <c r="AQ31" s="23" t="s">
        <v>54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IFERROR($A$2+AU31,"上周无销量")</f>
        <v>上周无销量</v>
      </c>
    </row>
    <row r="32" spans="1:48">
      <c r="A32" s="21" t="s">
        <v>108</v>
      </c>
      <c r="B32" t="s">
        <v>109</v>
      </c>
      <c r="C32" t="s">
        <v>107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s">
        <v>54</v>
      </c>
      <c r="AO32" s="23" t="s">
        <v>54</v>
      </c>
      <c r="AP32" s="23" t="s">
        <v>54</v>
      </c>
      <c r="AQ32" s="23" t="s">
        <v>54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IFERROR($A$2+AU32,"上周无销量")</f>
        <v>上周无销量</v>
      </c>
    </row>
    <row r="33" spans="1:48">
      <c r="A33" s="21" t="s">
        <v>110</v>
      </c>
      <c r="B33" t="s">
        <v>111</v>
      </c>
      <c r="C33" t="s">
        <v>107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IFERROR($A$2+AU33,"上周无销量")</f>
        <v>上周无销量</v>
      </c>
    </row>
    <row r="34" spans="1:48">
      <c r="A34" s="21" t="s">
        <v>112</v>
      </c>
      <c r="B34" t="s">
        <v>113</v>
      </c>
      <c r="C34" t="s">
        <v>107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s">
        <v>54</v>
      </c>
      <c r="AO34" s="23" t="s">
        <v>54</v>
      </c>
      <c r="AP34" s="23" t="s">
        <v>54</v>
      </c>
      <c r="AQ34" s="23" t="s">
        <v>54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IFERROR($A$2+AU34,"上周无销量")</f>
        <v>上周无销量</v>
      </c>
    </row>
    <row r="35" spans="1:48">
      <c r="A35" s="21" t="s">
        <v>114</v>
      </c>
      <c r="B35" t="s">
        <v>115</v>
      </c>
      <c r="C35" t="s">
        <v>107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s">
        <v>54</v>
      </c>
      <c r="AO35" s="23" t="s">
        <v>54</v>
      </c>
      <c r="AP35" s="23" t="s">
        <v>54</v>
      </c>
      <c r="AQ35" s="23" t="s">
        <v>54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IFERROR($A$2+AU35,"上周无销量")</f>
        <v>上周无销量</v>
      </c>
    </row>
    <row r="36" spans="1:48">
      <c r="A36" s="21" t="s">
        <v>116</v>
      </c>
      <c r="B36" t="s">
        <v>117</v>
      </c>
      <c r="C36" t="s">
        <v>107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IFERROR($A$2+AU36,"上周无销量")</f>
        <v>上周无销量</v>
      </c>
    </row>
    <row r="37" spans="1:48">
      <c r="A37" s="21" t="s">
        <v>118</v>
      </c>
      <c r="B37" t="s">
        <v>119</v>
      </c>
      <c r="C37" t="s">
        <v>107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s">
        <v>54</v>
      </c>
      <c r="AO37" s="23" t="s">
        <v>54</v>
      </c>
      <c r="AP37" s="23" t="s">
        <v>54</v>
      </c>
      <c r="AQ37" s="23" t="s">
        <v>54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IFERROR($A$2+AU37,"上周无销量")</f>
        <v>上周无销量</v>
      </c>
    </row>
    <row r="38" spans="1:48">
      <c r="A38" s="21" t="s">
        <v>120</v>
      </c>
      <c r="B38" t="s">
        <v>121</v>
      </c>
      <c r="C38" t="s">
        <v>107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s">
        <v>54</v>
      </c>
      <c r="AO38" s="23" t="s">
        <v>54</v>
      </c>
      <c r="AP38" s="23" t="s">
        <v>54</v>
      </c>
      <c r="AQ38" s="23" t="s">
        <v>54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IFERROR($A$2+AU38,"上周无销量")</f>
        <v>上周无销量</v>
      </c>
    </row>
    <row r="39" spans="1:48">
      <c r="A39" s="21" t="s">
        <v>122</v>
      </c>
      <c r="B39" t="s">
        <v>123</v>
      </c>
      <c r="C39" t="s">
        <v>107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s">
        <v>54</v>
      </c>
      <c r="AO39" s="23" t="s">
        <v>54</v>
      </c>
      <c r="AP39" s="23" t="s">
        <v>54</v>
      </c>
      <c r="AQ39" s="23" t="s">
        <v>54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IFERROR($A$2+AU39,"上周无销量")</f>
        <v>上周无销量</v>
      </c>
    </row>
    <row r="40" spans="1:48">
      <c r="A40" s="21" t="s">
        <v>124</v>
      </c>
      <c r="B40" t="s">
        <v>125</v>
      </c>
      <c r="C40" t="s">
        <v>107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s">
        <v>54</v>
      </c>
      <c r="AO40" s="23" t="s">
        <v>54</v>
      </c>
      <c r="AP40" s="23" t="s">
        <v>54</v>
      </c>
      <c r="AQ40" s="23" t="s">
        <v>54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IFERROR($A$2+AU40,"上周无销量")</f>
        <v>上周无销量</v>
      </c>
    </row>
    <row r="41" spans="1:48">
      <c r="A41" s="21" t="s">
        <v>126</v>
      </c>
      <c r="B41" t="s">
        <v>127</v>
      </c>
      <c r="C41" t="s">
        <v>107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0</v>
      </c>
      <c r="AM41">
        <v>0</v>
      </c>
      <c r="AN41" s="23" t="s">
        <v>54</v>
      </c>
      <c r="AO41" s="23" t="s">
        <v>54</v>
      </c>
      <c r="AP41" s="23" t="s">
        <v>54</v>
      </c>
      <c r="AQ41" s="23" t="s">
        <v>54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IFERROR($A$2+AU41,"上周无销量")</f>
        <v>上周无销量</v>
      </c>
    </row>
    <row r="42" spans="1:48">
      <c r="A42" s="21" t="s">
        <v>128</v>
      </c>
      <c r="B42" t="s">
        <v>129</v>
      </c>
      <c r="C42" t="s">
        <v>107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s">
        <v>54</v>
      </c>
      <c r="AO42" s="23" t="s">
        <v>54</v>
      </c>
      <c r="AP42" s="23" t="s">
        <v>54</v>
      </c>
      <c r="AQ42" s="23" t="s">
        <v>54</v>
      </c>
      <c r="AR42" s="35">
        <v>0</v>
      </c>
      <c r="AS42" s="35">
        <v>0</v>
      </c>
      <c r="AT42" s="35">
        <v>0</v>
      </c>
      <c r="AU42" s="31" t="str">
        <f t="shared" si="2"/>
        <v>库存为0</v>
      </c>
      <c r="AV42" s="36" t="str">
        <f>IFERROR($A$2+AU42,"上周无销量")</f>
        <v>上周无销量</v>
      </c>
    </row>
    <row r="43" spans="1:48">
      <c r="A43" s="21" t="s">
        <v>130</v>
      </c>
      <c r="B43" t="s">
        <v>131</v>
      </c>
      <c r="C43" t="s">
        <v>107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s">
        <v>54</v>
      </c>
      <c r="AO43" s="23" t="s">
        <v>54</v>
      </c>
      <c r="AP43" s="23" t="s">
        <v>54</v>
      </c>
      <c r="AQ43" s="23" t="s">
        <v>54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IFERROR($A$2+AU43,"上周无销量")</f>
        <v>上周无销量</v>
      </c>
    </row>
    <row r="44" spans="1:48">
      <c r="A44" s="21" t="s">
        <v>132</v>
      </c>
      <c r="B44" t="s">
        <v>133</v>
      </c>
      <c r="C44" t="s">
        <v>107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s">
        <v>54</v>
      </c>
      <c r="AO44" s="23" t="s">
        <v>54</v>
      </c>
      <c r="AP44" s="23" t="s">
        <v>54</v>
      </c>
      <c r="AQ44" s="23" t="s">
        <v>54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IFERROR($A$2+AU44,"上周无销量")</f>
        <v>上周无销量</v>
      </c>
    </row>
    <row r="45" spans="1:48">
      <c r="A45" s="21" t="s">
        <v>134</v>
      </c>
      <c r="B45" t="s">
        <v>135</v>
      </c>
      <c r="C45" t="s">
        <v>107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s">
        <v>54</v>
      </c>
      <c r="AO45" s="23" t="s">
        <v>54</v>
      </c>
      <c r="AP45" s="23" t="s">
        <v>54</v>
      </c>
      <c r="AQ45" s="23" t="s">
        <v>54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IFERROR($A$2+AU45,"上周无销量")</f>
        <v>上周无销量</v>
      </c>
    </row>
    <row r="46" spans="1:48">
      <c r="A46" s="21" t="s">
        <v>136</v>
      </c>
      <c r="B46" t="s">
        <v>137</v>
      </c>
      <c r="C46" t="s">
        <v>107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5">
        <v>0</v>
      </c>
      <c r="AS46" s="35">
        <v>0</v>
      </c>
      <c r="AT46" s="35">
        <v>0</v>
      </c>
      <c r="AU46" s="31" t="str">
        <f t="shared" si="2"/>
        <v>库存为0</v>
      </c>
      <c r="AV46" s="36" t="str">
        <f>IFERROR($A$2+AU46,"上周无销量")</f>
        <v>上周无销量</v>
      </c>
    </row>
    <row r="47" spans="1:48">
      <c r="A47" s="21" t="s">
        <v>138</v>
      </c>
      <c r="B47" t="s">
        <v>139</v>
      </c>
      <c r="C47" t="s">
        <v>140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5">
        <v>0</v>
      </c>
      <c r="AS47" s="35">
        <v>0</v>
      </c>
      <c r="AT47" s="35">
        <v>0</v>
      </c>
      <c r="AU47" s="31" t="str">
        <f t="shared" si="2"/>
        <v>库存为0</v>
      </c>
      <c r="AV47" s="36" t="str">
        <f>IFERROR($A$2+AU47,"上周无销量")</f>
        <v>上周无销量</v>
      </c>
    </row>
    <row r="48" spans="1:48">
      <c r="A48" s="21" t="s">
        <v>141</v>
      </c>
      <c r="B48" t="s">
        <v>142</v>
      </c>
      <c r="C48" t="s">
        <v>140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0</v>
      </c>
      <c r="AL48">
        <v>0</v>
      </c>
      <c r="AM48">
        <v>0</v>
      </c>
      <c r="AN48" s="23" t="s">
        <v>54</v>
      </c>
      <c r="AO48" s="23" t="s">
        <v>54</v>
      </c>
      <c r="AP48" s="23" t="s">
        <v>54</v>
      </c>
      <c r="AQ48" s="23" t="s">
        <v>54</v>
      </c>
      <c r="AR48" s="35">
        <v>0</v>
      </c>
      <c r="AS48" s="35">
        <v>0</v>
      </c>
      <c r="AT48" s="35">
        <v>0</v>
      </c>
      <c r="AU48" s="31" t="str">
        <f t="shared" si="2"/>
        <v>库存为0</v>
      </c>
      <c r="AV48" s="36" t="str">
        <f>IFERROR($A$2+AU48,"上周无销量")</f>
        <v>上周无销量</v>
      </c>
    </row>
    <row r="49" spans="1:48">
      <c r="A49" s="21" t="s">
        <v>143</v>
      </c>
      <c r="B49" t="s">
        <v>144</v>
      </c>
      <c r="C49" t="s">
        <v>140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0</v>
      </c>
      <c r="AL49">
        <v>0</v>
      </c>
      <c r="AM49">
        <v>0</v>
      </c>
      <c r="AN49" s="23" t="s">
        <v>54</v>
      </c>
      <c r="AO49" s="23" t="s">
        <v>54</v>
      </c>
      <c r="AP49" s="23" t="s">
        <v>54</v>
      </c>
      <c r="AQ49" s="23" t="s">
        <v>54</v>
      </c>
      <c r="AR49" s="35">
        <v>0</v>
      </c>
      <c r="AS49" s="35">
        <v>0</v>
      </c>
      <c r="AT49" s="35">
        <v>0</v>
      </c>
      <c r="AU49" s="31" t="str">
        <f t="shared" si="2"/>
        <v>库存为0</v>
      </c>
      <c r="AV49" s="36" t="str">
        <f>IFERROR($A$2+AU49,"上周无销量")</f>
        <v>上周无销量</v>
      </c>
    </row>
    <row r="50" spans="1:48">
      <c r="A50" s="21" t="s">
        <v>145</v>
      </c>
      <c r="B50" t="s">
        <v>146</v>
      </c>
      <c r="C50" t="s">
        <v>140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0</v>
      </c>
      <c r="AL50">
        <v>0</v>
      </c>
      <c r="AM50">
        <v>0</v>
      </c>
      <c r="AN50" s="23" t="s">
        <v>54</v>
      </c>
      <c r="AO50" s="23" t="s">
        <v>54</v>
      </c>
      <c r="AP50" s="23" t="s">
        <v>54</v>
      </c>
      <c r="AQ50" s="23" t="s">
        <v>54</v>
      </c>
      <c r="AR50" s="35">
        <v>0</v>
      </c>
      <c r="AS50" s="35">
        <v>0</v>
      </c>
      <c r="AT50" s="35">
        <v>0</v>
      </c>
      <c r="AU50" s="31" t="str">
        <f t="shared" si="2"/>
        <v>库存为0</v>
      </c>
      <c r="AV50" s="36" t="str">
        <f>IFERROR($A$2+AU50,"上周无销量")</f>
        <v>上周无销量</v>
      </c>
    </row>
    <row r="51" spans="1:48">
      <c r="A51" s="21" t="s">
        <v>147</v>
      </c>
      <c r="B51" t="s">
        <v>148</v>
      </c>
      <c r="C51" t="s">
        <v>140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s">
        <v>54</v>
      </c>
      <c r="AO51" s="23" t="s">
        <v>54</v>
      </c>
      <c r="AP51" s="23" t="s">
        <v>54</v>
      </c>
      <c r="AQ51" s="23" t="s">
        <v>54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IFERROR($A$2+AU51,"上周无销量")</f>
        <v>上周无销量</v>
      </c>
    </row>
    <row r="52" spans="1:48">
      <c r="A52" s="21" t="s">
        <v>149</v>
      </c>
      <c r="B52" t="s">
        <v>150</v>
      </c>
      <c r="C52" t="s">
        <v>140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s">
        <v>54</v>
      </c>
      <c r="AO52" s="23" t="s">
        <v>54</v>
      </c>
      <c r="AP52" s="23" t="s">
        <v>54</v>
      </c>
      <c r="AQ52" s="23" t="s">
        <v>54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IFERROR($A$2+AU52,"上周无销量")</f>
        <v>上周无销量</v>
      </c>
    </row>
    <row r="53" spans="1:48">
      <c r="A53" s="21" t="s">
        <v>151</v>
      </c>
      <c r="B53" t="s">
        <v>152</v>
      </c>
      <c r="C53" t="s">
        <v>140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IFERROR($A$2+AU53,"上周无销量")</f>
        <v>上周无销量</v>
      </c>
    </row>
    <row r="54" spans="1:48">
      <c r="A54" s="21" t="s">
        <v>153</v>
      </c>
      <c r="B54" t="s">
        <v>154</v>
      </c>
      <c r="C54" t="s">
        <v>140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IFERROR($A$2+AU54,"上周无销量")</f>
        <v>上周无销量</v>
      </c>
    </row>
    <row r="55" spans="1:48">
      <c r="A55" s="21" t="s">
        <v>155</v>
      </c>
      <c r="B55" t="s">
        <v>156</v>
      </c>
      <c r="C55" t="s">
        <v>140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IFERROR($A$2+AU55,"上周无销量")</f>
        <v>上周无销量</v>
      </c>
    </row>
    <row r="56" spans="1:48">
      <c r="A56" s="21" t="s">
        <v>157</v>
      </c>
      <c r="B56" t="s">
        <v>158</v>
      </c>
      <c r="C56" t="s">
        <v>140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IFERROR($A$2+AU56,"上周无销量")</f>
        <v>上周无销量</v>
      </c>
    </row>
    <row r="57" spans="1:48">
      <c r="A57" s="21" t="s">
        <v>159</v>
      </c>
      <c r="B57" t="s">
        <v>160</v>
      </c>
      <c r="C57" t="s">
        <v>140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IFERROR($A$2+AU57,"上周无销量")</f>
        <v>上周无销量</v>
      </c>
    </row>
    <row r="58" spans="1:48">
      <c r="A58" s="21" t="s">
        <v>161</v>
      </c>
      <c r="B58" t="s">
        <v>162</v>
      </c>
      <c r="C58" t="s">
        <v>140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IFERROR($A$2+AU58,"上周无销量")</f>
        <v>上周无销量</v>
      </c>
    </row>
    <row r="59" spans="1:48">
      <c r="A59" s="21" t="s">
        <v>163</v>
      </c>
      <c r="B59" t="s">
        <v>164</v>
      </c>
      <c r="C59" t="s">
        <v>140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IFERROR($A$2+AU59,"上周无销量")</f>
        <v>上周无销量</v>
      </c>
    </row>
    <row r="60" spans="1:48">
      <c r="A60" s="21" t="s">
        <v>165</v>
      </c>
      <c r="B60" t="s">
        <v>166</v>
      </c>
      <c r="C60" t="s">
        <v>140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s">
        <v>54</v>
      </c>
      <c r="AO60" s="23" t="s">
        <v>54</v>
      </c>
      <c r="AP60" s="23" t="s">
        <v>54</v>
      </c>
      <c r="AQ60" s="23" t="s">
        <v>54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IFERROR($A$2+AU60,"上周无销量")</f>
        <v>上周无销量</v>
      </c>
    </row>
    <row r="61" spans="1:48">
      <c r="A61" s="21" t="s">
        <v>167</v>
      </c>
      <c r="B61" t="s">
        <v>168</v>
      </c>
      <c r="C61" t="s">
        <v>140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s">
        <v>54</v>
      </c>
      <c r="AO61" s="23" t="s">
        <v>54</v>
      </c>
      <c r="AP61" s="23" t="s">
        <v>54</v>
      </c>
      <c r="AQ61" s="23" t="s">
        <v>54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IFERROR($A$2+AU61,"上周无销量")</f>
        <v>上周无销量</v>
      </c>
    </row>
    <row r="62" spans="1:48">
      <c r="A62" s="21" t="s">
        <v>169</v>
      </c>
      <c r="B62" t="s">
        <v>170</v>
      </c>
      <c r="C62" t="s">
        <v>140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0</v>
      </c>
      <c r="AM62">
        <v>0</v>
      </c>
      <c r="AN62" s="23" t="s">
        <v>54</v>
      </c>
      <c r="AO62" s="23" t="s">
        <v>54</v>
      </c>
      <c r="AP62" s="23" t="s">
        <v>54</v>
      </c>
      <c r="AQ62" s="23" t="s">
        <v>54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IFERROR($A$2+AU62,"上周无销量")</f>
        <v>上周无销量</v>
      </c>
    </row>
    <row r="63" spans="1:48">
      <c r="A63" s="21" t="s">
        <v>171</v>
      </c>
      <c r="B63" t="s">
        <v>172</v>
      </c>
      <c r="C63" t="s">
        <v>140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s">
        <v>54</v>
      </c>
      <c r="AO63" s="23" t="s">
        <v>54</v>
      </c>
      <c r="AP63" s="23" t="s">
        <v>54</v>
      </c>
      <c r="AQ63" s="23" t="s">
        <v>54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IFERROR($A$2+AU63,"上周无销量")</f>
        <v>上周无销量</v>
      </c>
    </row>
    <row r="64" spans="1:48">
      <c r="A64" s="21" t="s">
        <v>173</v>
      </c>
      <c r="B64" t="s">
        <v>174</v>
      </c>
      <c r="C64" t="s">
        <v>140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s">
        <v>54</v>
      </c>
      <c r="AO64" s="23" t="s">
        <v>54</v>
      </c>
      <c r="AP64" s="23" t="s">
        <v>54</v>
      </c>
      <c r="AQ64" s="23" t="s">
        <v>54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IFERROR($A$2+AU64,"上周无销量")</f>
        <v>上周无销量</v>
      </c>
    </row>
    <row r="65" spans="1:48">
      <c r="A65" s="21" t="s">
        <v>175</v>
      </c>
      <c r="B65" t="s">
        <v>176</v>
      </c>
      <c r="C65" t="s">
        <v>140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IFERROR($A$2+AU65,"上周无销量")</f>
        <v>上周无销量</v>
      </c>
    </row>
    <row r="66" spans="1:48">
      <c r="A66" s="21" t="s">
        <v>177</v>
      </c>
      <c r="B66" t="s">
        <v>178</v>
      </c>
      <c r="C66" t="s">
        <v>140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s">
        <v>54</v>
      </c>
      <c r="AO66" s="23" t="s">
        <v>54</v>
      </c>
      <c r="AP66" s="23" t="s">
        <v>54</v>
      </c>
      <c r="AQ66" s="23" t="s">
        <v>54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IFERROR($A$2+AU66,"上周无销量")</f>
        <v>上周无销量</v>
      </c>
    </row>
    <row r="67" spans="1:48">
      <c r="A67" s="21" t="s">
        <v>179</v>
      </c>
      <c r="B67" t="s">
        <v>180</v>
      </c>
      <c r="C67" t="s">
        <v>140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0</v>
      </c>
      <c r="AN67" s="23" t="s">
        <v>54</v>
      </c>
      <c r="AO67" s="23" t="s">
        <v>54</v>
      </c>
      <c r="AP67" s="23" t="s">
        <v>54</v>
      </c>
      <c r="AQ67" s="23" t="s">
        <v>54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IFERROR($A$2+AU67,"上周无销量")</f>
        <v>上周无销量</v>
      </c>
    </row>
    <row r="68" spans="1:48">
      <c r="A68" s="21" t="s">
        <v>181</v>
      </c>
      <c r="B68" t="s">
        <v>182</v>
      </c>
      <c r="C68" t="s">
        <v>140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5">
        <v>0</v>
      </c>
      <c r="AS68" s="35">
        <v>0</v>
      </c>
      <c r="AT68" s="35">
        <v>0</v>
      </c>
      <c r="AU68" s="31" t="str">
        <f t="shared" si="2"/>
        <v>库存为0</v>
      </c>
      <c r="AV68" s="36" t="str">
        <f>IFERROR($A$2+AU68,"上周无销量")</f>
        <v>上周无销量</v>
      </c>
    </row>
    <row r="69" spans="1:48">
      <c r="A69" s="21" t="s">
        <v>183</v>
      </c>
      <c r="B69" t="s">
        <v>184</v>
      </c>
      <c r="C69" t="s">
        <v>140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0</v>
      </c>
      <c r="AM69">
        <v>0</v>
      </c>
      <c r="AN69" s="23" t="s">
        <v>54</v>
      </c>
      <c r="AO69" s="23" t="s">
        <v>54</v>
      </c>
      <c r="AP69" s="23" t="s">
        <v>54</v>
      </c>
      <c r="AQ69" s="23" t="s">
        <v>54</v>
      </c>
      <c r="AR69" s="35">
        <v>0</v>
      </c>
      <c r="AS69" s="35">
        <v>0</v>
      </c>
      <c r="AT69" s="35">
        <v>0</v>
      </c>
      <c r="AU69" s="31" t="str">
        <f t="shared" ref="AU69:AU132" si="4">IF(AR69="","库存为"&amp;M69,IF(AS69=0,"库存为"&amp;M69,INT(M69/AR69)))</f>
        <v>库存为0</v>
      </c>
      <c r="AV69" s="36" t="str">
        <f>IFERROR($A$2+AU69,"上周无销量")</f>
        <v>上周无销量</v>
      </c>
    </row>
    <row r="70" spans="1:48">
      <c r="A70" s="21" t="s">
        <v>185</v>
      </c>
      <c r="B70" t="s">
        <v>186</v>
      </c>
      <c r="C70" t="s">
        <v>140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5">
        <v>0</v>
      </c>
      <c r="AS70" s="35">
        <v>0</v>
      </c>
      <c r="AT70" s="35">
        <v>0</v>
      </c>
      <c r="AU70" s="31" t="str">
        <f t="shared" si="4"/>
        <v>库存为0</v>
      </c>
      <c r="AV70" s="36" t="str">
        <f>IFERROR($A$2+AU70,"上周无销量")</f>
        <v>上周无销量</v>
      </c>
    </row>
    <row r="71" spans="1:48">
      <c r="A71" s="21" t="s">
        <v>187</v>
      </c>
      <c r="B71" t="s">
        <v>188</v>
      </c>
      <c r="C71" t="s">
        <v>140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0</v>
      </c>
      <c r="AM71">
        <v>0</v>
      </c>
      <c r="AN71" s="23" t="s">
        <v>54</v>
      </c>
      <c r="AO71" s="23" t="s">
        <v>54</v>
      </c>
      <c r="AP71" s="23" t="s">
        <v>54</v>
      </c>
      <c r="AQ71" s="23" t="s">
        <v>54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IFERROR($A$2+AU71,"上周无销量")</f>
        <v>上周无销量</v>
      </c>
    </row>
    <row r="72" spans="1:48">
      <c r="A72" s="21" t="s">
        <v>189</v>
      </c>
      <c r="B72" t="s">
        <v>190</v>
      </c>
      <c r="C72" t="s">
        <v>140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0</v>
      </c>
      <c r="AN72" s="23" t="s">
        <v>54</v>
      </c>
      <c r="AO72" s="23" t="s">
        <v>54</v>
      </c>
      <c r="AP72" s="23" t="s">
        <v>54</v>
      </c>
      <c r="AQ72" s="23" t="s">
        <v>54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IFERROR($A$2+AU72,"上周无销量")</f>
        <v>上周无销量</v>
      </c>
    </row>
    <row r="73" spans="1:48">
      <c r="A73" s="21" t="s">
        <v>191</v>
      </c>
      <c r="B73" t="s">
        <v>192</v>
      </c>
      <c r="C73" t="s">
        <v>140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0</v>
      </c>
      <c r="AM73">
        <v>0</v>
      </c>
      <c r="AN73" s="23" t="s">
        <v>54</v>
      </c>
      <c r="AO73" s="23" t="s">
        <v>54</v>
      </c>
      <c r="AP73" s="23" t="s">
        <v>54</v>
      </c>
      <c r="AQ73" s="23" t="s">
        <v>54</v>
      </c>
      <c r="AR73" s="35">
        <v>0</v>
      </c>
      <c r="AS73" s="35">
        <v>0</v>
      </c>
      <c r="AT73" s="35">
        <v>0</v>
      </c>
      <c r="AU73" s="31" t="str">
        <f t="shared" si="4"/>
        <v>库存为0</v>
      </c>
      <c r="AV73" s="36" t="str">
        <f>IFERROR($A$2+AU73,"上周无销量")</f>
        <v>上周无销量</v>
      </c>
    </row>
    <row r="74" spans="1:48">
      <c r="A74" s="21" t="s">
        <v>193</v>
      </c>
      <c r="B74" t="s">
        <v>194</v>
      </c>
      <c r="C74" t="s">
        <v>140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0</v>
      </c>
      <c r="AL74">
        <v>0</v>
      </c>
      <c r="AM74">
        <v>0</v>
      </c>
      <c r="AN74" s="23" t="s">
        <v>54</v>
      </c>
      <c r="AO74" s="23" t="s">
        <v>54</v>
      </c>
      <c r="AP74" s="23" t="s">
        <v>54</v>
      </c>
      <c r="AQ74" s="23" t="s">
        <v>54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IFERROR($A$2+AU74,"上周无销量")</f>
        <v>上周无销量</v>
      </c>
    </row>
    <row r="75" spans="1:48">
      <c r="A75" s="21" t="s">
        <v>195</v>
      </c>
      <c r="B75" t="s">
        <v>196</v>
      </c>
      <c r="C75" t="s">
        <v>140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0</v>
      </c>
      <c r="AM75">
        <v>0</v>
      </c>
      <c r="AN75" s="23" t="s">
        <v>54</v>
      </c>
      <c r="AO75" s="23" t="s">
        <v>54</v>
      </c>
      <c r="AP75" s="23" t="s">
        <v>54</v>
      </c>
      <c r="AQ75" s="23" t="s">
        <v>54</v>
      </c>
      <c r="AR75" s="35">
        <v>0</v>
      </c>
      <c r="AS75" s="35">
        <v>0</v>
      </c>
      <c r="AT75" s="35">
        <v>0</v>
      </c>
      <c r="AU75" s="31" t="str">
        <f t="shared" si="4"/>
        <v>库存为0</v>
      </c>
      <c r="AV75" s="36" t="str">
        <f>IFERROR($A$2+AU75,"上周无销量")</f>
        <v>上周无销量</v>
      </c>
    </row>
    <row r="76" spans="1:48">
      <c r="A76" s="21" t="s">
        <v>197</v>
      </c>
      <c r="B76" t="s">
        <v>198</v>
      </c>
      <c r="C76" t="s">
        <v>140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s">
        <v>54</v>
      </c>
      <c r="AO76" s="23" t="s">
        <v>54</v>
      </c>
      <c r="AP76" s="23" t="s">
        <v>54</v>
      </c>
      <c r="AQ76" s="23" t="s">
        <v>54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IFERROR($A$2+AU76,"上周无销量")</f>
        <v>上周无销量</v>
      </c>
    </row>
    <row r="77" spans="1:48">
      <c r="A77" s="21" t="s">
        <v>199</v>
      </c>
      <c r="B77" t="s">
        <v>200</v>
      </c>
      <c r="C77" t="s">
        <v>140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0</v>
      </c>
      <c r="AM77">
        <v>0</v>
      </c>
      <c r="AN77" s="23" t="s">
        <v>54</v>
      </c>
      <c r="AO77" s="23" t="s">
        <v>54</v>
      </c>
      <c r="AP77" s="23" t="s">
        <v>54</v>
      </c>
      <c r="AQ77" s="23" t="s">
        <v>54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IFERROR($A$2+AU77,"上周无销量")</f>
        <v>上周无销量</v>
      </c>
    </row>
    <row r="78" spans="1:48">
      <c r="A78" s="21" t="s">
        <v>201</v>
      </c>
      <c r="B78" t="s">
        <v>202</v>
      </c>
      <c r="C78" t="s">
        <v>140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0</v>
      </c>
      <c r="AM78">
        <v>0</v>
      </c>
      <c r="AN78" s="23" t="s">
        <v>54</v>
      </c>
      <c r="AO78" s="23" t="s">
        <v>54</v>
      </c>
      <c r="AP78" s="23" t="s">
        <v>54</v>
      </c>
      <c r="AQ78" s="23" t="s">
        <v>54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IFERROR($A$2+AU78,"上周无销量")</f>
        <v>上周无销量</v>
      </c>
    </row>
    <row r="79" spans="1:48">
      <c r="A79" s="21" t="s">
        <v>203</v>
      </c>
      <c r="B79" t="s">
        <v>204</v>
      </c>
      <c r="C79" t="s">
        <v>140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s">
        <v>54</v>
      </c>
      <c r="AO79" s="23" t="s">
        <v>54</v>
      </c>
      <c r="AP79" s="23" t="s">
        <v>54</v>
      </c>
      <c r="AQ79" s="23" t="s">
        <v>54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IFERROR($A$2+AU79,"上周无销量")</f>
        <v>上周无销量</v>
      </c>
    </row>
    <row r="80" spans="1:48">
      <c r="A80" s="21" t="s">
        <v>205</v>
      </c>
      <c r="B80" t="s">
        <v>206</v>
      </c>
      <c r="C80" t="s">
        <v>140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s">
        <v>54</v>
      </c>
      <c r="AO80" s="23" t="s">
        <v>54</v>
      </c>
      <c r="AP80" s="23" t="s">
        <v>54</v>
      </c>
      <c r="AQ80" s="23" t="s">
        <v>54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IFERROR($A$2+AU80,"上周无销量")</f>
        <v>上周无销量</v>
      </c>
    </row>
    <row r="81" spans="1:48">
      <c r="A81" s="21" t="s">
        <v>207</v>
      </c>
      <c r="B81" t="s">
        <v>208</v>
      </c>
      <c r="C81" t="s">
        <v>140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s">
        <v>54</v>
      </c>
      <c r="AO81" s="23" t="s">
        <v>54</v>
      </c>
      <c r="AP81" s="23" t="s">
        <v>54</v>
      </c>
      <c r="AQ81" s="23" t="s">
        <v>54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IFERROR($A$2+AU81,"上周无销量")</f>
        <v>上周无销量</v>
      </c>
    </row>
    <row r="82" spans="1:48">
      <c r="A82" s="21" t="s">
        <v>209</v>
      </c>
      <c r="B82" t="s">
        <v>210</v>
      </c>
      <c r="C82" t="s">
        <v>140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s">
        <v>54</v>
      </c>
      <c r="AO82" s="23" t="s">
        <v>54</v>
      </c>
      <c r="AP82" s="23" t="s">
        <v>54</v>
      </c>
      <c r="AQ82" s="23" t="s">
        <v>54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IFERROR($A$2+AU82,"上周无销量")</f>
        <v>上周无销量</v>
      </c>
    </row>
    <row r="83" spans="1:48">
      <c r="A83" s="21" t="s">
        <v>211</v>
      </c>
      <c r="B83" t="s">
        <v>212</v>
      </c>
      <c r="C83" t="s">
        <v>140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s">
        <v>54</v>
      </c>
      <c r="AO83" s="23" t="s">
        <v>54</v>
      </c>
      <c r="AP83" s="23" t="s">
        <v>54</v>
      </c>
      <c r="AQ83" s="23" t="s">
        <v>54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IFERROR($A$2+AU83,"上周无销量")</f>
        <v>上周无销量</v>
      </c>
    </row>
    <row r="84" spans="1:48">
      <c r="A84" s="21" t="s">
        <v>213</v>
      </c>
      <c r="B84" t="s">
        <v>214</v>
      </c>
      <c r="C84" t="s">
        <v>140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IFERROR($A$2+AU84,"上周无销量")</f>
        <v>上周无销量</v>
      </c>
    </row>
    <row r="85" spans="1:48">
      <c r="A85" s="21" t="s">
        <v>215</v>
      </c>
      <c r="B85" t="s">
        <v>216</v>
      </c>
      <c r="C85" t="s">
        <v>140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s">
        <v>54</v>
      </c>
      <c r="AO85" s="23" t="s">
        <v>54</v>
      </c>
      <c r="AP85" s="23" t="s">
        <v>54</v>
      </c>
      <c r="AQ85" s="23" t="s">
        <v>54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IFERROR($A$2+AU85,"上周无销量")</f>
        <v>上周无销量</v>
      </c>
    </row>
    <row r="86" spans="1:48">
      <c r="A86" s="21" t="s">
        <v>217</v>
      </c>
      <c r="B86" t="s">
        <v>218</v>
      </c>
      <c r="C86" t="s">
        <v>140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s">
        <v>54</v>
      </c>
      <c r="AO86" s="23" t="s">
        <v>54</v>
      </c>
      <c r="AP86" s="23" t="s">
        <v>54</v>
      </c>
      <c r="AQ86" s="23" t="s">
        <v>54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IFERROR($A$2+AU86,"上周无销量")</f>
        <v>上周无销量</v>
      </c>
    </row>
    <row r="87" spans="1:48">
      <c r="A87" s="21" t="s">
        <v>219</v>
      </c>
      <c r="B87" t="s">
        <v>220</v>
      </c>
      <c r="C87" t="s">
        <v>221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0</v>
      </c>
      <c r="AK87">
        <v>0</v>
      </c>
      <c r="AL87">
        <v>0</v>
      </c>
      <c r="AM87">
        <v>0</v>
      </c>
      <c r="AN87" s="23" t="s">
        <v>54</v>
      </c>
      <c r="AO87" s="23" t="s">
        <v>54</v>
      </c>
      <c r="AP87" s="23" t="s">
        <v>54</v>
      </c>
      <c r="AQ87" s="23" t="s">
        <v>54</v>
      </c>
      <c r="AR87" s="35">
        <v>0</v>
      </c>
      <c r="AS87" s="35">
        <v>0</v>
      </c>
      <c r="AT87" s="35">
        <v>0</v>
      </c>
      <c r="AU87" s="31" t="str">
        <f t="shared" si="4"/>
        <v>库存为0</v>
      </c>
      <c r="AV87" s="36" t="str">
        <f>IFERROR($A$2+AU87,"上周无销量")</f>
        <v>上周无销量</v>
      </c>
    </row>
    <row r="88" spans="1:48">
      <c r="A88" s="21" t="s">
        <v>222</v>
      </c>
      <c r="B88" t="s">
        <v>223</v>
      </c>
      <c r="C88" t="s">
        <v>221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0</v>
      </c>
      <c r="AU88" s="31" t="str">
        <f t="shared" si="4"/>
        <v>库存为0</v>
      </c>
      <c r="AV88" s="36" t="str">
        <f>IFERROR($A$2+AU88,"上周无销量")</f>
        <v>上周无销量</v>
      </c>
    </row>
    <row r="89" spans="1:48">
      <c r="A89" s="21" t="s">
        <v>224</v>
      </c>
      <c r="B89" t="s">
        <v>225</v>
      </c>
      <c r="C89" t="s">
        <v>221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5">
        <v>0</v>
      </c>
      <c r="AS89" s="35">
        <v>0</v>
      </c>
      <c r="AT89" s="35">
        <v>0</v>
      </c>
      <c r="AU89" s="31" t="str">
        <f t="shared" si="4"/>
        <v>库存为0</v>
      </c>
      <c r="AV89" s="36" t="str">
        <f>IFERROR($A$2+AU89,"上周无销量")</f>
        <v>上周无销量</v>
      </c>
    </row>
    <row r="90" spans="1:48">
      <c r="A90" s="21" t="s">
        <v>226</v>
      </c>
      <c r="B90" t="s">
        <v>227</v>
      </c>
      <c r="C90" t="s">
        <v>221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0</v>
      </c>
      <c r="AU90" s="31" t="str">
        <f t="shared" si="4"/>
        <v>库存为0</v>
      </c>
      <c r="AV90" s="36" t="str">
        <f>IFERROR($A$2+AU90,"上周无销量")</f>
        <v>上周无销量</v>
      </c>
    </row>
    <row r="91" spans="1:48">
      <c r="A91" s="21" t="s">
        <v>228</v>
      </c>
      <c r="B91" t="s">
        <v>229</v>
      </c>
      <c r="C91" t="s">
        <v>221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5">
        <v>0</v>
      </c>
      <c r="AS91" s="35">
        <v>0</v>
      </c>
      <c r="AT91" s="35">
        <v>0</v>
      </c>
      <c r="AU91" s="31" t="str">
        <f t="shared" si="4"/>
        <v>库存为0</v>
      </c>
      <c r="AV91" s="36" t="str">
        <f>IFERROR($A$2+AU91,"上周无销量")</f>
        <v>上周无销量</v>
      </c>
    </row>
    <row r="92" spans="1:48">
      <c r="A92" s="21" t="s">
        <v>230</v>
      </c>
      <c r="B92" t="s">
        <v>231</v>
      </c>
      <c r="C92" t="s">
        <v>221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4"/>
        <v>库存为0</v>
      </c>
      <c r="AV92" s="36" t="str">
        <f>IFERROR($A$2+AU92,"上周无销量")</f>
        <v>上周无销量</v>
      </c>
    </row>
    <row r="93" spans="1:48">
      <c r="A93" s="21" t="s">
        <v>232</v>
      </c>
      <c r="B93" t="s">
        <v>233</v>
      </c>
      <c r="C93" t="s">
        <v>221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0</v>
      </c>
      <c r="AK93">
        <v>0</v>
      </c>
      <c r="AL93">
        <v>0</v>
      </c>
      <c r="AM93">
        <v>0</v>
      </c>
      <c r="AN93" s="23" t="s">
        <v>54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0</v>
      </c>
      <c r="AU93" s="31" t="str">
        <f t="shared" si="4"/>
        <v>库存为0</v>
      </c>
      <c r="AV93" s="36" t="str">
        <f>IFERROR($A$2+AU93,"上周无销量")</f>
        <v>上周无销量</v>
      </c>
    </row>
    <row r="94" spans="1:48">
      <c r="A94" s="21" t="s">
        <v>234</v>
      </c>
      <c r="B94" t="s">
        <v>235</v>
      </c>
      <c r="C94" t="s">
        <v>221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5">
        <v>0</v>
      </c>
      <c r="AS94" s="35">
        <v>0</v>
      </c>
      <c r="AT94" s="35">
        <v>0</v>
      </c>
      <c r="AU94" s="31" t="str">
        <f t="shared" si="4"/>
        <v>库存为0</v>
      </c>
      <c r="AV94" s="36" t="str">
        <f>IFERROR($A$2+AU94,"上周无销量")</f>
        <v>上周无销量</v>
      </c>
    </row>
    <row r="95" spans="1:48">
      <c r="A95" s="21" t="s">
        <v>236</v>
      </c>
      <c r="B95" t="s">
        <v>237</v>
      </c>
      <c r="C95" t="s">
        <v>221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0</v>
      </c>
      <c r="AN95" s="23" t="s">
        <v>54</v>
      </c>
      <c r="AO95" s="23" t="s">
        <v>54</v>
      </c>
      <c r="AP95" s="23" t="s">
        <v>54</v>
      </c>
      <c r="AQ95" s="23" t="s">
        <v>54</v>
      </c>
      <c r="AR95" s="35">
        <v>0</v>
      </c>
      <c r="AS95" s="35">
        <v>0</v>
      </c>
      <c r="AT95" s="35">
        <v>0</v>
      </c>
      <c r="AU95" s="31" t="str">
        <f t="shared" si="4"/>
        <v>库存为0</v>
      </c>
      <c r="AV95" s="36" t="str">
        <f>IFERROR($A$2+AU95,"上周无销量")</f>
        <v>上周无销量</v>
      </c>
    </row>
    <row r="96" spans="1:48">
      <c r="A96" s="21" t="s">
        <v>238</v>
      </c>
      <c r="B96" t="s">
        <v>239</v>
      </c>
      <c r="C96" t="s">
        <v>221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0</v>
      </c>
      <c r="AM96">
        <v>0</v>
      </c>
      <c r="AN96" s="23" t="s">
        <v>54</v>
      </c>
      <c r="AO96" s="23" t="s">
        <v>54</v>
      </c>
      <c r="AP96" s="23" t="s">
        <v>54</v>
      </c>
      <c r="AQ96" s="23" t="s">
        <v>54</v>
      </c>
      <c r="AR96" s="35">
        <v>0</v>
      </c>
      <c r="AS96" s="35">
        <v>0</v>
      </c>
      <c r="AT96" s="35">
        <v>0</v>
      </c>
      <c r="AU96" s="31" t="str">
        <f t="shared" si="4"/>
        <v>库存为0</v>
      </c>
      <c r="AV96" s="36" t="str">
        <f>IFERROR($A$2+AU96,"上周无销量")</f>
        <v>上周无销量</v>
      </c>
    </row>
    <row r="97" spans="1:48">
      <c r="A97" s="21" t="s">
        <v>240</v>
      </c>
      <c r="B97" t="s">
        <v>241</v>
      </c>
      <c r="C97" t="s">
        <v>221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0</v>
      </c>
      <c r="AM97">
        <v>0</v>
      </c>
      <c r="AN97" s="23" t="s">
        <v>54</v>
      </c>
      <c r="AO97" s="23" t="s">
        <v>54</v>
      </c>
      <c r="AP97" s="23" t="s">
        <v>54</v>
      </c>
      <c r="AQ97" s="23" t="s">
        <v>54</v>
      </c>
      <c r="AR97" s="35">
        <v>0</v>
      </c>
      <c r="AS97" s="35">
        <v>0</v>
      </c>
      <c r="AT97" s="35">
        <v>0</v>
      </c>
      <c r="AU97" s="31" t="str">
        <f t="shared" si="4"/>
        <v>库存为0</v>
      </c>
      <c r="AV97" s="36" t="str">
        <f>IFERROR($A$2+AU97,"上周无销量")</f>
        <v>上周无销量</v>
      </c>
    </row>
    <row r="98" spans="1:48">
      <c r="A98" s="21" t="s">
        <v>242</v>
      </c>
      <c r="B98" t="s">
        <v>243</v>
      </c>
      <c r="C98" t="s">
        <v>221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5">
        <v>0</v>
      </c>
      <c r="AS98" s="35">
        <v>0</v>
      </c>
      <c r="AT98" s="35">
        <v>0</v>
      </c>
      <c r="AU98" s="31" t="str">
        <f t="shared" si="4"/>
        <v>库存为0</v>
      </c>
      <c r="AV98" s="36" t="str">
        <f>IFERROR($A$2+AU98,"上周无销量")</f>
        <v>上周无销量</v>
      </c>
    </row>
    <row r="99" spans="1:48">
      <c r="A99" s="21" t="s">
        <v>244</v>
      </c>
      <c r="B99" t="s">
        <v>245</v>
      </c>
      <c r="C99" t="s">
        <v>221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s">
        <v>54</v>
      </c>
      <c r="AO99" s="23" t="s">
        <v>54</v>
      </c>
      <c r="AP99" s="23" t="s">
        <v>54</v>
      </c>
      <c r="AQ99" s="23" t="s">
        <v>54</v>
      </c>
      <c r="AR99" s="35">
        <v>0</v>
      </c>
      <c r="AS99" s="35">
        <v>0</v>
      </c>
      <c r="AT99" s="35">
        <v>0</v>
      </c>
      <c r="AU99" s="31" t="str">
        <f t="shared" si="4"/>
        <v>库存为0</v>
      </c>
      <c r="AV99" s="36" t="str">
        <f>IFERROR($A$2+AU99,"上周无销量")</f>
        <v>上周无销量</v>
      </c>
    </row>
    <row r="100" spans="1:48">
      <c r="A100" s="21" t="s">
        <v>246</v>
      </c>
      <c r="B100" t="s">
        <v>247</v>
      </c>
      <c r="C100" t="s">
        <v>221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</v>
      </c>
      <c r="AS100" s="35">
        <v>0</v>
      </c>
      <c r="AT100" s="35">
        <v>0</v>
      </c>
      <c r="AU100" s="31" t="str">
        <f t="shared" si="4"/>
        <v>库存为0</v>
      </c>
      <c r="AV100" s="36" t="str">
        <f>IFERROR($A$2+AU100,"上周无销量")</f>
        <v>上周无销量</v>
      </c>
    </row>
    <row r="101" spans="1:48">
      <c r="A101" s="21" t="s">
        <v>248</v>
      </c>
      <c r="B101" t="s">
        <v>249</v>
      </c>
      <c r="C101" t="s">
        <v>221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IFERROR($A$2+AU101,"上周无销量")</f>
        <v>上周无销量</v>
      </c>
    </row>
    <row r="102" spans="1:48">
      <c r="A102" s="21" t="s">
        <v>250</v>
      </c>
      <c r="B102" t="s">
        <v>251</v>
      </c>
      <c r="C102" t="e">
        <v>#N/A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s">
        <v>54</v>
      </c>
      <c r="AO102" s="23" t="s">
        <v>54</v>
      </c>
      <c r="AP102" s="23" t="s">
        <v>54</v>
      </c>
      <c r="AQ102" s="23" t="s">
        <v>54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IFERROR($A$2+AU102,"上周无销量")</f>
        <v>上周无销量</v>
      </c>
    </row>
    <row r="103" spans="1:48">
      <c r="A103" s="21" t="s">
        <v>252</v>
      </c>
      <c r="B103" t="s">
        <v>253</v>
      </c>
      <c r="C103" t="e">
        <v>#N/A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0</v>
      </c>
      <c r="AL103">
        <v>0</v>
      </c>
      <c r="AM103">
        <v>0</v>
      </c>
      <c r="AN103" s="23" t="s">
        <v>54</v>
      </c>
      <c r="AO103" s="23" t="s">
        <v>54</v>
      </c>
      <c r="AP103" s="23" t="s">
        <v>54</v>
      </c>
      <c r="AQ103" s="23" t="s">
        <v>54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IFERROR($A$2+AU103,"上周无销量")</f>
        <v>上周无销量</v>
      </c>
    </row>
    <row r="104" spans="1:48">
      <c r="A104" s="21" t="s">
        <v>254</v>
      </c>
      <c r="B104" t="s">
        <v>255</v>
      </c>
      <c r="C104" t="e">
        <v>#N/A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s">
        <v>54</v>
      </c>
      <c r="AO104" s="23" t="s">
        <v>54</v>
      </c>
      <c r="AP104" s="23" t="s">
        <v>54</v>
      </c>
      <c r="AQ104" s="23" t="s">
        <v>54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IFERROR($A$2+AU104,"上周无销量")</f>
        <v>上周无销量</v>
      </c>
    </row>
    <row r="105" spans="1:48">
      <c r="A105" s="21" t="s">
        <v>256</v>
      </c>
      <c r="B105" t="s">
        <v>257</v>
      </c>
      <c r="C105" t="e">
        <v>#N/A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s">
        <v>54</v>
      </c>
      <c r="AO105" s="23" t="s">
        <v>54</v>
      </c>
      <c r="AP105" s="23" t="s">
        <v>54</v>
      </c>
      <c r="AQ105" s="23" t="s">
        <v>54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IFERROR($A$2+AU105,"上周无销量")</f>
        <v>上周无销量</v>
      </c>
    </row>
    <row r="106" spans="1:48">
      <c r="A106" s="21" t="s">
        <v>258</v>
      </c>
      <c r="B106" t="s">
        <v>259</v>
      </c>
      <c r="C106" t="e">
        <v>#N/A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s">
        <v>54</v>
      </c>
      <c r="AO106" s="23" t="s">
        <v>54</v>
      </c>
      <c r="AP106" s="23" t="s">
        <v>54</v>
      </c>
      <c r="AQ106" s="23" t="s">
        <v>54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IFERROR($A$2+AU106,"上周无销量")</f>
        <v>上周无销量</v>
      </c>
    </row>
    <row r="107" spans="1:48">
      <c r="A107" s="21" t="s">
        <v>260</v>
      </c>
      <c r="B107" t="s">
        <v>261</v>
      </c>
      <c r="C107" t="e">
        <v>#N/A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s">
        <v>54</v>
      </c>
      <c r="AO107" s="23" t="s">
        <v>54</v>
      </c>
      <c r="AP107" s="23" t="s">
        <v>54</v>
      </c>
      <c r="AQ107" s="23" t="s">
        <v>54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IFERROR($A$2+AU107,"上周无销量")</f>
        <v>上周无销量</v>
      </c>
    </row>
    <row r="108" spans="1:48">
      <c r="A108" s="21" t="s">
        <v>262</v>
      </c>
      <c r="B108" t="s">
        <v>263</v>
      </c>
      <c r="C108" t="e">
        <v>#N/A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s">
        <v>54</v>
      </c>
      <c r="AO108" s="23" t="s">
        <v>54</v>
      </c>
      <c r="AP108" s="23" t="s">
        <v>54</v>
      </c>
      <c r="AQ108" s="23" t="s">
        <v>54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IFERROR($A$2+AU108,"上周无销量")</f>
        <v>上周无销量</v>
      </c>
    </row>
    <row r="109" spans="1:48">
      <c r="A109" s="21" t="s">
        <v>264</v>
      </c>
      <c r="B109" t="s">
        <v>265</v>
      </c>
      <c r="C109" t="e">
        <v>#N/A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s">
        <v>54</v>
      </c>
      <c r="AO109" s="23" t="s">
        <v>54</v>
      </c>
      <c r="AP109" s="23" t="s">
        <v>54</v>
      </c>
      <c r="AQ109" s="23" t="s">
        <v>54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IFERROR($A$2+AU109,"上周无销量")</f>
        <v>上周无销量</v>
      </c>
    </row>
    <row r="110" spans="1:48">
      <c r="A110" s="21" t="s">
        <v>266</v>
      </c>
      <c r="B110" t="s">
        <v>267</v>
      </c>
      <c r="C110" t="e">
        <v>#N/A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s">
        <v>54</v>
      </c>
      <c r="AO110" s="23" t="s">
        <v>54</v>
      </c>
      <c r="AP110" s="23" t="s">
        <v>54</v>
      </c>
      <c r="AQ110" s="23" t="s">
        <v>54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IFERROR($A$2+AU110,"上周无销量")</f>
        <v>上周无销量</v>
      </c>
    </row>
    <row r="111" spans="1:48">
      <c r="A111" s="21" t="s">
        <v>268</v>
      </c>
      <c r="B111" t="s">
        <v>269</v>
      </c>
      <c r="C111" t="e">
        <v>#N/A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s">
        <v>54</v>
      </c>
      <c r="AO111" s="23" t="s">
        <v>54</v>
      </c>
      <c r="AP111" s="23" t="s">
        <v>54</v>
      </c>
      <c r="AQ111" s="23" t="s">
        <v>54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IFERROR($A$2+AU111,"上周无销量")</f>
        <v>上周无销量</v>
      </c>
    </row>
    <row r="112" spans="1:48">
      <c r="A112" s="21" t="s">
        <v>270</v>
      </c>
      <c r="B112" t="s">
        <v>271</v>
      </c>
      <c r="C112" t="e">
        <v>#N/A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s">
        <v>54</v>
      </c>
      <c r="AO112" s="23" t="s">
        <v>54</v>
      </c>
      <c r="AP112" s="23" t="s">
        <v>54</v>
      </c>
      <c r="AQ112" s="23" t="s">
        <v>54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IFERROR($A$2+AU112,"上周无销量")</f>
        <v>上周无销量</v>
      </c>
    </row>
    <row r="113" spans="1:48">
      <c r="A113" s="21" t="s">
        <v>272</v>
      </c>
      <c r="B113" t="s">
        <v>273</v>
      </c>
      <c r="C113" t="e">
        <v>#N/A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s">
        <v>54</v>
      </c>
      <c r="AO113" s="23" t="s">
        <v>54</v>
      </c>
      <c r="AP113" s="23" t="s">
        <v>54</v>
      </c>
      <c r="AQ113" s="23" t="s">
        <v>54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IFERROR($A$2+AU113,"上周无销量")</f>
        <v>上周无销量</v>
      </c>
    </row>
    <row r="114" spans="1:48">
      <c r="A114" s="21" t="s">
        <v>274</v>
      </c>
      <c r="B114" t="s">
        <v>275</v>
      </c>
      <c r="C114" t="s">
        <v>276</v>
      </c>
      <c r="D114" s="31">
        <v>1</v>
      </c>
      <c r="E114" s="31">
        <v>0</v>
      </c>
      <c r="F114" s="31">
        <v>0</v>
      </c>
      <c r="G114" s="31">
        <v>0</v>
      </c>
      <c r="H114" s="32">
        <v>20.99</v>
      </c>
      <c r="I114">
        <v>8</v>
      </c>
      <c r="J114" s="33">
        <v>0</v>
      </c>
      <c r="K114" s="33">
        <v>0</v>
      </c>
      <c r="L114" s="33">
        <v>0</v>
      </c>
      <c r="M114">
        <v>8</v>
      </c>
      <c r="N114">
        <v>0</v>
      </c>
      <c r="O114">
        <v>8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3</v>
      </c>
      <c r="AK114">
        <v>3</v>
      </c>
      <c r="AL114">
        <v>0</v>
      </c>
      <c r="AM114">
        <v>1</v>
      </c>
      <c r="AN114" s="23">
        <v>0.333333333333333</v>
      </c>
      <c r="AO114" s="23">
        <v>0</v>
      </c>
      <c r="AP114" s="23" t="s">
        <v>54</v>
      </c>
      <c r="AQ114" s="23">
        <v>0</v>
      </c>
      <c r="AR114" s="35">
        <v>0.142857142857143</v>
      </c>
      <c r="AS114" s="35">
        <v>8.57142857142857</v>
      </c>
      <c r="AT114" s="35">
        <v>-0.571428571428571</v>
      </c>
      <c r="AU114" s="31">
        <f t="shared" si="4"/>
        <v>56</v>
      </c>
      <c r="AV114" s="36">
        <f>IFERROR($A$2+AU114,"上周无销量")</f>
        <v>43332</v>
      </c>
    </row>
    <row r="115" spans="1:48">
      <c r="A115" s="21" t="s">
        <v>277</v>
      </c>
      <c r="B115" t="s">
        <v>278</v>
      </c>
      <c r="C115" t="s">
        <v>276</v>
      </c>
      <c r="D115" s="31">
        <v>0</v>
      </c>
      <c r="E115" s="31">
        <v>1</v>
      </c>
      <c r="F115" s="31">
        <v>0</v>
      </c>
      <c r="G115" s="31">
        <v>0</v>
      </c>
      <c r="H115" s="32">
        <v>20.99</v>
      </c>
      <c r="I115">
        <v>4</v>
      </c>
      <c r="J115" s="33">
        <v>0</v>
      </c>
      <c r="K115" s="33">
        <v>0</v>
      </c>
      <c r="L115" s="33">
        <v>0</v>
      </c>
      <c r="M115">
        <v>4</v>
      </c>
      <c r="N115">
        <v>0</v>
      </c>
      <c r="O115">
        <v>4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2</v>
      </c>
      <c r="AK115">
        <v>5</v>
      </c>
      <c r="AL115">
        <v>3</v>
      </c>
      <c r="AM115">
        <v>2</v>
      </c>
      <c r="AN115" s="23">
        <v>0</v>
      </c>
      <c r="AO115" s="23">
        <v>0.2</v>
      </c>
      <c r="AP115" s="23">
        <v>0</v>
      </c>
      <c r="AQ115" s="23">
        <v>0</v>
      </c>
      <c r="AR115" s="35">
        <v>0</v>
      </c>
      <c r="AS115" s="35">
        <v>0</v>
      </c>
      <c r="AT115" s="35">
        <v>4</v>
      </c>
      <c r="AU115" s="31" t="str">
        <f t="shared" si="4"/>
        <v>库存为4</v>
      </c>
      <c r="AV115" s="36" t="str">
        <f>IFERROR($A$2+AU115,"上周无销量")</f>
        <v>上周无销量</v>
      </c>
    </row>
    <row r="116" spans="1:48">
      <c r="A116" s="21" t="s">
        <v>279</v>
      </c>
      <c r="B116" t="s">
        <v>280</v>
      </c>
      <c r="C116" t="s">
        <v>281</v>
      </c>
      <c r="D116" s="31">
        <v>0</v>
      </c>
      <c r="E116" s="31">
        <v>1</v>
      </c>
      <c r="F116" s="31">
        <v>1</v>
      </c>
      <c r="G116" s="31">
        <v>0</v>
      </c>
      <c r="H116" s="32">
        <v>25.99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5</v>
      </c>
      <c r="AL116">
        <v>10</v>
      </c>
      <c r="AM116">
        <v>2</v>
      </c>
      <c r="AN116" s="23" t="s">
        <v>54</v>
      </c>
      <c r="AO116" s="23">
        <v>0.2</v>
      </c>
      <c r="AP116" s="23">
        <v>0.1</v>
      </c>
      <c r="AQ116" s="23">
        <v>0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IFERROR($A$2+AU116,"上周无销量")</f>
        <v>上周无销量</v>
      </c>
    </row>
    <row r="117" spans="1:48">
      <c r="A117" s="21" t="s">
        <v>282</v>
      </c>
      <c r="B117" t="s">
        <v>283</v>
      </c>
      <c r="C117" t="s">
        <v>281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s">
        <v>54</v>
      </c>
      <c r="AO117" s="23" t="s">
        <v>54</v>
      </c>
      <c r="AP117" s="23" t="s">
        <v>54</v>
      </c>
      <c r="AQ117" s="23" t="s">
        <v>54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IFERROR($A$2+AU117,"上周无销量")</f>
        <v>上周无销量</v>
      </c>
    </row>
    <row r="118" spans="1:48">
      <c r="A118" s="21" t="s">
        <v>284</v>
      </c>
      <c r="B118" t="s">
        <v>285</v>
      </c>
      <c r="C118" t="s">
        <v>286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81</v>
      </c>
      <c r="T118">
        <v>0</v>
      </c>
      <c r="U118">
        <v>0</v>
      </c>
      <c r="V118">
        <v>0</v>
      </c>
      <c r="W118">
        <v>0</v>
      </c>
      <c r="X118" s="23" t="s">
        <v>54</v>
      </c>
      <c r="Y118" s="23" t="s">
        <v>54</v>
      </c>
      <c r="Z118" s="23" t="s">
        <v>54</v>
      </c>
      <c r="AA118" s="23">
        <v>0</v>
      </c>
      <c r="AB118">
        <v>0</v>
      </c>
      <c r="AC118">
        <v>0</v>
      </c>
      <c r="AD118">
        <v>0</v>
      </c>
      <c r="AE118">
        <v>0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s">
        <v>54</v>
      </c>
      <c r="AO118" s="23" t="s">
        <v>54</v>
      </c>
      <c r="AP118" s="23" t="s">
        <v>54</v>
      </c>
      <c r="AQ118" s="23" t="s">
        <v>54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IFERROR($A$2+AU118,"上周无销量")</f>
        <v>上周无销量</v>
      </c>
    </row>
    <row r="119" spans="1:48">
      <c r="A119" s="21" t="s">
        <v>287</v>
      </c>
      <c r="B119" t="s">
        <v>288</v>
      </c>
      <c r="C119" t="s">
        <v>286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s">
        <v>54</v>
      </c>
      <c r="AO119" s="23" t="s">
        <v>54</v>
      </c>
      <c r="AP119" s="23" t="s">
        <v>54</v>
      </c>
      <c r="AQ119" s="23" t="s">
        <v>54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IFERROR($A$2+AU119,"上周无销量")</f>
        <v>上周无销量</v>
      </c>
    </row>
    <row r="120" spans="1:48">
      <c r="A120" s="21" t="s">
        <v>289</v>
      </c>
      <c r="B120" t="s">
        <v>290</v>
      </c>
      <c r="C120" t="s">
        <v>289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2</v>
      </c>
      <c r="J120" s="33">
        <v>0</v>
      </c>
      <c r="K120" s="33">
        <v>0</v>
      </c>
      <c r="L120" s="33">
        <v>0</v>
      </c>
      <c r="M120">
        <v>2</v>
      </c>
      <c r="N120">
        <v>0</v>
      </c>
      <c r="O120">
        <v>2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2</v>
      </c>
      <c r="AK120">
        <v>3</v>
      </c>
      <c r="AL120">
        <v>2</v>
      </c>
      <c r="AM120">
        <v>3</v>
      </c>
      <c r="AN120" s="23">
        <v>0</v>
      </c>
      <c r="AO120" s="23">
        <v>0</v>
      </c>
      <c r="AP120" s="23">
        <v>0</v>
      </c>
      <c r="AQ120" s="23">
        <v>0</v>
      </c>
      <c r="AR120" s="35">
        <v>0</v>
      </c>
      <c r="AS120" s="35">
        <v>0</v>
      </c>
      <c r="AT120" s="35">
        <v>2</v>
      </c>
      <c r="AU120" s="31" t="str">
        <f t="shared" si="4"/>
        <v>库存为2</v>
      </c>
      <c r="AV120" s="36" t="str">
        <f>IFERROR($A$2+AU120,"上周无销量")</f>
        <v>上周无销量</v>
      </c>
    </row>
    <row r="121" spans="1:48">
      <c r="A121" s="21" t="s">
        <v>291</v>
      </c>
      <c r="B121" t="s">
        <v>292</v>
      </c>
      <c r="C121" t="s">
        <v>293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3</v>
      </c>
      <c r="J121" s="33">
        <v>0</v>
      </c>
      <c r="K121" s="33">
        <v>0</v>
      </c>
      <c r="L121" s="33">
        <v>0</v>
      </c>
      <c r="M121">
        <v>3</v>
      </c>
      <c r="N121">
        <v>0</v>
      </c>
      <c r="O121">
        <v>3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1</v>
      </c>
      <c r="AK121">
        <v>4</v>
      </c>
      <c r="AL121">
        <v>0</v>
      </c>
      <c r="AM121">
        <v>1</v>
      </c>
      <c r="AN121" s="23">
        <v>0</v>
      </c>
      <c r="AO121" s="23">
        <v>0</v>
      </c>
      <c r="AP121" s="23" t="s">
        <v>54</v>
      </c>
      <c r="AQ121" s="23">
        <v>0</v>
      </c>
      <c r="AR121" s="35">
        <v>0</v>
      </c>
      <c r="AS121" s="35">
        <v>0</v>
      </c>
      <c r="AT121" s="35">
        <v>3</v>
      </c>
      <c r="AU121" s="31" t="str">
        <f t="shared" si="4"/>
        <v>库存为3</v>
      </c>
      <c r="AV121" s="36" t="str">
        <f>IFERROR($A$2+AU121,"上周无销量")</f>
        <v>上周无销量</v>
      </c>
    </row>
    <row r="122" spans="1:48">
      <c r="A122" s="21" t="s">
        <v>294</v>
      </c>
      <c r="B122" t="s">
        <v>295</v>
      </c>
      <c r="C122" t="s">
        <v>293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3</v>
      </c>
      <c r="J122" s="33">
        <v>0</v>
      </c>
      <c r="K122" s="33">
        <v>0</v>
      </c>
      <c r="L122" s="33">
        <v>0</v>
      </c>
      <c r="M122">
        <v>3</v>
      </c>
      <c r="N122">
        <v>0</v>
      </c>
      <c r="O122">
        <v>3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3</v>
      </c>
      <c r="AK122">
        <v>4</v>
      </c>
      <c r="AL122">
        <v>0</v>
      </c>
      <c r="AM122">
        <v>1</v>
      </c>
      <c r="AN122" s="23">
        <v>0</v>
      </c>
      <c r="AO122" s="23">
        <v>0</v>
      </c>
      <c r="AP122" s="23" t="s">
        <v>54</v>
      </c>
      <c r="AQ122" s="23">
        <v>0</v>
      </c>
      <c r="AR122" s="35">
        <v>0</v>
      </c>
      <c r="AS122" s="35">
        <v>0</v>
      </c>
      <c r="AT122" s="35">
        <v>3</v>
      </c>
      <c r="AU122" s="31" t="str">
        <f t="shared" si="4"/>
        <v>库存为3</v>
      </c>
      <c r="AV122" s="36" t="str">
        <f>IFERROR($A$2+AU122,"上周无销量")</f>
        <v>上周无销量</v>
      </c>
    </row>
    <row r="123" spans="1:48">
      <c r="A123" s="21" t="s">
        <v>296</v>
      </c>
      <c r="B123" t="s">
        <v>297</v>
      </c>
      <c r="C123" t="s">
        <v>293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3</v>
      </c>
      <c r="J123" s="33">
        <v>0</v>
      </c>
      <c r="K123" s="33">
        <v>0</v>
      </c>
      <c r="L123" s="33">
        <v>0</v>
      </c>
      <c r="M123">
        <v>3</v>
      </c>
      <c r="N123">
        <v>0</v>
      </c>
      <c r="O123">
        <v>3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3</v>
      </c>
      <c r="AK123">
        <v>4</v>
      </c>
      <c r="AL123">
        <v>1</v>
      </c>
      <c r="AM123">
        <v>1</v>
      </c>
      <c r="AN123" s="23">
        <v>0</v>
      </c>
      <c r="AO123" s="23">
        <v>0</v>
      </c>
      <c r="AP123" s="23">
        <v>0</v>
      </c>
      <c r="AQ123" s="23">
        <v>0</v>
      </c>
      <c r="AR123" s="35">
        <v>0</v>
      </c>
      <c r="AS123" s="35">
        <v>0</v>
      </c>
      <c r="AT123" s="35">
        <v>3</v>
      </c>
      <c r="AU123" s="31" t="str">
        <f t="shared" si="4"/>
        <v>库存为3</v>
      </c>
      <c r="AV123" s="36" t="str">
        <f>IFERROR($A$2+AU123,"上周无销量")</f>
        <v>上周无销量</v>
      </c>
    </row>
    <row r="124" spans="1:48">
      <c r="A124" s="21" t="s">
        <v>298</v>
      </c>
      <c r="B124" t="s">
        <v>299</v>
      </c>
      <c r="C124" t="s">
        <v>300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s">
        <v>54</v>
      </c>
      <c r="AO124" s="23" t="s">
        <v>54</v>
      </c>
      <c r="AP124" s="23" t="s">
        <v>54</v>
      </c>
      <c r="AQ124" s="23" t="s">
        <v>54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IFERROR($A$2+AU124,"上周无销量")</f>
        <v>上周无销量</v>
      </c>
    </row>
    <row r="125" spans="1:48">
      <c r="A125" s="21" t="s">
        <v>301</v>
      </c>
      <c r="B125" t="s">
        <v>302</v>
      </c>
      <c r="C125" t="s">
        <v>300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s">
        <v>54</v>
      </c>
      <c r="AO125" s="23" t="s">
        <v>54</v>
      </c>
      <c r="AP125" s="23" t="s">
        <v>54</v>
      </c>
      <c r="AQ125" s="23" t="s">
        <v>54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IFERROR($A$2+AU125,"上周无销量")</f>
        <v>上周无销量</v>
      </c>
    </row>
    <row r="126" spans="1:48">
      <c r="A126" s="21" t="s">
        <v>303</v>
      </c>
      <c r="B126" t="s">
        <v>304</v>
      </c>
      <c r="C126" t="s">
        <v>300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IFERROR($A$2+AU126,"上周无销量")</f>
        <v>上周无销量</v>
      </c>
    </row>
    <row r="127" spans="1:48">
      <c r="A127" s="21" t="s">
        <v>305</v>
      </c>
      <c r="B127" t="s">
        <v>306</v>
      </c>
      <c r="C127" t="s">
        <v>300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s">
        <v>54</v>
      </c>
      <c r="AO127" s="23" t="s">
        <v>54</v>
      </c>
      <c r="AP127" s="23" t="s">
        <v>54</v>
      </c>
      <c r="AQ127" s="23" t="s">
        <v>54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IFERROR($A$2+AU127,"上周无销量")</f>
        <v>上周无销量</v>
      </c>
    </row>
    <row r="128" spans="1:48">
      <c r="A128" s="21" t="s">
        <v>307</v>
      </c>
      <c r="B128" t="s">
        <v>308</v>
      </c>
      <c r="C128" t="s">
        <v>300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IFERROR($A$2+AU128,"上周无销量")</f>
        <v>上周无销量</v>
      </c>
    </row>
    <row r="129" spans="1:48">
      <c r="A129" s="21" t="s">
        <v>309</v>
      </c>
      <c r="B129" t="s">
        <v>310</v>
      </c>
      <c r="C129" t="s">
        <v>300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IFERROR($A$2+AU129,"上周无销量")</f>
        <v>上周无销量</v>
      </c>
    </row>
    <row r="130" spans="1:48">
      <c r="A130" s="21" t="s">
        <v>311</v>
      </c>
      <c r="B130" t="s">
        <v>312</v>
      </c>
      <c r="C130" t="s">
        <v>300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s">
        <v>54</v>
      </c>
      <c r="AO130" s="23" t="s">
        <v>54</v>
      </c>
      <c r="AP130" s="23" t="s">
        <v>54</v>
      </c>
      <c r="AQ130" s="23" t="s">
        <v>54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IFERROR($A$2+AU130,"上周无销量")</f>
        <v>上周无销量</v>
      </c>
    </row>
    <row r="131" spans="1:48">
      <c r="A131" s="21" t="s">
        <v>313</v>
      </c>
      <c r="B131" t="s">
        <v>314</v>
      </c>
      <c r="C131" t="s">
        <v>300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s">
        <v>54</v>
      </c>
      <c r="AO131" s="23" t="s">
        <v>54</v>
      </c>
      <c r="AP131" s="23" t="s">
        <v>54</v>
      </c>
      <c r="AQ131" s="23" t="s">
        <v>54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IFERROR($A$2+AU131,"上周无销量")</f>
        <v>上周无销量</v>
      </c>
    </row>
    <row r="132" spans="1:48">
      <c r="A132" s="21" t="s">
        <v>315</v>
      </c>
      <c r="B132" t="s">
        <v>316</v>
      </c>
      <c r="C132" t="s">
        <v>300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s">
        <v>54</v>
      </c>
      <c r="AO132" s="23" t="s">
        <v>54</v>
      </c>
      <c r="AP132" s="23" t="s">
        <v>54</v>
      </c>
      <c r="AQ132" s="23" t="s">
        <v>54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IFERROR($A$2+AU132,"上周无销量")</f>
        <v>上周无销量</v>
      </c>
    </row>
    <row r="133" spans="1:48">
      <c r="A133" s="21" t="s">
        <v>317</v>
      </c>
      <c r="B133" t="s">
        <v>318</v>
      </c>
      <c r="C133" t="s">
        <v>300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s">
        <v>54</v>
      </c>
      <c r="AO133" s="23" t="s">
        <v>54</v>
      </c>
      <c r="AP133" s="23" t="s">
        <v>54</v>
      </c>
      <c r="AQ133" s="23" t="s">
        <v>54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IFERROR($A$2+AU133,"上周无销量")</f>
        <v>上周无销量</v>
      </c>
    </row>
    <row r="134" spans="1:48">
      <c r="A134" s="21" t="s">
        <v>319</v>
      </c>
      <c r="B134" t="s">
        <v>320</v>
      </c>
      <c r="C134" t="s">
        <v>300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s">
        <v>54</v>
      </c>
      <c r="AO134" s="23" t="s">
        <v>54</v>
      </c>
      <c r="AP134" s="23" t="s">
        <v>54</v>
      </c>
      <c r="AQ134" s="23" t="s">
        <v>54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IFERROR($A$2+AU134,"上周无销量")</f>
        <v>上周无销量</v>
      </c>
    </row>
    <row r="135" spans="1:48">
      <c r="A135" s="21" t="s">
        <v>321</v>
      </c>
      <c r="B135" t="s">
        <v>322</v>
      </c>
      <c r="C135" t="s">
        <v>300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s">
        <v>54</v>
      </c>
      <c r="AO135" s="23" t="s">
        <v>54</v>
      </c>
      <c r="AP135" s="23" t="s">
        <v>54</v>
      </c>
      <c r="AQ135" s="23" t="s">
        <v>54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IFERROR($A$2+AU135,"上周无销量")</f>
        <v>上周无销量</v>
      </c>
    </row>
    <row r="136" spans="1:48">
      <c r="A136" s="21" t="s">
        <v>323</v>
      </c>
      <c r="B136" t="s">
        <v>324</v>
      </c>
      <c r="C136" t="e">
        <v>#N/A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s">
        <v>54</v>
      </c>
      <c r="AO136" s="23" t="s">
        <v>54</v>
      </c>
      <c r="AP136" s="23" t="s">
        <v>54</v>
      </c>
      <c r="AQ136" s="23" t="s">
        <v>54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IFERROR($A$2+AU136,"上周无销量")</f>
        <v>上周无销量</v>
      </c>
    </row>
    <row r="137" spans="1:48">
      <c r="A137" s="21" t="s">
        <v>325</v>
      </c>
      <c r="B137" t="s">
        <v>326</v>
      </c>
      <c r="C137" t="e">
        <v>#N/A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s">
        <v>54</v>
      </c>
      <c r="AO137" s="23" t="s">
        <v>54</v>
      </c>
      <c r="AP137" s="23" t="s">
        <v>54</v>
      </c>
      <c r="AQ137" s="23" t="s">
        <v>54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IFERROR($A$2+AU137,"上周无销量")</f>
        <v>上周无销量</v>
      </c>
    </row>
    <row r="138" spans="1:48">
      <c r="A138" s="21" t="s">
        <v>327</v>
      </c>
      <c r="B138" t="s">
        <v>328</v>
      </c>
      <c r="C138" t="e">
        <v>#N/A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30</v>
      </c>
      <c r="K138" s="33">
        <v>0</v>
      </c>
      <c r="L138" s="33">
        <v>0</v>
      </c>
      <c r="M138">
        <v>30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5">
        <v>0</v>
      </c>
      <c r="AS138" s="35">
        <v>0</v>
      </c>
      <c r="AT138" s="35">
        <v>30</v>
      </c>
      <c r="AU138" s="31" t="str">
        <f t="shared" si="5"/>
        <v>库存为30</v>
      </c>
      <c r="AV138" s="36" t="str">
        <f>IFERROR($A$2+AU138,"上周无销量")</f>
        <v>上周无销量</v>
      </c>
    </row>
    <row r="139" spans="1:48">
      <c r="A139" s="21" t="s">
        <v>329</v>
      </c>
      <c r="B139" t="s">
        <v>330</v>
      </c>
      <c r="C139" t="e">
        <v>#N/A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20</v>
      </c>
      <c r="K139" s="33">
        <v>0</v>
      </c>
      <c r="L139" s="33">
        <v>0</v>
      </c>
      <c r="M139">
        <v>20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s">
        <v>54</v>
      </c>
      <c r="AO139" s="23" t="s">
        <v>54</v>
      </c>
      <c r="AP139" s="23" t="s">
        <v>54</v>
      </c>
      <c r="AQ139" s="23" t="s">
        <v>54</v>
      </c>
      <c r="AR139" s="35">
        <v>0</v>
      </c>
      <c r="AS139" s="35">
        <v>0</v>
      </c>
      <c r="AT139" s="35">
        <v>20</v>
      </c>
      <c r="AU139" s="31" t="str">
        <f t="shared" si="5"/>
        <v>库存为20</v>
      </c>
      <c r="AV139" s="36" t="str">
        <f>IFERROR($A$2+AU139,"上周无销量")</f>
        <v>上周无销量</v>
      </c>
    </row>
    <row r="140" spans="1:48">
      <c r="A140" s="21" t="s">
        <v>331</v>
      </c>
      <c r="B140" t="s">
        <v>332</v>
      </c>
      <c r="C140" t="e">
        <v>#N/A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IFERROR($A$2+AU140,"上周无销量")</f>
        <v>上周无销量</v>
      </c>
    </row>
    <row r="141" spans="1:48">
      <c r="A141" s="21" t="s">
        <v>333</v>
      </c>
      <c r="B141" t="s">
        <v>334</v>
      </c>
      <c r="C141" t="e">
        <v>#N/A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30</v>
      </c>
      <c r="K141" s="33">
        <v>0</v>
      </c>
      <c r="L141" s="33">
        <v>0</v>
      </c>
      <c r="M141">
        <v>30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5">
        <v>0</v>
      </c>
      <c r="AS141" s="35">
        <v>0</v>
      </c>
      <c r="AT141" s="35">
        <v>30</v>
      </c>
      <c r="AU141" s="31" t="str">
        <f t="shared" si="5"/>
        <v>库存为30</v>
      </c>
      <c r="AV141" s="36" t="str">
        <f>IFERROR($A$2+AU141,"上周无销量")</f>
        <v>上周无销量</v>
      </c>
    </row>
    <row r="142" spans="1:48">
      <c r="A142" s="21" t="s">
        <v>335</v>
      </c>
      <c r="B142" t="s">
        <v>336</v>
      </c>
      <c r="C142" t="e">
        <v>#N/A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IFERROR($A$2+AU142,"上周无销量")</f>
        <v>上周无销量</v>
      </c>
    </row>
    <row r="143" spans="1:48">
      <c r="A143" s="21" t="s">
        <v>337</v>
      </c>
      <c r="B143" t="s">
        <v>338</v>
      </c>
      <c r="C143" t="e">
        <v>#N/A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IFERROR($A$2+AU143,"上周无销量")</f>
        <v>上周无销量</v>
      </c>
    </row>
    <row r="144" spans="1:48">
      <c r="A144" s="21" t="s">
        <v>339</v>
      </c>
      <c r="B144" t="s">
        <v>340</v>
      </c>
      <c r="C144" t="e">
        <v>#N/A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IFERROR($A$2+AU144,"上周无销量")</f>
        <v>上周无销量</v>
      </c>
    </row>
    <row r="145" spans="1:48">
      <c r="A145" s="21" t="s">
        <v>341</v>
      </c>
      <c r="B145" t="s">
        <v>342</v>
      </c>
      <c r="C145" t="e">
        <v>#N/A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IFERROR($A$2+AU145,"上周无销量")</f>
        <v>上周无销量</v>
      </c>
    </row>
    <row r="146" spans="1:48">
      <c r="A146" s="21" t="s">
        <v>343</v>
      </c>
      <c r="B146" t="s">
        <v>344</v>
      </c>
      <c r="C146" t="e">
        <v>#N/A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s">
        <v>54</v>
      </c>
      <c r="AO146" s="23" t="s">
        <v>54</v>
      </c>
      <c r="AP146" s="23" t="s">
        <v>54</v>
      </c>
      <c r="AQ146" s="23" t="s">
        <v>54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IFERROR($A$2+AU146,"上周无销量")</f>
        <v>上周无销量</v>
      </c>
    </row>
    <row r="147" spans="1:48">
      <c r="A147" s="21" t="s">
        <v>345</v>
      </c>
      <c r="B147" t="s">
        <v>346</v>
      </c>
      <c r="C147" t="e">
        <v>#N/A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s">
        <v>54</v>
      </c>
      <c r="AO147" s="23" t="s">
        <v>54</v>
      </c>
      <c r="AP147" s="23" t="s">
        <v>54</v>
      </c>
      <c r="AQ147" s="23" t="s">
        <v>54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IFERROR($A$2+AU147,"上周无销量")</f>
        <v>上周无销量</v>
      </c>
    </row>
    <row r="148" spans="1:48">
      <c r="A148" s="21" t="s">
        <v>347</v>
      </c>
      <c r="B148" t="s">
        <v>348</v>
      </c>
      <c r="C148" t="e">
        <v>#N/A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IFERROR($A$2+AU148,"上周无销量")</f>
        <v>上周无销量</v>
      </c>
    </row>
    <row r="149" spans="1:48">
      <c r="A149" s="21" t="s">
        <v>349</v>
      </c>
      <c r="B149" t="s">
        <v>350</v>
      </c>
      <c r="C149" t="e">
        <v>#N/A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10</v>
      </c>
      <c r="K149" s="33">
        <v>0</v>
      </c>
      <c r="L149" s="33">
        <v>0</v>
      </c>
      <c r="M149">
        <v>10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s">
        <v>54</v>
      </c>
      <c r="AO149" s="23" t="s">
        <v>54</v>
      </c>
      <c r="AP149" s="23" t="s">
        <v>54</v>
      </c>
      <c r="AQ149" s="23" t="s">
        <v>54</v>
      </c>
      <c r="AR149" s="35">
        <v>0</v>
      </c>
      <c r="AS149" s="35">
        <v>0</v>
      </c>
      <c r="AT149" s="35">
        <v>10</v>
      </c>
      <c r="AU149" s="31" t="str">
        <f t="shared" si="5"/>
        <v>库存为10</v>
      </c>
      <c r="AV149" s="36" t="str">
        <f>IFERROR($A$2+AU149,"上周无销量")</f>
        <v>上周无销量</v>
      </c>
    </row>
    <row r="150" spans="1:48">
      <c r="A150" s="21" t="s">
        <v>351</v>
      </c>
      <c r="B150" t="s">
        <v>352</v>
      </c>
      <c r="C150" t="e">
        <v>#N/A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IFERROR($A$2+AU150,"上周无销量")</f>
        <v>上周无销量</v>
      </c>
    </row>
    <row r="151" spans="1:48">
      <c r="A151" s="21" t="s">
        <v>353</v>
      </c>
      <c r="B151" t="s">
        <v>354</v>
      </c>
      <c r="C151" t="e">
        <v>#N/A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10</v>
      </c>
      <c r="K151" s="33">
        <v>0</v>
      </c>
      <c r="L151" s="33">
        <v>0</v>
      </c>
      <c r="M151">
        <v>10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s">
        <v>54</v>
      </c>
      <c r="AO151" s="23" t="s">
        <v>54</v>
      </c>
      <c r="AP151" s="23" t="s">
        <v>54</v>
      </c>
      <c r="AQ151" s="23" t="s">
        <v>54</v>
      </c>
      <c r="AR151" s="35">
        <v>0</v>
      </c>
      <c r="AS151" s="35">
        <v>0</v>
      </c>
      <c r="AT151" s="35">
        <v>10</v>
      </c>
      <c r="AU151" s="31" t="str">
        <f t="shared" si="5"/>
        <v>库存为10</v>
      </c>
      <c r="AV151" s="36" t="str">
        <f>IFERROR($A$2+AU151,"上周无销量")</f>
        <v>上周无销量</v>
      </c>
    </row>
    <row r="152" spans="1:48">
      <c r="A152" s="21" t="s">
        <v>355</v>
      </c>
      <c r="B152" t="s">
        <v>356</v>
      </c>
      <c r="C152" t="e">
        <v>#N/A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10</v>
      </c>
      <c r="K152" s="33">
        <v>0</v>
      </c>
      <c r="L152" s="33">
        <v>0</v>
      </c>
      <c r="M152">
        <v>10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s">
        <v>54</v>
      </c>
      <c r="AO152" s="23" t="s">
        <v>54</v>
      </c>
      <c r="AP152" s="23" t="s">
        <v>54</v>
      </c>
      <c r="AQ152" s="23" t="s">
        <v>54</v>
      </c>
      <c r="AR152" s="35">
        <v>0</v>
      </c>
      <c r="AS152" s="35">
        <v>0</v>
      </c>
      <c r="AT152" s="35">
        <v>10</v>
      </c>
      <c r="AU152" s="31" t="str">
        <f t="shared" si="5"/>
        <v>库存为10</v>
      </c>
      <c r="AV152" s="36" t="str">
        <f>IFERROR($A$2+AU152,"上周无销量")</f>
        <v>上周无销量</v>
      </c>
    </row>
    <row r="153" spans="1:48">
      <c r="A153" s="21" t="s">
        <v>357</v>
      </c>
      <c r="B153" t="s">
        <v>358</v>
      </c>
      <c r="C153" t="e">
        <v>#N/A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10</v>
      </c>
      <c r="K153" s="33">
        <v>0</v>
      </c>
      <c r="L153" s="33">
        <v>0</v>
      </c>
      <c r="M153">
        <v>10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s">
        <v>54</v>
      </c>
      <c r="AO153" s="23" t="s">
        <v>54</v>
      </c>
      <c r="AP153" s="23" t="s">
        <v>54</v>
      </c>
      <c r="AQ153" s="23" t="s">
        <v>54</v>
      </c>
      <c r="AR153" s="35">
        <v>0</v>
      </c>
      <c r="AS153" s="35">
        <v>0</v>
      </c>
      <c r="AT153" s="35">
        <v>10</v>
      </c>
      <c r="AU153" s="31" t="str">
        <f t="shared" si="5"/>
        <v>库存为10</v>
      </c>
      <c r="AV153" s="36" t="str">
        <f>IFERROR($A$2+AU153,"上周无销量")</f>
        <v>上周无销量</v>
      </c>
    </row>
    <row r="154" spans="1:48">
      <c r="A154" s="21" t="s">
        <v>359</v>
      </c>
      <c r="B154" t="s">
        <v>360</v>
      </c>
      <c r="C154" t="e">
        <v>#N/A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11</v>
      </c>
      <c r="K154" s="33">
        <v>0</v>
      </c>
      <c r="L154" s="33">
        <v>0</v>
      </c>
      <c r="M154">
        <v>11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5">
        <v>0</v>
      </c>
      <c r="AS154" s="35">
        <v>0</v>
      </c>
      <c r="AT154" s="35">
        <v>11</v>
      </c>
      <c r="AU154" s="31" t="str">
        <f t="shared" si="5"/>
        <v>库存为11</v>
      </c>
      <c r="AV154" s="36" t="str">
        <f>IFERROR($A$2+AU154,"上周无销量")</f>
        <v>上周无销量</v>
      </c>
    </row>
    <row r="155" spans="1:48">
      <c r="A155" s="21" t="s">
        <v>361</v>
      </c>
      <c r="B155" t="s">
        <v>362</v>
      </c>
      <c r="C155" t="e">
        <v>#N/A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10</v>
      </c>
      <c r="K155" s="33">
        <v>0</v>
      </c>
      <c r="L155" s="33">
        <v>0</v>
      </c>
      <c r="M155">
        <v>10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s">
        <v>54</v>
      </c>
      <c r="AO155" s="23" t="s">
        <v>54</v>
      </c>
      <c r="AP155" s="23" t="s">
        <v>54</v>
      </c>
      <c r="AQ155" s="23" t="s">
        <v>54</v>
      </c>
      <c r="AR155" s="35">
        <v>0</v>
      </c>
      <c r="AS155" s="35">
        <v>0</v>
      </c>
      <c r="AT155" s="35">
        <v>10</v>
      </c>
      <c r="AU155" s="31" t="str">
        <f t="shared" si="5"/>
        <v>库存为10</v>
      </c>
      <c r="AV155" s="36" t="str">
        <f>IFERROR($A$2+AU155,"上周无销量")</f>
        <v>上周无销量</v>
      </c>
    </row>
    <row r="156" spans="1:48">
      <c r="A156" s="21" t="s">
        <v>363</v>
      </c>
      <c r="B156" t="s">
        <v>364</v>
      </c>
      <c r="C156" t="e">
        <v>#N/A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IFERROR($A$2+AU156,"上周无销量")</f>
        <v>上周无销量</v>
      </c>
    </row>
    <row r="157" spans="1:48">
      <c r="A157" s="21" t="s">
        <v>365</v>
      </c>
      <c r="B157" t="s">
        <v>366</v>
      </c>
      <c r="C157" t="e">
        <v>#N/A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IFERROR($A$2+AU157,"上周无销量")</f>
        <v>上周无销量</v>
      </c>
    </row>
    <row r="158" spans="1:48">
      <c r="A158" s="21" t="s">
        <v>367</v>
      </c>
      <c r="B158" t="s">
        <v>368</v>
      </c>
      <c r="C158" t="e">
        <v>#N/A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IFERROR($A$2+AU158,"上周无销量")</f>
        <v>上周无销量</v>
      </c>
    </row>
    <row r="159" spans="1:48">
      <c r="A159" s="21" t="s">
        <v>369</v>
      </c>
      <c r="B159" t="s">
        <v>370</v>
      </c>
      <c r="C159" t="e">
        <v>#N/A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IFERROR($A$2+AU159,"上周无销量")</f>
        <v>上周无销量</v>
      </c>
    </row>
    <row r="160" spans="1:48">
      <c r="A160" s="21" t="s">
        <v>371</v>
      </c>
      <c r="B160" t="s">
        <v>372</v>
      </c>
      <c r="C160" t="e">
        <v>#N/A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s">
        <v>54</v>
      </c>
      <c r="AO160" s="23" t="s">
        <v>54</v>
      </c>
      <c r="AP160" s="23" t="s">
        <v>54</v>
      </c>
      <c r="AQ160" s="23" t="s">
        <v>54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IFERROR($A$2+AU160,"上周无销量")</f>
        <v>上周无销量</v>
      </c>
    </row>
    <row r="161" spans="1:48">
      <c r="A161" s="21" t="s">
        <v>373</v>
      </c>
      <c r="B161" t="s">
        <v>374</v>
      </c>
      <c r="C161" t="e">
        <v>#N/A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s">
        <v>54</v>
      </c>
      <c r="AO161" s="23" t="s">
        <v>54</v>
      </c>
      <c r="AP161" s="23" t="s">
        <v>54</v>
      </c>
      <c r="AQ161" s="23" t="s">
        <v>54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IFERROR($A$2+AU161,"上周无销量")</f>
        <v>上周无销量</v>
      </c>
    </row>
    <row r="162" spans="1:48">
      <c r="A162" s="21" t="s">
        <v>375</v>
      </c>
      <c r="B162" t="s">
        <v>376</v>
      </c>
      <c r="C162" t="e">
        <v>#N/A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s">
        <v>54</v>
      </c>
      <c r="AO162" s="23" t="s">
        <v>54</v>
      </c>
      <c r="AP162" s="23" t="s">
        <v>54</v>
      </c>
      <c r="AQ162" s="23" t="s">
        <v>54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IFERROR($A$2+AU162,"上周无销量")</f>
        <v>上周无销量</v>
      </c>
    </row>
    <row r="163" spans="1:48">
      <c r="A163" s="21" t="s">
        <v>377</v>
      </c>
      <c r="B163" t="s">
        <v>378</v>
      </c>
      <c r="C163" t="e">
        <v>#N/A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s">
        <v>54</v>
      </c>
      <c r="AO163" s="23" t="s">
        <v>54</v>
      </c>
      <c r="AP163" s="23" t="s">
        <v>54</v>
      </c>
      <c r="AQ163" s="23" t="s">
        <v>54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IFERROR($A$2+AU163,"上周无销量")</f>
        <v>上周无销量</v>
      </c>
    </row>
    <row r="164" spans="1:48">
      <c r="A164" s="21" t="s">
        <v>379</v>
      </c>
      <c r="B164" t="s">
        <v>380</v>
      </c>
      <c r="C164" t="e">
        <v>#N/A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s">
        <v>54</v>
      </c>
      <c r="AO164" s="23" t="s">
        <v>54</v>
      </c>
      <c r="AP164" s="23" t="s">
        <v>54</v>
      </c>
      <c r="AQ164" s="23" t="s">
        <v>54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IFERROR($A$2+AU164,"上周无销量")</f>
        <v>上周无销量</v>
      </c>
    </row>
    <row r="165" spans="1:48">
      <c r="A165" s="21" t="s">
        <v>381</v>
      </c>
      <c r="B165" t="s">
        <v>382</v>
      </c>
      <c r="C165" t="e">
        <v>#N/A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s">
        <v>54</v>
      </c>
      <c r="AO165" s="23" t="s">
        <v>54</v>
      </c>
      <c r="AP165" s="23" t="s">
        <v>54</v>
      </c>
      <c r="AQ165" s="23" t="s">
        <v>54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IFERROR($A$2+AU165,"上周无销量")</f>
        <v>上周无销量</v>
      </c>
    </row>
    <row r="166" spans="1:48">
      <c r="A166" s="21" t="s">
        <v>383</v>
      </c>
      <c r="B166" t="s">
        <v>384</v>
      </c>
      <c r="C166" t="e">
        <v>#N/A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s">
        <v>54</v>
      </c>
      <c r="AO166" s="23" t="s">
        <v>54</v>
      </c>
      <c r="AP166" s="23" t="s">
        <v>54</v>
      </c>
      <c r="AQ166" s="23" t="s">
        <v>54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IFERROR($A$2+AU166,"上周无销量")</f>
        <v>上周无销量</v>
      </c>
    </row>
    <row r="167" spans="1:48">
      <c r="A167" s="21" t="s">
        <v>385</v>
      </c>
      <c r="B167" t="s">
        <v>386</v>
      </c>
      <c r="C167" t="e">
        <v>#N/A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s">
        <v>54</v>
      </c>
      <c r="AO167" s="23" t="s">
        <v>54</v>
      </c>
      <c r="AP167" s="23" t="s">
        <v>54</v>
      </c>
      <c r="AQ167" s="23" t="s">
        <v>54</v>
      </c>
      <c r="AR167" s="35">
        <v>0</v>
      </c>
      <c r="AS167" s="35">
        <v>0</v>
      </c>
      <c r="AT167" s="35">
        <v>0</v>
      </c>
      <c r="AU167" s="31" t="str">
        <f t="shared" si="5"/>
        <v>库存为0</v>
      </c>
      <c r="AV167" s="36" t="str">
        <f>IFERROR($A$2+AU167,"上周无销量")</f>
        <v>上周无销量</v>
      </c>
    </row>
    <row r="168" spans="1:48">
      <c r="A168" s="21" t="s">
        <v>387</v>
      </c>
      <c r="B168" t="s">
        <v>388</v>
      </c>
      <c r="C168" t="e">
        <v>#N/A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s">
        <v>54</v>
      </c>
      <c r="AO168" s="23" t="s">
        <v>54</v>
      </c>
      <c r="AP168" s="23" t="s">
        <v>54</v>
      </c>
      <c r="AQ168" s="23" t="s">
        <v>54</v>
      </c>
      <c r="AR168" s="35">
        <v>0</v>
      </c>
      <c r="AS168" s="35">
        <v>0</v>
      </c>
      <c r="AT168" s="35">
        <v>0</v>
      </c>
      <c r="AU168" s="31" t="str">
        <f t="shared" si="5"/>
        <v>库存为0</v>
      </c>
      <c r="AV168" s="36" t="str">
        <f>IFERROR($A$2+AU168,"上周无销量")</f>
        <v>上周无销量</v>
      </c>
    </row>
    <row r="169" spans="1:48">
      <c r="A169" s="21" t="s">
        <v>389</v>
      </c>
      <c r="B169" t="s">
        <v>390</v>
      </c>
      <c r="C169" t="e">
        <v>#N/A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0</v>
      </c>
      <c r="AN169" s="23" t="s">
        <v>54</v>
      </c>
      <c r="AO169" s="23" t="s">
        <v>54</v>
      </c>
      <c r="AP169" s="23" t="s">
        <v>54</v>
      </c>
      <c r="AQ169" s="23" t="s">
        <v>54</v>
      </c>
      <c r="AR169" s="35">
        <v>0</v>
      </c>
      <c r="AS169" s="35">
        <v>0</v>
      </c>
      <c r="AT169" s="35">
        <v>0</v>
      </c>
      <c r="AU169" s="31" t="str">
        <f t="shared" si="5"/>
        <v>库存为0</v>
      </c>
      <c r="AV169" s="36" t="str">
        <f>IFERROR($A$2+AU169,"上周无销量")</f>
        <v>上周无销量</v>
      </c>
    </row>
    <row r="170" spans="1:48">
      <c r="A170" s="21" t="s">
        <v>391</v>
      </c>
      <c r="B170" t="s">
        <v>392</v>
      </c>
      <c r="C170" t="e">
        <v>#N/A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s">
        <v>54</v>
      </c>
      <c r="AO170" s="23" t="s">
        <v>54</v>
      </c>
      <c r="AP170" s="23" t="s">
        <v>54</v>
      </c>
      <c r="AQ170" s="23" t="s">
        <v>54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IFERROR($A$2+AU170,"上周无销量")</f>
        <v>上周无销量</v>
      </c>
    </row>
    <row r="171" spans="1:48">
      <c r="A171" s="21" t="s">
        <v>393</v>
      </c>
      <c r="B171" t="s">
        <v>394</v>
      </c>
      <c r="C171" t="e">
        <v>#N/A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s">
        <v>54</v>
      </c>
      <c r="AO171" s="23" t="s">
        <v>54</v>
      </c>
      <c r="AP171" s="23" t="s">
        <v>54</v>
      </c>
      <c r="AQ171" s="23" t="s">
        <v>54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IFERROR($A$2+AU171,"上周无销量")</f>
        <v>上周无销量</v>
      </c>
    </row>
    <row r="172" spans="1:48">
      <c r="A172" s="21" t="s">
        <v>395</v>
      </c>
      <c r="B172" t="s">
        <v>396</v>
      </c>
      <c r="C172" t="e">
        <v>#N/A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s">
        <v>54</v>
      </c>
      <c r="AO172" s="23" t="s">
        <v>54</v>
      </c>
      <c r="AP172" s="23" t="s">
        <v>54</v>
      </c>
      <c r="AQ172" s="23" t="s">
        <v>54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IFERROR($A$2+AU172,"上周无销量")</f>
        <v>上周无销量</v>
      </c>
    </row>
    <row r="173" spans="1:48">
      <c r="A173" s="21" t="s">
        <v>397</v>
      </c>
      <c r="B173" t="s">
        <v>398</v>
      </c>
      <c r="C173" t="e">
        <v>#N/A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s">
        <v>54</v>
      </c>
      <c r="AO173" s="23" t="s">
        <v>54</v>
      </c>
      <c r="AP173" s="23" t="s">
        <v>54</v>
      </c>
      <c r="AQ173" s="23" t="s">
        <v>54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IFERROR($A$2+AU173,"上周无销量")</f>
        <v>上周无销量</v>
      </c>
    </row>
    <row r="174" spans="1:48">
      <c r="A174" s="21" t="s">
        <v>399</v>
      </c>
      <c r="B174" t="s">
        <v>400</v>
      </c>
      <c r="C174" t="e">
        <v>#N/A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s">
        <v>54</v>
      </c>
      <c r="AO174" s="23" t="s">
        <v>54</v>
      </c>
      <c r="AP174" s="23" t="s">
        <v>54</v>
      </c>
      <c r="AQ174" s="23" t="s">
        <v>54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IFERROR($A$2+AU174,"上周无销量")</f>
        <v>上周无销量</v>
      </c>
    </row>
    <row r="175" spans="1:48">
      <c r="A175" s="21" t="s">
        <v>401</v>
      </c>
      <c r="B175" t="s">
        <v>402</v>
      </c>
      <c r="C175" t="e">
        <v>#N/A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s">
        <v>54</v>
      </c>
      <c r="AO175" s="23" t="s">
        <v>54</v>
      </c>
      <c r="AP175" s="23" t="s">
        <v>54</v>
      </c>
      <c r="AQ175" s="23" t="s">
        <v>54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IFERROR($A$2+AU175,"上周无销量")</f>
        <v>上周无销量</v>
      </c>
    </row>
    <row r="176" spans="1:48">
      <c r="A176" s="21" t="s">
        <v>403</v>
      </c>
      <c r="B176" t="s">
        <v>404</v>
      </c>
      <c r="C176" t="s">
        <v>405</v>
      </c>
      <c r="D176" s="31">
        <v>0</v>
      </c>
      <c r="E176" s="31">
        <v>0</v>
      </c>
      <c r="F176" s="31">
        <v>0</v>
      </c>
      <c r="G176" s="31">
        <v>2</v>
      </c>
      <c r="H176" s="32">
        <v>12.99</v>
      </c>
      <c r="I176">
        <v>23</v>
      </c>
      <c r="J176" s="33">
        <v>0</v>
      </c>
      <c r="K176" s="33">
        <v>0</v>
      </c>
      <c r="L176" s="33">
        <v>0</v>
      </c>
      <c r="M176">
        <v>23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15</v>
      </c>
      <c r="AK176">
        <v>6</v>
      </c>
      <c r="AL176">
        <v>7</v>
      </c>
      <c r="AM176">
        <v>6</v>
      </c>
      <c r="AN176" s="23">
        <v>0</v>
      </c>
      <c r="AO176" s="23">
        <v>0</v>
      </c>
      <c r="AP176" s="23">
        <v>0</v>
      </c>
      <c r="AQ176" s="23">
        <v>0.333333333333333</v>
      </c>
      <c r="AR176" s="35">
        <v>0</v>
      </c>
      <c r="AS176" s="35">
        <v>0</v>
      </c>
      <c r="AT176" s="35">
        <v>23</v>
      </c>
      <c r="AU176" s="31" t="str">
        <f t="shared" si="5"/>
        <v>库存为23</v>
      </c>
      <c r="AV176" s="36" t="str">
        <f>IFERROR($A$2+AU176,"上周无销量")</f>
        <v>上周无销量</v>
      </c>
    </row>
    <row r="177" spans="1:48">
      <c r="A177" s="21" t="s">
        <v>406</v>
      </c>
      <c r="B177" t="s">
        <v>407</v>
      </c>
      <c r="C177" t="s">
        <v>405</v>
      </c>
      <c r="D177" s="31">
        <v>3</v>
      </c>
      <c r="E177" s="31">
        <v>2</v>
      </c>
      <c r="F177" s="31">
        <v>0</v>
      </c>
      <c r="G177" s="31">
        <v>0</v>
      </c>
      <c r="H177" s="32">
        <v>8</v>
      </c>
      <c r="I177">
        <v>13</v>
      </c>
      <c r="J177" s="33">
        <v>0</v>
      </c>
      <c r="K177" s="33">
        <v>0</v>
      </c>
      <c r="L177" s="33">
        <v>0</v>
      </c>
      <c r="M177">
        <v>13</v>
      </c>
      <c r="N177">
        <v>0</v>
      </c>
      <c r="O177">
        <v>0</v>
      </c>
      <c r="P177">
        <v>950</v>
      </c>
      <c r="Q177">
        <v>0</v>
      </c>
      <c r="R177">
        <v>0</v>
      </c>
      <c r="S177">
        <v>0</v>
      </c>
      <c r="T177">
        <v>10</v>
      </c>
      <c r="U177">
        <v>0</v>
      </c>
      <c r="V177">
        <v>0</v>
      </c>
      <c r="W177">
        <v>0</v>
      </c>
      <c r="X177" s="23">
        <v>0.0105263157894737</v>
      </c>
      <c r="Y177" s="23" t="s">
        <v>54</v>
      </c>
      <c r="Z177" s="23" t="s">
        <v>54</v>
      </c>
      <c r="AA177" s="23" t="s">
        <v>54</v>
      </c>
      <c r="AB177">
        <v>10.97</v>
      </c>
      <c r="AC177">
        <v>0</v>
      </c>
      <c r="AD177">
        <v>0</v>
      </c>
      <c r="AE177">
        <v>0</v>
      </c>
      <c r="AF177" s="23">
        <v>0.457083333333333</v>
      </c>
      <c r="AG177" s="23" t="s">
        <v>54</v>
      </c>
      <c r="AH177" s="23" t="s">
        <v>54</v>
      </c>
      <c r="AI177" s="23" t="s">
        <v>54</v>
      </c>
      <c r="AJ177">
        <v>15</v>
      </c>
      <c r="AK177">
        <v>20</v>
      </c>
      <c r="AL177">
        <v>6</v>
      </c>
      <c r="AM177">
        <v>1</v>
      </c>
      <c r="AN177" s="23">
        <v>0.2</v>
      </c>
      <c r="AO177" s="23">
        <v>0.1</v>
      </c>
      <c r="AP177" s="23">
        <v>0</v>
      </c>
      <c r="AQ177" s="23">
        <v>0</v>
      </c>
      <c r="AR177" s="35">
        <v>0.428571428571429</v>
      </c>
      <c r="AS177" s="35">
        <v>25.7142857142857</v>
      </c>
      <c r="AT177" s="35">
        <v>-12.7142857142857</v>
      </c>
      <c r="AU177" s="31">
        <f t="shared" si="5"/>
        <v>30</v>
      </c>
      <c r="AV177" s="36">
        <f>IFERROR($A$2+AU177,"上周无销量")</f>
        <v>43306</v>
      </c>
    </row>
    <row r="178" spans="1:48">
      <c r="A178" s="21" t="s">
        <v>408</v>
      </c>
      <c r="B178" t="s">
        <v>409</v>
      </c>
      <c r="C178" t="s">
        <v>405</v>
      </c>
      <c r="D178" s="31">
        <v>0</v>
      </c>
      <c r="E178" s="31">
        <v>0</v>
      </c>
      <c r="F178" s="31">
        <v>1</v>
      </c>
      <c r="G178" s="31">
        <v>0</v>
      </c>
      <c r="H178" s="32">
        <v>10.99</v>
      </c>
      <c r="I178">
        <v>13</v>
      </c>
      <c r="J178" s="33">
        <v>0</v>
      </c>
      <c r="K178" s="33">
        <v>0</v>
      </c>
      <c r="L178" s="33">
        <v>0</v>
      </c>
      <c r="M178">
        <v>13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12</v>
      </c>
      <c r="AK178">
        <v>3</v>
      </c>
      <c r="AL178">
        <v>10</v>
      </c>
      <c r="AM178">
        <v>4</v>
      </c>
      <c r="AN178" s="23">
        <v>0</v>
      </c>
      <c r="AO178" s="23">
        <v>0</v>
      </c>
      <c r="AP178" s="23">
        <v>0.1</v>
      </c>
      <c r="AQ178" s="23">
        <v>0</v>
      </c>
      <c r="AR178" s="35">
        <v>0</v>
      </c>
      <c r="AS178" s="35">
        <v>0</v>
      </c>
      <c r="AT178" s="35">
        <v>13</v>
      </c>
      <c r="AU178" s="31" t="str">
        <f t="shared" si="5"/>
        <v>库存为13</v>
      </c>
      <c r="AV178" s="36" t="str">
        <f>IFERROR($A$2+AU178,"上周无销量")</f>
        <v>上周无销量</v>
      </c>
    </row>
    <row r="179" spans="1:48">
      <c r="A179" s="21" t="s">
        <v>410</v>
      </c>
      <c r="B179" t="s">
        <v>411</v>
      </c>
      <c r="C179" t="s">
        <v>405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10</v>
      </c>
      <c r="J179" s="33">
        <v>0</v>
      </c>
      <c r="K179" s="33">
        <v>0</v>
      </c>
      <c r="L179" s="33">
        <v>0</v>
      </c>
      <c r="M179">
        <v>10</v>
      </c>
      <c r="N179">
        <v>0</v>
      </c>
      <c r="O179">
        <v>0</v>
      </c>
      <c r="P179">
        <v>0</v>
      </c>
      <c r="Q179">
        <v>169</v>
      </c>
      <c r="R179">
        <v>169</v>
      </c>
      <c r="S179">
        <v>200</v>
      </c>
      <c r="T179">
        <v>0</v>
      </c>
      <c r="U179">
        <v>2</v>
      </c>
      <c r="V179">
        <v>2</v>
      </c>
      <c r="W179">
        <v>0</v>
      </c>
      <c r="X179" s="23" t="s">
        <v>54</v>
      </c>
      <c r="Y179" s="23">
        <v>0.0118343195266272</v>
      </c>
      <c r="Z179" s="23">
        <v>0.0118343195266272</v>
      </c>
      <c r="AA179" s="23">
        <v>0</v>
      </c>
      <c r="AB179">
        <v>0</v>
      </c>
      <c r="AC179">
        <v>0.69</v>
      </c>
      <c r="AD179">
        <v>0.69</v>
      </c>
      <c r="AE179">
        <v>0</v>
      </c>
      <c r="AF179" s="23" t="s">
        <v>54</v>
      </c>
      <c r="AG179" s="23">
        <v>0</v>
      </c>
      <c r="AH179" s="23">
        <v>0</v>
      </c>
      <c r="AI179" s="23" t="s">
        <v>54</v>
      </c>
      <c r="AJ179">
        <v>11</v>
      </c>
      <c r="AK179">
        <v>4</v>
      </c>
      <c r="AL179">
        <v>7</v>
      </c>
      <c r="AM179">
        <v>1</v>
      </c>
      <c r="AN179" s="23">
        <v>0</v>
      </c>
      <c r="AO179" s="23">
        <v>0</v>
      </c>
      <c r="AP179" s="23">
        <v>0</v>
      </c>
      <c r="AQ179" s="23">
        <v>0</v>
      </c>
      <c r="AR179" s="35">
        <v>0</v>
      </c>
      <c r="AS179" s="35">
        <v>0</v>
      </c>
      <c r="AT179" s="35">
        <v>10</v>
      </c>
      <c r="AU179" s="31" t="str">
        <f t="shared" si="5"/>
        <v>库存为10</v>
      </c>
      <c r="AV179" s="36" t="str">
        <f>IFERROR($A$2+AU179,"上周无销量")</f>
        <v>上周无销量</v>
      </c>
    </row>
    <row r="180" spans="1:48">
      <c r="A180" s="21" t="s">
        <v>412</v>
      </c>
      <c r="B180" t="s">
        <v>413</v>
      </c>
      <c r="C180" t="s">
        <v>405</v>
      </c>
      <c r="D180" s="31">
        <v>0</v>
      </c>
      <c r="E180" s="31">
        <v>4</v>
      </c>
      <c r="F180" s="31">
        <v>0</v>
      </c>
      <c r="G180" s="31">
        <v>0</v>
      </c>
      <c r="H180" s="32">
        <v>9.5</v>
      </c>
      <c r="I180">
        <v>20</v>
      </c>
      <c r="J180" s="33">
        <v>0</v>
      </c>
      <c r="K180" s="33">
        <v>0</v>
      </c>
      <c r="L180" s="33">
        <v>0</v>
      </c>
      <c r="M180">
        <v>20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3</v>
      </c>
      <c r="AL180">
        <v>5</v>
      </c>
      <c r="AM180">
        <v>2</v>
      </c>
      <c r="AN180" s="23" t="s">
        <v>54</v>
      </c>
      <c r="AO180" s="23">
        <v>1.33333333333333</v>
      </c>
      <c r="AP180" s="23">
        <v>0</v>
      </c>
      <c r="AQ180" s="23">
        <v>0</v>
      </c>
      <c r="AR180" s="35">
        <v>0</v>
      </c>
      <c r="AS180" s="35">
        <v>0</v>
      </c>
      <c r="AT180" s="35">
        <v>20</v>
      </c>
      <c r="AU180" s="31" t="str">
        <f t="shared" si="5"/>
        <v>库存为20</v>
      </c>
      <c r="AV180" s="36" t="str">
        <f>IFERROR($A$2+AU180,"上周无销量")</f>
        <v>上周无销量</v>
      </c>
    </row>
    <row r="181" spans="1:48">
      <c r="A181" s="21" t="s">
        <v>414</v>
      </c>
      <c r="B181" t="s">
        <v>415</v>
      </c>
      <c r="C181" t="s">
        <v>405</v>
      </c>
      <c r="D181" s="31">
        <v>1</v>
      </c>
      <c r="E181" s="31">
        <v>0</v>
      </c>
      <c r="F181" s="31">
        <v>1</v>
      </c>
      <c r="G181" s="31">
        <v>0</v>
      </c>
      <c r="H181" s="32">
        <v>10.99</v>
      </c>
      <c r="I181">
        <v>22</v>
      </c>
      <c r="J181" s="33">
        <v>0</v>
      </c>
      <c r="K181" s="33">
        <v>0</v>
      </c>
      <c r="L181" s="33">
        <v>0</v>
      </c>
      <c r="M181">
        <v>22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16</v>
      </c>
      <c r="AK181">
        <v>3</v>
      </c>
      <c r="AL181">
        <v>7</v>
      </c>
      <c r="AM181">
        <v>11</v>
      </c>
      <c r="AN181" s="23">
        <v>0.0625</v>
      </c>
      <c r="AO181" s="23">
        <v>0</v>
      </c>
      <c r="AP181" s="23">
        <v>0.142857142857143</v>
      </c>
      <c r="AQ181" s="23">
        <v>0</v>
      </c>
      <c r="AR181" s="35">
        <v>0.142857142857143</v>
      </c>
      <c r="AS181" s="35">
        <v>8.57142857142857</v>
      </c>
      <c r="AT181" s="35">
        <v>13.4285714285714</v>
      </c>
      <c r="AU181" s="31">
        <f t="shared" si="5"/>
        <v>154</v>
      </c>
      <c r="AV181" s="36">
        <f>IFERROR($A$2+AU181,"上周无销量")</f>
        <v>43430</v>
      </c>
    </row>
    <row r="182" spans="1:48">
      <c r="A182" s="21" t="s">
        <v>416</v>
      </c>
      <c r="B182" t="s">
        <v>417</v>
      </c>
      <c r="C182" t="s">
        <v>416</v>
      </c>
      <c r="D182" s="31">
        <v>5</v>
      </c>
      <c r="E182" s="31">
        <v>3</v>
      </c>
      <c r="F182" s="31">
        <v>0</v>
      </c>
      <c r="G182" s="31">
        <v>0</v>
      </c>
      <c r="H182" s="32">
        <v>30.99</v>
      </c>
      <c r="I182">
        <v>5</v>
      </c>
      <c r="J182" s="33">
        <v>0</v>
      </c>
      <c r="K182" s="33">
        <v>0</v>
      </c>
      <c r="L182" s="33">
        <v>0</v>
      </c>
      <c r="M182">
        <v>5</v>
      </c>
      <c r="N182">
        <v>0</v>
      </c>
      <c r="O182">
        <v>8</v>
      </c>
      <c r="P182">
        <v>36597</v>
      </c>
      <c r="Q182">
        <v>0</v>
      </c>
      <c r="R182">
        <v>0</v>
      </c>
      <c r="S182">
        <v>0</v>
      </c>
      <c r="T182">
        <v>27</v>
      </c>
      <c r="U182">
        <v>0</v>
      </c>
      <c r="V182">
        <v>0</v>
      </c>
      <c r="W182">
        <v>0</v>
      </c>
      <c r="X182" s="23">
        <v>0.000737765390605787</v>
      </c>
      <c r="Y182" s="23" t="s">
        <v>54</v>
      </c>
      <c r="Z182" s="23" t="s">
        <v>54</v>
      </c>
      <c r="AA182" s="23" t="s">
        <v>54</v>
      </c>
      <c r="AB182">
        <v>28.86</v>
      </c>
      <c r="AC182">
        <v>0</v>
      </c>
      <c r="AD182">
        <v>0</v>
      </c>
      <c r="AE182">
        <v>0</v>
      </c>
      <c r="AF182" s="23">
        <v>0.186253630203291</v>
      </c>
      <c r="AG182" s="23" t="s">
        <v>54</v>
      </c>
      <c r="AH182" s="23" t="s">
        <v>54</v>
      </c>
      <c r="AI182" s="23" t="s">
        <v>54</v>
      </c>
      <c r="AJ182">
        <v>40</v>
      </c>
      <c r="AK182">
        <v>3</v>
      </c>
      <c r="AL182">
        <v>9</v>
      </c>
      <c r="AM182">
        <v>12</v>
      </c>
      <c r="AN182" s="23">
        <v>0.125</v>
      </c>
      <c r="AO182" s="23">
        <v>1</v>
      </c>
      <c r="AP182" s="23">
        <v>0</v>
      </c>
      <c r="AQ182" s="23">
        <v>0</v>
      </c>
      <c r="AR182" s="35">
        <v>0.714285714285714</v>
      </c>
      <c r="AS182" s="35">
        <v>42.8571428571429</v>
      </c>
      <c r="AT182" s="35">
        <v>-37.8571428571429</v>
      </c>
      <c r="AU182" s="31">
        <f t="shared" si="5"/>
        <v>7</v>
      </c>
      <c r="AV182" s="36">
        <f>IFERROR($A$2+AU182,"上周无销量")</f>
        <v>43283</v>
      </c>
    </row>
    <row r="183" spans="1:48">
      <c r="A183" s="21" t="s">
        <v>418</v>
      </c>
      <c r="B183" t="s">
        <v>419</v>
      </c>
      <c r="C183" t="s">
        <v>420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3</v>
      </c>
      <c r="J183" s="33">
        <v>0</v>
      </c>
      <c r="K183" s="33">
        <v>0</v>
      </c>
      <c r="L183" s="33">
        <v>0</v>
      </c>
      <c r="M183">
        <v>3</v>
      </c>
      <c r="N183">
        <v>0</v>
      </c>
      <c r="O183">
        <v>3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3</v>
      </c>
      <c r="AL183">
        <v>3</v>
      </c>
      <c r="AM183">
        <v>2</v>
      </c>
      <c r="AN183" s="23" t="s">
        <v>54</v>
      </c>
      <c r="AO183" s="23">
        <v>0</v>
      </c>
      <c r="AP183" s="23">
        <v>0</v>
      </c>
      <c r="AQ183" s="23">
        <v>0</v>
      </c>
      <c r="AR183" s="35">
        <v>0</v>
      </c>
      <c r="AS183" s="35">
        <v>0</v>
      </c>
      <c r="AT183" s="35">
        <v>3</v>
      </c>
      <c r="AU183" s="31" t="str">
        <f t="shared" si="5"/>
        <v>库存为3</v>
      </c>
      <c r="AV183" s="36" t="str">
        <f>IFERROR($A$2+AU183,"上周无销量")</f>
        <v>上周无销量</v>
      </c>
    </row>
    <row r="184" spans="1:48">
      <c r="A184" s="21" t="s">
        <v>421</v>
      </c>
      <c r="B184" t="s">
        <v>422</v>
      </c>
      <c r="C184" t="s">
        <v>420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3</v>
      </c>
      <c r="J184" s="33">
        <v>0</v>
      </c>
      <c r="K184" s="33">
        <v>0</v>
      </c>
      <c r="L184" s="33">
        <v>0</v>
      </c>
      <c r="M184">
        <v>3</v>
      </c>
      <c r="N184">
        <v>0</v>
      </c>
      <c r="O184">
        <v>3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1</v>
      </c>
      <c r="AK184">
        <v>2</v>
      </c>
      <c r="AL184">
        <v>2</v>
      </c>
      <c r="AM184">
        <v>2</v>
      </c>
      <c r="AN184" s="23">
        <v>0</v>
      </c>
      <c r="AO184" s="23">
        <v>0</v>
      </c>
      <c r="AP184" s="23">
        <v>0</v>
      </c>
      <c r="AQ184" s="23">
        <v>0</v>
      </c>
      <c r="AR184" s="35">
        <v>0</v>
      </c>
      <c r="AS184" s="35">
        <v>0</v>
      </c>
      <c r="AT184" s="35">
        <v>3</v>
      </c>
      <c r="AU184" s="31" t="str">
        <f t="shared" si="5"/>
        <v>库存为3</v>
      </c>
      <c r="AV184" s="36" t="str">
        <f>IFERROR($A$2+AU184,"上周无销量")</f>
        <v>上周无销量</v>
      </c>
    </row>
    <row r="185" spans="1:48">
      <c r="A185" s="21" t="s">
        <v>423</v>
      </c>
      <c r="B185" t="s">
        <v>424</v>
      </c>
      <c r="C185" t="s">
        <v>420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3</v>
      </c>
      <c r="J185" s="33">
        <v>0</v>
      </c>
      <c r="K185" s="33">
        <v>0</v>
      </c>
      <c r="L185" s="33">
        <v>0</v>
      </c>
      <c r="M185">
        <v>3</v>
      </c>
      <c r="N185">
        <v>0</v>
      </c>
      <c r="O185">
        <v>3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2</v>
      </c>
      <c r="AK185">
        <v>1</v>
      </c>
      <c r="AL185">
        <v>1</v>
      </c>
      <c r="AM185">
        <v>2</v>
      </c>
      <c r="AN185" s="23">
        <v>0</v>
      </c>
      <c r="AO185" s="23">
        <v>0</v>
      </c>
      <c r="AP185" s="23">
        <v>0</v>
      </c>
      <c r="AQ185" s="23">
        <v>0</v>
      </c>
      <c r="AR185" s="35">
        <v>0</v>
      </c>
      <c r="AS185" s="35">
        <v>0</v>
      </c>
      <c r="AT185" s="35">
        <v>3</v>
      </c>
      <c r="AU185" s="31" t="str">
        <f t="shared" si="5"/>
        <v>库存为3</v>
      </c>
      <c r="AV185" s="36" t="str">
        <f>IFERROR($A$2+AU185,"上周无销量")</f>
        <v>上周无销量</v>
      </c>
    </row>
    <row r="186" spans="1:48">
      <c r="A186" s="21" t="s">
        <v>425</v>
      </c>
      <c r="B186" t="s">
        <v>426</v>
      </c>
      <c r="C186" t="s">
        <v>420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s">
        <v>54</v>
      </c>
      <c r="AO186" s="23" t="s">
        <v>54</v>
      </c>
      <c r="AP186" s="23" t="s">
        <v>54</v>
      </c>
      <c r="AQ186" s="23" t="s">
        <v>54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IFERROR($A$2+AU186,"上周无销量")</f>
        <v>上周无销量</v>
      </c>
    </row>
    <row r="187" spans="1:48">
      <c r="A187" s="21" t="s">
        <v>427</v>
      </c>
      <c r="B187" t="s">
        <v>428</v>
      </c>
      <c r="C187" t="s">
        <v>420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2</v>
      </c>
      <c r="J187" s="33">
        <v>0</v>
      </c>
      <c r="K187" s="33">
        <v>0</v>
      </c>
      <c r="L187" s="33">
        <v>0</v>
      </c>
      <c r="M187">
        <v>2</v>
      </c>
      <c r="N187">
        <v>0</v>
      </c>
      <c r="O187">
        <v>2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2</v>
      </c>
      <c r="AM187">
        <v>3</v>
      </c>
      <c r="AN187" s="23" t="s">
        <v>54</v>
      </c>
      <c r="AO187" s="23" t="s">
        <v>54</v>
      </c>
      <c r="AP187" s="23">
        <v>0</v>
      </c>
      <c r="AQ187" s="23">
        <v>0</v>
      </c>
      <c r="AR187" s="35">
        <v>0</v>
      </c>
      <c r="AS187" s="35">
        <v>0</v>
      </c>
      <c r="AT187" s="35">
        <v>2</v>
      </c>
      <c r="AU187" s="31" t="str">
        <f t="shared" si="5"/>
        <v>库存为2</v>
      </c>
      <c r="AV187" s="36" t="str">
        <f>IFERROR($A$2+AU187,"上周无销量")</f>
        <v>上周无销量</v>
      </c>
    </row>
    <row r="188" spans="1:48">
      <c r="A188" s="21" t="s">
        <v>429</v>
      </c>
      <c r="B188" t="s">
        <v>430</v>
      </c>
      <c r="C188" t="s">
        <v>420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3</v>
      </c>
      <c r="J188" s="33">
        <v>0</v>
      </c>
      <c r="K188" s="33">
        <v>0</v>
      </c>
      <c r="L188" s="33">
        <v>0</v>
      </c>
      <c r="M188">
        <v>3</v>
      </c>
      <c r="N188">
        <v>0</v>
      </c>
      <c r="O188">
        <v>3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2</v>
      </c>
      <c r="AK188">
        <v>3</v>
      </c>
      <c r="AL188">
        <v>2</v>
      </c>
      <c r="AM188">
        <v>1</v>
      </c>
      <c r="AN188" s="23">
        <v>0</v>
      </c>
      <c r="AO188" s="23">
        <v>0</v>
      </c>
      <c r="AP188" s="23">
        <v>0</v>
      </c>
      <c r="AQ188" s="23">
        <v>0</v>
      </c>
      <c r="AR188" s="35">
        <v>0</v>
      </c>
      <c r="AS188" s="35">
        <v>0</v>
      </c>
      <c r="AT188" s="35">
        <v>3</v>
      </c>
      <c r="AU188" s="31" t="str">
        <f t="shared" si="5"/>
        <v>库存为3</v>
      </c>
      <c r="AV188" s="36" t="str">
        <f>IFERROR($A$2+AU188,"上周无销量")</f>
        <v>上周无销量</v>
      </c>
    </row>
    <row r="189" spans="1:48">
      <c r="A189" s="21" t="s">
        <v>431</v>
      </c>
      <c r="B189" t="s">
        <v>432</v>
      </c>
      <c r="C189" t="s">
        <v>420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3</v>
      </c>
      <c r="J189" s="33">
        <v>0</v>
      </c>
      <c r="K189" s="33">
        <v>0</v>
      </c>
      <c r="L189" s="33">
        <v>0</v>
      </c>
      <c r="M189">
        <v>3</v>
      </c>
      <c r="N189">
        <v>0</v>
      </c>
      <c r="O189">
        <v>3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2</v>
      </c>
      <c r="AK189">
        <v>2</v>
      </c>
      <c r="AL189">
        <v>1</v>
      </c>
      <c r="AM189">
        <v>2</v>
      </c>
      <c r="AN189" s="23">
        <v>0</v>
      </c>
      <c r="AO189" s="23">
        <v>0</v>
      </c>
      <c r="AP189" s="23">
        <v>0</v>
      </c>
      <c r="AQ189" s="23">
        <v>0</v>
      </c>
      <c r="AR189" s="35">
        <v>0</v>
      </c>
      <c r="AS189" s="35">
        <v>0</v>
      </c>
      <c r="AT189" s="35">
        <v>3</v>
      </c>
      <c r="AU189" s="31" t="str">
        <f t="shared" si="5"/>
        <v>库存为3</v>
      </c>
      <c r="AV189" s="36" t="str">
        <f>IFERROR($A$2+AU189,"上周无销量")</f>
        <v>上周无销量</v>
      </c>
    </row>
    <row r="190" spans="1:48">
      <c r="A190" s="21" t="s">
        <v>433</v>
      </c>
      <c r="B190" t="s">
        <v>434</v>
      </c>
      <c r="C190" t="s">
        <v>420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s">
        <v>54</v>
      </c>
      <c r="AO190" s="23" t="s">
        <v>54</v>
      </c>
      <c r="AP190" s="23" t="s">
        <v>54</v>
      </c>
      <c r="AQ190" s="23" t="s">
        <v>54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IFERROR($A$2+AU190,"上周无销量")</f>
        <v>上周无销量</v>
      </c>
    </row>
    <row r="191" spans="1:48">
      <c r="A191" s="21" t="s">
        <v>435</v>
      </c>
      <c r="B191" t="s">
        <v>436</v>
      </c>
      <c r="C191" t="s">
        <v>420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1</v>
      </c>
      <c r="J191" s="33">
        <v>0</v>
      </c>
      <c r="K191" s="33">
        <v>0</v>
      </c>
      <c r="L191" s="33">
        <v>0</v>
      </c>
      <c r="M191">
        <v>1</v>
      </c>
      <c r="N191">
        <v>0</v>
      </c>
      <c r="O191">
        <v>1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1</v>
      </c>
      <c r="AK191">
        <v>0</v>
      </c>
      <c r="AL191">
        <v>3</v>
      </c>
      <c r="AM191">
        <v>1</v>
      </c>
      <c r="AN191" s="23">
        <v>0</v>
      </c>
      <c r="AO191" s="23" t="s">
        <v>54</v>
      </c>
      <c r="AP191" s="23">
        <v>0</v>
      </c>
      <c r="AQ191" s="23">
        <v>0</v>
      </c>
      <c r="AR191" s="35">
        <v>0</v>
      </c>
      <c r="AS191" s="35">
        <v>0</v>
      </c>
      <c r="AT191" s="35">
        <v>1</v>
      </c>
      <c r="AU191" s="31" t="str">
        <f t="shared" si="5"/>
        <v>库存为1</v>
      </c>
      <c r="AV191" s="36" t="str">
        <f>IFERROR($A$2+AU191,"上周无销量")</f>
        <v>上周无销量</v>
      </c>
    </row>
    <row r="192" spans="1:48">
      <c r="A192" s="21" t="s">
        <v>437</v>
      </c>
      <c r="B192" t="s">
        <v>438</v>
      </c>
      <c r="C192" t="s">
        <v>420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2</v>
      </c>
      <c r="J192" s="33">
        <v>0</v>
      </c>
      <c r="K192" s="33">
        <v>0</v>
      </c>
      <c r="L192" s="33">
        <v>0</v>
      </c>
      <c r="M192">
        <v>2</v>
      </c>
      <c r="N192">
        <v>0</v>
      </c>
      <c r="O192">
        <v>2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2</v>
      </c>
      <c r="AL192">
        <v>2</v>
      </c>
      <c r="AM192">
        <v>3</v>
      </c>
      <c r="AN192" s="23" t="s">
        <v>54</v>
      </c>
      <c r="AO192" s="23">
        <v>0</v>
      </c>
      <c r="AP192" s="23">
        <v>0</v>
      </c>
      <c r="AQ192" s="23">
        <v>0</v>
      </c>
      <c r="AR192" s="35">
        <v>0</v>
      </c>
      <c r="AS192" s="35">
        <v>0</v>
      </c>
      <c r="AT192" s="35">
        <v>2</v>
      </c>
      <c r="AU192" s="31" t="str">
        <f t="shared" si="5"/>
        <v>库存为2</v>
      </c>
      <c r="AV192" s="36" t="str">
        <f>IFERROR($A$2+AU192,"上周无销量")</f>
        <v>上周无销量</v>
      </c>
    </row>
    <row r="193" spans="1:48">
      <c r="A193" s="21" t="s">
        <v>439</v>
      </c>
      <c r="B193" t="s">
        <v>440</v>
      </c>
      <c r="C193" t="s">
        <v>420</v>
      </c>
      <c r="D193" s="31">
        <v>0</v>
      </c>
      <c r="E193" s="31">
        <v>1</v>
      </c>
      <c r="F193" s="31">
        <v>0</v>
      </c>
      <c r="G193" s="31">
        <v>0</v>
      </c>
      <c r="H193" s="32">
        <v>12</v>
      </c>
      <c r="I193">
        <v>2</v>
      </c>
      <c r="J193" s="33">
        <v>0</v>
      </c>
      <c r="K193" s="33">
        <v>0</v>
      </c>
      <c r="L193" s="33">
        <v>0</v>
      </c>
      <c r="M193">
        <v>2</v>
      </c>
      <c r="N193">
        <v>0</v>
      </c>
      <c r="O193">
        <v>2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3</v>
      </c>
      <c r="AK193">
        <v>3</v>
      </c>
      <c r="AL193">
        <v>1</v>
      </c>
      <c r="AM193">
        <v>3</v>
      </c>
      <c r="AN193" s="23">
        <v>0</v>
      </c>
      <c r="AO193" s="23">
        <v>0.333333333333333</v>
      </c>
      <c r="AP193" s="23">
        <v>0</v>
      </c>
      <c r="AQ193" s="23">
        <v>0</v>
      </c>
      <c r="AR193" s="35">
        <v>0</v>
      </c>
      <c r="AS193" s="35">
        <v>0</v>
      </c>
      <c r="AT193" s="35">
        <v>2</v>
      </c>
      <c r="AU193" s="31" t="str">
        <f t="shared" si="5"/>
        <v>库存为2</v>
      </c>
      <c r="AV193" s="36" t="str">
        <f>IFERROR($A$2+AU193,"上周无销量")</f>
        <v>上周无销量</v>
      </c>
    </row>
    <row r="194" spans="1:48">
      <c r="A194" s="21" t="s">
        <v>441</v>
      </c>
      <c r="B194" t="s">
        <v>442</v>
      </c>
      <c r="C194" t="s">
        <v>420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3</v>
      </c>
      <c r="J194" s="33">
        <v>0</v>
      </c>
      <c r="K194" s="33">
        <v>0</v>
      </c>
      <c r="L194" s="33">
        <v>0</v>
      </c>
      <c r="M194">
        <v>3</v>
      </c>
      <c r="N194">
        <v>0</v>
      </c>
      <c r="O194">
        <v>3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3</v>
      </c>
      <c r="AM194">
        <v>2</v>
      </c>
      <c r="AN194" s="23" t="s">
        <v>54</v>
      </c>
      <c r="AO194" s="23" t="s">
        <v>54</v>
      </c>
      <c r="AP194" s="23">
        <v>0</v>
      </c>
      <c r="AQ194" s="23">
        <v>0</v>
      </c>
      <c r="AR194" s="35">
        <v>0</v>
      </c>
      <c r="AS194" s="35">
        <v>0</v>
      </c>
      <c r="AT194" s="35">
        <v>3</v>
      </c>
      <c r="AU194" s="31" t="str">
        <f t="shared" si="5"/>
        <v>库存为3</v>
      </c>
      <c r="AV194" s="36" t="str">
        <f>IFERROR($A$2+AU194,"上周无销量")</f>
        <v>上周无销量</v>
      </c>
    </row>
    <row r="195" spans="1:48">
      <c r="A195" s="21" t="s">
        <v>443</v>
      </c>
      <c r="B195" t="s">
        <v>444</v>
      </c>
      <c r="C195" t="s">
        <v>420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3</v>
      </c>
      <c r="J195" s="33">
        <v>0</v>
      </c>
      <c r="K195" s="33">
        <v>0</v>
      </c>
      <c r="L195" s="33">
        <v>0</v>
      </c>
      <c r="M195">
        <v>3</v>
      </c>
      <c r="N195">
        <v>0</v>
      </c>
      <c r="O195">
        <v>3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1</v>
      </c>
      <c r="AK195">
        <v>1</v>
      </c>
      <c r="AL195">
        <v>2</v>
      </c>
      <c r="AM195">
        <v>1</v>
      </c>
      <c r="AN195" s="23">
        <v>0</v>
      </c>
      <c r="AO195" s="23">
        <v>0</v>
      </c>
      <c r="AP195" s="23">
        <v>0</v>
      </c>
      <c r="AQ195" s="23">
        <v>0</v>
      </c>
      <c r="AR195" s="35">
        <v>0</v>
      </c>
      <c r="AS195" s="35">
        <v>0</v>
      </c>
      <c r="AT195" s="35">
        <v>3</v>
      </c>
      <c r="AU195" s="31" t="str">
        <f t="shared" si="5"/>
        <v>库存为3</v>
      </c>
      <c r="AV195" s="36" t="str">
        <f>IFERROR($A$2+AU195,"上周无销量")</f>
        <v>上周无销量</v>
      </c>
    </row>
    <row r="196" spans="1:48">
      <c r="A196" s="21" t="s">
        <v>445</v>
      </c>
      <c r="B196" t="s">
        <v>446</v>
      </c>
      <c r="C196" t="s">
        <v>420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2</v>
      </c>
      <c r="J196" s="33">
        <v>0</v>
      </c>
      <c r="K196" s="33">
        <v>0</v>
      </c>
      <c r="L196" s="33">
        <v>0</v>
      </c>
      <c r="M196">
        <v>2</v>
      </c>
      <c r="N196">
        <v>0</v>
      </c>
      <c r="O196">
        <v>2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1</v>
      </c>
      <c r="AL196">
        <v>2</v>
      </c>
      <c r="AM196">
        <v>1</v>
      </c>
      <c r="AN196" s="23" t="s">
        <v>54</v>
      </c>
      <c r="AO196" s="23">
        <v>0</v>
      </c>
      <c r="AP196" s="23">
        <v>0</v>
      </c>
      <c r="AQ196" s="23">
        <v>0</v>
      </c>
      <c r="AR196" s="35">
        <v>0</v>
      </c>
      <c r="AS196" s="35">
        <v>0</v>
      </c>
      <c r="AT196" s="35">
        <v>2</v>
      </c>
      <c r="AU196" s="31" t="str">
        <f t="shared" si="5"/>
        <v>库存为2</v>
      </c>
      <c r="AV196" s="36" t="str">
        <f>IFERROR($A$2+AU196,"上周无销量")</f>
        <v>上周无销量</v>
      </c>
    </row>
    <row r="197" spans="1:48">
      <c r="A197" s="21" t="s">
        <v>447</v>
      </c>
      <c r="B197" t="s">
        <v>448</v>
      </c>
      <c r="C197" t="s">
        <v>420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3</v>
      </c>
      <c r="J197" s="33">
        <v>0</v>
      </c>
      <c r="K197" s="33">
        <v>0</v>
      </c>
      <c r="L197" s="33">
        <v>0</v>
      </c>
      <c r="M197">
        <v>3</v>
      </c>
      <c r="N197">
        <v>0</v>
      </c>
      <c r="O197">
        <v>3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1</v>
      </c>
      <c r="AL197">
        <v>1</v>
      </c>
      <c r="AM197">
        <v>3</v>
      </c>
      <c r="AN197" s="23" t="s">
        <v>54</v>
      </c>
      <c r="AO197" s="23">
        <v>0</v>
      </c>
      <c r="AP197" s="23">
        <v>0</v>
      </c>
      <c r="AQ197" s="23">
        <v>0</v>
      </c>
      <c r="AR197" s="35">
        <v>0</v>
      </c>
      <c r="AS197" s="35">
        <v>0</v>
      </c>
      <c r="AT197" s="35">
        <v>3</v>
      </c>
      <c r="AU197" s="31" t="str">
        <f t="shared" ref="AU197:AU260" si="6">IF(AR197="","库存为"&amp;M197,IF(AS197=0,"库存为"&amp;M197,INT(M197/AR197)))</f>
        <v>库存为3</v>
      </c>
      <c r="AV197" s="36" t="str">
        <f>IFERROR($A$2+AU197,"上周无销量")</f>
        <v>上周无销量</v>
      </c>
    </row>
    <row r="198" spans="1:48">
      <c r="A198" s="21" t="s">
        <v>449</v>
      </c>
      <c r="B198" t="s">
        <v>450</v>
      </c>
      <c r="C198" t="s">
        <v>420</v>
      </c>
      <c r="D198" s="31">
        <v>1</v>
      </c>
      <c r="E198" s="31">
        <v>0</v>
      </c>
      <c r="F198" s="31">
        <v>2</v>
      </c>
      <c r="G198" s="31">
        <v>0</v>
      </c>
      <c r="H198" s="32">
        <v>12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4</v>
      </c>
      <c r="AK198">
        <v>2</v>
      </c>
      <c r="AL198">
        <v>1</v>
      </c>
      <c r="AM198">
        <v>1</v>
      </c>
      <c r="AN198" s="23">
        <v>0.25</v>
      </c>
      <c r="AO198" s="23">
        <v>0</v>
      </c>
      <c r="AP198" s="23">
        <v>2</v>
      </c>
      <c r="AQ198" s="23">
        <v>0</v>
      </c>
      <c r="AR198" s="35">
        <v>0.142857142857143</v>
      </c>
      <c r="AS198" s="35">
        <v>8.57142857142857</v>
      </c>
      <c r="AT198" s="35">
        <v>-8.57142857142857</v>
      </c>
      <c r="AU198" s="31">
        <f t="shared" si="6"/>
        <v>0</v>
      </c>
      <c r="AV198" s="36">
        <f>IFERROR($A$2+AU198,"上周无销量")</f>
        <v>43276</v>
      </c>
    </row>
    <row r="199" spans="1:48">
      <c r="A199" s="21" t="s">
        <v>451</v>
      </c>
      <c r="B199" t="s">
        <v>452</v>
      </c>
      <c r="C199" t="s">
        <v>420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3</v>
      </c>
      <c r="J199" s="33">
        <v>0</v>
      </c>
      <c r="K199" s="33">
        <v>0</v>
      </c>
      <c r="L199" s="33">
        <v>0</v>
      </c>
      <c r="M199">
        <v>3</v>
      </c>
      <c r="N199">
        <v>0</v>
      </c>
      <c r="O199">
        <v>2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4</v>
      </c>
      <c r="AK199">
        <v>1</v>
      </c>
      <c r="AL199">
        <v>1</v>
      </c>
      <c r="AM199">
        <v>1</v>
      </c>
      <c r="AN199" s="23">
        <v>0</v>
      </c>
      <c r="AO199" s="23">
        <v>0</v>
      </c>
      <c r="AP199" s="23">
        <v>0</v>
      </c>
      <c r="AQ199" s="23">
        <v>0</v>
      </c>
      <c r="AR199" s="35">
        <v>0</v>
      </c>
      <c r="AS199" s="35">
        <v>0</v>
      </c>
      <c r="AT199" s="35">
        <v>3</v>
      </c>
      <c r="AU199" s="31" t="str">
        <f t="shared" si="6"/>
        <v>库存为3</v>
      </c>
      <c r="AV199" s="36" t="str">
        <f>IFERROR($A$2+AU199,"上周无销量")</f>
        <v>上周无销量</v>
      </c>
    </row>
    <row r="200" spans="1:48">
      <c r="A200" s="21" t="s">
        <v>453</v>
      </c>
      <c r="B200" t="s">
        <v>454</v>
      </c>
      <c r="C200" t="s">
        <v>420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2</v>
      </c>
      <c r="J200" s="33">
        <v>0</v>
      </c>
      <c r="K200" s="33">
        <v>0</v>
      </c>
      <c r="L200" s="33">
        <v>0</v>
      </c>
      <c r="M200">
        <v>2</v>
      </c>
      <c r="N200">
        <v>0</v>
      </c>
      <c r="O200">
        <v>2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1</v>
      </c>
      <c r="AL200">
        <v>2</v>
      </c>
      <c r="AM200">
        <v>2</v>
      </c>
      <c r="AN200" s="23" t="s">
        <v>54</v>
      </c>
      <c r="AO200" s="23">
        <v>0</v>
      </c>
      <c r="AP200" s="23">
        <v>0</v>
      </c>
      <c r="AQ200" s="23">
        <v>0</v>
      </c>
      <c r="AR200" s="35">
        <v>0</v>
      </c>
      <c r="AS200" s="35">
        <v>0</v>
      </c>
      <c r="AT200" s="35">
        <v>2</v>
      </c>
      <c r="AU200" s="31" t="str">
        <f t="shared" si="6"/>
        <v>库存为2</v>
      </c>
      <c r="AV200" s="36" t="str">
        <f>IFERROR($A$2+AU200,"上周无销量")</f>
        <v>上周无销量</v>
      </c>
    </row>
    <row r="201" spans="1:48">
      <c r="A201" s="21" t="s">
        <v>455</v>
      </c>
      <c r="B201" t="s">
        <v>456</v>
      </c>
      <c r="C201" t="s">
        <v>420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3</v>
      </c>
      <c r="J201" s="33">
        <v>0</v>
      </c>
      <c r="K201" s="33">
        <v>0</v>
      </c>
      <c r="L201" s="33">
        <v>0</v>
      </c>
      <c r="M201">
        <v>3</v>
      </c>
      <c r="N201">
        <v>0</v>
      </c>
      <c r="O201">
        <v>3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1</v>
      </c>
      <c r="AK201">
        <v>3</v>
      </c>
      <c r="AL201">
        <v>2</v>
      </c>
      <c r="AM201">
        <v>1</v>
      </c>
      <c r="AN201" s="23">
        <v>0</v>
      </c>
      <c r="AO201" s="23">
        <v>0</v>
      </c>
      <c r="AP201" s="23">
        <v>0</v>
      </c>
      <c r="AQ201" s="23">
        <v>0</v>
      </c>
      <c r="AR201" s="35">
        <v>0</v>
      </c>
      <c r="AS201" s="35">
        <v>0</v>
      </c>
      <c r="AT201" s="35">
        <v>3</v>
      </c>
      <c r="AU201" s="31" t="str">
        <f t="shared" si="6"/>
        <v>库存为3</v>
      </c>
      <c r="AV201" s="36" t="str">
        <f>IFERROR($A$2+AU201,"上周无销量")</f>
        <v>上周无销量</v>
      </c>
    </row>
    <row r="202" spans="1:48">
      <c r="A202" s="21" t="s">
        <v>457</v>
      </c>
      <c r="B202" t="s">
        <v>458</v>
      </c>
      <c r="C202" t="s">
        <v>420</v>
      </c>
      <c r="D202" s="31">
        <v>1</v>
      </c>
      <c r="E202" s="31">
        <v>0</v>
      </c>
      <c r="F202" s="31">
        <v>0</v>
      </c>
      <c r="G202" s="31">
        <v>0</v>
      </c>
      <c r="H202" s="32">
        <v>12</v>
      </c>
      <c r="I202">
        <v>1</v>
      </c>
      <c r="J202" s="33">
        <v>0</v>
      </c>
      <c r="K202" s="33">
        <v>0</v>
      </c>
      <c r="L202" s="33">
        <v>0</v>
      </c>
      <c r="M202">
        <v>1</v>
      </c>
      <c r="N202">
        <v>0</v>
      </c>
      <c r="O202">
        <v>1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1</v>
      </c>
      <c r="AK202">
        <v>0</v>
      </c>
      <c r="AL202">
        <v>1</v>
      </c>
      <c r="AM202">
        <v>0</v>
      </c>
      <c r="AN202" s="23">
        <v>1</v>
      </c>
      <c r="AO202" s="23" t="s">
        <v>54</v>
      </c>
      <c r="AP202" s="23">
        <v>0</v>
      </c>
      <c r="AQ202" s="23" t="s">
        <v>54</v>
      </c>
      <c r="AR202" s="35">
        <v>0.142857142857143</v>
      </c>
      <c r="AS202" s="35">
        <v>8.57142857142857</v>
      </c>
      <c r="AT202" s="35">
        <v>-7.57142857142857</v>
      </c>
      <c r="AU202" s="31">
        <f t="shared" si="6"/>
        <v>7</v>
      </c>
      <c r="AV202" s="36">
        <f>IFERROR($A$2+AU202,"上周无销量")</f>
        <v>43283</v>
      </c>
    </row>
    <row r="203" spans="1:48">
      <c r="A203" s="21" t="s">
        <v>459</v>
      </c>
      <c r="B203" t="s">
        <v>460</v>
      </c>
      <c r="C203" t="s">
        <v>420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3</v>
      </c>
      <c r="J203" s="33">
        <v>0</v>
      </c>
      <c r="K203" s="33">
        <v>0</v>
      </c>
      <c r="L203" s="33">
        <v>0</v>
      </c>
      <c r="M203">
        <v>3</v>
      </c>
      <c r="N203">
        <v>0</v>
      </c>
      <c r="O203">
        <v>2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1</v>
      </c>
      <c r="AK203">
        <v>5</v>
      </c>
      <c r="AL203">
        <v>3</v>
      </c>
      <c r="AM203">
        <v>0</v>
      </c>
      <c r="AN203" s="23">
        <v>0</v>
      </c>
      <c r="AO203" s="23">
        <v>0</v>
      </c>
      <c r="AP203" s="23">
        <v>0</v>
      </c>
      <c r="AQ203" s="23" t="s">
        <v>54</v>
      </c>
      <c r="AR203" s="35">
        <v>0</v>
      </c>
      <c r="AS203" s="35">
        <v>0</v>
      </c>
      <c r="AT203" s="35">
        <v>3</v>
      </c>
      <c r="AU203" s="31" t="str">
        <f t="shared" si="6"/>
        <v>库存为3</v>
      </c>
      <c r="AV203" s="36" t="str">
        <f>IFERROR($A$2+AU203,"上周无销量")</f>
        <v>上周无销量</v>
      </c>
    </row>
    <row r="204" spans="1:48">
      <c r="A204" s="21" t="s">
        <v>461</v>
      </c>
      <c r="B204" t="s">
        <v>462</v>
      </c>
      <c r="C204" t="s">
        <v>420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1</v>
      </c>
      <c r="J204" s="33">
        <v>0</v>
      </c>
      <c r="K204" s="33">
        <v>0</v>
      </c>
      <c r="L204" s="33">
        <v>0</v>
      </c>
      <c r="M204">
        <v>1</v>
      </c>
      <c r="N204">
        <v>0</v>
      </c>
      <c r="O204">
        <v>1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4</v>
      </c>
      <c r="AK204">
        <v>1</v>
      </c>
      <c r="AL204">
        <v>1</v>
      </c>
      <c r="AM204">
        <v>2</v>
      </c>
      <c r="AN204" s="23">
        <v>0</v>
      </c>
      <c r="AO204" s="23">
        <v>0</v>
      </c>
      <c r="AP204" s="23">
        <v>0</v>
      </c>
      <c r="AQ204" s="23">
        <v>0</v>
      </c>
      <c r="AR204" s="35">
        <v>0</v>
      </c>
      <c r="AS204" s="35">
        <v>0</v>
      </c>
      <c r="AT204" s="35">
        <v>1</v>
      </c>
      <c r="AU204" s="31" t="str">
        <f t="shared" si="6"/>
        <v>库存为1</v>
      </c>
      <c r="AV204" s="36" t="str">
        <f>IFERROR($A$2+AU204,"上周无销量")</f>
        <v>上周无销量</v>
      </c>
    </row>
    <row r="205" spans="1:48">
      <c r="A205" s="21" t="s">
        <v>463</v>
      </c>
      <c r="B205" t="s">
        <v>464</v>
      </c>
      <c r="C205" t="s">
        <v>420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3</v>
      </c>
      <c r="J205" s="33">
        <v>0</v>
      </c>
      <c r="K205" s="33">
        <v>0</v>
      </c>
      <c r="L205" s="33">
        <v>0</v>
      </c>
      <c r="M205">
        <v>3</v>
      </c>
      <c r="N205">
        <v>0</v>
      </c>
      <c r="O205">
        <v>3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2</v>
      </c>
      <c r="AM205">
        <v>1</v>
      </c>
      <c r="AN205" s="23" t="s">
        <v>54</v>
      </c>
      <c r="AO205" s="23" t="s">
        <v>54</v>
      </c>
      <c r="AP205" s="23">
        <v>0</v>
      </c>
      <c r="AQ205" s="23">
        <v>0</v>
      </c>
      <c r="AR205" s="35">
        <v>0</v>
      </c>
      <c r="AS205" s="35">
        <v>0</v>
      </c>
      <c r="AT205" s="35">
        <v>3</v>
      </c>
      <c r="AU205" s="31" t="str">
        <f t="shared" si="6"/>
        <v>库存为3</v>
      </c>
      <c r="AV205" s="36" t="str">
        <f>IFERROR($A$2+AU205,"上周无销量")</f>
        <v>上周无销量</v>
      </c>
    </row>
    <row r="206" spans="1:48">
      <c r="A206" s="21" t="s">
        <v>465</v>
      </c>
      <c r="B206" t="s">
        <v>466</v>
      </c>
      <c r="C206" t="s">
        <v>420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3</v>
      </c>
      <c r="J206" s="33">
        <v>0</v>
      </c>
      <c r="K206" s="33">
        <v>0</v>
      </c>
      <c r="L206" s="33">
        <v>0</v>
      </c>
      <c r="M206">
        <v>3</v>
      </c>
      <c r="N206">
        <v>0</v>
      </c>
      <c r="O206">
        <v>3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1</v>
      </c>
      <c r="AK206">
        <v>0</v>
      </c>
      <c r="AL206">
        <v>4</v>
      </c>
      <c r="AM206">
        <v>2</v>
      </c>
      <c r="AN206" s="23">
        <v>0</v>
      </c>
      <c r="AO206" s="23" t="s">
        <v>54</v>
      </c>
      <c r="AP206" s="23">
        <v>0</v>
      </c>
      <c r="AQ206" s="23">
        <v>0</v>
      </c>
      <c r="AR206" s="35">
        <v>0</v>
      </c>
      <c r="AS206" s="35">
        <v>0</v>
      </c>
      <c r="AT206" s="35">
        <v>3</v>
      </c>
      <c r="AU206" s="31" t="str">
        <f t="shared" si="6"/>
        <v>库存为3</v>
      </c>
      <c r="AV206" s="36" t="str">
        <f>IFERROR($A$2+AU206,"上周无销量")</f>
        <v>上周无销量</v>
      </c>
    </row>
    <row r="207" spans="1:48">
      <c r="A207" s="21" t="s">
        <v>467</v>
      </c>
      <c r="B207" t="s">
        <v>468</v>
      </c>
      <c r="C207" t="s">
        <v>420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3</v>
      </c>
      <c r="J207" s="33">
        <v>0</v>
      </c>
      <c r="K207" s="33">
        <v>0</v>
      </c>
      <c r="L207" s="33">
        <v>0</v>
      </c>
      <c r="M207">
        <v>3</v>
      </c>
      <c r="N207">
        <v>0</v>
      </c>
      <c r="O207">
        <v>3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1</v>
      </c>
      <c r="AL207">
        <v>0</v>
      </c>
      <c r="AM207">
        <v>1</v>
      </c>
      <c r="AN207" s="23" t="s">
        <v>54</v>
      </c>
      <c r="AO207" s="23">
        <v>0</v>
      </c>
      <c r="AP207" s="23" t="s">
        <v>54</v>
      </c>
      <c r="AQ207" s="23">
        <v>0</v>
      </c>
      <c r="AR207" s="35">
        <v>0</v>
      </c>
      <c r="AS207" s="35">
        <v>0</v>
      </c>
      <c r="AT207" s="35">
        <v>3</v>
      </c>
      <c r="AU207" s="31" t="str">
        <f t="shared" si="6"/>
        <v>库存为3</v>
      </c>
      <c r="AV207" s="36" t="str">
        <f>IFERROR($A$2+AU207,"上周无销量")</f>
        <v>上周无销量</v>
      </c>
    </row>
    <row r="208" spans="1:48">
      <c r="A208" s="21" t="s">
        <v>469</v>
      </c>
      <c r="B208" t="s">
        <v>470</v>
      </c>
      <c r="C208" t="s">
        <v>420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3</v>
      </c>
      <c r="J208" s="33">
        <v>0</v>
      </c>
      <c r="K208" s="33">
        <v>0</v>
      </c>
      <c r="L208" s="33">
        <v>0</v>
      </c>
      <c r="M208">
        <v>3</v>
      </c>
      <c r="N208">
        <v>0</v>
      </c>
      <c r="O208">
        <v>3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3</v>
      </c>
      <c r="AK208">
        <v>1</v>
      </c>
      <c r="AL208">
        <v>1</v>
      </c>
      <c r="AM208">
        <v>2</v>
      </c>
      <c r="AN208" s="23">
        <v>0</v>
      </c>
      <c r="AO208" s="23">
        <v>0</v>
      </c>
      <c r="AP208" s="23">
        <v>0</v>
      </c>
      <c r="AQ208" s="23">
        <v>0</v>
      </c>
      <c r="AR208" s="35">
        <v>0</v>
      </c>
      <c r="AS208" s="35">
        <v>0</v>
      </c>
      <c r="AT208" s="35">
        <v>3</v>
      </c>
      <c r="AU208" s="31" t="str">
        <f t="shared" si="6"/>
        <v>库存为3</v>
      </c>
      <c r="AV208" s="36" t="str">
        <f>IFERROR($A$2+AU208,"上周无销量")</f>
        <v>上周无销量</v>
      </c>
    </row>
    <row r="209" spans="1:48">
      <c r="A209" s="21" t="s">
        <v>471</v>
      </c>
      <c r="B209" t="s">
        <v>472</v>
      </c>
      <c r="C209" t="s">
        <v>420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3</v>
      </c>
      <c r="J209" s="33">
        <v>0</v>
      </c>
      <c r="K209" s="33">
        <v>0</v>
      </c>
      <c r="L209" s="33">
        <v>0</v>
      </c>
      <c r="M209">
        <v>3</v>
      </c>
      <c r="N209">
        <v>0</v>
      </c>
      <c r="O209">
        <v>3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4</v>
      </c>
      <c r="AK209">
        <v>3</v>
      </c>
      <c r="AL209">
        <v>1</v>
      </c>
      <c r="AM209">
        <v>2</v>
      </c>
      <c r="AN209" s="23">
        <v>0</v>
      </c>
      <c r="AO209" s="23">
        <v>0</v>
      </c>
      <c r="AP209" s="23">
        <v>0</v>
      </c>
      <c r="AQ209" s="23">
        <v>0</v>
      </c>
      <c r="AR209" s="35">
        <v>0</v>
      </c>
      <c r="AS209" s="35">
        <v>0</v>
      </c>
      <c r="AT209" s="35">
        <v>3</v>
      </c>
      <c r="AU209" s="31" t="str">
        <f t="shared" si="6"/>
        <v>库存为3</v>
      </c>
      <c r="AV209" s="36" t="str">
        <f>IFERROR($A$2+AU209,"上周无销量")</f>
        <v>上周无销量</v>
      </c>
    </row>
    <row r="210" spans="1:48">
      <c r="A210" s="21" t="s">
        <v>473</v>
      </c>
      <c r="B210" t="s">
        <v>474</v>
      </c>
      <c r="C210" t="s">
        <v>420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3</v>
      </c>
      <c r="J210" s="33">
        <v>0</v>
      </c>
      <c r="K210" s="33">
        <v>0</v>
      </c>
      <c r="L210" s="33">
        <v>0</v>
      </c>
      <c r="M210">
        <v>3</v>
      </c>
      <c r="N210">
        <v>0</v>
      </c>
      <c r="O210">
        <v>3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1</v>
      </c>
      <c r="AK210">
        <v>1</v>
      </c>
      <c r="AL210">
        <v>2</v>
      </c>
      <c r="AM210">
        <v>1</v>
      </c>
      <c r="AN210" s="23">
        <v>0</v>
      </c>
      <c r="AO210" s="23">
        <v>0</v>
      </c>
      <c r="AP210" s="23">
        <v>0</v>
      </c>
      <c r="AQ210" s="23">
        <v>0</v>
      </c>
      <c r="AR210" s="35">
        <v>0</v>
      </c>
      <c r="AS210" s="35">
        <v>0</v>
      </c>
      <c r="AT210" s="35">
        <v>3</v>
      </c>
      <c r="AU210" s="31" t="str">
        <f t="shared" si="6"/>
        <v>库存为3</v>
      </c>
      <c r="AV210" s="36" t="str">
        <f>IFERROR($A$2+AU210,"上周无销量")</f>
        <v>上周无销量</v>
      </c>
    </row>
    <row r="211" spans="1:48">
      <c r="A211" s="21" t="s">
        <v>475</v>
      </c>
      <c r="B211" t="s">
        <v>476</v>
      </c>
      <c r="C211" t="s">
        <v>420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3</v>
      </c>
      <c r="J211" s="33">
        <v>0</v>
      </c>
      <c r="K211" s="33">
        <v>0</v>
      </c>
      <c r="L211" s="33">
        <v>0</v>
      </c>
      <c r="M211">
        <v>3</v>
      </c>
      <c r="N211">
        <v>0</v>
      </c>
      <c r="O211">
        <v>3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1</v>
      </c>
      <c r="AK211">
        <v>1</v>
      </c>
      <c r="AL211">
        <v>2</v>
      </c>
      <c r="AM211">
        <v>2</v>
      </c>
      <c r="AN211" s="23">
        <v>0</v>
      </c>
      <c r="AO211" s="23">
        <v>0</v>
      </c>
      <c r="AP211" s="23">
        <v>0</v>
      </c>
      <c r="AQ211" s="23">
        <v>0</v>
      </c>
      <c r="AR211" s="35">
        <v>0</v>
      </c>
      <c r="AS211" s="35">
        <v>0</v>
      </c>
      <c r="AT211" s="35">
        <v>3</v>
      </c>
      <c r="AU211" s="31" t="str">
        <f t="shared" si="6"/>
        <v>库存为3</v>
      </c>
      <c r="AV211" s="36" t="str">
        <f>IFERROR($A$2+AU211,"上周无销量")</f>
        <v>上周无销量</v>
      </c>
    </row>
    <row r="212" spans="1:48">
      <c r="A212" s="21" t="s">
        <v>477</v>
      </c>
      <c r="B212" t="s">
        <v>478</v>
      </c>
      <c r="C212" t="s">
        <v>479</v>
      </c>
      <c r="D212" s="31">
        <v>0</v>
      </c>
      <c r="E212" s="31">
        <v>1</v>
      </c>
      <c r="F212" s="31">
        <v>0</v>
      </c>
      <c r="G212" s="31">
        <v>0</v>
      </c>
      <c r="H212" s="32">
        <v>17.9</v>
      </c>
      <c r="I212">
        <v>7</v>
      </c>
      <c r="J212" s="33">
        <v>0</v>
      </c>
      <c r="K212" s="33">
        <v>0</v>
      </c>
      <c r="L212" s="33">
        <v>0</v>
      </c>
      <c r="M212">
        <v>7</v>
      </c>
      <c r="N212">
        <v>0</v>
      </c>
      <c r="O212">
        <v>0</v>
      </c>
      <c r="P212">
        <v>0</v>
      </c>
      <c r="Q212">
        <v>45</v>
      </c>
      <c r="R212">
        <v>45</v>
      </c>
      <c r="S212">
        <v>188</v>
      </c>
      <c r="T212">
        <v>0</v>
      </c>
      <c r="U212">
        <v>0</v>
      </c>
      <c r="V212">
        <v>0</v>
      </c>
      <c r="W212">
        <v>0</v>
      </c>
      <c r="X212" s="23" t="s">
        <v>54</v>
      </c>
      <c r="Y212" s="23">
        <v>0</v>
      </c>
      <c r="Z212" s="23">
        <v>0</v>
      </c>
      <c r="AA212" s="23">
        <v>0</v>
      </c>
      <c r="AB212">
        <v>0</v>
      </c>
      <c r="AC212">
        <v>0</v>
      </c>
      <c r="AD212">
        <v>0</v>
      </c>
      <c r="AE212">
        <v>0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18</v>
      </c>
      <c r="AK212">
        <v>9</v>
      </c>
      <c r="AL212">
        <v>3</v>
      </c>
      <c r="AM212">
        <v>3</v>
      </c>
      <c r="AN212" s="23">
        <v>0</v>
      </c>
      <c r="AO212" s="23">
        <v>0.111111111111111</v>
      </c>
      <c r="AP212" s="23">
        <v>0</v>
      </c>
      <c r="AQ212" s="23">
        <v>0</v>
      </c>
      <c r="AR212" s="35">
        <v>0</v>
      </c>
      <c r="AS212" s="35">
        <v>0</v>
      </c>
      <c r="AT212" s="35">
        <v>7</v>
      </c>
      <c r="AU212" s="31" t="str">
        <f t="shared" si="6"/>
        <v>库存为7</v>
      </c>
      <c r="AV212" s="36" t="str">
        <f>IFERROR($A$2+AU212,"上周无销量")</f>
        <v>上周无销量</v>
      </c>
    </row>
    <row r="213" spans="1:48">
      <c r="A213" s="21" t="s">
        <v>480</v>
      </c>
      <c r="B213" t="s">
        <v>481</v>
      </c>
      <c r="C213" t="s">
        <v>479</v>
      </c>
      <c r="D213" s="31">
        <v>0</v>
      </c>
      <c r="E213" s="31">
        <v>0</v>
      </c>
      <c r="F213" s="31">
        <v>1</v>
      </c>
      <c r="G213" s="31">
        <v>0</v>
      </c>
      <c r="H213" s="32">
        <v>17.9</v>
      </c>
      <c r="I213">
        <v>8</v>
      </c>
      <c r="J213" s="33">
        <v>0</v>
      </c>
      <c r="K213" s="33">
        <v>0</v>
      </c>
      <c r="L213" s="33">
        <v>0</v>
      </c>
      <c r="M213">
        <v>8</v>
      </c>
      <c r="N213">
        <v>0</v>
      </c>
      <c r="O213">
        <v>3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6</v>
      </c>
      <c r="AK213">
        <v>3</v>
      </c>
      <c r="AL213">
        <v>3</v>
      </c>
      <c r="AM213">
        <v>4</v>
      </c>
      <c r="AN213" s="23">
        <v>0</v>
      </c>
      <c r="AO213" s="23">
        <v>0</v>
      </c>
      <c r="AP213" s="23">
        <v>0.333333333333333</v>
      </c>
      <c r="AQ213" s="23">
        <v>0</v>
      </c>
      <c r="AR213" s="35">
        <v>0</v>
      </c>
      <c r="AS213" s="35">
        <v>0</v>
      </c>
      <c r="AT213" s="35">
        <v>8</v>
      </c>
      <c r="AU213" s="31" t="str">
        <f t="shared" si="6"/>
        <v>库存为8</v>
      </c>
      <c r="AV213" s="36" t="str">
        <f>IFERROR($A$2+AU213,"上周无销量")</f>
        <v>上周无销量</v>
      </c>
    </row>
    <row r="214" spans="1:48">
      <c r="A214" s="21" t="s">
        <v>482</v>
      </c>
      <c r="B214" t="s">
        <v>483</v>
      </c>
      <c r="C214" t="s">
        <v>479</v>
      </c>
      <c r="D214" s="31">
        <v>0</v>
      </c>
      <c r="E214" s="31">
        <v>3</v>
      </c>
      <c r="F214" s="31">
        <v>1</v>
      </c>
      <c r="G214" s="31">
        <v>1</v>
      </c>
      <c r="H214" s="32">
        <v>17.9</v>
      </c>
      <c r="I214">
        <v>0</v>
      </c>
      <c r="J214" s="33">
        <v>0</v>
      </c>
      <c r="K214" s="33">
        <v>0</v>
      </c>
      <c r="L214" s="33">
        <v>3</v>
      </c>
      <c r="M214">
        <v>3</v>
      </c>
      <c r="N214">
        <v>0</v>
      </c>
      <c r="O214">
        <v>0</v>
      </c>
      <c r="P214">
        <v>0</v>
      </c>
      <c r="Q214">
        <v>1511</v>
      </c>
      <c r="R214">
        <v>1511</v>
      </c>
      <c r="S214">
        <v>558</v>
      </c>
      <c r="T214">
        <v>0</v>
      </c>
      <c r="U214">
        <v>0</v>
      </c>
      <c r="V214">
        <v>0</v>
      </c>
      <c r="W214">
        <v>1</v>
      </c>
      <c r="X214" s="23" t="s">
        <v>54</v>
      </c>
      <c r="Y214" s="23">
        <v>0</v>
      </c>
      <c r="Z214" s="23">
        <v>0</v>
      </c>
      <c r="AA214" s="23">
        <v>0.0017921146953405</v>
      </c>
      <c r="AB214">
        <v>0</v>
      </c>
      <c r="AC214">
        <v>0</v>
      </c>
      <c r="AD214">
        <v>0</v>
      </c>
      <c r="AE214">
        <v>0.36</v>
      </c>
      <c r="AF214" s="23" t="s">
        <v>54</v>
      </c>
      <c r="AG214" s="23" t="s">
        <v>54</v>
      </c>
      <c r="AH214" s="23" t="s">
        <v>54</v>
      </c>
      <c r="AI214" s="23">
        <v>0.0201117318435754</v>
      </c>
      <c r="AJ214">
        <v>0</v>
      </c>
      <c r="AK214">
        <v>6</v>
      </c>
      <c r="AL214">
        <v>13</v>
      </c>
      <c r="AM214">
        <v>1</v>
      </c>
      <c r="AN214" s="23" t="s">
        <v>54</v>
      </c>
      <c r="AO214" s="23">
        <v>0.5</v>
      </c>
      <c r="AP214" s="23">
        <v>0.0769230769230769</v>
      </c>
      <c r="AQ214" s="23">
        <v>1</v>
      </c>
      <c r="AR214" s="35">
        <v>0</v>
      </c>
      <c r="AS214" s="35">
        <v>0</v>
      </c>
      <c r="AT214" s="35">
        <v>3</v>
      </c>
      <c r="AU214" s="31" t="str">
        <f t="shared" si="6"/>
        <v>库存为3</v>
      </c>
      <c r="AV214" s="36" t="str">
        <f>IFERROR($A$2+AU214,"上周无销量")</f>
        <v>上周无销量</v>
      </c>
    </row>
    <row r="215" spans="1:48">
      <c r="A215" s="21" t="s">
        <v>484</v>
      </c>
      <c r="B215" t="s">
        <v>485</v>
      </c>
      <c r="C215" t="s">
        <v>479</v>
      </c>
      <c r="D215" s="31">
        <v>2</v>
      </c>
      <c r="E215" s="31">
        <v>6</v>
      </c>
      <c r="F215" s="31">
        <v>1</v>
      </c>
      <c r="G215" s="31">
        <v>1</v>
      </c>
      <c r="H215" s="32">
        <v>17.98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>
        <v>11024</v>
      </c>
      <c r="Q215">
        <v>24200</v>
      </c>
      <c r="R215">
        <v>24200</v>
      </c>
      <c r="S215">
        <v>1931</v>
      </c>
      <c r="T215">
        <v>39</v>
      </c>
      <c r="U215">
        <v>22</v>
      </c>
      <c r="V215">
        <v>22</v>
      </c>
      <c r="W215">
        <v>10</v>
      </c>
      <c r="X215" s="23">
        <v>0.0035377358490566</v>
      </c>
      <c r="Y215" s="23">
        <v>0.000909090909090909</v>
      </c>
      <c r="Z215" s="23">
        <v>0.000909090909090909</v>
      </c>
      <c r="AA215" s="23">
        <v>0.00517866390471258</v>
      </c>
      <c r="AB215">
        <v>30.2</v>
      </c>
      <c r="AC215">
        <v>16.07</v>
      </c>
      <c r="AD215">
        <v>16.07</v>
      </c>
      <c r="AE215">
        <v>6.94</v>
      </c>
      <c r="AF215" s="23">
        <v>0.839822024471635</v>
      </c>
      <c r="AG215" s="23">
        <v>0.148961809417872</v>
      </c>
      <c r="AH215" s="23">
        <v>0.89377085650723</v>
      </c>
      <c r="AI215" s="23">
        <v>0.385984427141268</v>
      </c>
      <c r="AJ215">
        <v>40</v>
      </c>
      <c r="AK215">
        <v>29</v>
      </c>
      <c r="AL215">
        <v>16</v>
      </c>
      <c r="AM215">
        <v>2</v>
      </c>
      <c r="AN215" s="23">
        <v>0.05</v>
      </c>
      <c r="AO215" s="23">
        <v>0.206896551724138</v>
      </c>
      <c r="AP215" s="23">
        <v>0.0625</v>
      </c>
      <c r="AQ215" s="23">
        <v>0.5</v>
      </c>
      <c r="AR215" s="35">
        <v>0.285714285714286</v>
      </c>
      <c r="AS215" s="35">
        <v>17.1428571428571</v>
      </c>
      <c r="AT215" s="35">
        <v>-17.1428571428571</v>
      </c>
      <c r="AU215" s="31">
        <f t="shared" si="6"/>
        <v>0</v>
      </c>
      <c r="AV215" s="36">
        <f>IFERROR($A$2+AU215,"上周无销量")</f>
        <v>43276</v>
      </c>
    </row>
    <row r="216" spans="1:48">
      <c r="A216" s="21" t="s">
        <v>486</v>
      </c>
      <c r="B216" t="s">
        <v>487</v>
      </c>
      <c r="C216" t="s">
        <v>479</v>
      </c>
      <c r="D216" s="31">
        <v>0</v>
      </c>
      <c r="E216" s="31">
        <v>1</v>
      </c>
      <c r="F216" s="31">
        <v>0</v>
      </c>
      <c r="G216" s="31">
        <v>1</v>
      </c>
      <c r="H216" s="32">
        <v>17.9</v>
      </c>
      <c r="I216">
        <v>12</v>
      </c>
      <c r="J216" s="33">
        <v>0</v>
      </c>
      <c r="K216" s="33">
        <v>0</v>
      </c>
      <c r="L216" s="33">
        <v>0</v>
      </c>
      <c r="M216">
        <v>12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12</v>
      </c>
      <c r="AK216">
        <v>5</v>
      </c>
      <c r="AL216">
        <v>5</v>
      </c>
      <c r="AM216">
        <v>7</v>
      </c>
      <c r="AN216" s="23">
        <v>0</v>
      </c>
      <c r="AO216" s="23">
        <v>0.2</v>
      </c>
      <c r="AP216" s="23">
        <v>0</v>
      </c>
      <c r="AQ216" s="23">
        <v>0.142857142857143</v>
      </c>
      <c r="AR216" s="35">
        <v>0</v>
      </c>
      <c r="AS216" s="35">
        <v>0</v>
      </c>
      <c r="AT216" s="35">
        <v>12</v>
      </c>
      <c r="AU216" s="31" t="str">
        <f t="shared" si="6"/>
        <v>库存为12</v>
      </c>
      <c r="AV216" s="36" t="str">
        <f>IFERROR($A$2+AU216,"上周无销量")</f>
        <v>上周无销量</v>
      </c>
    </row>
    <row r="217" spans="1:48">
      <c r="A217" s="21" t="s">
        <v>488</v>
      </c>
      <c r="B217" t="s">
        <v>489</v>
      </c>
      <c r="C217" t="s">
        <v>479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21</v>
      </c>
      <c r="J217" s="33">
        <v>0</v>
      </c>
      <c r="K217" s="33">
        <v>0</v>
      </c>
      <c r="L217" s="33">
        <v>0</v>
      </c>
      <c r="M217">
        <v>21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6</v>
      </c>
      <c r="AK217">
        <v>2</v>
      </c>
      <c r="AL217">
        <v>2</v>
      </c>
      <c r="AM217">
        <v>6</v>
      </c>
      <c r="AN217" s="23">
        <v>0</v>
      </c>
      <c r="AO217" s="23">
        <v>0</v>
      </c>
      <c r="AP217" s="23">
        <v>0</v>
      </c>
      <c r="AQ217" s="23">
        <v>0</v>
      </c>
      <c r="AR217" s="35">
        <v>0</v>
      </c>
      <c r="AS217" s="35">
        <v>0</v>
      </c>
      <c r="AT217" s="35">
        <v>21</v>
      </c>
      <c r="AU217" s="31" t="str">
        <f t="shared" si="6"/>
        <v>库存为21</v>
      </c>
      <c r="AV217" s="36" t="str">
        <f>IFERROR($A$2+AU217,"上周无销量")</f>
        <v>上周无销量</v>
      </c>
    </row>
    <row r="218" spans="1:48">
      <c r="A218" s="21" t="s">
        <v>490</v>
      </c>
      <c r="B218" t="s">
        <v>491</v>
      </c>
      <c r="C218" t="s">
        <v>492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3</v>
      </c>
      <c r="J218" s="33">
        <v>0</v>
      </c>
      <c r="K218" s="33">
        <v>0</v>
      </c>
      <c r="L218" s="33">
        <v>0</v>
      </c>
      <c r="M218">
        <v>3</v>
      </c>
      <c r="N218">
        <v>0</v>
      </c>
      <c r="O218">
        <v>3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2</v>
      </c>
      <c r="AK218">
        <v>2</v>
      </c>
      <c r="AL218">
        <v>0</v>
      </c>
      <c r="AM218">
        <v>4</v>
      </c>
      <c r="AN218" s="23">
        <v>0</v>
      </c>
      <c r="AO218" s="23">
        <v>0</v>
      </c>
      <c r="AP218" s="23" t="s">
        <v>54</v>
      </c>
      <c r="AQ218" s="23">
        <v>0</v>
      </c>
      <c r="AR218" s="35">
        <v>0</v>
      </c>
      <c r="AS218" s="35">
        <v>0</v>
      </c>
      <c r="AT218" s="35">
        <v>3</v>
      </c>
      <c r="AU218" s="31" t="str">
        <f t="shared" si="6"/>
        <v>库存为3</v>
      </c>
      <c r="AV218" s="36" t="str">
        <f>IFERROR($A$2+AU218,"上周无销量")</f>
        <v>上周无销量</v>
      </c>
    </row>
    <row r="219" spans="1:48">
      <c r="A219" s="21" t="s">
        <v>493</v>
      </c>
      <c r="B219" t="s">
        <v>494</v>
      </c>
      <c r="C219" t="s">
        <v>492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4</v>
      </c>
      <c r="J219" s="33">
        <v>0</v>
      </c>
      <c r="K219" s="33">
        <v>0</v>
      </c>
      <c r="L219" s="33">
        <v>0</v>
      </c>
      <c r="M219">
        <v>4</v>
      </c>
      <c r="N219">
        <v>0</v>
      </c>
      <c r="O219">
        <v>4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1</v>
      </c>
      <c r="AK219">
        <v>2</v>
      </c>
      <c r="AL219">
        <v>3</v>
      </c>
      <c r="AM219">
        <v>2</v>
      </c>
      <c r="AN219" s="23">
        <v>0</v>
      </c>
      <c r="AO219" s="23">
        <v>0</v>
      </c>
      <c r="AP219" s="23">
        <v>0</v>
      </c>
      <c r="AQ219" s="23">
        <v>0</v>
      </c>
      <c r="AR219" s="35">
        <v>0</v>
      </c>
      <c r="AS219" s="35">
        <v>0</v>
      </c>
      <c r="AT219" s="35">
        <v>4</v>
      </c>
      <c r="AU219" s="31" t="str">
        <f t="shared" si="6"/>
        <v>库存为4</v>
      </c>
      <c r="AV219" s="36" t="str">
        <f>IFERROR($A$2+AU219,"上周无销量")</f>
        <v>上周无销量</v>
      </c>
    </row>
    <row r="220" spans="1:48">
      <c r="A220" s="21" t="s">
        <v>495</v>
      </c>
      <c r="B220" t="s">
        <v>496</v>
      </c>
      <c r="C220" t="s">
        <v>492</v>
      </c>
      <c r="D220" s="31">
        <v>0</v>
      </c>
      <c r="E220" s="31">
        <v>1</v>
      </c>
      <c r="F220" s="31">
        <v>1</v>
      </c>
      <c r="G220" s="31">
        <v>1</v>
      </c>
      <c r="H220" s="32">
        <v>12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2</v>
      </c>
      <c r="AN220" s="23" t="s">
        <v>54</v>
      </c>
      <c r="AO220" s="23" t="s">
        <v>54</v>
      </c>
      <c r="AP220" s="23" t="s">
        <v>54</v>
      </c>
      <c r="AQ220" s="23">
        <v>0.5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IFERROR($A$2+AU220,"上周无销量")</f>
        <v>上周无销量</v>
      </c>
    </row>
    <row r="221" spans="1:48">
      <c r="A221" s="21" t="s">
        <v>497</v>
      </c>
      <c r="B221" t="s">
        <v>498</v>
      </c>
      <c r="C221" t="s">
        <v>492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4</v>
      </c>
      <c r="J221" s="33">
        <v>0</v>
      </c>
      <c r="K221" s="33">
        <v>0</v>
      </c>
      <c r="L221" s="33">
        <v>0</v>
      </c>
      <c r="M221">
        <v>4</v>
      </c>
      <c r="N221">
        <v>0</v>
      </c>
      <c r="O221">
        <v>4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1</v>
      </c>
      <c r="AK221">
        <v>3</v>
      </c>
      <c r="AL221">
        <v>1</v>
      </c>
      <c r="AM221">
        <v>4</v>
      </c>
      <c r="AN221" s="23">
        <v>0</v>
      </c>
      <c r="AO221" s="23">
        <v>0</v>
      </c>
      <c r="AP221" s="23">
        <v>0</v>
      </c>
      <c r="AQ221" s="23">
        <v>0</v>
      </c>
      <c r="AR221" s="35">
        <v>0</v>
      </c>
      <c r="AS221" s="35">
        <v>0</v>
      </c>
      <c r="AT221" s="35">
        <v>4</v>
      </c>
      <c r="AU221" s="31" t="str">
        <f t="shared" si="6"/>
        <v>库存为4</v>
      </c>
      <c r="AV221" s="36" t="str">
        <f>IFERROR($A$2+AU221,"上周无销量")</f>
        <v>上周无销量</v>
      </c>
    </row>
    <row r="222" spans="1:48">
      <c r="A222" s="21" t="s">
        <v>499</v>
      </c>
      <c r="B222" t="s">
        <v>500</v>
      </c>
      <c r="C222" t="s">
        <v>492</v>
      </c>
      <c r="D222" s="31">
        <v>0</v>
      </c>
      <c r="E222" s="31">
        <v>0</v>
      </c>
      <c r="F222" s="31">
        <v>0</v>
      </c>
      <c r="G222" s="31">
        <v>1</v>
      </c>
      <c r="H222" s="32">
        <v>12</v>
      </c>
      <c r="I222">
        <v>4</v>
      </c>
      <c r="J222" s="33">
        <v>0</v>
      </c>
      <c r="K222" s="33">
        <v>0</v>
      </c>
      <c r="L222" s="33">
        <v>0</v>
      </c>
      <c r="M222">
        <v>4</v>
      </c>
      <c r="N222">
        <v>1</v>
      </c>
      <c r="O222">
        <v>4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3</v>
      </c>
      <c r="AK222">
        <v>7</v>
      </c>
      <c r="AL222">
        <v>1</v>
      </c>
      <c r="AM222">
        <v>2</v>
      </c>
      <c r="AN222" s="23">
        <v>0</v>
      </c>
      <c r="AO222" s="23">
        <v>0</v>
      </c>
      <c r="AP222" s="23">
        <v>0</v>
      </c>
      <c r="AQ222" s="23">
        <v>0.5</v>
      </c>
      <c r="AR222" s="35">
        <v>0</v>
      </c>
      <c r="AS222" s="35">
        <v>0</v>
      </c>
      <c r="AT222" s="35">
        <v>4</v>
      </c>
      <c r="AU222" s="31" t="str">
        <f t="shared" si="6"/>
        <v>库存为4</v>
      </c>
      <c r="AV222" s="36" t="str">
        <f>IFERROR($A$2+AU222,"上周无销量")</f>
        <v>上周无销量</v>
      </c>
    </row>
    <row r="223" spans="1:48">
      <c r="A223" s="21" t="s">
        <v>501</v>
      </c>
      <c r="B223" t="s">
        <v>502</v>
      </c>
      <c r="C223" t="s">
        <v>492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5</v>
      </c>
      <c r="J223" s="33">
        <v>0</v>
      </c>
      <c r="K223" s="33">
        <v>0</v>
      </c>
      <c r="L223" s="33">
        <v>0</v>
      </c>
      <c r="M223">
        <v>5</v>
      </c>
      <c r="N223">
        <v>0</v>
      </c>
      <c r="O223">
        <v>5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2</v>
      </c>
      <c r="AK223">
        <v>3</v>
      </c>
      <c r="AL223">
        <v>1</v>
      </c>
      <c r="AM223">
        <v>1</v>
      </c>
      <c r="AN223" s="23">
        <v>0</v>
      </c>
      <c r="AO223" s="23">
        <v>0</v>
      </c>
      <c r="AP223" s="23">
        <v>0</v>
      </c>
      <c r="AQ223" s="23">
        <v>0</v>
      </c>
      <c r="AR223" s="35">
        <v>0</v>
      </c>
      <c r="AS223" s="35">
        <v>0</v>
      </c>
      <c r="AT223" s="35">
        <v>5</v>
      </c>
      <c r="AU223" s="31" t="str">
        <f t="shared" si="6"/>
        <v>库存为5</v>
      </c>
      <c r="AV223" s="36" t="str">
        <f>IFERROR($A$2+AU223,"上周无销量")</f>
        <v>上周无销量</v>
      </c>
    </row>
    <row r="224" spans="1:48">
      <c r="A224" s="21" t="s">
        <v>503</v>
      </c>
      <c r="B224" t="s">
        <v>504</v>
      </c>
      <c r="C224" t="s">
        <v>492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4</v>
      </c>
      <c r="J224" s="33">
        <v>0</v>
      </c>
      <c r="K224" s="33">
        <v>0</v>
      </c>
      <c r="L224" s="33">
        <v>0</v>
      </c>
      <c r="M224">
        <v>4</v>
      </c>
      <c r="N224">
        <v>0</v>
      </c>
      <c r="O224">
        <v>3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1</v>
      </c>
      <c r="AK224">
        <v>2</v>
      </c>
      <c r="AL224">
        <v>0</v>
      </c>
      <c r="AM224">
        <v>3</v>
      </c>
      <c r="AN224" s="23">
        <v>0</v>
      </c>
      <c r="AO224" s="23">
        <v>0</v>
      </c>
      <c r="AP224" s="23" t="s">
        <v>54</v>
      </c>
      <c r="AQ224" s="23">
        <v>0</v>
      </c>
      <c r="AR224" s="35">
        <v>0</v>
      </c>
      <c r="AS224" s="35">
        <v>0</v>
      </c>
      <c r="AT224" s="35">
        <v>4</v>
      </c>
      <c r="AU224" s="31" t="str">
        <f t="shared" si="6"/>
        <v>库存为4</v>
      </c>
      <c r="AV224" s="36" t="str">
        <f>IFERROR($A$2+AU224,"上周无销量")</f>
        <v>上周无销量</v>
      </c>
    </row>
    <row r="225" spans="1:48">
      <c r="A225" s="21" t="s">
        <v>505</v>
      </c>
      <c r="B225" t="s">
        <v>506</v>
      </c>
      <c r="C225" t="s">
        <v>492</v>
      </c>
      <c r="D225" s="31">
        <v>0</v>
      </c>
      <c r="E225" s="31">
        <v>0</v>
      </c>
      <c r="F225" s="31">
        <v>1</v>
      </c>
      <c r="G225" s="31">
        <v>0</v>
      </c>
      <c r="H225" s="32">
        <v>12</v>
      </c>
      <c r="I225">
        <v>4</v>
      </c>
      <c r="J225" s="33">
        <v>0</v>
      </c>
      <c r="K225" s="33">
        <v>0</v>
      </c>
      <c r="L225" s="33">
        <v>0</v>
      </c>
      <c r="M225">
        <v>4</v>
      </c>
      <c r="N225">
        <v>0</v>
      </c>
      <c r="O225">
        <v>4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2</v>
      </c>
      <c r="AK225">
        <v>2</v>
      </c>
      <c r="AL225">
        <v>0</v>
      </c>
      <c r="AM225">
        <v>1</v>
      </c>
      <c r="AN225" s="23">
        <v>0</v>
      </c>
      <c r="AO225" s="23">
        <v>0</v>
      </c>
      <c r="AP225" s="23" t="s">
        <v>54</v>
      </c>
      <c r="AQ225" s="23">
        <v>0</v>
      </c>
      <c r="AR225" s="35">
        <v>0</v>
      </c>
      <c r="AS225" s="35">
        <v>0</v>
      </c>
      <c r="AT225" s="35">
        <v>4</v>
      </c>
      <c r="AU225" s="31" t="str">
        <f t="shared" si="6"/>
        <v>库存为4</v>
      </c>
      <c r="AV225" s="36" t="str">
        <f>IFERROR($A$2+AU225,"上周无销量")</f>
        <v>上周无销量</v>
      </c>
    </row>
    <row r="226" spans="1:48">
      <c r="A226" s="21" t="s">
        <v>507</v>
      </c>
      <c r="B226" t="s">
        <v>508</v>
      </c>
      <c r="C226" t="s">
        <v>492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5</v>
      </c>
      <c r="J226" s="33">
        <v>0</v>
      </c>
      <c r="K226" s="33">
        <v>0</v>
      </c>
      <c r="L226" s="33">
        <v>0</v>
      </c>
      <c r="M226">
        <v>5</v>
      </c>
      <c r="N226">
        <v>0</v>
      </c>
      <c r="O226">
        <v>5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2</v>
      </c>
      <c r="AK226">
        <v>5</v>
      </c>
      <c r="AL226">
        <v>2</v>
      </c>
      <c r="AM226">
        <v>1</v>
      </c>
      <c r="AN226" s="23">
        <v>0</v>
      </c>
      <c r="AO226" s="23">
        <v>0</v>
      </c>
      <c r="AP226" s="23">
        <v>0</v>
      </c>
      <c r="AQ226" s="23">
        <v>0</v>
      </c>
      <c r="AR226" s="35">
        <v>0</v>
      </c>
      <c r="AS226" s="35">
        <v>0</v>
      </c>
      <c r="AT226" s="35">
        <v>5</v>
      </c>
      <c r="AU226" s="31" t="str">
        <f t="shared" si="6"/>
        <v>库存为5</v>
      </c>
      <c r="AV226" s="36" t="str">
        <f>IFERROR($A$2+AU226,"上周无销量")</f>
        <v>上周无销量</v>
      </c>
    </row>
    <row r="227" spans="1:48">
      <c r="A227" s="21" t="s">
        <v>509</v>
      </c>
      <c r="B227" t="s">
        <v>510</v>
      </c>
      <c r="C227" t="s">
        <v>492</v>
      </c>
      <c r="D227" s="31">
        <v>0</v>
      </c>
      <c r="E227" s="31">
        <v>0</v>
      </c>
      <c r="F227" s="31">
        <v>1</v>
      </c>
      <c r="G227" s="31">
        <v>0</v>
      </c>
      <c r="H227" s="32">
        <v>12</v>
      </c>
      <c r="I227">
        <v>4</v>
      </c>
      <c r="J227" s="33">
        <v>0</v>
      </c>
      <c r="K227" s="33">
        <v>0</v>
      </c>
      <c r="L227" s="33">
        <v>0</v>
      </c>
      <c r="M227">
        <v>4</v>
      </c>
      <c r="N227">
        <v>0</v>
      </c>
      <c r="O227">
        <v>3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1</v>
      </c>
      <c r="AK227">
        <v>4</v>
      </c>
      <c r="AL227">
        <v>0</v>
      </c>
      <c r="AM227">
        <v>3</v>
      </c>
      <c r="AN227" s="23">
        <v>0</v>
      </c>
      <c r="AO227" s="23">
        <v>0</v>
      </c>
      <c r="AP227" s="23" t="s">
        <v>54</v>
      </c>
      <c r="AQ227" s="23">
        <v>0</v>
      </c>
      <c r="AR227" s="35">
        <v>0</v>
      </c>
      <c r="AS227" s="35">
        <v>0</v>
      </c>
      <c r="AT227" s="35">
        <v>4</v>
      </c>
      <c r="AU227" s="31" t="str">
        <f t="shared" si="6"/>
        <v>库存为4</v>
      </c>
      <c r="AV227" s="36" t="str">
        <f>IFERROR($A$2+AU227,"上周无销量")</f>
        <v>上周无销量</v>
      </c>
    </row>
    <row r="228" spans="1:48">
      <c r="A228" s="21" t="s">
        <v>511</v>
      </c>
      <c r="B228" t="s">
        <v>512</v>
      </c>
      <c r="C228" t="s">
        <v>492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5</v>
      </c>
      <c r="J228" s="33">
        <v>0</v>
      </c>
      <c r="K228" s="33">
        <v>0</v>
      </c>
      <c r="L228" s="33">
        <v>0</v>
      </c>
      <c r="M228">
        <v>5</v>
      </c>
      <c r="N228">
        <v>0</v>
      </c>
      <c r="O228">
        <v>5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2</v>
      </c>
      <c r="AK228">
        <v>0</v>
      </c>
      <c r="AL228">
        <v>1</v>
      </c>
      <c r="AM228">
        <v>2</v>
      </c>
      <c r="AN228" s="23">
        <v>0</v>
      </c>
      <c r="AO228" s="23" t="s">
        <v>54</v>
      </c>
      <c r="AP228" s="23">
        <v>0</v>
      </c>
      <c r="AQ228" s="23">
        <v>0</v>
      </c>
      <c r="AR228" s="35">
        <v>0</v>
      </c>
      <c r="AS228" s="35">
        <v>0</v>
      </c>
      <c r="AT228" s="35">
        <v>5</v>
      </c>
      <c r="AU228" s="31" t="str">
        <f t="shared" si="6"/>
        <v>库存为5</v>
      </c>
      <c r="AV228" s="36" t="str">
        <f>IFERROR($A$2+AU228,"上周无销量")</f>
        <v>上周无销量</v>
      </c>
    </row>
    <row r="229" spans="1:48">
      <c r="A229" s="21" t="s">
        <v>513</v>
      </c>
      <c r="B229" t="s">
        <v>514</v>
      </c>
      <c r="C229" t="s">
        <v>492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3</v>
      </c>
      <c r="J229" s="33">
        <v>0</v>
      </c>
      <c r="K229" s="33">
        <v>0</v>
      </c>
      <c r="L229" s="33">
        <v>0</v>
      </c>
      <c r="M229">
        <v>3</v>
      </c>
      <c r="N229">
        <v>0</v>
      </c>
      <c r="O229">
        <v>2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2</v>
      </c>
      <c r="AK229">
        <v>3</v>
      </c>
      <c r="AL229">
        <v>0</v>
      </c>
      <c r="AM229">
        <v>2</v>
      </c>
      <c r="AN229" s="23">
        <v>0</v>
      </c>
      <c r="AO229" s="23">
        <v>0</v>
      </c>
      <c r="AP229" s="23" t="s">
        <v>54</v>
      </c>
      <c r="AQ229" s="23">
        <v>0</v>
      </c>
      <c r="AR229" s="35">
        <v>0</v>
      </c>
      <c r="AS229" s="35">
        <v>0</v>
      </c>
      <c r="AT229" s="35">
        <v>3</v>
      </c>
      <c r="AU229" s="31" t="str">
        <f t="shared" si="6"/>
        <v>库存为3</v>
      </c>
      <c r="AV229" s="36" t="str">
        <f>IFERROR($A$2+AU229,"上周无销量")</f>
        <v>上周无销量</v>
      </c>
    </row>
    <row r="230" spans="1:48">
      <c r="A230" s="21" t="s">
        <v>515</v>
      </c>
      <c r="B230" t="s">
        <v>516</v>
      </c>
      <c r="C230" t="s">
        <v>492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5</v>
      </c>
      <c r="J230" s="33">
        <v>0</v>
      </c>
      <c r="K230" s="33">
        <v>0</v>
      </c>
      <c r="L230" s="33">
        <v>0</v>
      </c>
      <c r="M230">
        <v>5</v>
      </c>
      <c r="N230">
        <v>0</v>
      </c>
      <c r="O230">
        <v>5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2</v>
      </c>
      <c r="AK230">
        <v>3</v>
      </c>
      <c r="AL230">
        <v>0</v>
      </c>
      <c r="AM230">
        <v>2</v>
      </c>
      <c r="AN230" s="23">
        <v>0</v>
      </c>
      <c r="AO230" s="23">
        <v>0</v>
      </c>
      <c r="AP230" s="23" t="s">
        <v>54</v>
      </c>
      <c r="AQ230" s="23">
        <v>0</v>
      </c>
      <c r="AR230" s="35">
        <v>0</v>
      </c>
      <c r="AS230" s="35">
        <v>0</v>
      </c>
      <c r="AT230" s="35">
        <v>5</v>
      </c>
      <c r="AU230" s="31" t="str">
        <f t="shared" si="6"/>
        <v>库存为5</v>
      </c>
      <c r="AV230" s="36" t="str">
        <f>IFERROR($A$2+AU230,"上周无销量")</f>
        <v>上周无销量</v>
      </c>
    </row>
    <row r="231" spans="1:48">
      <c r="A231" s="21" t="s">
        <v>517</v>
      </c>
      <c r="B231" t="s">
        <v>518</v>
      </c>
      <c r="C231" t="s">
        <v>492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5</v>
      </c>
      <c r="J231" s="33">
        <v>0</v>
      </c>
      <c r="K231" s="33">
        <v>0</v>
      </c>
      <c r="L231" s="33">
        <v>0</v>
      </c>
      <c r="M231">
        <v>5</v>
      </c>
      <c r="N231">
        <v>0</v>
      </c>
      <c r="O231">
        <v>5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1</v>
      </c>
      <c r="AK231">
        <v>2</v>
      </c>
      <c r="AL231">
        <v>1</v>
      </c>
      <c r="AM231">
        <v>2</v>
      </c>
      <c r="AN231" s="23">
        <v>0</v>
      </c>
      <c r="AO231" s="23">
        <v>0</v>
      </c>
      <c r="AP231" s="23">
        <v>0</v>
      </c>
      <c r="AQ231" s="23">
        <v>0</v>
      </c>
      <c r="AR231" s="35">
        <v>0</v>
      </c>
      <c r="AS231" s="35">
        <v>0</v>
      </c>
      <c r="AT231" s="35">
        <v>5</v>
      </c>
      <c r="AU231" s="31" t="str">
        <f t="shared" si="6"/>
        <v>库存为5</v>
      </c>
      <c r="AV231" s="36" t="str">
        <f>IFERROR($A$2+AU231,"上周无销量")</f>
        <v>上周无销量</v>
      </c>
    </row>
    <row r="232" spans="1:48">
      <c r="A232" s="21" t="s">
        <v>519</v>
      </c>
      <c r="B232" t="s">
        <v>520</v>
      </c>
      <c r="C232" t="s">
        <v>492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3</v>
      </c>
      <c r="J232" s="33">
        <v>0</v>
      </c>
      <c r="K232" s="33">
        <v>0</v>
      </c>
      <c r="L232" s="33">
        <v>0</v>
      </c>
      <c r="M232">
        <v>3</v>
      </c>
      <c r="N232">
        <v>0</v>
      </c>
      <c r="O232">
        <v>3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2</v>
      </c>
      <c r="AK232">
        <v>2</v>
      </c>
      <c r="AL232">
        <v>0</v>
      </c>
      <c r="AM232">
        <v>3</v>
      </c>
      <c r="AN232" s="23">
        <v>0</v>
      </c>
      <c r="AO232" s="23">
        <v>0</v>
      </c>
      <c r="AP232" s="23" t="s">
        <v>54</v>
      </c>
      <c r="AQ232" s="23">
        <v>0</v>
      </c>
      <c r="AR232" s="35">
        <v>0</v>
      </c>
      <c r="AS232" s="35">
        <v>0</v>
      </c>
      <c r="AT232" s="35">
        <v>3</v>
      </c>
      <c r="AU232" s="31" t="str">
        <f t="shared" si="6"/>
        <v>库存为3</v>
      </c>
      <c r="AV232" s="36" t="str">
        <f>IFERROR($A$2+AU232,"上周无销量")</f>
        <v>上周无销量</v>
      </c>
    </row>
    <row r="233" spans="1:48">
      <c r="A233" s="21" t="s">
        <v>521</v>
      </c>
      <c r="B233" t="s">
        <v>522</v>
      </c>
      <c r="C233" t="s">
        <v>492</v>
      </c>
      <c r="D233" s="31">
        <v>0</v>
      </c>
      <c r="E233" s="31">
        <v>0</v>
      </c>
      <c r="F233" s="31">
        <v>0</v>
      </c>
      <c r="G233" s="31">
        <v>1</v>
      </c>
      <c r="H233" s="32">
        <v>12</v>
      </c>
      <c r="I233">
        <v>3</v>
      </c>
      <c r="J233" s="33">
        <v>0</v>
      </c>
      <c r="K233" s="33">
        <v>0</v>
      </c>
      <c r="L233" s="33">
        <v>0</v>
      </c>
      <c r="M233">
        <v>3</v>
      </c>
      <c r="N233">
        <v>0</v>
      </c>
      <c r="O233">
        <v>3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1</v>
      </c>
      <c r="AK233">
        <v>2</v>
      </c>
      <c r="AL233">
        <v>0</v>
      </c>
      <c r="AM233">
        <v>3</v>
      </c>
      <c r="AN233" s="23">
        <v>0</v>
      </c>
      <c r="AO233" s="23">
        <v>0</v>
      </c>
      <c r="AP233" s="23" t="s">
        <v>54</v>
      </c>
      <c r="AQ233" s="23">
        <v>0.333333333333333</v>
      </c>
      <c r="AR233" s="35">
        <v>0</v>
      </c>
      <c r="AS233" s="35">
        <v>0</v>
      </c>
      <c r="AT233" s="35">
        <v>3</v>
      </c>
      <c r="AU233" s="31" t="str">
        <f t="shared" si="6"/>
        <v>库存为3</v>
      </c>
      <c r="AV233" s="36" t="str">
        <f>IFERROR($A$2+AU233,"上周无销量")</f>
        <v>上周无销量</v>
      </c>
    </row>
    <row r="234" spans="1:48">
      <c r="A234" s="21" t="s">
        <v>523</v>
      </c>
      <c r="B234" t="s">
        <v>524</v>
      </c>
      <c r="C234" t="s">
        <v>492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5</v>
      </c>
      <c r="J234" s="33">
        <v>0</v>
      </c>
      <c r="K234" s="33">
        <v>0</v>
      </c>
      <c r="L234" s="33">
        <v>0</v>
      </c>
      <c r="M234">
        <v>5</v>
      </c>
      <c r="N234">
        <v>0</v>
      </c>
      <c r="O234">
        <v>5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2</v>
      </c>
      <c r="AK234">
        <v>4</v>
      </c>
      <c r="AL234">
        <v>1</v>
      </c>
      <c r="AM234">
        <v>3</v>
      </c>
      <c r="AN234" s="23">
        <v>0</v>
      </c>
      <c r="AO234" s="23">
        <v>0</v>
      </c>
      <c r="AP234" s="23">
        <v>0</v>
      </c>
      <c r="AQ234" s="23">
        <v>0</v>
      </c>
      <c r="AR234" s="35">
        <v>0</v>
      </c>
      <c r="AS234" s="35">
        <v>0</v>
      </c>
      <c r="AT234" s="35">
        <v>5</v>
      </c>
      <c r="AU234" s="31" t="str">
        <f t="shared" si="6"/>
        <v>库存为5</v>
      </c>
      <c r="AV234" s="36" t="str">
        <f>IFERROR($A$2+AU234,"上周无销量")</f>
        <v>上周无销量</v>
      </c>
    </row>
    <row r="235" spans="1:48">
      <c r="A235" s="21" t="s">
        <v>525</v>
      </c>
      <c r="B235" t="s">
        <v>526</v>
      </c>
      <c r="C235" t="s">
        <v>492</v>
      </c>
      <c r="D235" s="31">
        <v>1</v>
      </c>
      <c r="E235" s="31">
        <v>0</v>
      </c>
      <c r="F235" s="31">
        <v>0</v>
      </c>
      <c r="G235" s="31">
        <v>1</v>
      </c>
      <c r="H235" s="32">
        <v>12</v>
      </c>
      <c r="I235">
        <v>1</v>
      </c>
      <c r="J235" s="33">
        <v>0</v>
      </c>
      <c r="K235" s="33">
        <v>0</v>
      </c>
      <c r="L235" s="33">
        <v>0</v>
      </c>
      <c r="M235">
        <v>1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2</v>
      </c>
      <c r="AK235">
        <v>2</v>
      </c>
      <c r="AL235">
        <v>0</v>
      </c>
      <c r="AM235">
        <v>4</v>
      </c>
      <c r="AN235" s="23">
        <v>0.5</v>
      </c>
      <c r="AO235" s="23">
        <v>0</v>
      </c>
      <c r="AP235" s="23" t="s">
        <v>54</v>
      </c>
      <c r="AQ235" s="23">
        <v>0.25</v>
      </c>
      <c r="AR235" s="35">
        <v>0.142857142857143</v>
      </c>
      <c r="AS235" s="35">
        <v>8.57142857142857</v>
      </c>
      <c r="AT235" s="35">
        <v>-7.57142857142857</v>
      </c>
      <c r="AU235" s="31">
        <f t="shared" si="6"/>
        <v>7</v>
      </c>
      <c r="AV235" s="36">
        <f>IFERROR($A$2+AU235,"上周无销量")</f>
        <v>43283</v>
      </c>
    </row>
    <row r="236" spans="1:48">
      <c r="A236" s="21" t="s">
        <v>527</v>
      </c>
      <c r="B236" t="s">
        <v>528</v>
      </c>
      <c r="C236" t="s">
        <v>492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5</v>
      </c>
      <c r="J236" s="33">
        <v>0</v>
      </c>
      <c r="K236" s="33">
        <v>0</v>
      </c>
      <c r="L236" s="33">
        <v>0</v>
      </c>
      <c r="M236">
        <v>5</v>
      </c>
      <c r="N236">
        <v>0</v>
      </c>
      <c r="O236">
        <v>5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2</v>
      </c>
      <c r="AK236">
        <v>0</v>
      </c>
      <c r="AL236">
        <v>0</v>
      </c>
      <c r="AM236">
        <v>1</v>
      </c>
      <c r="AN236" s="23">
        <v>0</v>
      </c>
      <c r="AO236" s="23" t="s">
        <v>54</v>
      </c>
      <c r="AP236" s="23" t="s">
        <v>54</v>
      </c>
      <c r="AQ236" s="23">
        <v>0</v>
      </c>
      <c r="AR236" s="35">
        <v>0</v>
      </c>
      <c r="AS236" s="35">
        <v>0</v>
      </c>
      <c r="AT236" s="35">
        <v>5</v>
      </c>
      <c r="AU236" s="31" t="str">
        <f t="shared" si="6"/>
        <v>库存为5</v>
      </c>
      <c r="AV236" s="36" t="str">
        <f>IFERROR($A$2+AU236,"上周无销量")</f>
        <v>上周无销量</v>
      </c>
    </row>
    <row r="237" spans="1:48">
      <c r="A237" s="21" t="s">
        <v>529</v>
      </c>
      <c r="B237" t="s">
        <v>530</v>
      </c>
      <c r="C237" t="s">
        <v>492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4</v>
      </c>
      <c r="J237" s="33">
        <v>0</v>
      </c>
      <c r="K237" s="33">
        <v>0</v>
      </c>
      <c r="L237" s="33">
        <v>0</v>
      </c>
      <c r="M237">
        <v>4</v>
      </c>
      <c r="N237">
        <v>0</v>
      </c>
      <c r="O237">
        <v>4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5</v>
      </c>
      <c r="AK237">
        <v>2</v>
      </c>
      <c r="AL237">
        <v>0</v>
      </c>
      <c r="AM237">
        <v>2</v>
      </c>
      <c r="AN237" s="23">
        <v>0</v>
      </c>
      <c r="AO237" s="23">
        <v>0</v>
      </c>
      <c r="AP237" s="23" t="s">
        <v>54</v>
      </c>
      <c r="AQ237" s="23">
        <v>0</v>
      </c>
      <c r="AR237" s="35">
        <v>0</v>
      </c>
      <c r="AS237" s="35">
        <v>0</v>
      </c>
      <c r="AT237" s="35">
        <v>4</v>
      </c>
      <c r="AU237" s="31" t="str">
        <f t="shared" si="6"/>
        <v>库存为4</v>
      </c>
      <c r="AV237" s="36" t="str">
        <f>IFERROR($A$2+AU237,"上周无销量")</f>
        <v>上周无销量</v>
      </c>
    </row>
    <row r="238" spans="1:48">
      <c r="A238" s="21" t="s">
        <v>531</v>
      </c>
      <c r="B238" t="s">
        <v>532</v>
      </c>
      <c r="C238" t="s">
        <v>492</v>
      </c>
      <c r="D238" s="31">
        <v>1</v>
      </c>
      <c r="E238" s="31">
        <v>0</v>
      </c>
      <c r="F238" s="31">
        <v>0</v>
      </c>
      <c r="G238" s="31">
        <v>0</v>
      </c>
      <c r="H238" s="32">
        <v>12</v>
      </c>
      <c r="I238">
        <v>2</v>
      </c>
      <c r="J238" s="33">
        <v>0</v>
      </c>
      <c r="K238" s="33">
        <v>0</v>
      </c>
      <c r="L238" s="33">
        <v>0</v>
      </c>
      <c r="M238">
        <v>2</v>
      </c>
      <c r="N238">
        <v>0</v>
      </c>
      <c r="O238">
        <v>1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2</v>
      </c>
      <c r="AK238">
        <v>2</v>
      </c>
      <c r="AL238">
        <v>1</v>
      </c>
      <c r="AM238">
        <v>3</v>
      </c>
      <c r="AN238" s="23">
        <v>0.5</v>
      </c>
      <c r="AO238" s="23">
        <v>0</v>
      </c>
      <c r="AP238" s="23">
        <v>0</v>
      </c>
      <c r="AQ238" s="23">
        <v>0</v>
      </c>
      <c r="AR238" s="35">
        <v>0.142857142857143</v>
      </c>
      <c r="AS238" s="35">
        <v>8.57142857142857</v>
      </c>
      <c r="AT238" s="35">
        <v>-6.57142857142857</v>
      </c>
      <c r="AU238" s="31">
        <f t="shared" si="6"/>
        <v>14</v>
      </c>
      <c r="AV238" s="36">
        <f>IFERROR($A$2+AU238,"上周无销量")</f>
        <v>43290</v>
      </c>
    </row>
    <row r="239" spans="1:48">
      <c r="A239" s="21" t="s">
        <v>533</v>
      </c>
      <c r="B239" t="s">
        <v>534</v>
      </c>
      <c r="C239" t="s">
        <v>492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4</v>
      </c>
      <c r="J239" s="33">
        <v>0</v>
      </c>
      <c r="K239" s="33">
        <v>0</v>
      </c>
      <c r="L239" s="33">
        <v>0</v>
      </c>
      <c r="M239">
        <v>4</v>
      </c>
      <c r="N239">
        <v>0</v>
      </c>
      <c r="O239">
        <v>3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3</v>
      </c>
      <c r="AK239">
        <v>5</v>
      </c>
      <c r="AL239">
        <v>1</v>
      </c>
      <c r="AM239">
        <v>3</v>
      </c>
      <c r="AN239" s="23">
        <v>0</v>
      </c>
      <c r="AO239" s="23">
        <v>0</v>
      </c>
      <c r="AP239" s="23">
        <v>0</v>
      </c>
      <c r="AQ239" s="23">
        <v>0</v>
      </c>
      <c r="AR239" s="35">
        <v>0</v>
      </c>
      <c r="AS239" s="35">
        <v>0</v>
      </c>
      <c r="AT239" s="35">
        <v>4</v>
      </c>
      <c r="AU239" s="31" t="str">
        <f t="shared" si="6"/>
        <v>库存为4</v>
      </c>
      <c r="AV239" s="36" t="str">
        <f>IFERROR($A$2+AU239,"上周无销量")</f>
        <v>上周无销量</v>
      </c>
    </row>
    <row r="240" spans="1:48">
      <c r="A240" s="21" t="s">
        <v>535</v>
      </c>
      <c r="B240" t="s">
        <v>536</v>
      </c>
      <c r="C240" t="s">
        <v>492</v>
      </c>
      <c r="D240" s="31">
        <v>0</v>
      </c>
      <c r="E240" s="31">
        <v>0</v>
      </c>
      <c r="F240" s="31">
        <v>1</v>
      </c>
      <c r="G240" s="31">
        <v>0</v>
      </c>
      <c r="H240" s="32">
        <v>12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1</v>
      </c>
      <c r="AM240">
        <v>1</v>
      </c>
      <c r="AN240" s="23" t="s">
        <v>54</v>
      </c>
      <c r="AO240" s="23" t="s">
        <v>54</v>
      </c>
      <c r="AP240" s="23">
        <v>1</v>
      </c>
      <c r="AQ240" s="23">
        <v>0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IFERROR($A$2+AU240,"上周无销量")</f>
        <v>上周无销量</v>
      </c>
    </row>
    <row r="241" spans="1:48">
      <c r="A241" s="21" t="s">
        <v>537</v>
      </c>
      <c r="B241" t="s">
        <v>538</v>
      </c>
      <c r="C241" t="s">
        <v>492</v>
      </c>
      <c r="D241" s="31">
        <v>0</v>
      </c>
      <c r="E241" s="31">
        <v>0</v>
      </c>
      <c r="F241" s="31">
        <v>1</v>
      </c>
      <c r="G241" s="31">
        <v>0</v>
      </c>
      <c r="H241" s="32">
        <v>12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2</v>
      </c>
      <c r="AM241">
        <v>2</v>
      </c>
      <c r="AN241" s="23" t="s">
        <v>54</v>
      </c>
      <c r="AO241" s="23" t="s">
        <v>54</v>
      </c>
      <c r="AP241" s="23">
        <v>0.5</v>
      </c>
      <c r="AQ241" s="23">
        <v>0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IFERROR($A$2+AU241,"上周无销量")</f>
        <v>上周无销量</v>
      </c>
    </row>
    <row r="242" spans="1:48">
      <c r="A242" s="21" t="s">
        <v>539</v>
      </c>
      <c r="B242" t="s">
        <v>540</v>
      </c>
      <c r="C242" t="s">
        <v>492</v>
      </c>
      <c r="D242" s="31">
        <v>1</v>
      </c>
      <c r="E242" s="31">
        <v>0</v>
      </c>
      <c r="F242" s="31">
        <v>1</v>
      </c>
      <c r="G242" s="31">
        <v>1</v>
      </c>
      <c r="H242" s="32">
        <v>12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5</v>
      </c>
      <c r="AL242">
        <v>1</v>
      </c>
      <c r="AM242">
        <v>3</v>
      </c>
      <c r="AN242" s="23" t="s">
        <v>54</v>
      </c>
      <c r="AO242" s="23">
        <v>0</v>
      </c>
      <c r="AP242" s="23">
        <v>1</v>
      </c>
      <c r="AQ242" s="23">
        <v>0.333333333333333</v>
      </c>
      <c r="AR242" s="35">
        <v>0.142857142857143</v>
      </c>
      <c r="AS242" s="35">
        <v>8.57142857142857</v>
      </c>
      <c r="AT242" s="35">
        <v>-8.57142857142857</v>
      </c>
      <c r="AU242" s="31">
        <f t="shared" si="6"/>
        <v>0</v>
      </c>
      <c r="AV242" s="36">
        <f>IFERROR($A$2+AU242,"上周无销量")</f>
        <v>43276</v>
      </c>
    </row>
    <row r="243" spans="1:48">
      <c r="A243" s="21" t="s">
        <v>541</v>
      </c>
      <c r="B243" t="s">
        <v>542</v>
      </c>
      <c r="C243" t="s">
        <v>543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1</v>
      </c>
      <c r="J243" s="33">
        <v>0</v>
      </c>
      <c r="K243" s="33">
        <v>10</v>
      </c>
      <c r="L243" s="33">
        <v>0</v>
      </c>
      <c r="M243">
        <v>11</v>
      </c>
      <c r="N243">
        <v>0</v>
      </c>
      <c r="O243">
        <v>1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18</v>
      </c>
      <c r="AK243">
        <v>4</v>
      </c>
      <c r="AL243">
        <v>3</v>
      </c>
      <c r="AM243">
        <v>0</v>
      </c>
      <c r="AN243" s="23">
        <v>0</v>
      </c>
      <c r="AO243" s="23">
        <v>0</v>
      </c>
      <c r="AP243" s="23">
        <v>0</v>
      </c>
      <c r="AQ243" s="23" t="s">
        <v>54</v>
      </c>
      <c r="AR243" s="35">
        <v>0</v>
      </c>
      <c r="AS243" s="35">
        <v>0</v>
      </c>
      <c r="AT243" s="35">
        <v>11</v>
      </c>
      <c r="AU243" s="31" t="str">
        <f t="shared" si="6"/>
        <v>库存为11</v>
      </c>
      <c r="AV243" s="36" t="str">
        <f>IFERROR($A$2+AU243,"上周无销量")</f>
        <v>上周无销量</v>
      </c>
    </row>
    <row r="244" spans="1:48">
      <c r="A244" s="21" t="s">
        <v>544</v>
      </c>
      <c r="B244" t="s">
        <v>545</v>
      </c>
      <c r="C244" t="s">
        <v>543</v>
      </c>
      <c r="D244" s="31">
        <v>1</v>
      </c>
      <c r="E244" s="31">
        <v>0</v>
      </c>
      <c r="F244" s="31">
        <v>0</v>
      </c>
      <c r="G244" s="31">
        <v>0</v>
      </c>
      <c r="H244" s="32">
        <v>8</v>
      </c>
      <c r="I244">
        <v>13</v>
      </c>
      <c r="J244" s="33">
        <v>0</v>
      </c>
      <c r="K244" s="33">
        <v>0</v>
      </c>
      <c r="L244" s="33">
        <v>0</v>
      </c>
      <c r="M244">
        <v>13</v>
      </c>
      <c r="N244">
        <v>0</v>
      </c>
      <c r="O244">
        <v>3</v>
      </c>
      <c r="P244">
        <v>1309</v>
      </c>
      <c r="Q244">
        <v>20</v>
      </c>
      <c r="R244">
        <v>20</v>
      </c>
      <c r="S244">
        <v>23</v>
      </c>
      <c r="T244">
        <v>21</v>
      </c>
      <c r="U244">
        <v>0</v>
      </c>
      <c r="V244">
        <v>0</v>
      </c>
      <c r="W244">
        <v>0</v>
      </c>
      <c r="X244" s="23">
        <v>0.0160427807486631</v>
      </c>
      <c r="Y244" s="23">
        <v>0</v>
      </c>
      <c r="Z244" s="23">
        <v>0</v>
      </c>
      <c r="AA244" s="23">
        <v>0</v>
      </c>
      <c r="AB244">
        <v>27.48</v>
      </c>
      <c r="AC244">
        <v>0</v>
      </c>
      <c r="AD244">
        <v>0</v>
      </c>
      <c r="AE244">
        <v>0</v>
      </c>
      <c r="AF244" s="23">
        <v>3.435</v>
      </c>
      <c r="AG244" s="23" t="s">
        <v>54</v>
      </c>
      <c r="AH244" s="23" t="s">
        <v>54</v>
      </c>
      <c r="AI244" s="23" t="s">
        <v>54</v>
      </c>
      <c r="AJ244">
        <v>28</v>
      </c>
      <c r="AK244">
        <v>23</v>
      </c>
      <c r="AL244">
        <v>4</v>
      </c>
      <c r="AM244">
        <v>0</v>
      </c>
      <c r="AN244" s="23">
        <v>0.0357142857142857</v>
      </c>
      <c r="AO244" s="23">
        <v>0</v>
      </c>
      <c r="AP244" s="23">
        <v>0</v>
      </c>
      <c r="AQ244" s="23" t="s">
        <v>54</v>
      </c>
      <c r="AR244" s="35">
        <v>0.142857142857143</v>
      </c>
      <c r="AS244" s="35">
        <v>8.57142857142857</v>
      </c>
      <c r="AT244" s="35">
        <v>4.42857142857143</v>
      </c>
      <c r="AU244" s="31">
        <f t="shared" si="6"/>
        <v>91</v>
      </c>
      <c r="AV244" s="36">
        <f>IFERROR($A$2+AU244,"上周无销量")</f>
        <v>43367</v>
      </c>
    </row>
    <row r="245" spans="1:48">
      <c r="A245" s="21" t="s">
        <v>546</v>
      </c>
      <c r="B245" t="s">
        <v>547</v>
      </c>
      <c r="C245" t="s">
        <v>543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14</v>
      </c>
      <c r="J245" s="33">
        <v>0</v>
      </c>
      <c r="K245" s="33">
        <v>0</v>
      </c>
      <c r="L245" s="33">
        <v>0</v>
      </c>
      <c r="M245">
        <v>14</v>
      </c>
      <c r="N245">
        <v>0</v>
      </c>
      <c r="O245">
        <v>4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12</v>
      </c>
      <c r="AK245">
        <v>4</v>
      </c>
      <c r="AL245">
        <v>1</v>
      </c>
      <c r="AM245">
        <v>1</v>
      </c>
      <c r="AN245" s="23">
        <v>0</v>
      </c>
      <c r="AO245" s="23">
        <v>0</v>
      </c>
      <c r="AP245" s="23">
        <v>0</v>
      </c>
      <c r="AQ245" s="23">
        <v>0</v>
      </c>
      <c r="AR245" s="35">
        <v>0</v>
      </c>
      <c r="AS245" s="35">
        <v>0</v>
      </c>
      <c r="AT245" s="35">
        <v>14</v>
      </c>
      <c r="AU245" s="31" t="str">
        <f t="shared" si="6"/>
        <v>库存为14</v>
      </c>
      <c r="AV245" s="36" t="str">
        <f>IFERROR($A$2+AU245,"上周无销量")</f>
        <v>上周无销量</v>
      </c>
    </row>
    <row r="246" spans="1:48">
      <c r="A246" s="21" t="s">
        <v>548</v>
      </c>
      <c r="B246" t="s">
        <v>549</v>
      </c>
      <c r="C246" t="s">
        <v>543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12</v>
      </c>
      <c r="J246" s="33">
        <v>0</v>
      </c>
      <c r="K246" s="33">
        <v>0</v>
      </c>
      <c r="L246" s="33">
        <v>0</v>
      </c>
      <c r="M246">
        <v>12</v>
      </c>
      <c r="N246">
        <v>0</v>
      </c>
      <c r="O246">
        <v>2</v>
      </c>
      <c r="P246">
        <v>508</v>
      </c>
      <c r="Q246">
        <v>114</v>
      </c>
      <c r="R246">
        <v>114</v>
      </c>
      <c r="S246">
        <v>38</v>
      </c>
      <c r="T246">
        <v>8</v>
      </c>
      <c r="U246">
        <v>0</v>
      </c>
      <c r="V246">
        <v>0</v>
      </c>
      <c r="W246">
        <v>0</v>
      </c>
      <c r="X246" s="23">
        <v>0.015748031496063</v>
      </c>
      <c r="Y246" s="23">
        <v>0</v>
      </c>
      <c r="Z246" s="23">
        <v>0</v>
      </c>
      <c r="AA246" s="23">
        <v>0</v>
      </c>
      <c r="AB246">
        <v>7.15</v>
      </c>
      <c r="AC246">
        <v>0</v>
      </c>
      <c r="AD246">
        <v>0</v>
      </c>
      <c r="AE246">
        <v>0</v>
      </c>
      <c r="AF246" s="23">
        <v>0</v>
      </c>
      <c r="AG246" s="23" t="s">
        <v>54</v>
      </c>
      <c r="AH246" s="23" t="s">
        <v>54</v>
      </c>
      <c r="AI246" s="23" t="s">
        <v>54</v>
      </c>
      <c r="AJ246">
        <v>16</v>
      </c>
      <c r="AK246">
        <v>15</v>
      </c>
      <c r="AL246">
        <v>2</v>
      </c>
      <c r="AM246">
        <v>1</v>
      </c>
      <c r="AN246" s="23">
        <v>0</v>
      </c>
      <c r="AO246" s="23">
        <v>0</v>
      </c>
      <c r="AP246" s="23">
        <v>0</v>
      </c>
      <c r="AQ246" s="23">
        <v>0</v>
      </c>
      <c r="AR246" s="35">
        <v>0</v>
      </c>
      <c r="AS246" s="35">
        <v>0</v>
      </c>
      <c r="AT246" s="35">
        <v>12</v>
      </c>
      <c r="AU246" s="31" t="str">
        <f t="shared" si="6"/>
        <v>库存为12</v>
      </c>
      <c r="AV246" s="36" t="str">
        <f>IFERROR($A$2+AU246,"上周无销量")</f>
        <v>上周无销量</v>
      </c>
    </row>
    <row r="247" spans="1:48">
      <c r="A247" s="21" t="s">
        <v>550</v>
      </c>
      <c r="B247" t="s">
        <v>551</v>
      </c>
      <c r="C247" t="s">
        <v>543</v>
      </c>
      <c r="D247" s="31">
        <v>2</v>
      </c>
      <c r="E247" s="31">
        <v>0</v>
      </c>
      <c r="F247" s="31">
        <v>0</v>
      </c>
      <c r="G247" s="31">
        <v>0</v>
      </c>
      <c r="H247" s="32">
        <v>11.49</v>
      </c>
      <c r="I247">
        <v>3</v>
      </c>
      <c r="J247" s="33">
        <v>0</v>
      </c>
      <c r="K247" s="33">
        <v>10</v>
      </c>
      <c r="L247" s="33">
        <v>0</v>
      </c>
      <c r="M247">
        <v>13</v>
      </c>
      <c r="N247">
        <v>0</v>
      </c>
      <c r="O247">
        <v>3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15</v>
      </c>
      <c r="AK247">
        <v>5</v>
      </c>
      <c r="AL247">
        <v>5</v>
      </c>
      <c r="AM247">
        <v>1</v>
      </c>
      <c r="AN247" s="23">
        <v>0.133333333333333</v>
      </c>
      <c r="AO247" s="23">
        <v>0</v>
      </c>
      <c r="AP247" s="23">
        <v>0</v>
      </c>
      <c r="AQ247" s="23">
        <v>0</v>
      </c>
      <c r="AR247" s="35">
        <v>0.285714285714286</v>
      </c>
      <c r="AS247" s="35">
        <v>17.1428571428571</v>
      </c>
      <c r="AT247" s="35">
        <v>-4.14285714285714</v>
      </c>
      <c r="AU247" s="31">
        <f t="shared" si="6"/>
        <v>45</v>
      </c>
      <c r="AV247" s="36">
        <f>IFERROR($A$2+AU247,"上周无销量")</f>
        <v>43321</v>
      </c>
    </row>
    <row r="248" spans="1:48">
      <c r="A248" s="21" t="s">
        <v>552</v>
      </c>
      <c r="B248" t="s">
        <v>553</v>
      </c>
      <c r="C248" t="s">
        <v>543</v>
      </c>
      <c r="D248" s="31">
        <v>0</v>
      </c>
      <c r="E248" s="31">
        <v>0</v>
      </c>
      <c r="F248" s="31">
        <v>0</v>
      </c>
      <c r="G248" s="31">
        <v>1</v>
      </c>
      <c r="H248" s="32">
        <v>11.99</v>
      </c>
      <c r="I248">
        <v>12</v>
      </c>
      <c r="J248" s="33">
        <v>0</v>
      </c>
      <c r="K248" s="33">
        <v>0</v>
      </c>
      <c r="L248" s="33">
        <v>0</v>
      </c>
      <c r="M248">
        <v>12</v>
      </c>
      <c r="N248">
        <v>0</v>
      </c>
      <c r="O248">
        <v>3</v>
      </c>
      <c r="P248">
        <v>1893</v>
      </c>
      <c r="Q248">
        <v>132</v>
      </c>
      <c r="R248">
        <v>132</v>
      </c>
      <c r="S248">
        <v>443</v>
      </c>
      <c r="T248">
        <v>7</v>
      </c>
      <c r="U248">
        <v>0</v>
      </c>
      <c r="V248">
        <v>0</v>
      </c>
      <c r="W248">
        <v>0</v>
      </c>
      <c r="X248" s="23">
        <v>0.00369783412572636</v>
      </c>
      <c r="Y248" s="23">
        <v>0</v>
      </c>
      <c r="Z248" s="23">
        <v>0</v>
      </c>
      <c r="AA248" s="23">
        <v>0</v>
      </c>
      <c r="AB248">
        <v>5.7</v>
      </c>
      <c r="AC248">
        <v>0</v>
      </c>
      <c r="AD248">
        <v>0</v>
      </c>
      <c r="AE248">
        <v>0</v>
      </c>
      <c r="AF248" s="23">
        <v>0</v>
      </c>
      <c r="AG248" s="23" t="s">
        <v>54</v>
      </c>
      <c r="AH248" s="23" t="s">
        <v>54</v>
      </c>
      <c r="AI248" s="23" t="s">
        <v>54</v>
      </c>
      <c r="AJ248">
        <v>23</v>
      </c>
      <c r="AK248">
        <v>16</v>
      </c>
      <c r="AL248">
        <v>6</v>
      </c>
      <c r="AM248">
        <v>6</v>
      </c>
      <c r="AN248" s="23">
        <v>0</v>
      </c>
      <c r="AO248" s="23">
        <v>0</v>
      </c>
      <c r="AP248" s="23">
        <v>0</v>
      </c>
      <c r="AQ248" s="23">
        <v>0.166666666666667</v>
      </c>
      <c r="AR248" s="35">
        <v>0</v>
      </c>
      <c r="AS248" s="35">
        <v>0</v>
      </c>
      <c r="AT248" s="35">
        <v>12</v>
      </c>
      <c r="AU248" s="31" t="str">
        <f t="shared" si="6"/>
        <v>库存为12</v>
      </c>
      <c r="AV248" s="36" t="str">
        <f>IFERROR($A$2+AU248,"上周无销量")</f>
        <v>上周无销量</v>
      </c>
    </row>
    <row r="249" spans="1:48">
      <c r="A249" s="21" t="s">
        <v>554</v>
      </c>
      <c r="B249" t="s">
        <v>555</v>
      </c>
      <c r="C249" t="s">
        <v>556</v>
      </c>
      <c r="D249" s="31">
        <v>1</v>
      </c>
      <c r="E249" s="31">
        <v>0</v>
      </c>
      <c r="F249" s="31">
        <v>0</v>
      </c>
      <c r="G249" s="31">
        <v>0</v>
      </c>
      <c r="H249" s="32">
        <v>10.99</v>
      </c>
      <c r="I249">
        <v>4</v>
      </c>
      <c r="J249" s="33">
        <v>0</v>
      </c>
      <c r="K249" s="33">
        <v>0</v>
      </c>
      <c r="L249" s="33">
        <v>0</v>
      </c>
      <c r="M249">
        <v>4</v>
      </c>
      <c r="N249">
        <v>0</v>
      </c>
      <c r="O249">
        <v>0</v>
      </c>
      <c r="P249">
        <v>2016</v>
      </c>
      <c r="Q249">
        <v>0</v>
      </c>
      <c r="R249">
        <v>0</v>
      </c>
      <c r="S249">
        <v>0</v>
      </c>
      <c r="T249">
        <v>13</v>
      </c>
      <c r="U249">
        <v>0</v>
      </c>
      <c r="V249">
        <v>0</v>
      </c>
      <c r="W249">
        <v>0</v>
      </c>
      <c r="X249" s="23">
        <v>0.0064484126984127</v>
      </c>
      <c r="Y249" s="23" t="s">
        <v>54</v>
      </c>
      <c r="Z249" s="23" t="s">
        <v>54</v>
      </c>
      <c r="AA249" s="23" t="s">
        <v>54</v>
      </c>
      <c r="AB249">
        <v>15.08</v>
      </c>
      <c r="AC249">
        <v>0</v>
      </c>
      <c r="AD249">
        <v>0</v>
      </c>
      <c r="AE249">
        <v>0</v>
      </c>
      <c r="AF249" s="23">
        <v>1.37215650591447</v>
      </c>
      <c r="AG249" s="23" t="s">
        <v>54</v>
      </c>
      <c r="AH249" s="23" t="s">
        <v>54</v>
      </c>
      <c r="AI249" s="23" t="s">
        <v>54</v>
      </c>
      <c r="AJ249">
        <v>10</v>
      </c>
      <c r="AK249">
        <v>0</v>
      </c>
      <c r="AL249">
        <v>0</v>
      </c>
      <c r="AM249">
        <v>0</v>
      </c>
      <c r="AN249" s="23">
        <v>0.1</v>
      </c>
      <c r="AO249" s="23" t="s">
        <v>54</v>
      </c>
      <c r="AP249" s="23" t="s">
        <v>54</v>
      </c>
      <c r="AQ249" s="23" t="s">
        <v>54</v>
      </c>
      <c r="AR249" s="35">
        <v>0.142857142857143</v>
      </c>
      <c r="AS249" s="35">
        <v>8.57142857142857</v>
      </c>
      <c r="AT249" s="35">
        <v>-4.57142857142857</v>
      </c>
      <c r="AU249" s="31">
        <f t="shared" si="6"/>
        <v>28</v>
      </c>
      <c r="AV249" s="36">
        <f>IFERROR($A$2+AU249,"上周无销量")</f>
        <v>43304</v>
      </c>
    </row>
    <row r="250" spans="1:48">
      <c r="A250" s="21" t="s">
        <v>557</v>
      </c>
      <c r="B250" t="s">
        <v>558</v>
      </c>
      <c r="C250" t="e">
        <v>#N/A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5</v>
      </c>
      <c r="J250" s="33">
        <v>0</v>
      </c>
      <c r="K250" s="33">
        <v>0</v>
      </c>
      <c r="L250" s="33">
        <v>0</v>
      </c>
      <c r="M250">
        <v>5</v>
      </c>
      <c r="N250">
        <v>0</v>
      </c>
      <c r="O250">
        <v>0</v>
      </c>
      <c r="P250">
        <v>1790</v>
      </c>
      <c r="Q250">
        <v>0</v>
      </c>
      <c r="R250">
        <v>0</v>
      </c>
      <c r="S250">
        <v>0</v>
      </c>
      <c r="T250">
        <v>10</v>
      </c>
      <c r="U250">
        <v>0</v>
      </c>
      <c r="V250">
        <v>0</v>
      </c>
      <c r="W250">
        <v>0</v>
      </c>
      <c r="X250" s="23">
        <v>0.00558659217877095</v>
      </c>
      <c r="Y250" s="23" t="s">
        <v>54</v>
      </c>
      <c r="Z250" s="23" t="s">
        <v>54</v>
      </c>
      <c r="AA250" s="23" t="s">
        <v>54</v>
      </c>
      <c r="AB250">
        <v>11.73</v>
      </c>
      <c r="AC250">
        <v>0</v>
      </c>
      <c r="AD250">
        <v>0</v>
      </c>
      <c r="AE250">
        <v>0</v>
      </c>
      <c r="AF250" s="23">
        <v>0</v>
      </c>
      <c r="AG250" s="23" t="s">
        <v>54</v>
      </c>
      <c r="AH250" s="23" t="s">
        <v>54</v>
      </c>
      <c r="AI250" s="23" t="s">
        <v>54</v>
      </c>
      <c r="AJ250">
        <v>6</v>
      </c>
      <c r="AK250">
        <v>0</v>
      </c>
      <c r="AL250">
        <v>0</v>
      </c>
      <c r="AM250">
        <v>0</v>
      </c>
      <c r="AN250" s="23">
        <v>0</v>
      </c>
      <c r="AO250" s="23" t="s">
        <v>54</v>
      </c>
      <c r="AP250" s="23" t="s">
        <v>54</v>
      </c>
      <c r="AQ250" s="23" t="s">
        <v>54</v>
      </c>
      <c r="AR250" s="35">
        <v>0</v>
      </c>
      <c r="AS250" s="35">
        <v>0</v>
      </c>
      <c r="AT250" s="35">
        <v>5</v>
      </c>
      <c r="AU250" s="31" t="str">
        <f t="shared" si="6"/>
        <v>库存为5</v>
      </c>
      <c r="AV250" s="36" t="str">
        <f>IFERROR($A$2+AU250,"上周无销量")</f>
        <v>上周无销量</v>
      </c>
    </row>
    <row r="251" spans="1:48">
      <c r="A251" s="21" t="s">
        <v>559</v>
      </c>
      <c r="B251" t="s">
        <v>560</v>
      </c>
      <c r="C251" t="e">
        <v>#N/A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5</v>
      </c>
      <c r="J251" s="33">
        <v>0</v>
      </c>
      <c r="K251" s="33">
        <v>0</v>
      </c>
      <c r="L251" s="33">
        <v>0</v>
      </c>
      <c r="M251">
        <v>5</v>
      </c>
      <c r="N251">
        <v>0</v>
      </c>
      <c r="O251">
        <v>0</v>
      </c>
      <c r="P251">
        <v>2396</v>
      </c>
      <c r="Q251">
        <v>0</v>
      </c>
      <c r="R251">
        <v>0</v>
      </c>
      <c r="S251">
        <v>0</v>
      </c>
      <c r="T251">
        <v>14</v>
      </c>
      <c r="U251">
        <v>0</v>
      </c>
      <c r="V251">
        <v>0</v>
      </c>
      <c r="W251">
        <v>0</v>
      </c>
      <c r="X251" s="23">
        <v>0.00584307178631052</v>
      </c>
      <c r="Y251" s="23" t="s">
        <v>54</v>
      </c>
      <c r="Z251" s="23" t="s">
        <v>54</v>
      </c>
      <c r="AA251" s="23" t="s">
        <v>54</v>
      </c>
      <c r="AB251">
        <v>17.98</v>
      </c>
      <c r="AC251">
        <v>0</v>
      </c>
      <c r="AD251">
        <v>0</v>
      </c>
      <c r="AE251">
        <v>0</v>
      </c>
      <c r="AF251" s="23">
        <v>0</v>
      </c>
      <c r="AG251" s="23" t="s">
        <v>54</v>
      </c>
      <c r="AH251" s="23" t="s">
        <v>54</v>
      </c>
      <c r="AI251" s="23" t="s">
        <v>54</v>
      </c>
      <c r="AJ251">
        <v>9</v>
      </c>
      <c r="AK251">
        <v>0</v>
      </c>
      <c r="AL251">
        <v>0</v>
      </c>
      <c r="AM251">
        <v>0</v>
      </c>
      <c r="AN251" s="23">
        <v>0</v>
      </c>
      <c r="AO251" s="23" t="s">
        <v>54</v>
      </c>
      <c r="AP251" s="23" t="s">
        <v>54</v>
      </c>
      <c r="AQ251" s="23" t="s">
        <v>54</v>
      </c>
      <c r="AR251" s="35">
        <v>0</v>
      </c>
      <c r="AS251" s="35">
        <v>0</v>
      </c>
      <c r="AT251" s="35">
        <v>5</v>
      </c>
      <c r="AU251" s="31" t="str">
        <f t="shared" si="6"/>
        <v>库存为5</v>
      </c>
      <c r="AV251" s="36" t="str">
        <f>IFERROR($A$2+AU251,"上周无销量")</f>
        <v>上周无销量</v>
      </c>
    </row>
    <row r="252" spans="1:48">
      <c r="A252" s="21" t="s">
        <v>561</v>
      </c>
      <c r="B252" t="s">
        <v>562</v>
      </c>
      <c r="C252" t="s">
        <v>563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s">
        <v>54</v>
      </c>
      <c r="AO252" s="23" t="s">
        <v>54</v>
      </c>
      <c r="AP252" s="23" t="s">
        <v>54</v>
      </c>
      <c r="AQ252" s="23" t="s">
        <v>54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IFERROR($A$2+AU252,"上周无销量")</f>
        <v>上周无销量</v>
      </c>
    </row>
    <row r="253" spans="1:48">
      <c r="A253" s="21" t="s">
        <v>564</v>
      </c>
      <c r="B253" t="s">
        <v>565</v>
      </c>
      <c r="C253" t="s">
        <v>563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s">
        <v>54</v>
      </c>
      <c r="AO253" s="23" t="s">
        <v>54</v>
      </c>
      <c r="AP253" s="23" t="s">
        <v>54</v>
      </c>
      <c r="AQ253" s="23" t="s">
        <v>54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IFERROR($A$2+AU253,"上周无销量")</f>
        <v>上周无销量</v>
      </c>
    </row>
    <row r="254" spans="1:48">
      <c r="A254" s="21" t="s">
        <v>566</v>
      </c>
      <c r="B254" t="s">
        <v>567</v>
      </c>
      <c r="C254" t="s">
        <v>563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s">
        <v>54</v>
      </c>
      <c r="AO254" s="23" t="s">
        <v>54</v>
      </c>
      <c r="AP254" s="23" t="s">
        <v>54</v>
      </c>
      <c r="AQ254" s="23" t="s">
        <v>54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IFERROR($A$2+AU254,"上周无销量")</f>
        <v>上周无销量</v>
      </c>
    </row>
    <row r="255" spans="1:48">
      <c r="A255" s="21" t="s">
        <v>568</v>
      </c>
      <c r="B255" t="s">
        <v>569</v>
      </c>
      <c r="C255" t="s">
        <v>563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s">
        <v>54</v>
      </c>
      <c r="AO255" s="23" t="s">
        <v>54</v>
      </c>
      <c r="AP255" s="23" t="s">
        <v>54</v>
      </c>
      <c r="AQ255" s="23" t="s">
        <v>54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IFERROR($A$2+AU255,"上周无销量")</f>
        <v>上周无销量</v>
      </c>
    </row>
    <row r="256" spans="1:48">
      <c r="A256" s="21" t="s">
        <v>570</v>
      </c>
      <c r="B256" t="s">
        <v>571</v>
      </c>
      <c r="C256" t="s">
        <v>563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s">
        <v>54</v>
      </c>
      <c r="AO256" s="23" t="s">
        <v>54</v>
      </c>
      <c r="AP256" s="23" t="s">
        <v>54</v>
      </c>
      <c r="AQ256" s="23" t="s">
        <v>54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IFERROR($A$2+AU256,"上周无销量")</f>
        <v>上周无销量</v>
      </c>
    </row>
    <row r="257" spans="1:48">
      <c r="A257" s="21" t="s">
        <v>572</v>
      </c>
      <c r="B257" t="s">
        <v>573</v>
      </c>
      <c r="C257" t="s">
        <v>563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s">
        <v>54</v>
      </c>
      <c r="AO257" s="23" t="s">
        <v>54</v>
      </c>
      <c r="AP257" s="23" t="s">
        <v>54</v>
      </c>
      <c r="AQ257" s="23" t="s">
        <v>54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IFERROR($A$2+AU257,"上周无销量")</f>
        <v>上周无销量</v>
      </c>
    </row>
    <row r="258" spans="1:48">
      <c r="A258" s="21" t="s">
        <v>574</v>
      </c>
      <c r="B258" t="s">
        <v>575</v>
      </c>
      <c r="C258" t="s">
        <v>563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s">
        <v>54</v>
      </c>
      <c r="AO258" s="23" t="s">
        <v>54</v>
      </c>
      <c r="AP258" s="23" t="s">
        <v>54</v>
      </c>
      <c r="AQ258" s="23" t="s">
        <v>54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IFERROR($A$2+AU258,"上周无销量")</f>
        <v>上周无销量</v>
      </c>
    </row>
    <row r="259" spans="1:48">
      <c r="A259" s="21" t="s">
        <v>576</v>
      </c>
      <c r="B259" t="s">
        <v>577</v>
      </c>
      <c r="C259" t="s">
        <v>563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s">
        <v>54</v>
      </c>
      <c r="AO259" s="23" t="s">
        <v>54</v>
      </c>
      <c r="AP259" s="23" t="s">
        <v>54</v>
      </c>
      <c r="AQ259" s="23" t="s">
        <v>54</v>
      </c>
      <c r="AR259" s="35">
        <v>0</v>
      </c>
      <c r="AS259" s="35">
        <v>0</v>
      </c>
      <c r="AT259" s="35">
        <v>0</v>
      </c>
      <c r="AU259" s="31" t="str">
        <f t="shared" si="6"/>
        <v>库存为0</v>
      </c>
      <c r="AV259" s="36" t="str">
        <f>IFERROR($A$2+AU259,"上周无销量")</f>
        <v>上周无销量</v>
      </c>
    </row>
    <row r="260" spans="1:48">
      <c r="A260" s="21" t="s">
        <v>578</v>
      </c>
      <c r="B260" t="s">
        <v>579</v>
      </c>
      <c r="C260" t="s">
        <v>563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s">
        <v>54</v>
      </c>
      <c r="AO260" s="23" t="s">
        <v>54</v>
      </c>
      <c r="AP260" s="23" t="s">
        <v>54</v>
      </c>
      <c r="AQ260" s="23" t="s">
        <v>54</v>
      </c>
      <c r="AR260" s="35">
        <v>0</v>
      </c>
      <c r="AS260" s="35">
        <v>0</v>
      </c>
      <c r="AT260" s="35">
        <v>0</v>
      </c>
      <c r="AU260" s="31" t="str">
        <f t="shared" si="6"/>
        <v>库存为0</v>
      </c>
      <c r="AV260" s="36" t="str">
        <f>IFERROR($A$2+AU260,"上周无销量")</f>
        <v>上周无销量</v>
      </c>
    </row>
    <row r="261" spans="1:48">
      <c r="A261" s="21" t="s">
        <v>580</v>
      </c>
      <c r="B261" t="s">
        <v>581</v>
      </c>
      <c r="C261" t="s">
        <v>563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s">
        <v>54</v>
      </c>
      <c r="AO261" s="23" t="s">
        <v>54</v>
      </c>
      <c r="AP261" s="23" t="s">
        <v>54</v>
      </c>
      <c r="AQ261" s="23" t="s">
        <v>54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IFERROR($A$2+AU261,"上周无销量")</f>
        <v>上周无销量</v>
      </c>
    </row>
    <row r="262" spans="1:48">
      <c r="A262" s="21" t="s">
        <v>582</v>
      </c>
      <c r="B262" t="s">
        <v>583</v>
      </c>
      <c r="C262" t="s">
        <v>563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s">
        <v>54</v>
      </c>
      <c r="AO262" s="23" t="s">
        <v>54</v>
      </c>
      <c r="AP262" s="23" t="s">
        <v>54</v>
      </c>
      <c r="AQ262" s="23" t="s">
        <v>54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IFERROR($A$2+AU262,"上周无销量")</f>
        <v>上周无销量</v>
      </c>
    </row>
    <row r="263" spans="1:48">
      <c r="A263" s="21" t="s">
        <v>584</v>
      </c>
      <c r="B263" t="s">
        <v>585</v>
      </c>
      <c r="C263" t="s">
        <v>563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s">
        <v>54</v>
      </c>
      <c r="AO263" s="23" t="s">
        <v>54</v>
      </c>
      <c r="AP263" s="23" t="s">
        <v>54</v>
      </c>
      <c r="AQ263" s="23" t="s">
        <v>54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IFERROR($A$2+AU263,"上周无销量")</f>
        <v>上周无销量</v>
      </c>
    </row>
    <row r="264" spans="1:48">
      <c r="A264" s="21" t="s">
        <v>586</v>
      </c>
      <c r="B264" t="s">
        <v>587</v>
      </c>
      <c r="C264" t="s">
        <v>563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s">
        <v>54</v>
      </c>
      <c r="AO264" s="23" t="s">
        <v>54</v>
      </c>
      <c r="AP264" s="23" t="s">
        <v>54</v>
      </c>
      <c r="AQ264" s="23" t="s">
        <v>54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IFERROR($A$2+AU264,"上周无销量")</f>
        <v>上周无销量</v>
      </c>
    </row>
    <row r="265" spans="1:48">
      <c r="A265" s="21" t="s">
        <v>588</v>
      </c>
      <c r="B265" t="s">
        <v>589</v>
      </c>
      <c r="C265" t="s">
        <v>563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s">
        <v>54</v>
      </c>
      <c r="AO265" s="23" t="s">
        <v>54</v>
      </c>
      <c r="AP265" s="23" t="s">
        <v>54</v>
      </c>
      <c r="AQ265" s="23" t="s">
        <v>54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IFERROR($A$2+AU265,"上周无销量")</f>
        <v>上周无销量</v>
      </c>
    </row>
    <row r="266" spans="1:48">
      <c r="A266" s="21" t="s">
        <v>590</v>
      </c>
      <c r="B266" t="s">
        <v>591</v>
      </c>
      <c r="C266" t="s">
        <v>563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s">
        <v>54</v>
      </c>
      <c r="AO266" s="23" t="s">
        <v>54</v>
      </c>
      <c r="AP266" s="23" t="s">
        <v>54</v>
      </c>
      <c r="AQ266" s="23" t="s">
        <v>54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IFERROR($A$2+AU266,"上周无销量")</f>
        <v>上周无销量</v>
      </c>
    </row>
    <row r="267" spans="1:48">
      <c r="A267" s="21" t="s">
        <v>592</v>
      </c>
      <c r="B267" t="s">
        <v>593</v>
      </c>
      <c r="C267" t="s">
        <v>563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s">
        <v>54</v>
      </c>
      <c r="AO267" s="23" t="s">
        <v>54</v>
      </c>
      <c r="AP267" s="23" t="s">
        <v>54</v>
      </c>
      <c r="AQ267" s="23" t="s">
        <v>54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IFERROR($A$2+AU267,"上周无销量")</f>
        <v>上周无销量</v>
      </c>
    </row>
    <row r="268" spans="1:48">
      <c r="A268" s="21" t="s">
        <v>594</v>
      </c>
      <c r="B268" t="s">
        <v>595</v>
      </c>
      <c r="C268" t="s">
        <v>563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IFERROR($A$2+AU268,"上周无销量")</f>
        <v>上周无销量</v>
      </c>
    </row>
    <row r="269" spans="1:48">
      <c r="A269" s="21" t="s">
        <v>596</v>
      </c>
      <c r="B269" t="s">
        <v>597</v>
      </c>
      <c r="C269" t="s">
        <v>563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s">
        <v>54</v>
      </c>
      <c r="AO269" s="23" t="s">
        <v>54</v>
      </c>
      <c r="AP269" s="23" t="s">
        <v>54</v>
      </c>
      <c r="AQ269" s="23" t="s">
        <v>54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IFERROR($A$2+AU269,"上周无销量")</f>
        <v>上周无销量</v>
      </c>
    </row>
    <row r="270" spans="1:48">
      <c r="A270" s="21" t="s">
        <v>598</v>
      </c>
      <c r="B270" t="s">
        <v>599</v>
      </c>
      <c r="C270" t="s">
        <v>563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0</v>
      </c>
      <c r="J270" s="33">
        <v>0</v>
      </c>
      <c r="K270" s="33">
        <v>0</v>
      </c>
      <c r="L270" s="33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s">
        <v>54</v>
      </c>
      <c r="AO270" s="23" t="s">
        <v>54</v>
      </c>
      <c r="AP270" s="23" t="s">
        <v>54</v>
      </c>
      <c r="AQ270" s="23" t="s">
        <v>54</v>
      </c>
      <c r="AR270" s="35">
        <v>0</v>
      </c>
      <c r="AS270" s="35">
        <v>0</v>
      </c>
      <c r="AT270" s="35">
        <v>0</v>
      </c>
      <c r="AU270" s="31" t="str">
        <f t="shared" si="7"/>
        <v>库存为0</v>
      </c>
      <c r="AV270" s="36" t="str">
        <f>IFERROR($A$2+AU270,"上周无销量")</f>
        <v>上周无销量</v>
      </c>
    </row>
    <row r="271" spans="1:48">
      <c r="A271" s="21" t="s">
        <v>600</v>
      </c>
      <c r="B271" t="s">
        <v>601</v>
      </c>
      <c r="C271" t="s">
        <v>563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0</v>
      </c>
      <c r="AN271" s="23" t="s">
        <v>54</v>
      </c>
      <c r="AO271" s="23" t="s">
        <v>54</v>
      </c>
      <c r="AP271" s="23" t="s">
        <v>54</v>
      </c>
      <c r="AQ271" s="23" t="s">
        <v>54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IFERROR($A$2+AU271,"上周无销量")</f>
        <v>上周无销量</v>
      </c>
    </row>
    <row r="272" spans="1:48">
      <c r="A272" s="21" t="s">
        <v>602</v>
      </c>
      <c r="B272" t="s">
        <v>603</v>
      </c>
      <c r="C272" t="s">
        <v>563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0</v>
      </c>
      <c r="AM272">
        <v>0</v>
      </c>
      <c r="AN272" s="23" t="s">
        <v>54</v>
      </c>
      <c r="AO272" s="23" t="s">
        <v>54</v>
      </c>
      <c r="AP272" s="23" t="s">
        <v>54</v>
      </c>
      <c r="AQ272" s="23" t="s">
        <v>54</v>
      </c>
      <c r="AR272" s="35">
        <v>0</v>
      </c>
      <c r="AS272" s="35">
        <v>0</v>
      </c>
      <c r="AT272" s="35">
        <v>0</v>
      </c>
      <c r="AU272" s="31" t="str">
        <f t="shared" si="7"/>
        <v>库存为0</v>
      </c>
      <c r="AV272" s="36" t="str">
        <f>IFERROR($A$2+AU272,"上周无销量")</f>
        <v>上周无销量</v>
      </c>
    </row>
    <row r="273" spans="1:48">
      <c r="A273" s="21" t="s">
        <v>604</v>
      </c>
      <c r="B273" t="s">
        <v>605</v>
      </c>
      <c r="C273" t="s">
        <v>563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0</v>
      </c>
      <c r="AM273">
        <v>0</v>
      </c>
      <c r="AN273" s="23" t="s">
        <v>54</v>
      </c>
      <c r="AO273" s="23" t="s">
        <v>54</v>
      </c>
      <c r="AP273" s="23" t="s">
        <v>54</v>
      </c>
      <c r="AQ273" s="23" t="s">
        <v>54</v>
      </c>
      <c r="AR273" s="35">
        <v>0</v>
      </c>
      <c r="AS273" s="35">
        <v>0</v>
      </c>
      <c r="AT273" s="35">
        <v>0</v>
      </c>
      <c r="AU273" s="31" t="str">
        <f t="shared" si="7"/>
        <v>库存为0</v>
      </c>
      <c r="AV273" s="36" t="str">
        <f>IFERROR($A$2+AU273,"上周无销量")</f>
        <v>上周无销量</v>
      </c>
    </row>
    <row r="274" spans="1:48">
      <c r="A274" s="21" t="s">
        <v>606</v>
      </c>
      <c r="B274" t="s">
        <v>607</v>
      </c>
      <c r="C274" t="s">
        <v>563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s">
        <v>54</v>
      </c>
      <c r="AO274" s="23" t="s">
        <v>54</v>
      </c>
      <c r="AP274" s="23" t="s">
        <v>54</v>
      </c>
      <c r="AQ274" s="23" t="s">
        <v>54</v>
      </c>
      <c r="AR274" s="35">
        <v>0</v>
      </c>
      <c r="AS274" s="35">
        <v>0</v>
      </c>
      <c r="AT274" s="35">
        <v>0</v>
      </c>
      <c r="AU274" s="31" t="str">
        <f t="shared" si="7"/>
        <v>库存为0</v>
      </c>
      <c r="AV274" s="36" t="str">
        <f>IFERROR($A$2+AU274,"上周无销量")</f>
        <v>上周无销量</v>
      </c>
    </row>
    <row r="275" spans="1:48">
      <c r="A275" s="21" t="s">
        <v>608</v>
      </c>
      <c r="B275" t="s">
        <v>609</v>
      </c>
      <c r="C275" t="s">
        <v>563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s">
        <v>54</v>
      </c>
      <c r="AO275" s="23" t="s">
        <v>54</v>
      </c>
      <c r="AP275" s="23" t="s">
        <v>54</v>
      </c>
      <c r="AQ275" s="23" t="s">
        <v>54</v>
      </c>
      <c r="AR275" s="35">
        <v>0</v>
      </c>
      <c r="AS275" s="35">
        <v>0</v>
      </c>
      <c r="AT275" s="35">
        <v>0</v>
      </c>
      <c r="AU275" s="31" t="str">
        <f t="shared" si="7"/>
        <v>库存为0</v>
      </c>
      <c r="AV275" s="36" t="str">
        <f>IFERROR($A$2+AU275,"上周无销量")</f>
        <v>上周无销量</v>
      </c>
    </row>
    <row r="276" spans="1:48">
      <c r="A276" s="21" t="s">
        <v>610</v>
      </c>
      <c r="B276" t="s">
        <v>611</v>
      </c>
      <c r="C276" t="s">
        <v>612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s">
        <v>54</v>
      </c>
      <c r="AO276" s="23" t="s">
        <v>54</v>
      </c>
      <c r="AP276" s="23" t="s">
        <v>54</v>
      </c>
      <c r="AQ276" s="23" t="s">
        <v>54</v>
      </c>
      <c r="AR276" s="35">
        <v>0</v>
      </c>
      <c r="AS276" s="35">
        <v>0</v>
      </c>
      <c r="AT276" s="35">
        <v>0</v>
      </c>
      <c r="AU276" s="31" t="str">
        <f t="shared" si="7"/>
        <v>库存为0</v>
      </c>
      <c r="AV276" s="36" t="str">
        <f>IFERROR($A$2+AU276,"上周无销量")</f>
        <v>上周无销量</v>
      </c>
    </row>
    <row r="277" spans="1:48">
      <c r="A277" s="21" t="s">
        <v>613</v>
      </c>
      <c r="B277" t="s">
        <v>614</v>
      </c>
      <c r="C277" t="s">
        <v>612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s">
        <v>54</v>
      </c>
      <c r="AO277" s="23" t="s">
        <v>54</v>
      </c>
      <c r="AP277" s="23" t="s">
        <v>54</v>
      </c>
      <c r="AQ277" s="23" t="s">
        <v>54</v>
      </c>
      <c r="AR277" s="35">
        <v>0</v>
      </c>
      <c r="AS277" s="35">
        <v>0</v>
      </c>
      <c r="AT277" s="35">
        <v>0</v>
      </c>
      <c r="AU277" s="31" t="str">
        <f t="shared" si="7"/>
        <v>库存为0</v>
      </c>
      <c r="AV277" s="36" t="str">
        <f>IFERROR($A$2+AU277,"上周无销量")</f>
        <v>上周无销量</v>
      </c>
    </row>
    <row r="278" spans="1:48">
      <c r="A278" s="21" t="s">
        <v>615</v>
      </c>
      <c r="B278" t="s">
        <v>616</v>
      </c>
      <c r="C278" t="s">
        <v>612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s">
        <v>54</v>
      </c>
      <c r="AO278" s="23" t="s">
        <v>54</v>
      </c>
      <c r="AP278" s="23" t="s">
        <v>54</v>
      </c>
      <c r="AQ278" s="23" t="s">
        <v>54</v>
      </c>
      <c r="AR278" s="35">
        <v>0</v>
      </c>
      <c r="AS278" s="35">
        <v>0</v>
      </c>
      <c r="AT278" s="35">
        <v>0</v>
      </c>
      <c r="AU278" s="31" t="str">
        <f t="shared" si="7"/>
        <v>库存为0</v>
      </c>
      <c r="AV278" s="36" t="str">
        <f>IFERROR($A$2+AU278,"上周无销量")</f>
        <v>上周无销量</v>
      </c>
    </row>
    <row r="279" spans="1:48">
      <c r="A279" s="21" t="s">
        <v>617</v>
      </c>
      <c r="B279" t="s">
        <v>618</v>
      </c>
      <c r="C279" t="s">
        <v>612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0</v>
      </c>
      <c r="AN279" s="23" t="s">
        <v>54</v>
      </c>
      <c r="AO279" s="23" t="s">
        <v>54</v>
      </c>
      <c r="AP279" s="23" t="s">
        <v>54</v>
      </c>
      <c r="AQ279" s="23" t="s">
        <v>54</v>
      </c>
      <c r="AR279" s="35">
        <v>0</v>
      </c>
      <c r="AS279" s="35">
        <v>0</v>
      </c>
      <c r="AT279" s="35">
        <v>0</v>
      </c>
      <c r="AU279" s="31" t="str">
        <f t="shared" si="7"/>
        <v>库存为0</v>
      </c>
      <c r="AV279" s="36" t="str">
        <f>IFERROR($A$2+AU279,"上周无销量")</f>
        <v>上周无销量</v>
      </c>
    </row>
    <row r="280" spans="1:48">
      <c r="A280" s="21" t="s">
        <v>619</v>
      </c>
      <c r="B280" t="s">
        <v>620</v>
      </c>
      <c r="C280" t="s">
        <v>612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s">
        <v>54</v>
      </c>
      <c r="AO280" s="23" t="s">
        <v>54</v>
      </c>
      <c r="AP280" s="23" t="s">
        <v>54</v>
      </c>
      <c r="AQ280" s="23" t="s">
        <v>54</v>
      </c>
      <c r="AR280" s="35">
        <v>0</v>
      </c>
      <c r="AS280" s="35">
        <v>0</v>
      </c>
      <c r="AT280" s="35">
        <v>0</v>
      </c>
      <c r="AU280" s="31" t="str">
        <f t="shared" si="7"/>
        <v>库存为0</v>
      </c>
      <c r="AV280" s="36" t="str">
        <f>IFERROR($A$2+AU280,"上周无销量")</f>
        <v>上周无销量</v>
      </c>
    </row>
    <row r="281" spans="1:48">
      <c r="A281" s="21" t="s">
        <v>621</v>
      </c>
      <c r="B281" t="s">
        <v>622</v>
      </c>
      <c r="C281" t="s">
        <v>623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s">
        <v>54</v>
      </c>
      <c r="AO281" s="23" t="s">
        <v>54</v>
      </c>
      <c r="AP281" s="23" t="s">
        <v>54</v>
      </c>
      <c r="AQ281" s="23" t="s">
        <v>54</v>
      </c>
      <c r="AR281" s="35">
        <v>0</v>
      </c>
      <c r="AS281" s="35">
        <v>0</v>
      </c>
      <c r="AT281" s="35">
        <v>0</v>
      </c>
      <c r="AU281" s="31" t="str">
        <f t="shared" si="7"/>
        <v>库存为0</v>
      </c>
      <c r="AV281" s="36" t="str">
        <f>IFERROR($A$2+AU281,"上周无销量")</f>
        <v>上周无销量</v>
      </c>
    </row>
    <row r="282" spans="1:48">
      <c r="A282" s="21" t="s">
        <v>624</v>
      </c>
      <c r="B282" t="s">
        <v>625</v>
      </c>
      <c r="C282" t="s">
        <v>623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0</v>
      </c>
      <c r="AM282">
        <v>0</v>
      </c>
      <c r="AN282" s="23" t="s">
        <v>54</v>
      </c>
      <c r="AO282" s="23" t="s">
        <v>54</v>
      </c>
      <c r="AP282" s="23" t="s">
        <v>54</v>
      </c>
      <c r="AQ282" s="23" t="s">
        <v>54</v>
      </c>
      <c r="AR282" s="35">
        <v>0</v>
      </c>
      <c r="AS282" s="35">
        <v>0</v>
      </c>
      <c r="AT282" s="35">
        <v>0</v>
      </c>
      <c r="AU282" s="31" t="str">
        <f t="shared" si="7"/>
        <v>库存为0</v>
      </c>
      <c r="AV282" s="36" t="str">
        <f>IFERROR($A$2+AU282,"上周无销量")</f>
        <v>上周无销量</v>
      </c>
    </row>
    <row r="283" spans="1:48">
      <c r="A283" s="21" t="s">
        <v>626</v>
      </c>
      <c r="B283" t="s">
        <v>627</v>
      </c>
      <c r="C283" t="s">
        <v>623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s">
        <v>54</v>
      </c>
      <c r="AO283" s="23" t="s">
        <v>54</v>
      </c>
      <c r="AP283" s="23" t="s">
        <v>54</v>
      </c>
      <c r="AQ283" s="23" t="s">
        <v>54</v>
      </c>
      <c r="AR283" s="35">
        <v>0</v>
      </c>
      <c r="AS283" s="35">
        <v>0</v>
      </c>
      <c r="AT283" s="35">
        <v>0</v>
      </c>
      <c r="AU283" s="31" t="str">
        <f t="shared" si="7"/>
        <v>库存为0</v>
      </c>
      <c r="AV283" s="36" t="str">
        <f>IFERROR($A$2+AU283,"上周无销量")</f>
        <v>上周无销量</v>
      </c>
    </row>
    <row r="284" spans="1:48">
      <c r="A284" s="21" t="s">
        <v>628</v>
      </c>
      <c r="B284" t="s">
        <v>629</v>
      </c>
      <c r="C284" t="s">
        <v>623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s">
        <v>54</v>
      </c>
      <c r="AO284" s="23" t="s">
        <v>54</v>
      </c>
      <c r="AP284" s="23" t="s">
        <v>54</v>
      </c>
      <c r="AQ284" s="23" t="s">
        <v>54</v>
      </c>
      <c r="AR284" s="35">
        <v>0</v>
      </c>
      <c r="AS284" s="35">
        <v>0</v>
      </c>
      <c r="AT284" s="35">
        <v>0</v>
      </c>
      <c r="AU284" s="31" t="str">
        <f t="shared" si="7"/>
        <v>库存为0</v>
      </c>
      <c r="AV284" s="36" t="str">
        <f>IFERROR($A$2+AU284,"上周无销量")</f>
        <v>上周无销量</v>
      </c>
    </row>
    <row r="285" spans="1:48">
      <c r="A285" s="21" t="s">
        <v>630</v>
      </c>
      <c r="B285" t="s">
        <v>631</v>
      </c>
      <c r="C285" t="s">
        <v>623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s">
        <v>54</v>
      </c>
      <c r="AO285" s="23" t="s">
        <v>54</v>
      </c>
      <c r="AP285" s="23" t="s">
        <v>54</v>
      </c>
      <c r="AQ285" s="23" t="s">
        <v>54</v>
      </c>
      <c r="AR285" s="35">
        <v>0</v>
      </c>
      <c r="AS285" s="35">
        <v>0</v>
      </c>
      <c r="AT285" s="35">
        <v>0</v>
      </c>
      <c r="AU285" s="31" t="str">
        <f t="shared" si="7"/>
        <v>库存为0</v>
      </c>
      <c r="AV285" s="36" t="str">
        <f>IFERROR($A$2+AU285,"上周无销量")</f>
        <v>上周无销量</v>
      </c>
    </row>
    <row r="286" spans="1:48">
      <c r="A286" s="21" t="s">
        <v>632</v>
      </c>
      <c r="B286" t="s">
        <v>633</v>
      </c>
      <c r="C286" t="s">
        <v>634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s">
        <v>54</v>
      </c>
      <c r="AO286" s="23" t="s">
        <v>54</v>
      </c>
      <c r="AP286" s="23" t="s">
        <v>54</v>
      </c>
      <c r="AQ286" s="23" t="s">
        <v>54</v>
      </c>
      <c r="AR286" s="35">
        <v>0</v>
      </c>
      <c r="AS286" s="35">
        <v>0</v>
      </c>
      <c r="AT286" s="35">
        <v>0</v>
      </c>
      <c r="AU286" s="31" t="str">
        <f t="shared" si="7"/>
        <v>库存为0</v>
      </c>
      <c r="AV286" s="36" t="str">
        <f>IFERROR($A$2+AU286,"上周无销量")</f>
        <v>上周无销量</v>
      </c>
    </row>
    <row r="287" spans="1:48">
      <c r="A287" s="21" t="s">
        <v>635</v>
      </c>
      <c r="B287" t="s">
        <v>636</v>
      </c>
      <c r="C287" t="s">
        <v>634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s">
        <v>54</v>
      </c>
      <c r="AO287" s="23" t="s">
        <v>54</v>
      </c>
      <c r="AP287" s="23" t="s">
        <v>54</v>
      </c>
      <c r="AQ287" s="23" t="s">
        <v>54</v>
      </c>
      <c r="AR287" s="35">
        <v>0</v>
      </c>
      <c r="AS287" s="35">
        <v>0</v>
      </c>
      <c r="AT287" s="35">
        <v>0</v>
      </c>
      <c r="AU287" s="31" t="str">
        <f t="shared" si="7"/>
        <v>库存为0</v>
      </c>
      <c r="AV287" s="36" t="str">
        <f>IFERROR($A$2+AU287,"上周无销量")</f>
        <v>上周无销量</v>
      </c>
    </row>
    <row r="288" spans="1:48">
      <c r="A288" s="21" t="s">
        <v>637</v>
      </c>
      <c r="B288" t="s">
        <v>638</v>
      </c>
      <c r="C288" t="s">
        <v>634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0</v>
      </c>
      <c r="J288" s="33">
        <v>0</v>
      </c>
      <c r="K288" s="33">
        <v>0</v>
      </c>
      <c r="L288" s="33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s">
        <v>54</v>
      </c>
      <c r="AO288" s="23" t="s">
        <v>54</v>
      </c>
      <c r="AP288" s="23" t="s">
        <v>54</v>
      </c>
      <c r="AQ288" s="23" t="s">
        <v>54</v>
      </c>
      <c r="AR288" s="35">
        <v>0</v>
      </c>
      <c r="AS288" s="35">
        <v>0</v>
      </c>
      <c r="AT288" s="35">
        <v>0</v>
      </c>
      <c r="AU288" s="31" t="str">
        <f t="shared" si="7"/>
        <v>库存为0</v>
      </c>
      <c r="AV288" s="36" t="str">
        <f>IFERROR($A$2+AU288,"上周无销量")</f>
        <v>上周无销量</v>
      </c>
    </row>
    <row r="289" spans="1:48">
      <c r="A289" s="21" t="s">
        <v>639</v>
      </c>
      <c r="B289" t="s">
        <v>640</v>
      </c>
      <c r="C289" t="s">
        <v>634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s">
        <v>54</v>
      </c>
      <c r="AO289" s="23" t="s">
        <v>54</v>
      </c>
      <c r="AP289" s="23" t="s">
        <v>54</v>
      </c>
      <c r="AQ289" s="23" t="s">
        <v>54</v>
      </c>
      <c r="AR289" s="35">
        <v>0</v>
      </c>
      <c r="AS289" s="35">
        <v>0</v>
      </c>
      <c r="AT289" s="35">
        <v>0</v>
      </c>
      <c r="AU289" s="31" t="str">
        <f t="shared" si="7"/>
        <v>库存为0</v>
      </c>
      <c r="AV289" s="36" t="str">
        <f>IFERROR($A$2+AU289,"上周无销量")</f>
        <v>上周无销量</v>
      </c>
    </row>
    <row r="290" spans="1:48">
      <c r="A290" s="21" t="s">
        <v>641</v>
      </c>
      <c r="B290" t="s">
        <v>642</v>
      </c>
      <c r="C290" t="s">
        <v>634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s">
        <v>54</v>
      </c>
      <c r="AO290" s="23" t="s">
        <v>54</v>
      </c>
      <c r="AP290" s="23" t="s">
        <v>54</v>
      </c>
      <c r="AQ290" s="23" t="s">
        <v>54</v>
      </c>
      <c r="AR290" s="35">
        <v>0</v>
      </c>
      <c r="AS290" s="35">
        <v>0</v>
      </c>
      <c r="AT290" s="35">
        <v>0</v>
      </c>
      <c r="AU290" s="31" t="str">
        <f t="shared" si="7"/>
        <v>库存为0</v>
      </c>
      <c r="AV290" s="36" t="str">
        <f>IFERROR($A$2+AU290,"上周无销量")</f>
        <v>上周无销量</v>
      </c>
    </row>
    <row r="291" spans="1:48">
      <c r="A291" s="21" t="s">
        <v>643</v>
      </c>
      <c r="B291" t="s">
        <v>644</v>
      </c>
      <c r="C291" t="s">
        <v>634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0</v>
      </c>
      <c r="K291" s="33">
        <v>0</v>
      </c>
      <c r="L291" s="33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s">
        <v>54</v>
      </c>
      <c r="AO291" s="23" t="s">
        <v>54</v>
      </c>
      <c r="AP291" s="23" t="s">
        <v>54</v>
      </c>
      <c r="AQ291" s="23" t="s">
        <v>54</v>
      </c>
      <c r="AR291" s="35">
        <v>0</v>
      </c>
      <c r="AS291" s="35">
        <v>0</v>
      </c>
      <c r="AT291" s="35">
        <v>0</v>
      </c>
      <c r="AU291" s="31" t="str">
        <f t="shared" si="7"/>
        <v>库存为0</v>
      </c>
      <c r="AV291" s="36" t="str">
        <f>IFERROR($A$2+AU291,"上周无销量")</f>
        <v>上周无销量</v>
      </c>
    </row>
    <row r="292" spans="1:48">
      <c r="A292" s="21" t="s">
        <v>645</v>
      </c>
      <c r="B292" t="s">
        <v>646</v>
      </c>
      <c r="C292" t="s">
        <v>634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s">
        <v>54</v>
      </c>
      <c r="AO292" s="23" t="s">
        <v>54</v>
      </c>
      <c r="AP292" s="23" t="s">
        <v>54</v>
      </c>
      <c r="AQ292" s="23" t="s">
        <v>54</v>
      </c>
      <c r="AR292" s="35">
        <v>0</v>
      </c>
      <c r="AS292" s="35">
        <v>0</v>
      </c>
      <c r="AT292" s="35">
        <v>0</v>
      </c>
      <c r="AU292" s="31" t="str">
        <f t="shared" si="7"/>
        <v>库存为0</v>
      </c>
      <c r="AV292" s="36" t="str">
        <f>IFERROR($A$2+AU292,"上周无销量")</f>
        <v>上周无销量</v>
      </c>
    </row>
    <row r="293" spans="1:48">
      <c r="A293" s="21" t="s">
        <v>647</v>
      </c>
      <c r="B293" t="s">
        <v>648</v>
      </c>
      <c r="C293" t="s">
        <v>634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s">
        <v>54</v>
      </c>
      <c r="AO293" s="23" t="s">
        <v>54</v>
      </c>
      <c r="AP293" s="23" t="s">
        <v>54</v>
      </c>
      <c r="AQ293" s="23" t="s">
        <v>54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IFERROR($A$2+AU293,"上周无销量")</f>
        <v>上周无销量</v>
      </c>
    </row>
    <row r="294" spans="1:48">
      <c r="A294" s="21" t="s">
        <v>649</v>
      </c>
      <c r="B294" t="s">
        <v>650</v>
      </c>
      <c r="C294" t="s">
        <v>634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s">
        <v>54</v>
      </c>
      <c r="AO294" s="23" t="s">
        <v>54</v>
      </c>
      <c r="AP294" s="23" t="s">
        <v>54</v>
      </c>
      <c r="AQ294" s="23" t="s">
        <v>54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IFERROR($A$2+AU294,"上周无销量")</f>
        <v>上周无销量</v>
      </c>
    </row>
    <row r="295" spans="1:48">
      <c r="A295" s="21" t="s">
        <v>651</v>
      </c>
      <c r="B295" t="s">
        <v>652</v>
      </c>
      <c r="C295" t="s">
        <v>634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IFERROR($A$2+AU295,"上周无销量")</f>
        <v>上周无销量</v>
      </c>
    </row>
    <row r="296" spans="1:48">
      <c r="A296" s="21" t="s">
        <v>653</v>
      </c>
      <c r="B296" t="s">
        <v>654</v>
      </c>
      <c r="C296" t="s">
        <v>655</v>
      </c>
      <c r="D296" s="31">
        <v>0</v>
      </c>
      <c r="E296" s="31">
        <v>0</v>
      </c>
      <c r="F296" s="31">
        <v>1</v>
      </c>
      <c r="G296" s="31">
        <v>2</v>
      </c>
      <c r="H296" s="32">
        <v>10.98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2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11</v>
      </c>
      <c r="AM296">
        <v>26</v>
      </c>
      <c r="AN296" s="23" t="s">
        <v>54</v>
      </c>
      <c r="AO296" s="23" t="s">
        <v>54</v>
      </c>
      <c r="AP296" s="23">
        <v>0.0909090909090909</v>
      </c>
      <c r="AQ296" s="23">
        <v>0.0769230769230769</v>
      </c>
      <c r="AR296" s="35">
        <v>0</v>
      </c>
      <c r="AS296" s="35">
        <v>0</v>
      </c>
      <c r="AT296" s="35">
        <v>0</v>
      </c>
      <c r="AU296" s="31" t="str">
        <f t="shared" si="7"/>
        <v>库存为0</v>
      </c>
      <c r="AV296" s="36" t="str">
        <f>IFERROR($A$2+AU296,"上周无销量")</f>
        <v>上周无销量</v>
      </c>
    </row>
    <row r="297" spans="1:48">
      <c r="A297" s="21" t="s">
        <v>656</v>
      </c>
      <c r="B297" t="s">
        <v>657</v>
      </c>
      <c r="C297" t="s">
        <v>655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s">
        <v>54</v>
      </c>
      <c r="AO297" s="23" t="s">
        <v>54</v>
      </c>
      <c r="AP297" s="23" t="s">
        <v>54</v>
      </c>
      <c r="AQ297" s="23" t="s">
        <v>54</v>
      </c>
      <c r="AR297" s="35">
        <v>0</v>
      </c>
      <c r="AS297" s="35">
        <v>0</v>
      </c>
      <c r="AT297" s="35">
        <v>0</v>
      </c>
      <c r="AU297" s="31" t="str">
        <f t="shared" si="7"/>
        <v>库存为0</v>
      </c>
      <c r="AV297" s="36" t="str">
        <f>IFERROR($A$2+AU297,"上周无销量")</f>
        <v>上周无销量</v>
      </c>
    </row>
    <row r="298" spans="1:48">
      <c r="A298" s="21" t="s">
        <v>658</v>
      </c>
      <c r="B298" t="s">
        <v>659</v>
      </c>
      <c r="C298" t="s">
        <v>655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s">
        <v>54</v>
      </c>
      <c r="AO298" s="23" t="s">
        <v>54</v>
      </c>
      <c r="AP298" s="23" t="s">
        <v>54</v>
      </c>
      <c r="AQ298" s="23" t="s">
        <v>54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IFERROR($A$2+AU298,"上周无销量")</f>
        <v>上周无销量</v>
      </c>
    </row>
    <row r="299" spans="1:48">
      <c r="A299" s="21" t="s">
        <v>660</v>
      </c>
      <c r="B299" t="s">
        <v>661</v>
      </c>
      <c r="C299" t="s">
        <v>655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1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s">
        <v>54</v>
      </c>
      <c r="AO299" s="23" t="s">
        <v>54</v>
      </c>
      <c r="AP299" s="23" t="s">
        <v>54</v>
      </c>
      <c r="AQ299" s="23" t="s">
        <v>54</v>
      </c>
      <c r="AR299" s="35">
        <v>0</v>
      </c>
      <c r="AS299" s="35">
        <v>0</v>
      </c>
      <c r="AT299" s="35">
        <v>0</v>
      </c>
      <c r="AU299" s="31" t="str">
        <f t="shared" si="7"/>
        <v>库存为0</v>
      </c>
      <c r="AV299" s="36" t="str">
        <f>IFERROR($A$2+AU299,"上周无销量")</f>
        <v>上周无销量</v>
      </c>
    </row>
    <row r="300" spans="1:48">
      <c r="A300" s="21" t="s">
        <v>662</v>
      </c>
      <c r="B300" t="s">
        <v>663</v>
      </c>
      <c r="C300" t="s">
        <v>655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s">
        <v>54</v>
      </c>
      <c r="AO300" s="23" t="s">
        <v>54</v>
      </c>
      <c r="AP300" s="23" t="s">
        <v>54</v>
      </c>
      <c r="AQ300" s="23" t="s">
        <v>54</v>
      </c>
      <c r="AR300" s="35">
        <v>0</v>
      </c>
      <c r="AS300" s="35">
        <v>0</v>
      </c>
      <c r="AT300" s="35">
        <v>0</v>
      </c>
      <c r="AU300" s="31" t="str">
        <f t="shared" si="7"/>
        <v>库存为0</v>
      </c>
      <c r="AV300" s="36" t="str">
        <f>IFERROR($A$2+AU300,"上周无销量")</f>
        <v>上周无销量</v>
      </c>
    </row>
    <row r="301" spans="1:48">
      <c r="A301" s="21" t="s">
        <v>664</v>
      </c>
      <c r="B301" t="s">
        <v>665</v>
      </c>
      <c r="C301" t="s">
        <v>655</v>
      </c>
      <c r="D301" s="31">
        <v>0</v>
      </c>
      <c r="E301" s="31">
        <v>0</v>
      </c>
      <c r="F301" s="31">
        <v>1</v>
      </c>
      <c r="G301" s="31">
        <v>0</v>
      </c>
      <c r="H301" s="32">
        <v>10.98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5</v>
      </c>
      <c r="AM301">
        <v>0</v>
      </c>
      <c r="AN301" s="23" t="s">
        <v>54</v>
      </c>
      <c r="AO301" s="23" t="s">
        <v>54</v>
      </c>
      <c r="AP301" s="23">
        <v>0.2</v>
      </c>
      <c r="AQ301" s="23" t="s">
        <v>54</v>
      </c>
      <c r="AR301" s="35">
        <v>0</v>
      </c>
      <c r="AS301" s="35">
        <v>0</v>
      </c>
      <c r="AT301" s="35">
        <v>0</v>
      </c>
      <c r="AU301" s="31" t="str">
        <f t="shared" si="7"/>
        <v>库存为0</v>
      </c>
      <c r="AV301" s="36" t="str">
        <f>IFERROR($A$2+AU301,"上周无销量")</f>
        <v>上周无销量</v>
      </c>
    </row>
    <row r="302" spans="1:48">
      <c r="A302" s="21" t="s">
        <v>666</v>
      </c>
      <c r="B302" t="s">
        <v>667</v>
      </c>
      <c r="C302" t="s">
        <v>655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s">
        <v>54</v>
      </c>
      <c r="AO302" s="23" t="s">
        <v>54</v>
      </c>
      <c r="AP302" s="23" t="s">
        <v>54</v>
      </c>
      <c r="AQ302" s="23" t="s">
        <v>54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IFERROR($A$2+AU302,"上周无销量")</f>
        <v>上周无销量</v>
      </c>
    </row>
    <row r="303" spans="1:48">
      <c r="A303" s="21" t="s">
        <v>668</v>
      </c>
      <c r="B303" t="s">
        <v>669</v>
      </c>
      <c r="C303" t="s">
        <v>655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s">
        <v>54</v>
      </c>
      <c r="AO303" s="23" t="s">
        <v>54</v>
      </c>
      <c r="AP303" s="23" t="s">
        <v>54</v>
      </c>
      <c r="AQ303" s="23" t="s">
        <v>54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IFERROR($A$2+AU303,"上周无销量")</f>
        <v>上周无销量</v>
      </c>
    </row>
    <row r="304" spans="1:48">
      <c r="A304" s="21" t="s">
        <v>670</v>
      </c>
      <c r="B304" t="s">
        <v>671</v>
      </c>
      <c r="C304" t="s">
        <v>655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2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2</v>
      </c>
      <c r="AL304">
        <v>0</v>
      </c>
      <c r="AM304">
        <v>0</v>
      </c>
      <c r="AN304" s="23" t="s">
        <v>54</v>
      </c>
      <c r="AO304" s="23">
        <v>0</v>
      </c>
      <c r="AP304" s="23" t="s">
        <v>54</v>
      </c>
      <c r="AQ304" s="23" t="s">
        <v>54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IFERROR($A$2+AU304,"上周无销量")</f>
        <v>上周无销量</v>
      </c>
    </row>
    <row r="305" spans="1:48">
      <c r="A305" s="21" t="s">
        <v>672</v>
      </c>
      <c r="B305" t="s">
        <v>673</v>
      </c>
      <c r="C305" t="s">
        <v>674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s">
        <v>54</v>
      </c>
      <c r="AO305" s="23" t="s">
        <v>54</v>
      </c>
      <c r="AP305" s="23" t="s">
        <v>54</v>
      </c>
      <c r="AQ305" s="23" t="s">
        <v>54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IFERROR($A$2+AU305,"上周无销量")</f>
        <v>上周无销量</v>
      </c>
    </row>
    <row r="306" spans="1:48">
      <c r="A306" s="21" t="s">
        <v>675</v>
      </c>
      <c r="B306" t="s">
        <v>676</v>
      </c>
      <c r="C306" t="s">
        <v>674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s">
        <v>54</v>
      </c>
      <c r="AO306" s="23" t="s">
        <v>54</v>
      </c>
      <c r="AP306" s="23" t="s">
        <v>54</v>
      </c>
      <c r="AQ306" s="23" t="s">
        <v>54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IFERROR($A$2+AU306,"上周无销量")</f>
        <v>上周无销量</v>
      </c>
    </row>
    <row r="307" spans="1:48">
      <c r="A307" s="21" t="s">
        <v>677</v>
      </c>
      <c r="B307" t="s">
        <v>678</v>
      </c>
      <c r="C307" t="s">
        <v>674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IFERROR($A$2+AU307,"上周无销量")</f>
        <v>上周无销量</v>
      </c>
    </row>
    <row r="308" spans="1:48">
      <c r="A308" s="21" t="s">
        <v>679</v>
      </c>
      <c r="B308" t="s">
        <v>680</v>
      </c>
      <c r="C308" t="s">
        <v>674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s">
        <v>54</v>
      </c>
      <c r="AO308" s="23" t="s">
        <v>54</v>
      </c>
      <c r="AP308" s="23" t="s">
        <v>54</v>
      </c>
      <c r="AQ308" s="23" t="s">
        <v>54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IFERROR($A$2+AU308,"上周无销量")</f>
        <v>上周无销量</v>
      </c>
    </row>
    <row r="309" spans="1:48">
      <c r="A309" s="21" t="s">
        <v>681</v>
      </c>
      <c r="B309" t="s">
        <v>682</v>
      </c>
      <c r="C309" t="s">
        <v>674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s">
        <v>54</v>
      </c>
      <c r="AO309" s="23" t="s">
        <v>54</v>
      </c>
      <c r="AP309" s="23" t="s">
        <v>54</v>
      </c>
      <c r="AQ309" s="23" t="s">
        <v>54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IFERROR($A$2+AU309,"上周无销量")</f>
        <v>上周无销量</v>
      </c>
    </row>
    <row r="310" spans="1:48">
      <c r="A310" s="21" t="s">
        <v>683</v>
      </c>
      <c r="B310" t="s">
        <v>684</v>
      </c>
      <c r="C310" t="s">
        <v>674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s">
        <v>54</v>
      </c>
      <c r="AO310" s="23" t="s">
        <v>54</v>
      </c>
      <c r="AP310" s="23" t="s">
        <v>54</v>
      </c>
      <c r="AQ310" s="23" t="s">
        <v>54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IFERROR($A$2+AU310,"上周无销量")</f>
        <v>上周无销量</v>
      </c>
    </row>
    <row r="311" spans="1:48">
      <c r="A311" s="21" t="s">
        <v>685</v>
      </c>
      <c r="B311" t="s">
        <v>686</v>
      </c>
      <c r="C311" t="s">
        <v>674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IFERROR($A$2+AU311,"上周无销量")</f>
        <v>上周无销量</v>
      </c>
    </row>
    <row r="312" spans="1:48">
      <c r="A312" s="21" t="s">
        <v>687</v>
      </c>
      <c r="B312" t="s">
        <v>688</v>
      </c>
      <c r="C312" t="s">
        <v>674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s">
        <v>54</v>
      </c>
      <c r="AO312" s="23" t="s">
        <v>54</v>
      </c>
      <c r="AP312" s="23" t="s">
        <v>54</v>
      </c>
      <c r="AQ312" s="23" t="s">
        <v>54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IFERROR($A$2+AU312,"上周无销量")</f>
        <v>上周无销量</v>
      </c>
    </row>
    <row r="313" spans="1:48">
      <c r="A313" s="21" t="s">
        <v>689</v>
      </c>
      <c r="B313" t="s">
        <v>690</v>
      </c>
      <c r="C313" t="s">
        <v>674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s">
        <v>54</v>
      </c>
      <c r="AO313" s="23" t="s">
        <v>54</v>
      </c>
      <c r="AP313" s="23" t="s">
        <v>54</v>
      </c>
      <c r="AQ313" s="23" t="s">
        <v>54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IFERROR($A$2+AU313,"上周无销量")</f>
        <v>上周无销量</v>
      </c>
    </row>
    <row r="314" spans="1:48">
      <c r="A314" s="21" t="s">
        <v>691</v>
      </c>
      <c r="B314" t="s">
        <v>692</v>
      </c>
      <c r="C314" t="s">
        <v>674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s">
        <v>54</v>
      </c>
      <c r="AO314" s="23" t="s">
        <v>54</v>
      </c>
      <c r="AP314" s="23" t="s">
        <v>54</v>
      </c>
      <c r="AQ314" s="23" t="s">
        <v>54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IFERROR($A$2+AU314,"上周无销量")</f>
        <v>上周无销量</v>
      </c>
    </row>
    <row r="315" spans="1:48">
      <c r="A315" s="21" t="s">
        <v>693</v>
      </c>
      <c r="B315" t="s">
        <v>694</v>
      </c>
      <c r="C315" t="s">
        <v>674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s">
        <v>54</v>
      </c>
      <c r="AO315" s="23" t="s">
        <v>54</v>
      </c>
      <c r="AP315" s="23" t="s">
        <v>54</v>
      </c>
      <c r="AQ315" s="23" t="s">
        <v>54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IFERROR($A$2+AU315,"上周无销量")</f>
        <v>上周无销量</v>
      </c>
    </row>
    <row r="316" spans="1:48">
      <c r="A316" s="21" t="s">
        <v>695</v>
      </c>
      <c r="B316" t="s">
        <v>696</v>
      </c>
      <c r="C316" t="s">
        <v>674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s">
        <v>54</v>
      </c>
      <c r="AO316" s="23" t="s">
        <v>54</v>
      </c>
      <c r="AP316" s="23" t="s">
        <v>54</v>
      </c>
      <c r="AQ316" s="23" t="s">
        <v>54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IFERROR($A$2+AU316,"上周无销量")</f>
        <v>上周无销量</v>
      </c>
    </row>
    <row r="317" spans="1:48">
      <c r="A317" s="21" t="s">
        <v>697</v>
      </c>
      <c r="B317" t="s">
        <v>698</v>
      </c>
      <c r="C317" t="s">
        <v>674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s">
        <v>54</v>
      </c>
      <c r="AO317" s="23" t="s">
        <v>54</v>
      </c>
      <c r="AP317" s="23" t="s">
        <v>54</v>
      </c>
      <c r="AQ317" s="23" t="s">
        <v>54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IFERROR($A$2+AU317,"上周无销量")</f>
        <v>上周无销量</v>
      </c>
    </row>
    <row r="318" spans="1:48">
      <c r="A318" s="21" t="s">
        <v>699</v>
      </c>
      <c r="B318" t="s">
        <v>700</v>
      </c>
      <c r="C318" t="s">
        <v>674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s">
        <v>54</v>
      </c>
      <c r="AO318" s="23" t="s">
        <v>54</v>
      </c>
      <c r="AP318" s="23" t="s">
        <v>54</v>
      </c>
      <c r="AQ318" s="23" t="s">
        <v>54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IFERROR($A$2+AU318,"上周无销量")</f>
        <v>上周无销量</v>
      </c>
    </row>
    <row r="319" spans="1:48">
      <c r="A319" s="21" t="s">
        <v>701</v>
      </c>
      <c r="B319" t="s">
        <v>702</v>
      </c>
      <c r="C319" t="s">
        <v>674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s">
        <v>54</v>
      </c>
      <c r="AO319" s="23" t="s">
        <v>54</v>
      </c>
      <c r="AP319" s="23" t="s">
        <v>54</v>
      </c>
      <c r="AQ319" s="23" t="s">
        <v>54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IFERROR($A$2+AU319,"上周无销量")</f>
        <v>上周无销量</v>
      </c>
    </row>
    <row r="320" spans="1:48">
      <c r="A320" s="21" t="s">
        <v>703</v>
      </c>
      <c r="B320" t="s">
        <v>704</v>
      </c>
      <c r="C320" t="s">
        <v>705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s">
        <v>54</v>
      </c>
      <c r="AO320" s="23" t="s">
        <v>54</v>
      </c>
      <c r="AP320" s="23" t="s">
        <v>54</v>
      </c>
      <c r="AQ320" s="23" t="s">
        <v>54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IFERROR($A$2+AU320,"上周无销量")</f>
        <v>上周无销量</v>
      </c>
    </row>
    <row r="321" spans="1:48">
      <c r="A321" s="21" t="s">
        <v>706</v>
      </c>
      <c r="B321" t="s">
        <v>707</v>
      </c>
      <c r="C321" t="s">
        <v>705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s">
        <v>54</v>
      </c>
      <c r="AO321" s="23" t="s">
        <v>54</v>
      </c>
      <c r="AP321" s="23" t="s">
        <v>54</v>
      </c>
      <c r="AQ321" s="23" t="s">
        <v>54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IFERROR($A$2+AU321,"上周无销量")</f>
        <v>上周无销量</v>
      </c>
    </row>
    <row r="322" spans="1:48">
      <c r="A322" s="21" t="s">
        <v>708</v>
      </c>
      <c r="B322" t="s">
        <v>709</v>
      </c>
      <c r="C322" t="s">
        <v>705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4</v>
      </c>
      <c r="J322" s="33">
        <v>0</v>
      </c>
      <c r="K322" s="33">
        <v>0</v>
      </c>
      <c r="L322" s="33">
        <v>0</v>
      </c>
      <c r="M322">
        <v>4</v>
      </c>
      <c r="N322">
        <v>0</v>
      </c>
      <c r="O322">
        <v>4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16</v>
      </c>
      <c r="AK322">
        <v>11</v>
      </c>
      <c r="AL322">
        <v>11</v>
      </c>
      <c r="AM322">
        <v>3</v>
      </c>
      <c r="AN322" s="23">
        <v>0</v>
      </c>
      <c r="AO322" s="23">
        <v>0</v>
      </c>
      <c r="AP322" s="23">
        <v>0</v>
      </c>
      <c r="AQ322" s="23">
        <v>0</v>
      </c>
      <c r="AR322" s="35">
        <v>0</v>
      </c>
      <c r="AS322" s="35">
        <v>0</v>
      </c>
      <c r="AT322" s="35">
        <v>4</v>
      </c>
      <c r="AU322" s="31" t="str">
        <f t="shared" si="7"/>
        <v>库存为4</v>
      </c>
      <c r="AV322" s="36" t="str">
        <f>IFERROR($A$2+AU322,"上周无销量")</f>
        <v>上周无销量</v>
      </c>
    </row>
    <row r="323" spans="1:48">
      <c r="A323" s="21" t="s">
        <v>710</v>
      </c>
      <c r="B323" t="s">
        <v>711</v>
      </c>
      <c r="C323" t="s">
        <v>705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6</v>
      </c>
      <c r="J323" s="33">
        <v>0</v>
      </c>
      <c r="K323" s="33">
        <v>0</v>
      </c>
      <c r="L323" s="33">
        <v>0</v>
      </c>
      <c r="M323">
        <v>6</v>
      </c>
      <c r="N323">
        <v>0</v>
      </c>
      <c r="O323">
        <v>6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3</v>
      </c>
      <c r="AK323">
        <v>2</v>
      </c>
      <c r="AL323">
        <v>3</v>
      </c>
      <c r="AM323">
        <v>3</v>
      </c>
      <c r="AN323" s="23">
        <v>0</v>
      </c>
      <c r="AO323" s="23">
        <v>0</v>
      </c>
      <c r="AP323" s="23">
        <v>0</v>
      </c>
      <c r="AQ323" s="23">
        <v>0</v>
      </c>
      <c r="AR323" s="35">
        <v>0</v>
      </c>
      <c r="AS323" s="35">
        <v>0</v>
      </c>
      <c r="AT323" s="35">
        <v>6</v>
      </c>
      <c r="AU323" s="31" t="str">
        <f t="shared" si="7"/>
        <v>库存为6</v>
      </c>
      <c r="AV323" s="36" t="str">
        <f>IFERROR($A$2+AU323,"上周无销量")</f>
        <v>上周无销量</v>
      </c>
    </row>
    <row r="324" spans="1:48">
      <c r="A324" s="21" t="s">
        <v>712</v>
      </c>
      <c r="B324" t="s">
        <v>713</v>
      </c>
      <c r="C324" t="s">
        <v>705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2</v>
      </c>
      <c r="J324" s="33">
        <v>0</v>
      </c>
      <c r="K324" s="33">
        <v>0</v>
      </c>
      <c r="L324" s="33">
        <v>0</v>
      </c>
      <c r="M324">
        <v>2</v>
      </c>
      <c r="N324">
        <v>0</v>
      </c>
      <c r="O324">
        <v>2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4</v>
      </c>
      <c r="AK324">
        <v>4</v>
      </c>
      <c r="AL324">
        <v>3</v>
      </c>
      <c r="AM324">
        <v>2</v>
      </c>
      <c r="AN324" s="23">
        <v>0</v>
      </c>
      <c r="AO324" s="23">
        <v>0</v>
      </c>
      <c r="AP324" s="23">
        <v>0</v>
      </c>
      <c r="AQ324" s="23">
        <v>0</v>
      </c>
      <c r="AR324" s="35">
        <v>0</v>
      </c>
      <c r="AS324" s="35">
        <v>0</v>
      </c>
      <c r="AT324" s="35">
        <v>2</v>
      </c>
      <c r="AU324" s="31" t="str">
        <f t="shared" si="7"/>
        <v>库存为2</v>
      </c>
      <c r="AV324" s="36" t="str">
        <f>IFERROR($A$2+AU324,"上周无销量")</f>
        <v>上周无销量</v>
      </c>
    </row>
    <row r="325" spans="1:48">
      <c r="A325" s="21" t="s">
        <v>714</v>
      </c>
      <c r="B325" t="s">
        <v>715</v>
      </c>
      <c r="C325" t="s">
        <v>705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5</v>
      </c>
      <c r="J325" s="33">
        <v>0</v>
      </c>
      <c r="K325" s="33">
        <v>0</v>
      </c>
      <c r="L325" s="33">
        <v>0</v>
      </c>
      <c r="M325">
        <v>5</v>
      </c>
      <c r="N325">
        <v>0</v>
      </c>
      <c r="O325">
        <v>5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3</v>
      </c>
      <c r="AK325">
        <v>4</v>
      </c>
      <c r="AL325">
        <v>2</v>
      </c>
      <c r="AM325">
        <v>3</v>
      </c>
      <c r="AN325" s="23">
        <v>0</v>
      </c>
      <c r="AO325" s="23">
        <v>0</v>
      </c>
      <c r="AP325" s="23">
        <v>0</v>
      </c>
      <c r="AQ325" s="23">
        <v>0</v>
      </c>
      <c r="AR325" s="35">
        <v>0</v>
      </c>
      <c r="AS325" s="35">
        <v>0</v>
      </c>
      <c r="AT325" s="35">
        <v>5</v>
      </c>
      <c r="AU325" s="31" t="str">
        <f t="shared" ref="AU325:AU388" si="8">IF(AR325="","库存为"&amp;M325,IF(AS325=0,"库存为"&amp;M325,INT(M325/AR325)))</f>
        <v>库存为5</v>
      </c>
      <c r="AV325" s="36" t="str">
        <f>IFERROR($A$2+AU325,"上周无销量")</f>
        <v>上周无销量</v>
      </c>
    </row>
    <row r="326" spans="1:48">
      <c r="A326" s="21" t="s">
        <v>716</v>
      </c>
      <c r="B326" t="s">
        <v>717</v>
      </c>
      <c r="C326" t="s">
        <v>705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7</v>
      </c>
      <c r="J326" s="33">
        <v>0</v>
      </c>
      <c r="K326" s="33">
        <v>0</v>
      </c>
      <c r="L326" s="33">
        <v>0</v>
      </c>
      <c r="M326">
        <v>7</v>
      </c>
      <c r="N326">
        <v>0</v>
      </c>
      <c r="O326">
        <v>6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4</v>
      </c>
      <c r="AK326">
        <v>2</v>
      </c>
      <c r="AL326">
        <v>2</v>
      </c>
      <c r="AM326">
        <v>3</v>
      </c>
      <c r="AN326" s="23">
        <v>0</v>
      </c>
      <c r="AO326" s="23">
        <v>0</v>
      </c>
      <c r="AP326" s="23">
        <v>0</v>
      </c>
      <c r="AQ326" s="23">
        <v>0</v>
      </c>
      <c r="AR326" s="35">
        <v>0</v>
      </c>
      <c r="AS326" s="35">
        <v>0</v>
      </c>
      <c r="AT326" s="35">
        <v>7</v>
      </c>
      <c r="AU326" s="31" t="str">
        <f t="shared" si="8"/>
        <v>库存为7</v>
      </c>
      <c r="AV326" s="36" t="str">
        <f>IFERROR($A$2+AU326,"上周无销量")</f>
        <v>上周无销量</v>
      </c>
    </row>
    <row r="327" spans="1:48">
      <c r="A327" s="21" t="s">
        <v>718</v>
      </c>
      <c r="B327" t="s">
        <v>719</v>
      </c>
      <c r="C327" t="s">
        <v>720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6</v>
      </c>
      <c r="J327" s="33">
        <v>0</v>
      </c>
      <c r="K327" s="33">
        <v>0</v>
      </c>
      <c r="L327" s="33">
        <v>0</v>
      </c>
      <c r="M327">
        <v>6</v>
      </c>
      <c r="N327">
        <v>0</v>
      </c>
      <c r="O327">
        <v>6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5</v>
      </c>
      <c r="AK327">
        <v>3</v>
      </c>
      <c r="AL327">
        <v>3</v>
      </c>
      <c r="AM327">
        <v>1</v>
      </c>
      <c r="AN327" s="23">
        <v>0</v>
      </c>
      <c r="AO327" s="23">
        <v>0</v>
      </c>
      <c r="AP327" s="23">
        <v>0</v>
      </c>
      <c r="AQ327" s="23">
        <v>0</v>
      </c>
      <c r="AR327" s="35">
        <v>0</v>
      </c>
      <c r="AS327" s="35">
        <v>0</v>
      </c>
      <c r="AT327" s="35">
        <v>6</v>
      </c>
      <c r="AU327" s="31" t="str">
        <f t="shared" si="8"/>
        <v>库存为6</v>
      </c>
      <c r="AV327" s="36" t="str">
        <f>IFERROR($A$2+AU327,"上周无销量")</f>
        <v>上周无销量</v>
      </c>
    </row>
    <row r="328" spans="1:48">
      <c r="A328" s="21" t="s">
        <v>721</v>
      </c>
      <c r="B328" t="s">
        <v>722</v>
      </c>
      <c r="C328" t="s">
        <v>720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6</v>
      </c>
      <c r="J328" s="33">
        <v>0</v>
      </c>
      <c r="K328" s="33">
        <v>0</v>
      </c>
      <c r="L328" s="33">
        <v>0</v>
      </c>
      <c r="M328">
        <v>6</v>
      </c>
      <c r="N328">
        <v>0</v>
      </c>
      <c r="O328">
        <v>6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2</v>
      </c>
      <c r="AK328">
        <v>1</v>
      </c>
      <c r="AL328">
        <v>3</v>
      </c>
      <c r="AM328">
        <v>1</v>
      </c>
      <c r="AN328" s="23">
        <v>0</v>
      </c>
      <c r="AO328" s="23">
        <v>0</v>
      </c>
      <c r="AP328" s="23">
        <v>0</v>
      </c>
      <c r="AQ328" s="23">
        <v>0</v>
      </c>
      <c r="AR328" s="35">
        <v>0</v>
      </c>
      <c r="AS328" s="35">
        <v>0</v>
      </c>
      <c r="AT328" s="35">
        <v>6</v>
      </c>
      <c r="AU328" s="31" t="str">
        <f t="shared" si="8"/>
        <v>库存为6</v>
      </c>
      <c r="AV328" s="36" t="str">
        <f>IFERROR($A$2+AU328,"上周无销量")</f>
        <v>上周无销量</v>
      </c>
    </row>
    <row r="329" spans="1:48">
      <c r="A329" s="21" t="s">
        <v>723</v>
      </c>
      <c r="B329" t="s">
        <v>724</v>
      </c>
      <c r="C329" t="s">
        <v>720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4</v>
      </c>
      <c r="J329" s="33">
        <v>0</v>
      </c>
      <c r="K329" s="33">
        <v>0</v>
      </c>
      <c r="L329" s="33">
        <v>0</v>
      </c>
      <c r="M329">
        <v>4</v>
      </c>
      <c r="N329">
        <v>0</v>
      </c>
      <c r="O329">
        <v>3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4</v>
      </c>
      <c r="AK329">
        <v>2</v>
      </c>
      <c r="AL329">
        <v>3</v>
      </c>
      <c r="AM329">
        <v>0</v>
      </c>
      <c r="AN329" s="23">
        <v>0</v>
      </c>
      <c r="AO329" s="23">
        <v>0</v>
      </c>
      <c r="AP329" s="23">
        <v>0</v>
      </c>
      <c r="AQ329" s="23" t="s">
        <v>54</v>
      </c>
      <c r="AR329" s="35">
        <v>0</v>
      </c>
      <c r="AS329" s="35">
        <v>0</v>
      </c>
      <c r="AT329" s="35">
        <v>4</v>
      </c>
      <c r="AU329" s="31" t="str">
        <f t="shared" si="8"/>
        <v>库存为4</v>
      </c>
      <c r="AV329" s="36" t="str">
        <f>IFERROR($A$2+AU329,"上周无销量")</f>
        <v>上周无销量</v>
      </c>
    </row>
    <row r="330" spans="1:48">
      <c r="A330" s="21" t="s">
        <v>725</v>
      </c>
      <c r="B330" t="s">
        <v>726</v>
      </c>
      <c r="C330" t="s">
        <v>720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10</v>
      </c>
      <c r="J330" s="33">
        <v>0</v>
      </c>
      <c r="K330" s="33">
        <v>0</v>
      </c>
      <c r="L330" s="33">
        <v>0</v>
      </c>
      <c r="M330">
        <v>10</v>
      </c>
      <c r="N330">
        <v>0</v>
      </c>
      <c r="O330">
        <v>10</v>
      </c>
      <c r="P330">
        <v>239</v>
      </c>
      <c r="Q330">
        <v>257</v>
      </c>
      <c r="R330">
        <v>257</v>
      </c>
      <c r="S330">
        <v>836</v>
      </c>
      <c r="T330">
        <v>2</v>
      </c>
      <c r="U330">
        <v>0</v>
      </c>
      <c r="V330">
        <v>0</v>
      </c>
      <c r="W330">
        <v>2</v>
      </c>
      <c r="X330" s="23">
        <v>0.00836820083682008</v>
      </c>
      <c r="Y330" s="23">
        <v>0</v>
      </c>
      <c r="Z330" s="23">
        <v>0</v>
      </c>
      <c r="AA330" s="23">
        <v>0.00239234449760766</v>
      </c>
      <c r="AB330">
        <v>0.62</v>
      </c>
      <c r="AC330">
        <v>0</v>
      </c>
      <c r="AD330">
        <v>0</v>
      </c>
      <c r="AE330">
        <v>0.27</v>
      </c>
      <c r="AF330" s="23">
        <v>0</v>
      </c>
      <c r="AG330" s="23" t="s">
        <v>54</v>
      </c>
      <c r="AH330" s="23" t="s">
        <v>54</v>
      </c>
      <c r="AI330" s="23">
        <v>0</v>
      </c>
      <c r="AJ330">
        <v>3</v>
      </c>
      <c r="AK330">
        <v>5</v>
      </c>
      <c r="AL330">
        <v>3</v>
      </c>
      <c r="AM330">
        <v>4</v>
      </c>
      <c r="AN330" s="23">
        <v>0</v>
      </c>
      <c r="AO330" s="23">
        <v>0</v>
      </c>
      <c r="AP330" s="23">
        <v>0</v>
      </c>
      <c r="AQ330" s="23">
        <v>0</v>
      </c>
      <c r="AR330" s="35">
        <v>0</v>
      </c>
      <c r="AS330" s="35">
        <v>0</v>
      </c>
      <c r="AT330" s="35">
        <v>10</v>
      </c>
      <c r="AU330" s="31" t="str">
        <f t="shared" si="8"/>
        <v>库存为10</v>
      </c>
      <c r="AV330" s="36" t="str">
        <f>IFERROR($A$2+AU330,"上周无销量")</f>
        <v>上周无销量</v>
      </c>
    </row>
    <row r="331" spans="1:48">
      <c r="A331" s="21" t="s">
        <v>727</v>
      </c>
      <c r="B331" t="s">
        <v>728</v>
      </c>
      <c r="C331" t="s">
        <v>720</v>
      </c>
      <c r="D331" s="31">
        <v>0</v>
      </c>
      <c r="E331" s="31">
        <v>0</v>
      </c>
      <c r="F331" s="31">
        <v>1</v>
      </c>
      <c r="G331" s="31">
        <v>0</v>
      </c>
      <c r="H331" s="32">
        <v>20</v>
      </c>
      <c r="I331">
        <v>3</v>
      </c>
      <c r="J331" s="33">
        <v>0</v>
      </c>
      <c r="K331" s="33">
        <v>0</v>
      </c>
      <c r="L331" s="33">
        <v>0</v>
      </c>
      <c r="M331">
        <v>3</v>
      </c>
      <c r="N331">
        <v>0</v>
      </c>
      <c r="O331">
        <v>3</v>
      </c>
      <c r="P331">
        <v>0</v>
      </c>
      <c r="Q331">
        <v>0</v>
      </c>
      <c r="R331">
        <v>0</v>
      </c>
      <c r="S331">
        <v>61</v>
      </c>
      <c r="T331">
        <v>0</v>
      </c>
      <c r="U331">
        <v>0</v>
      </c>
      <c r="V331">
        <v>0</v>
      </c>
      <c r="W331">
        <v>0</v>
      </c>
      <c r="X331" s="23" t="s">
        <v>54</v>
      </c>
      <c r="Y331" s="23" t="s">
        <v>54</v>
      </c>
      <c r="Z331" s="23" t="s">
        <v>54</v>
      </c>
      <c r="AA331" s="23">
        <v>0</v>
      </c>
      <c r="AB331">
        <v>0</v>
      </c>
      <c r="AC331">
        <v>0</v>
      </c>
      <c r="AD331">
        <v>0</v>
      </c>
      <c r="AE331">
        <v>0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3</v>
      </c>
      <c r="AK331">
        <v>2</v>
      </c>
      <c r="AL331">
        <v>6</v>
      </c>
      <c r="AM331">
        <v>4</v>
      </c>
      <c r="AN331" s="23">
        <v>0</v>
      </c>
      <c r="AO331" s="23">
        <v>0</v>
      </c>
      <c r="AP331" s="23">
        <v>0.166666666666667</v>
      </c>
      <c r="AQ331" s="23">
        <v>0</v>
      </c>
      <c r="AR331" s="35">
        <v>0</v>
      </c>
      <c r="AS331" s="35">
        <v>0</v>
      </c>
      <c r="AT331" s="35">
        <v>3</v>
      </c>
      <c r="AU331" s="31" t="str">
        <f t="shared" si="8"/>
        <v>库存为3</v>
      </c>
      <c r="AV331" s="36" t="str">
        <f>IFERROR($A$2+AU331,"上周无销量")</f>
        <v>上周无销量</v>
      </c>
    </row>
    <row r="332" spans="1:48">
      <c r="A332" s="21" t="s">
        <v>729</v>
      </c>
      <c r="B332" t="s">
        <v>730</v>
      </c>
      <c r="C332" t="s">
        <v>720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2</v>
      </c>
      <c r="J332" s="33">
        <v>0</v>
      </c>
      <c r="K332" s="33">
        <v>0</v>
      </c>
      <c r="L332" s="33">
        <v>0</v>
      </c>
      <c r="M332">
        <v>2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83</v>
      </c>
      <c r="T332">
        <v>0</v>
      </c>
      <c r="U332">
        <v>0</v>
      </c>
      <c r="V332">
        <v>0</v>
      </c>
      <c r="W332">
        <v>0</v>
      </c>
      <c r="X332" s="23" t="s">
        <v>54</v>
      </c>
      <c r="Y332" s="23" t="s">
        <v>54</v>
      </c>
      <c r="Z332" s="23" t="s">
        <v>54</v>
      </c>
      <c r="AA332" s="23">
        <v>0</v>
      </c>
      <c r="AB332">
        <v>0</v>
      </c>
      <c r="AC332">
        <v>0</v>
      </c>
      <c r="AD332">
        <v>0</v>
      </c>
      <c r="AE332">
        <v>0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3</v>
      </c>
      <c r="AK332">
        <v>1</v>
      </c>
      <c r="AL332">
        <v>4</v>
      </c>
      <c r="AM332">
        <v>4</v>
      </c>
      <c r="AN332" s="23">
        <v>0</v>
      </c>
      <c r="AO332" s="23">
        <v>0</v>
      </c>
      <c r="AP332" s="23">
        <v>0</v>
      </c>
      <c r="AQ332" s="23">
        <v>0</v>
      </c>
      <c r="AR332" s="35">
        <v>0</v>
      </c>
      <c r="AS332" s="35">
        <v>0</v>
      </c>
      <c r="AT332" s="35">
        <v>2</v>
      </c>
      <c r="AU332" s="31" t="str">
        <f t="shared" si="8"/>
        <v>库存为2</v>
      </c>
      <c r="AV332" s="36" t="str">
        <f>IFERROR($A$2+AU332,"上周无销量")</f>
        <v>上周无销量</v>
      </c>
    </row>
    <row r="333" spans="1:48">
      <c r="A333" s="21" t="s">
        <v>731</v>
      </c>
      <c r="B333" t="s">
        <v>732</v>
      </c>
      <c r="C333" t="s">
        <v>720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6</v>
      </c>
      <c r="J333" s="33">
        <v>0</v>
      </c>
      <c r="K333" s="33">
        <v>0</v>
      </c>
      <c r="L333" s="33">
        <v>0</v>
      </c>
      <c r="M333">
        <v>6</v>
      </c>
      <c r="N333">
        <v>0</v>
      </c>
      <c r="O333">
        <v>6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3</v>
      </c>
      <c r="AK333">
        <v>4</v>
      </c>
      <c r="AL333">
        <v>3</v>
      </c>
      <c r="AM333">
        <v>0</v>
      </c>
      <c r="AN333" s="23">
        <v>0</v>
      </c>
      <c r="AO333" s="23">
        <v>0</v>
      </c>
      <c r="AP333" s="23">
        <v>0</v>
      </c>
      <c r="AQ333" s="23" t="s">
        <v>54</v>
      </c>
      <c r="AR333" s="35">
        <v>0</v>
      </c>
      <c r="AS333" s="35">
        <v>0</v>
      </c>
      <c r="AT333" s="35">
        <v>6</v>
      </c>
      <c r="AU333" s="31" t="str">
        <f t="shared" si="8"/>
        <v>库存为6</v>
      </c>
      <c r="AV333" s="36" t="str">
        <f>IFERROR($A$2+AU333,"上周无销量")</f>
        <v>上周无销量</v>
      </c>
    </row>
    <row r="334" spans="1:48">
      <c r="A334" s="21" t="s">
        <v>733</v>
      </c>
      <c r="B334" t="s">
        <v>734</v>
      </c>
      <c r="C334" t="s">
        <v>720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6</v>
      </c>
      <c r="J334" s="33">
        <v>0</v>
      </c>
      <c r="K334" s="33">
        <v>0</v>
      </c>
      <c r="L334" s="33">
        <v>0</v>
      </c>
      <c r="M334">
        <v>6</v>
      </c>
      <c r="N334">
        <v>0</v>
      </c>
      <c r="O334">
        <v>6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3</v>
      </c>
      <c r="AK334">
        <v>2</v>
      </c>
      <c r="AL334">
        <v>5</v>
      </c>
      <c r="AM334">
        <v>1</v>
      </c>
      <c r="AN334" s="23">
        <v>0</v>
      </c>
      <c r="AO334" s="23">
        <v>0</v>
      </c>
      <c r="AP334" s="23">
        <v>0</v>
      </c>
      <c r="AQ334" s="23">
        <v>0</v>
      </c>
      <c r="AR334" s="35">
        <v>0</v>
      </c>
      <c r="AS334" s="35">
        <v>0</v>
      </c>
      <c r="AT334" s="35">
        <v>6</v>
      </c>
      <c r="AU334" s="31" t="str">
        <f t="shared" si="8"/>
        <v>库存为6</v>
      </c>
      <c r="AV334" s="36" t="str">
        <f>IFERROR($A$2+AU334,"上周无销量")</f>
        <v>上周无销量</v>
      </c>
    </row>
    <row r="335" spans="1:48">
      <c r="A335" s="21" t="s">
        <v>735</v>
      </c>
      <c r="B335" t="s">
        <v>736</v>
      </c>
      <c r="C335" t="s">
        <v>720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3</v>
      </c>
      <c r="J335" s="33">
        <v>0</v>
      </c>
      <c r="K335" s="33">
        <v>0</v>
      </c>
      <c r="L335" s="33">
        <v>0</v>
      </c>
      <c r="M335">
        <v>3</v>
      </c>
      <c r="N335">
        <v>0</v>
      </c>
      <c r="O335">
        <v>3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1</v>
      </c>
      <c r="AK335">
        <v>1</v>
      </c>
      <c r="AL335">
        <v>3</v>
      </c>
      <c r="AM335">
        <v>2</v>
      </c>
      <c r="AN335" s="23">
        <v>0</v>
      </c>
      <c r="AO335" s="23">
        <v>0</v>
      </c>
      <c r="AP335" s="23">
        <v>0</v>
      </c>
      <c r="AQ335" s="23">
        <v>0</v>
      </c>
      <c r="AR335" s="35">
        <v>0</v>
      </c>
      <c r="AS335" s="35">
        <v>0</v>
      </c>
      <c r="AT335" s="35">
        <v>3</v>
      </c>
      <c r="AU335" s="31" t="str">
        <f t="shared" si="8"/>
        <v>库存为3</v>
      </c>
      <c r="AV335" s="36" t="str">
        <f>IFERROR($A$2+AU335,"上周无销量")</f>
        <v>上周无销量</v>
      </c>
    </row>
    <row r="336" spans="1:48">
      <c r="A336" s="21" t="s">
        <v>737</v>
      </c>
      <c r="B336" t="s">
        <v>738</v>
      </c>
      <c r="C336" t="s">
        <v>720</v>
      </c>
      <c r="D336" s="31">
        <v>0</v>
      </c>
      <c r="E336" s="31">
        <v>1</v>
      </c>
      <c r="F336" s="31">
        <v>0</v>
      </c>
      <c r="G336" s="31">
        <v>0</v>
      </c>
      <c r="H336" s="32">
        <v>20</v>
      </c>
      <c r="I336">
        <v>5</v>
      </c>
      <c r="J336" s="33">
        <v>0</v>
      </c>
      <c r="K336" s="33">
        <v>0</v>
      </c>
      <c r="L336" s="33">
        <v>0</v>
      </c>
      <c r="M336">
        <v>5</v>
      </c>
      <c r="N336">
        <v>0</v>
      </c>
      <c r="O336">
        <v>4</v>
      </c>
      <c r="P336">
        <v>277</v>
      </c>
      <c r="Q336">
        <v>119</v>
      </c>
      <c r="R336">
        <v>119</v>
      </c>
      <c r="S336">
        <v>448</v>
      </c>
      <c r="T336">
        <v>0</v>
      </c>
      <c r="U336">
        <v>0</v>
      </c>
      <c r="V336">
        <v>0</v>
      </c>
      <c r="W336">
        <v>0</v>
      </c>
      <c r="X336" s="23">
        <v>0</v>
      </c>
      <c r="Y336" s="23">
        <v>0</v>
      </c>
      <c r="Z336" s="23">
        <v>0</v>
      </c>
      <c r="AA336" s="23">
        <v>0</v>
      </c>
      <c r="AB336">
        <v>0</v>
      </c>
      <c r="AC336">
        <v>0</v>
      </c>
      <c r="AD336">
        <v>0</v>
      </c>
      <c r="AE336">
        <v>0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4</v>
      </c>
      <c r="AK336">
        <v>2</v>
      </c>
      <c r="AL336">
        <v>2</v>
      </c>
      <c r="AM336">
        <v>0</v>
      </c>
      <c r="AN336" s="23">
        <v>0</v>
      </c>
      <c r="AO336" s="23">
        <v>0.5</v>
      </c>
      <c r="AP336" s="23">
        <v>0</v>
      </c>
      <c r="AQ336" s="23" t="s">
        <v>54</v>
      </c>
      <c r="AR336" s="35">
        <v>0</v>
      </c>
      <c r="AS336" s="35">
        <v>0</v>
      </c>
      <c r="AT336" s="35">
        <v>5</v>
      </c>
      <c r="AU336" s="31" t="str">
        <f t="shared" si="8"/>
        <v>库存为5</v>
      </c>
      <c r="AV336" s="36" t="str">
        <f>IFERROR($A$2+AU336,"上周无销量")</f>
        <v>上周无销量</v>
      </c>
    </row>
    <row r="337" spans="1:48">
      <c r="A337" s="21" t="s">
        <v>739</v>
      </c>
      <c r="B337" t="s">
        <v>740</v>
      </c>
      <c r="C337" t="s">
        <v>720</v>
      </c>
      <c r="D337" s="31">
        <v>0</v>
      </c>
      <c r="E337" s="31">
        <v>0</v>
      </c>
      <c r="F337" s="31">
        <v>0</v>
      </c>
      <c r="G337" s="31">
        <v>1</v>
      </c>
      <c r="H337" s="32">
        <v>20</v>
      </c>
      <c r="I337">
        <v>6</v>
      </c>
      <c r="J337" s="33">
        <v>0</v>
      </c>
      <c r="K337" s="33">
        <v>0</v>
      </c>
      <c r="L337" s="33">
        <v>0</v>
      </c>
      <c r="M337">
        <v>6</v>
      </c>
      <c r="N337">
        <v>0</v>
      </c>
      <c r="O337">
        <v>5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3</v>
      </c>
      <c r="AK337">
        <v>3</v>
      </c>
      <c r="AL337">
        <v>4</v>
      </c>
      <c r="AM337">
        <v>1</v>
      </c>
      <c r="AN337" s="23">
        <v>0</v>
      </c>
      <c r="AO337" s="23">
        <v>0</v>
      </c>
      <c r="AP337" s="23">
        <v>0</v>
      </c>
      <c r="AQ337" s="23">
        <v>1</v>
      </c>
      <c r="AR337" s="35">
        <v>0</v>
      </c>
      <c r="AS337" s="35">
        <v>0</v>
      </c>
      <c r="AT337" s="35">
        <v>6</v>
      </c>
      <c r="AU337" s="31" t="str">
        <f t="shared" si="8"/>
        <v>库存为6</v>
      </c>
      <c r="AV337" s="36" t="str">
        <f>IFERROR($A$2+AU337,"上周无销量")</f>
        <v>上周无销量</v>
      </c>
    </row>
    <row r="338" spans="1:48">
      <c r="A338" s="21" t="s">
        <v>741</v>
      </c>
      <c r="B338" t="s">
        <v>742</v>
      </c>
      <c r="C338" t="s">
        <v>720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6</v>
      </c>
      <c r="J338" s="33">
        <v>0</v>
      </c>
      <c r="K338" s="33">
        <v>0</v>
      </c>
      <c r="L338" s="33">
        <v>0</v>
      </c>
      <c r="M338">
        <v>6</v>
      </c>
      <c r="N338">
        <v>0</v>
      </c>
      <c r="O338">
        <v>6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2</v>
      </c>
      <c r="AK338">
        <v>2</v>
      </c>
      <c r="AL338">
        <v>4</v>
      </c>
      <c r="AM338">
        <v>0</v>
      </c>
      <c r="AN338" s="23">
        <v>0</v>
      </c>
      <c r="AO338" s="23">
        <v>0</v>
      </c>
      <c r="AP338" s="23">
        <v>0</v>
      </c>
      <c r="AQ338" s="23" t="s">
        <v>54</v>
      </c>
      <c r="AR338" s="35">
        <v>0</v>
      </c>
      <c r="AS338" s="35">
        <v>0</v>
      </c>
      <c r="AT338" s="35">
        <v>6</v>
      </c>
      <c r="AU338" s="31" t="str">
        <f t="shared" si="8"/>
        <v>库存为6</v>
      </c>
      <c r="AV338" s="36" t="str">
        <f>IFERROR($A$2+AU338,"上周无销量")</f>
        <v>上周无销量</v>
      </c>
    </row>
    <row r="339" spans="1:48">
      <c r="A339" s="21" t="s">
        <v>743</v>
      </c>
      <c r="B339" t="s">
        <v>744</v>
      </c>
      <c r="C339" t="s">
        <v>720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6</v>
      </c>
      <c r="J339" s="33">
        <v>0</v>
      </c>
      <c r="K339" s="33">
        <v>0</v>
      </c>
      <c r="L339" s="33">
        <v>0</v>
      </c>
      <c r="M339">
        <v>6</v>
      </c>
      <c r="N339">
        <v>0</v>
      </c>
      <c r="O339">
        <v>6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3</v>
      </c>
      <c r="AK339">
        <v>4</v>
      </c>
      <c r="AL339">
        <v>2</v>
      </c>
      <c r="AM339">
        <v>3</v>
      </c>
      <c r="AN339" s="23">
        <v>0</v>
      </c>
      <c r="AO339" s="23">
        <v>0</v>
      </c>
      <c r="AP339" s="23">
        <v>0</v>
      </c>
      <c r="AQ339" s="23">
        <v>0</v>
      </c>
      <c r="AR339" s="35">
        <v>0</v>
      </c>
      <c r="AS339" s="35">
        <v>0</v>
      </c>
      <c r="AT339" s="35">
        <v>6</v>
      </c>
      <c r="AU339" s="31" t="str">
        <f t="shared" si="8"/>
        <v>库存为6</v>
      </c>
      <c r="AV339" s="36" t="str">
        <f>IFERROR($A$2+AU339,"上周无销量")</f>
        <v>上周无销量</v>
      </c>
    </row>
    <row r="340" spans="1:48">
      <c r="A340" s="21" t="s">
        <v>745</v>
      </c>
      <c r="B340" t="s">
        <v>746</v>
      </c>
      <c r="C340" t="s">
        <v>720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6</v>
      </c>
      <c r="J340" s="33">
        <v>0</v>
      </c>
      <c r="K340" s="33">
        <v>0</v>
      </c>
      <c r="L340" s="33">
        <v>0</v>
      </c>
      <c r="M340">
        <v>6</v>
      </c>
      <c r="N340">
        <v>0</v>
      </c>
      <c r="O340">
        <v>6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4</v>
      </c>
      <c r="AK340">
        <v>2</v>
      </c>
      <c r="AL340">
        <v>1</v>
      </c>
      <c r="AM340">
        <v>1</v>
      </c>
      <c r="AN340" s="23">
        <v>0</v>
      </c>
      <c r="AO340" s="23">
        <v>0</v>
      </c>
      <c r="AP340" s="23">
        <v>0</v>
      </c>
      <c r="AQ340" s="23">
        <v>0</v>
      </c>
      <c r="AR340" s="35">
        <v>0</v>
      </c>
      <c r="AS340" s="35">
        <v>0</v>
      </c>
      <c r="AT340" s="35">
        <v>6</v>
      </c>
      <c r="AU340" s="31" t="str">
        <f t="shared" si="8"/>
        <v>库存为6</v>
      </c>
      <c r="AV340" s="36" t="str">
        <f>IFERROR($A$2+AU340,"上周无销量")</f>
        <v>上周无销量</v>
      </c>
    </row>
    <row r="341" spans="1:48">
      <c r="A341" s="21" t="s">
        <v>747</v>
      </c>
      <c r="B341" t="s">
        <v>748</v>
      </c>
      <c r="C341" t="s">
        <v>720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5</v>
      </c>
      <c r="J341" s="33">
        <v>0</v>
      </c>
      <c r="K341" s="33">
        <v>0</v>
      </c>
      <c r="L341" s="33">
        <v>0</v>
      </c>
      <c r="M341">
        <v>5</v>
      </c>
      <c r="N341">
        <v>0</v>
      </c>
      <c r="O341">
        <v>5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2</v>
      </c>
      <c r="AK341">
        <v>1</v>
      </c>
      <c r="AL341">
        <v>2</v>
      </c>
      <c r="AM341">
        <v>0</v>
      </c>
      <c r="AN341" s="23">
        <v>0</v>
      </c>
      <c r="AO341" s="23">
        <v>0</v>
      </c>
      <c r="AP341" s="23">
        <v>0</v>
      </c>
      <c r="AQ341" s="23" t="s">
        <v>54</v>
      </c>
      <c r="AR341" s="35">
        <v>0</v>
      </c>
      <c r="AS341" s="35">
        <v>0</v>
      </c>
      <c r="AT341" s="35">
        <v>5</v>
      </c>
      <c r="AU341" s="31" t="str">
        <f t="shared" si="8"/>
        <v>库存为5</v>
      </c>
      <c r="AV341" s="36" t="str">
        <f>IFERROR($A$2+AU341,"上周无销量")</f>
        <v>上周无销量</v>
      </c>
    </row>
    <row r="342" spans="1:48">
      <c r="A342" s="21" t="s">
        <v>749</v>
      </c>
      <c r="B342" t="s">
        <v>750</v>
      </c>
      <c r="C342" t="s">
        <v>720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7</v>
      </c>
      <c r="J342" s="33">
        <v>0</v>
      </c>
      <c r="K342" s="33">
        <v>0</v>
      </c>
      <c r="L342" s="33">
        <v>0</v>
      </c>
      <c r="M342">
        <v>7</v>
      </c>
      <c r="N342">
        <v>0</v>
      </c>
      <c r="O342">
        <v>7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2</v>
      </c>
      <c r="AK342">
        <v>4</v>
      </c>
      <c r="AL342">
        <v>1</v>
      </c>
      <c r="AM342">
        <v>0</v>
      </c>
      <c r="AN342" s="23">
        <v>0</v>
      </c>
      <c r="AO342" s="23">
        <v>0</v>
      </c>
      <c r="AP342" s="23">
        <v>0</v>
      </c>
      <c r="AQ342" s="23" t="s">
        <v>54</v>
      </c>
      <c r="AR342" s="35">
        <v>0</v>
      </c>
      <c r="AS342" s="35">
        <v>0</v>
      </c>
      <c r="AT342" s="35">
        <v>7</v>
      </c>
      <c r="AU342" s="31" t="str">
        <f t="shared" si="8"/>
        <v>库存为7</v>
      </c>
      <c r="AV342" s="36" t="str">
        <f>IFERROR($A$2+AU342,"上周无销量")</f>
        <v>上周无销量</v>
      </c>
    </row>
    <row r="343" spans="1:48">
      <c r="A343" s="21" t="s">
        <v>751</v>
      </c>
      <c r="B343" t="s">
        <v>752</v>
      </c>
      <c r="C343" t="s">
        <v>720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7</v>
      </c>
      <c r="J343" s="33">
        <v>0</v>
      </c>
      <c r="K343" s="33">
        <v>0</v>
      </c>
      <c r="L343" s="33">
        <v>0</v>
      </c>
      <c r="M343">
        <v>7</v>
      </c>
      <c r="N343">
        <v>0</v>
      </c>
      <c r="O343">
        <v>7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3</v>
      </c>
      <c r="AK343">
        <v>4</v>
      </c>
      <c r="AL343">
        <v>3</v>
      </c>
      <c r="AM343">
        <v>1</v>
      </c>
      <c r="AN343" s="23">
        <v>0</v>
      </c>
      <c r="AO343" s="23">
        <v>0</v>
      </c>
      <c r="AP343" s="23">
        <v>0</v>
      </c>
      <c r="AQ343" s="23">
        <v>0</v>
      </c>
      <c r="AR343" s="35">
        <v>0</v>
      </c>
      <c r="AS343" s="35">
        <v>0</v>
      </c>
      <c r="AT343" s="35">
        <v>7</v>
      </c>
      <c r="AU343" s="31" t="str">
        <f t="shared" si="8"/>
        <v>库存为7</v>
      </c>
      <c r="AV343" s="36" t="str">
        <f>IFERROR($A$2+AU343,"上周无销量")</f>
        <v>上周无销量</v>
      </c>
    </row>
    <row r="344" spans="1:48">
      <c r="A344" s="21" t="s">
        <v>753</v>
      </c>
      <c r="B344" t="s">
        <v>754</v>
      </c>
      <c r="C344" t="s">
        <v>720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7</v>
      </c>
      <c r="J344" s="33">
        <v>0</v>
      </c>
      <c r="K344" s="33">
        <v>0</v>
      </c>
      <c r="L344" s="33">
        <v>0</v>
      </c>
      <c r="M344">
        <v>7</v>
      </c>
      <c r="N344">
        <v>0</v>
      </c>
      <c r="O344">
        <v>7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5</v>
      </c>
      <c r="AK344">
        <v>2</v>
      </c>
      <c r="AL344">
        <v>1</v>
      </c>
      <c r="AM344">
        <v>1</v>
      </c>
      <c r="AN344" s="23">
        <v>0</v>
      </c>
      <c r="AO344" s="23">
        <v>0</v>
      </c>
      <c r="AP344" s="23">
        <v>0</v>
      </c>
      <c r="AQ344" s="23">
        <v>0</v>
      </c>
      <c r="AR344" s="35">
        <v>0</v>
      </c>
      <c r="AS344" s="35">
        <v>0</v>
      </c>
      <c r="AT344" s="35">
        <v>7</v>
      </c>
      <c r="AU344" s="31" t="str">
        <f t="shared" si="8"/>
        <v>库存为7</v>
      </c>
      <c r="AV344" s="36" t="str">
        <f>IFERROR($A$2+AU344,"上周无销量")</f>
        <v>上周无销量</v>
      </c>
    </row>
    <row r="345" spans="1:48">
      <c r="A345" s="21" t="s">
        <v>755</v>
      </c>
      <c r="B345" t="s">
        <v>756</v>
      </c>
      <c r="C345" t="s">
        <v>720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6</v>
      </c>
      <c r="J345" s="33">
        <v>0</v>
      </c>
      <c r="K345" s="33">
        <v>0</v>
      </c>
      <c r="L345" s="33">
        <v>0</v>
      </c>
      <c r="M345">
        <v>6</v>
      </c>
      <c r="N345">
        <v>0</v>
      </c>
      <c r="O345">
        <v>6</v>
      </c>
      <c r="P345">
        <v>122</v>
      </c>
      <c r="Q345">
        <v>148</v>
      </c>
      <c r="R345">
        <v>148</v>
      </c>
      <c r="S345">
        <v>671</v>
      </c>
      <c r="T345">
        <v>1</v>
      </c>
      <c r="U345">
        <v>1</v>
      </c>
      <c r="V345">
        <v>1</v>
      </c>
      <c r="W345">
        <v>0</v>
      </c>
      <c r="X345" s="23">
        <v>0.00819672131147541</v>
      </c>
      <c r="Y345" s="23">
        <v>0.00675675675675676</v>
      </c>
      <c r="Z345" s="23">
        <v>0.00675675675675676</v>
      </c>
      <c r="AA345" s="23">
        <v>0</v>
      </c>
      <c r="AB345">
        <v>0.49</v>
      </c>
      <c r="AC345">
        <v>0.5</v>
      </c>
      <c r="AD345">
        <v>0.5</v>
      </c>
      <c r="AE345">
        <v>0</v>
      </c>
      <c r="AF345" s="23">
        <v>0</v>
      </c>
      <c r="AG345" s="23">
        <v>0</v>
      </c>
      <c r="AH345" s="23">
        <v>0</v>
      </c>
      <c r="AI345" s="23" t="s">
        <v>54</v>
      </c>
      <c r="AJ345">
        <v>5</v>
      </c>
      <c r="AK345">
        <v>2</v>
      </c>
      <c r="AL345">
        <v>4</v>
      </c>
      <c r="AM345">
        <v>2</v>
      </c>
      <c r="AN345" s="23">
        <v>0</v>
      </c>
      <c r="AO345" s="23">
        <v>0</v>
      </c>
      <c r="AP345" s="23">
        <v>0</v>
      </c>
      <c r="AQ345" s="23">
        <v>0</v>
      </c>
      <c r="AR345" s="35">
        <v>0</v>
      </c>
      <c r="AS345" s="35">
        <v>0</v>
      </c>
      <c r="AT345" s="35">
        <v>6</v>
      </c>
      <c r="AU345" s="31" t="str">
        <f t="shared" si="8"/>
        <v>库存为6</v>
      </c>
      <c r="AV345" s="36" t="str">
        <f>IFERROR($A$2+AU345,"上周无销量")</f>
        <v>上周无销量</v>
      </c>
    </row>
    <row r="346" spans="1:48">
      <c r="A346" s="21" t="s">
        <v>757</v>
      </c>
      <c r="B346" t="s">
        <v>758</v>
      </c>
      <c r="C346" t="s">
        <v>720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7</v>
      </c>
      <c r="J346" s="33">
        <v>0</v>
      </c>
      <c r="K346" s="33">
        <v>0</v>
      </c>
      <c r="L346" s="33">
        <v>0</v>
      </c>
      <c r="M346">
        <v>7</v>
      </c>
      <c r="N346">
        <v>0</v>
      </c>
      <c r="O346">
        <v>6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2</v>
      </c>
      <c r="AK346">
        <v>2</v>
      </c>
      <c r="AL346">
        <v>5</v>
      </c>
      <c r="AM346">
        <v>1</v>
      </c>
      <c r="AN346" s="23">
        <v>0</v>
      </c>
      <c r="AO346" s="23">
        <v>0</v>
      </c>
      <c r="AP346" s="23">
        <v>0</v>
      </c>
      <c r="AQ346" s="23">
        <v>0</v>
      </c>
      <c r="AR346" s="35">
        <v>0</v>
      </c>
      <c r="AS346" s="35">
        <v>0</v>
      </c>
      <c r="AT346" s="35">
        <v>7</v>
      </c>
      <c r="AU346" s="31" t="str">
        <f t="shared" si="8"/>
        <v>库存为7</v>
      </c>
      <c r="AV346" s="36" t="str">
        <f>IFERROR($A$2+AU346,"上周无销量")</f>
        <v>上周无销量</v>
      </c>
    </row>
    <row r="347" spans="1:48">
      <c r="A347" s="21" t="s">
        <v>759</v>
      </c>
      <c r="B347" t="s">
        <v>760</v>
      </c>
      <c r="C347" t="s">
        <v>720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7</v>
      </c>
      <c r="J347" s="33">
        <v>0</v>
      </c>
      <c r="K347" s="33">
        <v>0</v>
      </c>
      <c r="L347" s="33">
        <v>0</v>
      </c>
      <c r="M347">
        <v>7</v>
      </c>
      <c r="N347">
        <v>0</v>
      </c>
      <c r="O347">
        <v>7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4</v>
      </c>
      <c r="AK347">
        <v>1</v>
      </c>
      <c r="AL347">
        <v>4</v>
      </c>
      <c r="AM347">
        <v>4</v>
      </c>
      <c r="AN347" s="23">
        <v>0</v>
      </c>
      <c r="AO347" s="23">
        <v>0</v>
      </c>
      <c r="AP347" s="23">
        <v>0</v>
      </c>
      <c r="AQ347" s="23">
        <v>0</v>
      </c>
      <c r="AR347" s="35">
        <v>0</v>
      </c>
      <c r="AS347" s="35">
        <v>0</v>
      </c>
      <c r="AT347" s="35">
        <v>7</v>
      </c>
      <c r="AU347" s="31" t="str">
        <f t="shared" si="8"/>
        <v>库存为7</v>
      </c>
      <c r="AV347" s="36" t="str">
        <f>IFERROR($A$2+AU347,"上周无销量")</f>
        <v>上周无销量</v>
      </c>
    </row>
    <row r="348" spans="1:48">
      <c r="A348" s="21" t="s">
        <v>761</v>
      </c>
      <c r="B348" t="s">
        <v>762</v>
      </c>
      <c r="C348" t="s">
        <v>763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4</v>
      </c>
      <c r="J348" s="33">
        <v>0</v>
      </c>
      <c r="K348" s="33">
        <v>0</v>
      </c>
      <c r="L348" s="33">
        <v>0</v>
      </c>
      <c r="M348">
        <v>4</v>
      </c>
      <c r="N348">
        <v>0</v>
      </c>
      <c r="O348">
        <v>4</v>
      </c>
      <c r="P348">
        <v>0</v>
      </c>
      <c r="Q348">
        <v>0</v>
      </c>
      <c r="R348">
        <v>0</v>
      </c>
      <c r="S348">
        <v>364</v>
      </c>
      <c r="T348">
        <v>0</v>
      </c>
      <c r="U348">
        <v>0</v>
      </c>
      <c r="V348">
        <v>0</v>
      </c>
      <c r="W348">
        <v>0</v>
      </c>
      <c r="X348" s="23" t="s">
        <v>54</v>
      </c>
      <c r="Y348" s="23" t="s">
        <v>54</v>
      </c>
      <c r="Z348" s="23" t="s">
        <v>54</v>
      </c>
      <c r="AA348" s="23">
        <v>0</v>
      </c>
      <c r="AB348">
        <v>0</v>
      </c>
      <c r="AC348">
        <v>0</v>
      </c>
      <c r="AD348">
        <v>0</v>
      </c>
      <c r="AE348">
        <v>0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4</v>
      </c>
      <c r="AK348">
        <v>4</v>
      </c>
      <c r="AL348">
        <v>7</v>
      </c>
      <c r="AM348">
        <v>3</v>
      </c>
      <c r="AN348" s="23">
        <v>0</v>
      </c>
      <c r="AO348" s="23">
        <v>0</v>
      </c>
      <c r="AP348" s="23">
        <v>0</v>
      </c>
      <c r="AQ348" s="23">
        <v>0</v>
      </c>
      <c r="AR348" s="35">
        <v>0</v>
      </c>
      <c r="AS348" s="35">
        <v>0</v>
      </c>
      <c r="AT348" s="35">
        <v>4</v>
      </c>
      <c r="AU348" s="31" t="str">
        <f t="shared" si="8"/>
        <v>库存为4</v>
      </c>
      <c r="AV348" s="36" t="str">
        <f>IFERROR($A$2+AU348,"上周无销量")</f>
        <v>上周无销量</v>
      </c>
    </row>
    <row r="349" spans="1:48">
      <c r="A349" s="21" t="s">
        <v>764</v>
      </c>
      <c r="B349" t="s">
        <v>765</v>
      </c>
      <c r="C349" t="s">
        <v>763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2</v>
      </c>
      <c r="J349" s="33">
        <v>0</v>
      </c>
      <c r="K349" s="33">
        <v>0</v>
      </c>
      <c r="L349" s="33">
        <v>0</v>
      </c>
      <c r="M349">
        <v>2</v>
      </c>
      <c r="N349">
        <v>0</v>
      </c>
      <c r="O349">
        <v>2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4</v>
      </c>
      <c r="AK349">
        <v>3</v>
      </c>
      <c r="AL349">
        <v>7</v>
      </c>
      <c r="AM349">
        <v>3</v>
      </c>
      <c r="AN349" s="23">
        <v>0</v>
      </c>
      <c r="AO349" s="23">
        <v>0</v>
      </c>
      <c r="AP349" s="23">
        <v>0</v>
      </c>
      <c r="AQ349" s="23">
        <v>0</v>
      </c>
      <c r="AR349" s="35">
        <v>0</v>
      </c>
      <c r="AS349" s="35">
        <v>0</v>
      </c>
      <c r="AT349" s="35">
        <v>2</v>
      </c>
      <c r="AU349" s="31" t="str">
        <f t="shared" si="8"/>
        <v>库存为2</v>
      </c>
      <c r="AV349" s="36" t="str">
        <f>IFERROR($A$2+AU349,"上周无销量")</f>
        <v>上周无销量</v>
      </c>
    </row>
    <row r="350" spans="1:48">
      <c r="A350" s="21" t="s">
        <v>766</v>
      </c>
      <c r="B350" t="s">
        <v>767</v>
      </c>
      <c r="C350" t="s">
        <v>763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s">
        <v>54</v>
      </c>
      <c r="AO350" s="23" t="s">
        <v>54</v>
      </c>
      <c r="AP350" s="23" t="s">
        <v>54</v>
      </c>
      <c r="AQ350" s="23" t="s">
        <v>54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IFERROR($A$2+AU350,"上周无销量")</f>
        <v>上周无销量</v>
      </c>
    </row>
    <row r="351" spans="1:48">
      <c r="A351" s="21" t="s">
        <v>768</v>
      </c>
      <c r="B351" t="s">
        <v>769</v>
      </c>
      <c r="C351" t="s">
        <v>763</v>
      </c>
      <c r="D351" s="31">
        <v>0</v>
      </c>
      <c r="E351" s="31">
        <v>0</v>
      </c>
      <c r="F351" s="31">
        <v>1</v>
      </c>
      <c r="G351" s="31">
        <v>0</v>
      </c>
      <c r="H351" s="32">
        <v>15</v>
      </c>
      <c r="I351">
        <v>4</v>
      </c>
      <c r="J351" s="33">
        <v>0</v>
      </c>
      <c r="K351" s="33">
        <v>0</v>
      </c>
      <c r="L351" s="33">
        <v>0</v>
      </c>
      <c r="M351">
        <v>4</v>
      </c>
      <c r="N351">
        <v>0</v>
      </c>
      <c r="O351">
        <v>4</v>
      </c>
      <c r="P351">
        <v>0</v>
      </c>
      <c r="Q351">
        <v>0</v>
      </c>
      <c r="R351">
        <v>0</v>
      </c>
      <c r="S351">
        <v>818</v>
      </c>
      <c r="T351">
        <v>0</v>
      </c>
      <c r="U351">
        <v>0</v>
      </c>
      <c r="V351">
        <v>0</v>
      </c>
      <c r="W351">
        <v>1</v>
      </c>
      <c r="X351" s="23" t="s">
        <v>54</v>
      </c>
      <c r="Y351" s="23" t="s">
        <v>54</v>
      </c>
      <c r="Z351" s="23" t="s">
        <v>54</v>
      </c>
      <c r="AA351" s="23">
        <v>0.00122249388753056</v>
      </c>
      <c r="AB351">
        <v>0</v>
      </c>
      <c r="AC351">
        <v>0</v>
      </c>
      <c r="AD351">
        <v>0</v>
      </c>
      <c r="AE351">
        <v>0.21</v>
      </c>
      <c r="AF351" s="23" t="s">
        <v>54</v>
      </c>
      <c r="AG351" s="23" t="s">
        <v>54</v>
      </c>
      <c r="AH351" s="23" t="s">
        <v>54</v>
      </c>
      <c r="AI351" s="23">
        <v>0</v>
      </c>
      <c r="AJ351">
        <v>2</v>
      </c>
      <c r="AK351">
        <v>4</v>
      </c>
      <c r="AL351">
        <v>5</v>
      </c>
      <c r="AM351">
        <v>2</v>
      </c>
      <c r="AN351" s="23">
        <v>0</v>
      </c>
      <c r="AO351" s="23">
        <v>0</v>
      </c>
      <c r="AP351" s="23">
        <v>0.2</v>
      </c>
      <c r="AQ351" s="23">
        <v>0</v>
      </c>
      <c r="AR351" s="35">
        <v>0</v>
      </c>
      <c r="AS351" s="35">
        <v>0</v>
      </c>
      <c r="AT351" s="35">
        <v>4</v>
      </c>
      <c r="AU351" s="31" t="str">
        <f t="shared" si="8"/>
        <v>库存为4</v>
      </c>
      <c r="AV351" s="36" t="str">
        <f>IFERROR($A$2+AU351,"上周无销量")</f>
        <v>上周无销量</v>
      </c>
    </row>
    <row r="352" spans="1:48">
      <c r="A352" s="21" t="s">
        <v>770</v>
      </c>
      <c r="B352" t="s">
        <v>771</v>
      </c>
      <c r="C352" t="s">
        <v>763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4</v>
      </c>
      <c r="J352" s="33">
        <v>0</v>
      </c>
      <c r="K352" s="33">
        <v>0</v>
      </c>
      <c r="L352" s="33">
        <v>0</v>
      </c>
      <c r="M352">
        <v>4</v>
      </c>
      <c r="N352">
        <v>0</v>
      </c>
      <c r="O352">
        <v>4</v>
      </c>
      <c r="P352">
        <v>0</v>
      </c>
      <c r="Q352">
        <v>0</v>
      </c>
      <c r="R352">
        <v>0</v>
      </c>
      <c r="S352">
        <v>22052</v>
      </c>
      <c r="T352">
        <v>0</v>
      </c>
      <c r="U352">
        <v>0</v>
      </c>
      <c r="V352">
        <v>0</v>
      </c>
      <c r="W352">
        <v>30</v>
      </c>
      <c r="X352" s="23" t="s">
        <v>54</v>
      </c>
      <c r="Y352" s="23" t="s">
        <v>54</v>
      </c>
      <c r="Z352" s="23" t="s">
        <v>54</v>
      </c>
      <c r="AA352" s="23">
        <v>0.00136042082350807</v>
      </c>
      <c r="AB352">
        <v>0</v>
      </c>
      <c r="AC352">
        <v>0</v>
      </c>
      <c r="AD352">
        <v>0</v>
      </c>
      <c r="AE352">
        <v>17.95</v>
      </c>
      <c r="AF352" s="23" t="s">
        <v>54</v>
      </c>
      <c r="AG352" s="23" t="s">
        <v>54</v>
      </c>
      <c r="AH352" s="23" t="s">
        <v>54</v>
      </c>
      <c r="AI352" s="23">
        <v>0</v>
      </c>
      <c r="AJ352">
        <v>2</v>
      </c>
      <c r="AK352">
        <v>2</v>
      </c>
      <c r="AL352">
        <v>2</v>
      </c>
      <c r="AM352">
        <v>16</v>
      </c>
      <c r="AN352" s="23">
        <v>0</v>
      </c>
      <c r="AO352" s="23">
        <v>0</v>
      </c>
      <c r="AP352" s="23">
        <v>0</v>
      </c>
      <c r="AQ352" s="23">
        <v>0</v>
      </c>
      <c r="AR352" s="35">
        <v>0</v>
      </c>
      <c r="AS352" s="35">
        <v>0</v>
      </c>
      <c r="AT352" s="35">
        <v>4</v>
      </c>
      <c r="AU352" s="31" t="str">
        <f t="shared" si="8"/>
        <v>库存为4</v>
      </c>
      <c r="AV352" s="36" t="str">
        <f>IFERROR($A$2+AU352,"上周无销量")</f>
        <v>上周无销量</v>
      </c>
    </row>
    <row r="353" spans="1:48">
      <c r="A353" s="21" t="s">
        <v>772</v>
      </c>
      <c r="B353" t="s">
        <v>773</v>
      </c>
      <c r="C353" t="s">
        <v>763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5</v>
      </c>
      <c r="J353" s="33">
        <v>0</v>
      </c>
      <c r="K353" s="33">
        <v>0</v>
      </c>
      <c r="L353" s="33">
        <v>0</v>
      </c>
      <c r="M353">
        <v>5</v>
      </c>
      <c r="N353">
        <v>0</v>
      </c>
      <c r="O353">
        <v>4</v>
      </c>
      <c r="P353">
        <v>0</v>
      </c>
      <c r="Q353">
        <v>0</v>
      </c>
      <c r="R353">
        <v>0</v>
      </c>
      <c r="S353">
        <v>9112</v>
      </c>
      <c r="T353">
        <v>0</v>
      </c>
      <c r="U353">
        <v>0</v>
      </c>
      <c r="V353">
        <v>0</v>
      </c>
      <c r="W353">
        <v>11</v>
      </c>
      <c r="X353" s="23" t="s">
        <v>54</v>
      </c>
      <c r="Y353" s="23" t="s">
        <v>54</v>
      </c>
      <c r="Z353" s="23" t="s">
        <v>54</v>
      </c>
      <c r="AA353" s="23">
        <v>0.0012071992976295</v>
      </c>
      <c r="AB353">
        <v>0</v>
      </c>
      <c r="AC353">
        <v>0</v>
      </c>
      <c r="AD353">
        <v>0</v>
      </c>
      <c r="AE353">
        <v>5.21</v>
      </c>
      <c r="AF353" s="23" t="s">
        <v>54</v>
      </c>
      <c r="AG353" s="23" t="s">
        <v>54</v>
      </c>
      <c r="AH353" s="23" t="s">
        <v>54</v>
      </c>
      <c r="AI353" s="23">
        <v>0</v>
      </c>
      <c r="AJ353">
        <v>3</v>
      </c>
      <c r="AK353">
        <v>3</v>
      </c>
      <c r="AL353">
        <v>2</v>
      </c>
      <c r="AM353">
        <v>3</v>
      </c>
      <c r="AN353" s="23">
        <v>0</v>
      </c>
      <c r="AO353" s="23">
        <v>0</v>
      </c>
      <c r="AP353" s="23">
        <v>0</v>
      </c>
      <c r="AQ353" s="23">
        <v>0</v>
      </c>
      <c r="AR353" s="35">
        <v>0</v>
      </c>
      <c r="AS353" s="35">
        <v>0</v>
      </c>
      <c r="AT353" s="35">
        <v>5</v>
      </c>
      <c r="AU353" s="31" t="str">
        <f t="shared" si="8"/>
        <v>库存为5</v>
      </c>
      <c r="AV353" s="36" t="str">
        <f>IFERROR($A$2+AU353,"上周无销量")</f>
        <v>上周无销量</v>
      </c>
    </row>
    <row r="354" spans="1:48">
      <c r="A354" s="21" t="s">
        <v>774</v>
      </c>
      <c r="B354" t="s">
        <v>775</v>
      </c>
      <c r="C354" t="s">
        <v>763</v>
      </c>
      <c r="D354" s="31">
        <v>0</v>
      </c>
      <c r="E354" s="31">
        <v>0</v>
      </c>
      <c r="F354" s="31">
        <v>1</v>
      </c>
      <c r="G354" s="31">
        <v>0</v>
      </c>
      <c r="H354" s="32">
        <v>15</v>
      </c>
      <c r="I354">
        <v>6</v>
      </c>
      <c r="J354" s="33">
        <v>0</v>
      </c>
      <c r="K354" s="33">
        <v>0</v>
      </c>
      <c r="L354" s="33">
        <v>0</v>
      </c>
      <c r="M354">
        <v>6</v>
      </c>
      <c r="N354">
        <v>0</v>
      </c>
      <c r="O354">
        <v>6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3</v>
      </c>
      <c r="AK354">
        <v>6</v>
      </c>
      <c r="AL354">
        <v>2</v>
      </c>
      <c r="AM354">
        <v>3</v>
      </c>
      <c r="AN354" s="23">
        <v>0</v>
      </c>
      <c r="AO354" s="23">
        <v>0</v>
      </c>
      <c r="AP354" s="23">
        <v>0.5</v>
      </c>
      <c r="AQ354" s="23">
        <v>0</v>
      </c>
      <c r="AR354" s="35">
        <v>0</v>
      </c>
      <c r="AS354" s="35">
        <v>0</v>
      </c>
      <c r="AT354" s="35">
        <v>6</v>
      </c>
      <c r="AU354" s="31" t="str">
        <f t="shared" si="8"/>
        <v>库存为6</v>
      </c>
      <c r="AV354" s="36" t="str">
        <f>IFERROR($A$2+AU354,"上周无销量")</f>
        <v>上周无销量</v>
      </c>
    </row>
    <row r="355" spans="1:48">
      <c r="A355" s="21" t="s">
        <v>776</v>
      </c>
      <c r="B355" t="s">
        <v>777</v>
      </c>
      <c r="C355" t="s">
        <v>763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7</v>
      </c>
      <c r="J355" s="33">
        <v>0</v>
      </c>
      <c r="K355" s="33">
        <v>0</v>
      </c>
      <c r="L355" s="33">
        <v>0</v>
      </c>
      <c r="M355">
        <v>7</v>
      </c>
      <c r="N355">
        <v>0</v>
      </c>
      <c r="O355">
        <v>7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3</v>
      </c>
      <c r="AK355">
        <v>4</v>
      </c>
      <c r="AL355">
        <v>4</v>
      </c>
      <c r="AM355">
        <v>3</v>
      </c>
      <c r="AN355" s="23">
        <v>0</v>
      </c>
      <c r="AO355" s="23">
        <v>0</v>
      </c>
      <c r="AP355" s="23">
        <v>0</v>
      </c>
      <c r="AQ355" s="23">
        <v>0</v>
      </c>
      <c r="AR355" s="35">
        <v>0</v>
      </c>
      <c r="AS355" s="35">
        <v>0</v>
      </c>
      <c r="AT355" s="35">
        <v>7</v>
      </c>
      <c r="AU355" s="31" t="str">
        <f t="shared" si="8"/>
        <v>库存为7</v>
      </c>
      <c r="AV355" s="36" t="str">
        <f>IFERROR($A$2+AU355,"上周无销量")</f>
        <v>上周无销量</v>
      </c>
    </row>
    <row r="356" spans="1:48">
      <c r="A356" s="21" t="s">
        <v>778</v>
      </c>
      <c r="B356" t="s">
        <v>779</v>
      </c>
      <c r="C356" t="s">
        <v>763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5</v>
      </c>
      <c r="J356" s="33">
        <v>0</v>
      </c>
      <c r="K356" s="33">
        <v>0</v>
      </c>
      <c r="L356" s="33">
        <v>0</v>
      </c>
      <c r="M356">
        <v>5</v>
      </c>
      <c r="N356">
        <v>0</v>
      </c>
      <c r="O356">
        <v>5</v>
      </c>
      <c r="P356">
        <v>851</v>
      </c>
      <c r="Q356">
        <v>1085</v>
      </c>
      <c r="R356">
        <v>1085</v>
      </c>
      <c r="S356">
        <v>1223</v>
      </c>
      <c r="T356">
        <v>6</v>
      </c>
      <c r="U356">
        <v>3</v>
      </c>
      <c r="V356">
        <v>3</v>
      </c>
      <c r="W356">
        <v>0</v>
      </c>
      <c r="X356" s="23">
        <v>0.00705052878965922</v>
      </c>
      <c r="Y356" s="23">
        <v>0.00276497695852535</v>
      </c>
      <c r="Z356" s="23">
        <v>0.00276497695852535</v>
      </c>
      <c r="AA356" s="23">
        <v>0</v>
      </c>
      <c r="AB356">
        <v>1.61</v>
      </c>
      <c r="AC356">
        <v>0.82</v>
      </c>
      <c r="AD356">
        <v>0.82</v>
      </c>
      <c r="AE356">
        <v>0</v>
      </c>
      <c r="AF356" s="23">
        <v>0</v>
      </c>
      <c r="AG356" s="23">
        <v>0</v>
      </c>
      <c r="AH356" s="23">
        <v>0</v>
      </c>
      <c r="AI356" s="23" t="s">
        <v>54</v>
      </c>
      <c r="AJ356">
        <v>4</v>
      </c>
      <c r="AK356">
        <v>2</v>
      </c>
      <c r="AL356">
        <v>4</v>
      </c>
      <c r="AM356">
        <v>5</v>
      </c>
      <c r="AN356" s="23">
        <v>0</v>
      </c>
      <c r="AO356" s="23">
        <v>0</v>
      </c>
      <c r="AP356" s="23">
        <v>0</v>
      </c>
      <c r="AQ356" s="23">
        <v>0</v>
      </c>
      <c r="AR356" s="35">
        <v>0</v>
      </c>
      <c r="AS356" s="35">
        <v>0</v>
      </c>
      <c r="AT356" s="35">
        <v>5</v>
      </c>
      <c r="AU356" s="31" t="str">
        <f t="shared" si="8"/>
        <v>库存为5</v>
      </c>
      <c r="AV356" s="36" t="str">
        <f>IFERROR($A$2+AU356,"上周无销量")</f>
        <v>上周无销量</v>
      </c>
    </row>
    <row r="357" spans="1:48">
      <c r="A357" s="21" t="s">
        <v>780</v>
      </c>
      <c r="B357" t="s">
        <v>781</v>
      </c>
      <c r="C357" t="s">
        <v>763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4</v>
      </c>
      <c r="J357" s="33">
        <v>0</v>
      </c>
      <c r="K357" s="33">
        <v>0</v>
      </c>
      <c r="L357" s="33">
        <v>0</v>
      </c>
      <c r="M357">
        <v>4</v>
      </c>
      <c r="N357">
        <v>0</v>
      </c>
      <c r="O357">
        <v>4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3</v>
      </c>
      <c r="AK357">
        <v>2</v>
      </c>
      <c r="AL357">
        <v>3</v>
      </c>
      <c r="AM357">
        <v>3</v>
      </c>
      <c r="AN357" s="23">
        <v>0</v>
      </c>
      <c r="AO357" s="23">
        <v>0</v>
      </c>
      <c r="AP357" s="23">
        <v>0</v>
      </c>
      <c r="AQ357" s="23">
        <v>0</v>
      </c>
      <c r="AR357" s="35">
        <v>0</v>
      </c>
      <c r="AS357" s="35">
        <v>0</v>
      </c>
      <c r="AT357" s="35">
        <v>4</v>
      </c>
      <c r="AU357" s="31" t="str">
        <f t="shared" si="8"/>
        <v>库存为4</v>
      </c>
      <c r="AV357" s="36" t="str">
        <f>IFERROR($A$2+AU357,"上周无销量")</f>
        <v>上周无销量</v>
      </c>
    </row>
    <row r="358" spans="1:48">
      <c r="A358" s="21" t="s">
        <v>782</v>
      </c>
      <c r="B358" t="s">
        <v>783</v>
      </c>
      <c r="C358" t="s">
        <v>763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3</v>
      </c>
      <c r="J358" s="33">
        <v>0</v>
      </c>
      <c r="K358" s="33">
        <v>0</v>
      </c>
      <c r="L358" s="33">
        <v>0</v>
      </c>
      <c r="M358">
        <v>3</v>
      </c>
      <c r="N358">
        <v>0</v>
      </c>
      <c r="O358">
        <v>3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3</v>
      </c>
      <c r="AK358">
        <v>2</v>
      </c>
      <c r="AL358">
        <v>4</v>
      </c>
      <c r="AM358">
        <v>4</v>
      </c>
      <c r="AN358" s="23">
        <v>0</v>
      </c>
      <c r="AO358" s="23">
        <v>0</v>
      </c>
      <c r="AP358" s="23">
        <v>0</v>
      </c>
      <c r="AQ358" s="23">
        <v>0</v>
      </c>
      <c r="AR358" s="35">
        <v>0</v>
      </c>
      <c r="AS358" s="35">
        <v>0</v>
      </c>
      <c r="AT358" s="35">
        <v>3</v>
      </c>
      <c r="AU358" s="31" t="str">
        <f t="shared" si="8"/>
        <v>库存为3</v>
      </c>
      <c r="AV358" s="36" t="str">
        <f>IFERROR($A$2+AU358,"上周无销量")</f>
        <v>上周无销量</v>
      </c>
    </row>
    <row r="359" spans="1:48">
      <c r="A359" s="21" t="s">
        <v>784</v>
      </c>
      <c r="B359" t="s">
        <v>785</v>
      </c>
      <c r="C359" t="s">
        <v>763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7</v>
      </c>
      <c r="J359" s="33">
        <v>0</v>
      </c>
      <c r="K359" s="33">
        <v>0</v>
      </c>
      <c r="L359" s="33">
        <v>0</v>
      </c>
      <c r="M359">
        <v>7</v>
      </c>
      <c r="N359">
        <v>0</v>
      </c>
      <c r="O359">
        <v>7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3</v>
      </c>
      <c r="AK359">
        <v>3</v>
      </c>
      <c r="AL359">
        <v>3</v>
      </c>
      <c r="AM359">
        <v>6</v>
      </c>
      <c r="AN359" s="23">
        <v>0</v>
      </c>
      <c r="AO359" s="23">
        <v>0</v>
      </c>
      <c r="AP359" s="23">
        <v>0</v>
      </c>
      <c r="AQ359" s="23">
        <v>0</v>
      </c>
      <c r="AR359" s="35">
        <v>0</v>
      </c>
      <c r="AS359" s="35">
        <v>0</v>
      </c>
      <c r="AT359" s="35">
        <v>7</v>
      </c>
      <c r="AU359" s="31" t="str">
        <f t="shared" si="8"/>
        <v>库存为7</v>
      </c>
      <c r="AV359" s="36" t="str">
        <f>IFERROR($A$2+AU359,"上周无销量")</f>
        <v>上周无销量</v>
      </c>
    </row>
    <row r="360" spans="1:48">
      <c r="A360" s="21" t="s">
        <v>786</v>
      </c>
      <c r="B360" t="s">
        <v>787</v>
      </c>
      <c r="C360" t="s">
        <v>763</v>
      </c>
      <c r="D360" s="31">
        <v>0</v>
      </c>
      <c r="E360" s="31">
        <v>0</v>
      </c>
      <c r="F360" s="31">
        <v>0</v>
      </c>
      <c r="G360" s="31">
        <v>1</v>
      </c>
      <c r="H360" s="32">
        <v>20</v>
      </c>
      <c r="I360">
        <v>1</v>
      </c>
      <c r="J360" s="33">
        <v>0</v>
      </c>
      <c r="K360" s="33">
        <v>0</v>
      </c>
      <c r="L360" s="33">
        <v>0</v>
      </c>
      <c r="M360">
        <v>1</v>
      </c>
      <c r="N360">
        <v>0</v>
      </c>
      <c r="O360">
        <v>1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2</v>
      </c>
      <c r="AK360">
        <v>4</v>
      </c>
      <c r="AL360">
        <v>2</v>
      </c>
      <c r="AM360">
        <v>3</v>
      </c>
      <c r="AN360" s="23">
        <v>0</v>
      </c>
      <c r="AO360" s="23">
        <v>0</v>
      </c>
      <c r="AP360" s="23">
        <v>0</v>
      </c>
      <c r="AQ360" s="23">
        <v>0.333333333333333</v>
      </c>
      <c r="AR360" s="35">
        <v>0</v>
      </c>
      <c r="AS360" s="35">
        <v>0</v>
      </c>
      <c r="AT360" s="35">
        <v>1</v>
      </c>
      <c r="AU360" s="31" t="str">
        <f t="shared" si="8"/>
        <v>库存为1</v>
      </c>
      <c r="AV360" s="36" t="str">
        <f>IFERROR($A$2+AU360,"上周无销量")</f>
        <v>上周无销量</v>
      </c>
    </row>
    <row r="361" spans="1:48">
      <c r="A361" s="21" t="s">
        <v>788</v>
      </c>
      <c r="B361" t="s">
        <v>789</v>
      </c>
      <c r="C361" t="s">
        <v>763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4</v>
      </c>
      <c r="J361" s="33">
        <v>0</v>
      </c>
      <c r="K361" s="33">
        <v>0</v>
      </c>
      <c r="L361" s="33">
        <v>0</v>
      </c>
      <c r="M361">
        <v>4</v>
      </c>
      <c r="N361">
        <v>0</v>
      </c>
      <c r="O361">
        <v>4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3</v>
      </c>
      <c r="AK361">
        <v>1</v>
      </c>
      <c r="AL361">
        <v>3</v>
      </c>
      <c r="AM361">
        <v>4</v>
      </c>
      <c r="AN361" s="23">
        <v>0</v>
      </c>
      <c r="AO361" s="23">
        <v>0</v>
      </c>
      <c r="AP361" s="23">
        <v>0</v>
      </c>
      <c r="AQ361" s="23">
        <v>0</v>
      </c>
      <c r="AR361" s="35">
        <v>0</v>
      </c>
      <c r="AS361" s="35">
        <v>0</v>
      </c>
      <c r="AT361" s="35">
        <v>4</v>
      </c>
      <c r="AU361" s="31" t="str">
        <f t="shared" si="8"/>
        <v>库存为4</v>
      </c>
      <c r="AV361" s="36" t="str">
        <f>IFERROR($A$2+AU361,"上周无销量")</f>
        <v>上周无销量</v>
      </c>
    </row>
    <row r="362" spans="1:48">
      <c r="A362" s="21" t="s">
        <v>790</v>
      </c>
      <c r="B362" t="s">
        <v>791</v>
      </c>
      <c r="C362" t="s">
        <v>763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1</v>
      </c>
      <c r="J362" s="33">
        <v>0</v>
      </c>
      <c r="K362" s="33">
        <v>0</v>
      </c>
      <c r="L362" s="33">
        <v>0</v>
      </c>
      <c r="M362">
        <v>1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3</v>
      </c>
      <c r="AK362">
        <v>5</v>
      </c>
      <c r="AL362">
        <v>1</v>
      </c>
      <c r="AM362">
        <v>2</v>
      </c>
      <c r="AN362" s="23">
        <v>0</v>
      </c>
      <c r="AO362" s="23">
        <v>0</v>
      </c>
      <c r="AP362" s="23">
        <v>0</v>
      </c>
      <c r="AQ362" s="23">
        <v>0</v>
      </c>
      <c r="AR362" s="35">
        <v>0</v>
      </c>
      <c r="AS362" s="35">
        <v>0</v>
      </c>
      <c r="AT362" s="35">
        <v>1</v>
      </c>
      <c r="AU362" s="31" t="str">
        <f t="shared" si="8"/>
        <v>库存为1</v>
      </c>
      <c r="AV362" s="36" t="str">
        <f>IFERROR($A$2+AU362,"上周无销量")</f>
        <v>上周无销量</v>
      </c>
    </row>
    <row r="363" spans="1:48">
      <c r="A363" s="21" t="s">
        <v>792</v>
      </c>
      <c r="B363" t="s">
        <v>793</v>
      </c>
      <c r="C363" t="s">
        <v>794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2</v>
      </c>
      <c r="J363" s="33">
        <v>0</v>
      </c>
      <c r="K363" s="33">
        <v>0</v>
      </c>
      <c r="L363" s="33">
        <v>0</v>
      </c>
      <c r="M363">
        <v>2</v>
      </c>
      <c r="N363">
        <v>0</v>
      </c>
      <c r="O363">
        <v>2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2</v>
      </c>
      <c r="AK363">
        <v>3</v>
      </c>
      <c r="AL363">
        <v>1</v>
      </c>
      <c r="AM363">
        <v>4</v>
      </c>
      <c r="AN363" s="23">
        <v>0</v>
      </c>
      <c r="AO363" s="23">
        <v>0</v>
      </c>
      <c r="AP363" s="23">
        <v>0</v>
      </c>
      <c r="AQ363" s="23">
        <v>0</v>
      </c>
      <c r="AR363" s="35">
        <v>0</v>
      </c>
      <c r="AS363" s="35">
        <v>0</v>
      </c>
      <c r="AT363" s="35">
        <v>2</v>
      </c>
      <c r="AU363" s="31" t="str">
        <f t="shared" si="8"/>
        <v>库存为2</v>
      </c>
      <c r="AV363" s="36" t="str">
        <f>IFERROR($A$2+AU363,"上周无销量")</f>
        <v>上周无销量</v>
      </c>
    </row>
    <row r="364" spans="1:48">
      <c r="A364" s="21" t="s">
        <v>795</v>
      </c>
      <c r="B364" t="s">
        <v>796</v>
      </c>
      <c r="C364" t="s">
        <v>794</v>
      </c>
      <c r="D364" s="31">
        <v>0</v>
      </c>
      <c r="E364" s="31">
        <v>0</v>
      </c>
      <c r="F364" s="31">
        <v>0</v>
      </c>
      <c r="G364" s="31">
        <v>1</v>
      </c>
      <c r="H364" s="32">
        <v>15</v>
      </c>
      <c r="I364">
        <v>5</v>
      </c>
      <c r="J364" s="33">
        <v>0</v>
      </c>
      <c r="K364" s="33">
        <v>0</v>
      </c>
      <c r="L364" s="33">
        <v>0</v>
      </c>
      <c r="M364">
        <v>5</v>
      </c>
      <c r="N364">
        <v>0</v>
      </c>
      <c r="O364">
        <v>5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4</v>
      </c>
      <c r="AK364">
        <v>4</v>
      </c>
      <c r="AL364">
        <v>4</v>
      </c>
      <c r="AM364">
        <v>5</v>
      </c>
      <c r="AN364" s="23">
        <v>0</v>
      </c>
      <c r="AO364" s="23">
        <v>0</v>
      </c>
      <c r="AP364" s="23">
        <v>0</v>
      </c>
      <c r="AQ364" s="23">
        <v>0.2</v>
      </c>
      <c r="AR364" s="35">
        <v>0</v>
      </c>
      <c r="AS364" s="35">
        <v>0</v>
      </c>
      <c r="AT364" s="35">
        <v>5</v>
      </c>
      <c r="AU364" s="31" t="str">
        <f t="shared" si="8"/>
        <v>库存为5</v>
      </c>
      <c r="AV364" s="36" t="str">
        <f>IFERROR($A$2+AU364,"上周无销量")</f>
        <v>上周无销量</v>
      </c>
    </row>
    <row r="365" spans="1:48">
      <c r="A365" s="21" t="s">
        <v>797</v>
      </c>
      <c r="B365" t="s">
        <v>798</v>
      </c>
      <c r="C365" t="s">
        <v>794</v>
      </c>
      <c r="D365" s="31">
        <v>1</v>
      </c>
      <c r="E365" s="31">
        <v>0</v>
      </c>
      <c r="F365" s="31">
        <v>0</v>
      </c>
      <c r="G365" s="31">
        <v>0</v>
      </c>
      <c r="H365" s="32">
        <v>10</v>
      </c>
      <c r="I365">
        <v>3</v>
      </c>
      <c r="J365" s="33">
        <v>0</v>
      </c>
      <c r="K365" s="33">
        <v>0</v>
      </c>
      <c r="L365" s="33">
        <v>0</v>
      </c>
      <c r="M365">
        <v>3</v>
      </c>
      <c r="N365">
        <v>0</v>
      </c>
      <c r="O365">
        <v>2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2</v>
      </c>
      <c r="AK365">
        <v>5</v>
      </c>
      <c r="AL365">
        <v>3</v>
      </c>
      <c r="AM365">
        <v>3</v>
      </c>
      <c r="AN365" s="23">
        <v>0.5</v>
      </c>
      <c r="AO365" s="23">
        <v>0</v>
      </c>
      <c r="AP365" s="23">
        <v>0</v>
      </c>
      <c r="AQ365" s="23">
        <v>0</v>
      </c>
      <c r="AR365" s="35">
        <v>0.142857142857143</v>
      </c>
      <c r="AS365" s="35">
        <v>8.57142857142857</v>
      </c>
      <c r="AT365" s="35">
        <v>-5.57142857142857</v>
      </c>
      <c r="AU365" s="31">
        <f t="shared" si="8"/>
        <v>21</v>
      </c>
      <c r="AV365" s="36">
        <f>IFERROR($A$2+AU365,"上周无销量")</f>
        <v>43297</v>
      </c>
    </row>
    <row r="366" spans="1:48">
      <c r="A366" s="21" t="s">
        <v>799</v>
      </c>
      <c r="B366" t="s">
        <v>800</v>
      </c>
      <c r="C366" t="s">
        <v>794</v>
      </c>
      <c r="D366" s="31">
        <v>2</v>
      </c>
      <c r="E366" s="31">
        <v>0</v>
      </c>
      <c r="F366" s="31">
        <v>0</v>
      </c>
      <c r="G366" s="31">
        <v>0</v>
      </c>
      <c r="H366" s="32">
        <v>10</v>
      </c>
      <c r="I366">
        <v>3</v>
      </c>
      <c r="J366" s="33">
        <v>0</v>
      </c>
      <c r="K366" s="33">
        <v>0</v>
      </c>
      <c r="L366" s="33">
        <v>0</v>
      </c>
      <c r="M366">
        <v>3</v>
      </c>
      <c r="N366">
        <v>0</v>
      </c>
      <c r="O366">
        <v>3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4</v>
      </c>
      <c r="AK366">
        <v>3</v>
      </c>
      <c r="AL366">
        <v>4</v>
      </c>
      <c r="AM366">
        <v>5</v>
      </c>
      <c r="AN366" s="23">
        <v>0.5</v>
      </c>
      <c r="AO366" s="23">
        <v>0</v>
      </c>
      <c r="AP366" s="23">
        <v>0</v>
      </c>
      <c r="AQ366" s="23">
        <v>0</v>
      </c>
      <c r="AR366" s="35">
        <v>0.285714285714286</v>
      </c>
      <c r="AS366" s="35">
        <v>17.1428571428571</v>
      </c>
      <c r="AT366" s="35">
        <v>-14.1428571428571</v>
      </c>
      <c r="AU366" s="31">
        <f t="shared" si="8"/>
        <v>10</v>
      </c>
      <c r="AV366" s="36">
        <f>IFERROR($A$2+AU366,"上周无销量")</f>
        <v>43286</v>
      </c>
    </row>
    <row r="367" spans="1:48">
      <c r="A367" s="21" t="s">
        <v>801</v>
      </c>
      <c r="B367" t="s">
        <v>802</v>
      </c>
      <c r="C367" t="s">
        <v>794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s">
        <v>54</v>
      </c>
      <c r="AO367" s="23" t="s">
        <v>54</v>
      </c>
      <c r="AP367" s="23" t="s">
        <v>54</v>
      </c>
      <c r="AQ367" s="23" t="s">
        <v>54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IFERROR($A$2+AU367,"上周无销量")</f>
        <v>上周无销量</v>
      </c>
    </row>
    <row r="368" spans="1:48">
      <c r="A368" s="21" t="s">
        <v>803</v>
      </c>
      <c r="B368" t="s">
        <v>804</v>
      </c>
      <c r="C368" t="s">
        <v>794</v>
      </c>
      <c r="D368" s="31">
        <v>0</v>
      </c>
      <c r="E368" s="31">
        <v>1</v>
      </c>
      <c r="F368" s="31">
        <v>0</v>
      </c>
      <c r="G368" s="31">
        <v>0</v>
      </c>
      <c r="H368" s="32">
        <v>10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2</v>
      </c>
      <c r="AL368">
        <v>4</v>
      </c>
      <c r="AM368">
        <v>4</v>
      </c>
      <c r="AN368" s="23" t="s">
        <v>54</v>
      </c>
      <c r="AO368" s="23">
        <v>0.5</v>
      </c>
      <c r="AP368" s="23">
        <v>0</v>
      </c>
      <c r="AQ368" s="23">
        <v>0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IFERROR($A$2+AU368,"上周无销量")</f>
        <v>上周无销量</v>
      </c>
    </row>
    <row r="369" spans="1:48">
      <c r="A369" s="21" t="s">
        <v>805</v>
      </c>
      <c r="B369" t="s">
        <v>806</v>
      </c>
      <c r="C369" t="s">
        <v>794</v>
      </c>
      <c r="D369" s="31">
        <v>1</v>
      </c>
      <c r="E369" s="31">
        <v>1</v>
      </c>
      <c r="F369" s="31">
        <v>0</v>
      </c>
      <c r="G369" s="31">
        <v>0</v>
      </c>
      <c r="H369" s="32">
        <v>10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3</v>
      </c>
      <c r="AL369">
        <v>4</v>
      </c>
      <c r="AM369">
        <v>4</v>
      </c>
      <c r="AN369" s="23" t="s">
        <v>54</v>
      </c>
      <c r="AO369" s="23">
        <v>0.333333333333333</v>
      </c>
      <c r="AP369" s="23">
        <v>0</v>
      </c>
      <c r="AQ369" s="23">
        <v>0</v>
      </c>
      <c r="AR369" s="35">
        <v>0.142857142857143</v>
      </c>
      <c r="AS369" s="35">
        <v>8.57142857142857</v>
      </c>
      <c r="AT369" s="35">
        <v>-8.57142857142857</v>
      </c>
      <c r="AU369" s="31">
        <f t="shared" si="8"/>
        <v>0</v>
      </c>
      <c r="AV369" s="36">
        <f>IFERROR($A$2+AU369,"上周无销量")</f>
        <v>43276</v>
      </c>
    </row>
    <row r="370" spans="1:48">
      <c r="A370" s="21" t="s">
        <v>807</v>
      </c>
      <c r="B370" t="s">
        <v>808</v>
      </c>
      <c r="C370" t="s">
        <v>794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1</v>
      </c>
      <c r="J370" s="33">
        <v>0</v>
      </c>
      <c r="K370" s="33">
        <v>0</v>
      </c>
      <c r="L370" s="33">
        <v>0</v>
      </c>
      <c r="M370">
        <v>1</v>
      </c>
      <c r="N370">
        <v>0</v>
      </c>
      <c r="O370">
        <v>1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4</v>
      </c>
      <c r="AK370">
        <v>4</v>
      </c>
      <c r="AL370">
        <v>5</v>
      </c>
      <c r="AM370">
        <v>5</v>
      </c>
      <c r="AN370" s="23">
        <v>0</v>
      </c>
      <c r="AO370" s="23">
        <v>0</v>
      </c>
      <c r="AP370" s="23">
        <v>0</v>
      </c>
      <c r="AQ370" s="23">
        <v>0</v>
      </c>
      <c r="AR370" s="35">
        <v>0</v>
      </c>
      <c r="AS370" s="35">
        <v>0</v>
      </c>
      <c r="AT370" s="35">
        <v>1</v>
      </c>
      <c r="AU370" s="31" t="str">
        <f t="shared" si="8"/>
        <v>库存为1</v>
      </c>
      <c r="AV370" s="36" t="str">
        <f>IFERROR($A$2+AU370,"上周无销量")</f>
        <v>上周无销量</v>
      </c>
    </row>
    <row r="371" spans="1:48">
      <c r="A371" s="21" t="s">
        <v>809</v>
      </c>
      <c r="B371" t="s">
        <v>810</v>
      </c>
      <c r="C371" t="s">
        <v>811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s">
        <v>54</v>
      </c>
      <c r="AO371" s="23" t="s">
        <v>54</v>
      </c>
      <c r="AP371" s="23" t="s">
        <v>54</v>
      </c>
      <c r="AQ371" s="23" t="s">
        <v>54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IFERROR($A$2+AU371,"上周无销量")</f>
        <v>上周无销量</v>
      </c>
    </row>
    <row r="372" spans="1:48">
      <c r="A372" s="21" t="s">
        <v>812</v>
      </c>
      <c r="B372" t="s">
        <v>813</v>
      </c>
      <c r="C372" t="s">
        <v>814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0</v>
      </c>
      <c r="AM372">
        <v>0</v>
      </c>
      <c r="AN372" s="23" t="s">
        <v>54</v>
      </c>
      <c r="AO372" s="23" t="s">
        <v>54</v>
      </c>
      <c r="AP372" s="23" t="s">
        <v>54</v>
      </c>
      <c r="AQ372" s="23" t="s">
        <v>54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IFERROR($A$2+AU372,"上周无销量")</f>
        <v>上周无销量</v>
      </c>
    </row>
    <row r="373" spans="1:48">
      <c r="A373" s="21" t="s">
        <v>815</v>
      </c>
      <c r="B373" t="s">
        <v>816</v>
      </c>
      <c r="C373" t="s">
        <v>814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0</v>
      </c>
      <c r="AM373">
        <v>0</v>
      </c>
      <c r="AN373" s="23" t="s">
        <v>54</v>
      </c>
      <c r="AO373" s="23" t="s">
        <v>54</v>
      </c>
      <c r="AP373" s="23" t="s">
        <v>54</v>
      </c>
      <c r="AQ373" s="23" t="s">
        <v>54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IFERROR($A$2+AU373,"上周无销量")</f>
        <v>上周无销量</v>
      </c>
    </row>
    <row r="374" spans="1:48">
      <c r="A374" s="21" t="s">
        <v>817</v>
      </c>
      <c r="B374" t="s">
        <v>818</v>
      </c>
      <c r="C374" t="s">
        <v>819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s">
        <v>54</v>
      </c>
      <c r="AO374" s="23" t="s">
        <v>54</v>
      </c>
      <c r="AP374" s="23" t="s">
        <v>54</v>
      </c>
      <c r="AQ374" s="23" t="s">
        <v>54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IFERROR($A$2+AU374,"上周无销量")</f>
        <v>上周无销量</v>
      </c>
    </row>
    <row r="375" spans="1:48">
      <c r="A375" s="21" t="s">
        <v>820</v>
      </c>
      <c r="B375" t="s">
        <v>821</v>
      </c>
      <c r="C375" t="s">
        <v>819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1</v>
      </c>
      <c r="J375" s="33">
        <v>0</v>
      </c>
      <c r="K375" s="33">
        <v>0</v>
      </c>
      <c r="L375" s="33">
        <v>0</v>
      </c>
      <c r="M375">
        <v>1</v>
      </c>
      <c r="N375">
        <v>0</v>
      </c>
      <c r="O375">
        <v>1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8</v>
      </c>
      <c r="AK375">
        <v>7</v>
      </c>
      <c r="AL375">
        <v>4</v>
      </c>
      <c r="AM375">
        <v>6</v>
      </c>
      <c r="AN375" s="23">
        <v>0</v>
      </c>
      <c r="AO375" s="23">
        <v>0</v>
      </c>
      <c r="AP375" s="23">
        <v>0</v>
      </c>
      <c r="AQ375" s="23">
        <v>0</v>
      </c>
      <c r="AR375" s="35">
        <v>0</v>
      </c>
      <c r="AS375" s="35">
        <v>0</v>
      </c>
      <c r="AT375" s="35">
        <v>1</v>
      </c>
      <c r="AU375" s="31" t="str">
        <f t="shared" si="8"/>
        <v>库存为1</v>
      </c>
      <c r="AV375" s="36" t="str">
        <f>IFERROR($A$2+AU375,"上周无销量")</f>
        <v>上周无销量</v>
      </c>
    </row>
    <row r="376" spans="1:48">
      <c r="A376" s="21" t="s">
        <v>822</v>
      </c>
      <c r="B376" t="s">
        <v>823</v>
      </c>
      <c r="C376" t="s">
        <v>819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s">
        <v>54</v>
      </c>
      <c r="AO376" s="23" t="s">
        <v>54</v>
      </c>
      <c r="AP376" s="23" t="s">
        <v>54</v>
      </c>
      <c r="AQ376" s="23" t="s">
        <v>54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IFERROR($A$2+AU376,"上周无销量")</f>
        <v>上周无销量</v>
      </c>
    </row>
    <row r="377" spans="1:48">
      <c r="A377" s="21" t="s">
        <v>824</v>
      </c>
      <c r="B377" t="s">
        <v>825</v>
      </c>
      <c r="C377" t="s">
        <v>826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8</v>
      </c>
      <c r="J377" s="33">
        <v>0</v>
      </c>
      <c r="K377" s="33">
        <v>0</v>
      </c>
      <c r="L377" s="33">
        <v>0</v>
      </c>
      <c r="M377">
        <v>8</v>
      </c>
      <c r="N377">
        <v>0</v>
      </c>
      <c r="O377">
        <v>8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10</v>
      </c>
      <c r="AK377">
        <v>9</v>
      </c>
      <c r="AL377">
        <v>16</v>
      </c>
      <c r="AM377">
        <v>9</v>
      </c>
      <c r="AN377" s="23">
        <v>0</v>
      </c>
      <c r="AO377" s="23">
        <v>0</v>
      </c>
      <c r="AP377" s="23">
        <v>0</v>
      </c>
      <c r="AQ377" s="23">
        <v>0</v>
      </c>
      <c r="AR377" s="35">
        <v>0</v>
      </c>
      <c r="AS377" s="35">
        <v>0</v>
      </c>
      <c r="AT377" s="35">
        <v>8</v>
      </c>
      <c r="AU377" s="31" t="str">
        <f t="shared" si="8"/>
        <v>库存为8</v>
      </c>
      <c r="AV377" s="36" t="str">
        <f>IFERROR($A$2+AU377,"上周无销量")</f>
        <v>上周无销量</v>
      </c>
    </row>
    <row r="378" spans="1:48">
      <c r="A378" s="21" t="s">
        <v>827</v>
      </c>
      <c r="B378" t="s">
        <v>828</v>
      </c>
      <c r="C378" t="s">
        <v>826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s">
        <v>54</v>
      </c>
      <c r="AO378" s="23" t="s">
        <v>54</v>
      </c>
      <c r="AP378" s="23" t="s">
        <v>54</v>
      </c>
      <c r="AQ378" s="23" t="s">
        <v>54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IFERROR($A$2+AU378,"上周无销量")</f>
        <v>上周无销量</v>
      </c>
    </row>
    <row r="379" spans="1:48">
      <c r="A379" s="21" t="s">
        <v>829</v>
      </c>
      <c r="B379" t="s">
        <v>830</v>
      </c>
      <c r="C379" t="s">
        <v>826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9</v>
      </c>
      <c r="J379" s="33">
        <v>0</v>
      </c>
      <c r="K379" s="33">
        <v>0</v>
      </c>
      <c r="L379" s="33">
        <v>0</v>
      </c>
      <c r="M379">
        <v>9</v>
      </c>
      <c r="N379">
        <v>0</v>
      </c>
      <c r="O379">
        <v>9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8</v>
      </c>
      <c r="AK379">
        <v>4</v>
      </c>
      <c r="AL379">
        <v>4</v>
      </c>
      <c r="AM379">
        <v>4</v>
      </c>
      <c r="AN379" s="23">
        <v>0</v>
      </c>
      <c r="AO379" s="23">
        <v>0</v>
      </c>
      <c r="AP379" s="23">
        <v>0</v>
      </c>
      <c r="AQ379" s="23">
        <v>0</v>
      </c>
      <c r="AR379" s="35">
        <v>0</v>
      </c>
      <c r="AS379" s="35">
        <v>0</v>
      </c>
      <c r="AT379" s="35">
        <v>9</v>
      </c>
      <c r="AU379" s="31" t="str">
        <f t="shared" si="8"/>
        <v>库存为9</v>
      </c>
      <c r="AV379" s="36" t="str">
        <f>IFERROR($A$2+AU379,"上周无销量")</f>
        <v>上周无销量</v>
      </c>
    </row>
    <row r="380" spans="1:48">
      <c r="A380" s="21" t="s">
        <v>831</v>
      </c>
      <c r="B380" t="s">
        <v>832</v>
      </c>
      <c r="C380" t="s">
        <v>826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0</v>
      </c>
      <c r="AL380">
        <v>0</v>
      </c>
      <c r="AM380">
        <v>0</v>
      </c>
      <c r="AN380" s="23" t="s">
        <v>54</v>
      </c>
      <c r="AO380" s="23" t="s">
        <v>54</v>
      </c>
      <c r="AP380" s="23" t="s">
        <v>54</v>
      </c>
      <c r="AQ380" s="23" t="s">
        <v>54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IFERROR($A$2+AU380,"上周无销量")</f>
        <v>上周无销量</v>
      </c>
    </row>
    <row r="381" spans="1:48">
      <c r="A381" s="21" t="s">
        <v>833</v>
      </c>
      <c r="B381" t="s">
        <v>834</v>
      </c>
      <c r="C381" t="s">
        <v>826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0</v>
      </c>
      <c r="AL381">
        <v>0</v>
      </c>
      <c r="AM381">
        <v>0</v>
      </c>
      <c r="AN381" s="23" t="s">
        <v>54</v>
      </c>
      <c r="AO381" s="23" t="s">
        <v>54</v>
      </c>
      <c r="AP381" s="23" t="s">
        <v>54</v>
      </c>
      <c r="AQ381" s="23" t="s">
        <v>54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IFERROR($A$2+AU381,"上周无销量")</f>
        <v>上周无销量</v>
      </c>
    </row>
    <row r="382" spans="1:48">
      <c r="A382" s="21" t="s">
        <v>835</v>
      </c>
      <c r="B382" t="s">
        <v>836</v>
      </c>
      <c r="C382" t="s">
        <v>826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s">
        <v>54</v>
      </c>
      <c r="AO382" s="23" t="s">
        <v>54</v>
      </c>
      <c r="AP382" s="23" t="s">
        <v>54</v>
      </c>
      <c r="AQ382" s="23" t="s">
        <v>54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IFERROR($A$2+AU382,"上周无销量")</f>
        <v>上周无销量</v>
      </c>
    </row>
    <row r="383" spans="1:48">
      <c r="A383" s="21" t="s">
        <v>837</v>
      </c>
      <c r="B383" t="s">
        <v>838</v>
      </c>
      <c r="C383" t="s">
        <v>826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s">
        <v>54</v>
      </c>
      <c r="AO383" s="23" t="s">
        <v>54</v>
      </c>
      <c r="AP383" s="23" t="s">
        <v>54</v>
      </c>
      <c r="AQ383" s="23" t="s">
        <v>54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IFERROR($A$2+AU383,"上周无销量")</f>
        <v>上周无销量</v>
      </c>
    </row>
    <row r="384" spans="1:48">
      <c r="A384" s="21" t="s">
        <v>839</v>
      </c>
      <c r="B384" t="s">
        <v>840</v>
      </c>
      <c r="C384" t="s">
        <v>841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s">
        <v>54</v>
      </c>
      <c r="AO384" s="23" t="s">
        <v>54</v>
      </c>
      <c r="AP384" s="23" t="s">
        <v>54</v>
      </c>
      <c r="AQ384" s="23" t="s">
        <v>54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IFERROR($A$2+AU384,"上周无销量")</f>
        <v>上周无销量</v>
      </c>
    </row>
    <row r="385" spans="1:48">
      <c r="A385" s="21" t="s">
        <v>842</v>
      </c>
      <c r="B385" t="s">
        <v>843</v>
      </c>
      <c r="C385" t="s">
        <v>841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11</v>
      </c>
      <c r="J385" s="33">
        <v>0</v>
      </c>
      <c r="K385" s="33">
        <v>0</v>
      </c>
      <c r="L385" s="33">
        <v>0</v>
      </c>
      <c r="M385">
        <v>11</v>
      </c>
      <c r="N385">
        <v>0</v>
      </c>
      <c r="O385">
        <v>11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9</v>
      </c>
      <c r="AK385">
        <v>6</v>
      </c>
      <c r="AL385">
        <v>4</v>
      </c>
      <c r="AM385">
        <v>5</v>
      </c>
      <c r="AN385" s="23">
        <v>0</v>
      </c>
      <c r="AO385" s="23">
        <v>0</v>
      </c>
      <c r="AP385" s="23">
        <v>0</v>
      </c>
      <c r="AQ385" s="23">
        <v>0</v>
      </c>
      <c r="AR385" s="35">
        <v>0</v>
      </c>
      <c r="AS385" s="35">
        <v>0</v>
      </c>
      <c r="AT385" s="35">
        <v>11</v>
      </c>
      <c r="AU385" s="31" t="str">
        <f t="shared" si="8"/>
        <v>库存为11</v>
      </c>
      <c r="AV385" s="36" t="str">
        <f>IFERROR($A$2+AU385,"上周无销量")</f>
        <v>上周无销量</v>
      </c>
    </row>
    <row r="386" spans="1:48">
      <c r="A386" s="21" t="s">
        <v>844</v>
      </c>
      <c r="B386" t="s">
        <v>845</v>
      </c>
      <c r="C386" t="s">
        <v>841</v>
      </c>
      <c r="D386" s="31">
        <v>1</v>
      </c>
      <c r="E386" s="31">
        <v>1</v>
      </c>
      <c r="F386" s="31">
        <v>0</v>
      </c>
      <c r="G386" s="31">
        <v>0</v>
      </c>
      <c r="H386" s="32">
        <v>21.98</v>
      </c>
      <c r="I386">
        <v>1</v>
      </c>
      <c r="J386" s="33">
        <v>0</v>
      </c>
      <c r="K386" s="33">
        <v>0</v>
      </c>
      <c r="L386" s="33">
        <v>0</v>
      </c>
      <c r="M386">
        <v>1</v>
      </c>
      <c r="N386">
        <v>0</v>
      </c>
      <c r="O386">
        <v>1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8</v>
      </c>
      <c r="AK386">
        <v>8</v>
      </c>
      <c r="AL386">
        <v>4</v>
      </c>
      <c r="AM386">
        <v>3</v>
      </c>
      <c r="AN386" s="23">
        <v>0.125</v>
      </c>
      <c r="AO386" s="23">
        <v>0.125</v>
      </c>
      <c r="AP386" s="23">
        <v>0</v>
      </c>
      <c r="AQ386" s="23">
        <v>0</v>
      </c>
      <c r="AR386" s="35">
        <v>0.142857142857143</v>
      </c>
      <c r="AS386" s="35">
        <v>8.57142857142857</v>
      </c>
      <c r="AT386" s="35">
        <v>-7.57142857142857</v>
      </c>
      <c r="AU386" s="31">
        <f t="shared" si="8"/>
        <v>7</v>
      </c>
      <c r="AV386" s="36">
        <f>IFERROR($A$2+AU386,"上周无销量")</f>
        <v>43283</v>
      </c>
    </row>
    <row r="387" spans="1:48">
      <c r="A387" s="21" t="s">
        <v>846</v>
      </c>
      <c r="B387" t="s">
        <v>847</v>
      </c>
      <c r="C387" t="s">
        <v>841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0</v>
      </c>
      <c r="AM387">
        <v>0</v>
      </c>
      <c r="AN387" s="23" t="s">
        <v>54</v>
      </c>
      <c r="AO387" s="23" t="s">
        <v>54</v>
      </c>
      <c r="AP387" s="23" t="s">
        <v>54</v>
      </c>
      <c r="AQ387" s="23" t="s">
        <v>54</v>
      </c>
      <c r="AR387" s="35">
        <v>0</v>
      </c>
      <c r="AS387" s="35">
        <v>0</v>
      </c>
      <c r="AT387" s="35">
        <v>0</v>
      </c>
      <c r="AU387" s="31" t="str">
        <f t="shared" si="8"/>
        <v>库存为0</v>
      </c>
      <c r="AV387" s="36" t="str">
        <f>IFERROR($A$2+AU387,"上周无销量")</f>
        <v>上周无销量</v>
      </c>
    </row>
    <row r="388" spans="1:48">
      <c r="A388" s="21" t="s">
        <v>848</v>
      </c>
      <c r="B388" t="s">
        <v>849</v>
      </c>
      <c r="C388" t="s">
        <v>841</v>
      </c>
      <c r="D388" s="31">
        <v>1</v>
      </c>
      <c r="E388" s="31">
        <v>0</v>
      </c>
      <c r="F388" s="31">
        <v>0</v>
      </c>
      <c r="G388" s="31">
        <v>1</v>
      </c>
      <c r="H388" s="32">
        <v>12.98</v>
      </c>
      <c r="I388">
        <v>4</v>
      </c>
      <c r="J388" s="33">
        <v>0</v>
      </c>
      <c r="K388" s="33">
        <v>0</v>
      </c>
      <c r="L388" s="33">
        <v>0</v>
      </c>
      <c r="M388">
        <v>4</v>
      </c>
      <c r="N388">
        <v>0</v>
      </c>
      <c r="O388">
        <v>3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13</v>
      </c>
      <c r="AK388">
        <v>7</v>
      </c>
      <c r="AL388">
        <v>4</v>
      </c>
      <c r="AM388">
        <v>3</v>
      </c>
      <c r="AN388" s="23">
        <v>0.0769230769230769</v>
      </c>
      <c r="AO388" s="23">
        <v>0</v>
      </c>
      <c r="AP388" s="23">
        <v>0</v>
      </c>
      <c r="AQ388" s="23">
        <v>0.333333333333333</v>
      </c>
      <c r="AR388" s="35">
        <v>0.142857142857143</v>
      </c>
      <c r="AS388" s="35">
        <v>8.57142857142857</v>
      </c>
      <c r="AT388" s="35">
        <v>-4.57142857142857</v>
      </c>
      <c r="AU388" s="31">
        <f t="shared" si="8"/>
        <v>28</v>
      </c>
      <c r="AV388" s="36">
        <f>IFERROR($A$2+AU388,"上周无销量")</f>
        <v>43304</v>
      </c>
    </row>
    <row r="389" spans="1:48">
      <c r="A389" s="21" t="s">
        <v>850</v>
      </c>
      <c r="B389" t="s">
        <v>851</v>
      </c>
      <c r="C389" t="s">
        <v>841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IFERROR($A$2+AU389,"上周无销量")</f>
        <v>上周无销量</v>
      </c>
    </row>
    <row r="390" spans="1:48">
      <c r="A390" s="21" t="s">
        <v>852</v>
      </c>
      <c r="B390" t="s">
        <v>853</v>
      </c>
      <c r="C390" t="s">
        <v>841</v>
      </c>
      <c r="D390" s="31">
        <v>1</v>
      </c>
      <c r="E390" s="31">
        <v>1</v>
      </c>
      <c r="F390" s="31">
        <v>0</v>
      </c>
      <c r="G390" s="31">
        <v>0</v>
      </c>
      <c r="H390" s="32">
        <v>19.98</v>
      </c>
      <c r="I390">
        <v>7</v>
      </c>
      <c r="J390" s="33">
        <v>0</v>
      </c>
      <c r="K390" s="33">
        <v>0</v>
      </c>
      <c r="L390" s="33">
        <v>0</v>
      </c>
      <c r="M390">
        <v>7</v>
      </c>
      <c r="N390">
        <v>0</v>
      </c>
      <c r="O390">
        <v>7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11</v>
      </c>
      <c r="AK390">
        <v>15</v>
      </c>
      <c r="AL390">
        <v>2</v>
      </c>
      <c r="AM390">
        <v>8</v>
      </c>
      <c r="AN390" s="23">
        <v>0.0909090909090909</v>
      </c>
      <c r="AO390" s="23">
        <v>0.0666666666666667</v>
      </c>
      <c r="AP390" s="23">
        <v>0</v>
      </c>
      <c r="AQ390" s="23">
        <v>0</v>
      </c>
      <c r="AR390" s="35">
        <v>0.142857142857143</v>
      </c>
      <c r="AS390" s="35">
        <v>8.57142857142857</v>
      </c>
      <c r="AT390" s="35">
        <v>-1.57142857142857</v>
      </c>
      <c r="AU390" s="31">
        <f t="shared" si="9"/>
        <v>49</v>
      </c>
      <c r="AV390" s="36">
        <f>IFERROR($A$2+AU390,"上周无销量")</f>
        <v>43325</v>
      </c>
    </row>
    <row r="391" spans="1:48">
      <c r="A391" s="21" t="s">
        <v>854</v>
      </c>
      <c r="B391" t="s">
        <v>855</v>
      </c>
      <c r="C391" t="s">
        <v>841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s">
        <v>54</v>
      </c>
      <c r="AO391" s="23" t="s">
        <v>54</v>
      </c>
      <c r="AP391" s="23" t="s">
        <v>54</v>
      </c>
      <c r="AQ391" s="23" t="s">
        <v>54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IFERROR($A$2+AU391,"上周无销量")</f>
        <v>上周无销量</v>
      </c>
    </row>
    <row r="392" spans="1:48">
      <c r="A392" s="21" t="s">
        <v>856</v>
      </c>
      <c r="B392" t="s">
        <v>857</v>
      </c>
      <c r="C392" t="s">
        <v>841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s">
        <v>54</v>
      </c>
      <c r="AO392" s="23" t="s">
        <v>54</v>
      </c>
      <c r="AP392" s="23" t="s">
        <v>54</v>
      </c>
      <c r="AQ392" s="23" t="s">
        <v>54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IFERROR($A$2+AU392,"上周无销量")</f>
        <v>上周无销量</v>
      </c>
    </row>
    <row r="393" spans="1:48">
      <c r="A393" s="21" t="s">
        <v>858</v>
      </c>
      <c r="B393" t="s">
        <v>859</v>
      </c>
      <c r="C393" t="s">
        <v>860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s">
        <v>54</v>
      </c>
      <c r="AO393" s="23" t="s">
        <v>54</v>
      </c>
      <c r="AP393" s="23" t="s">
        <v>54</v>
      </c>
      <c r="AQ393" s="23" t="s">
        <v>54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IFERROR($A$2+AU393,"上周无销量")</f>
        <v>上周无销量</v>
      </c>
    </row>
    <row r="394" spans="1:48">
      <c r="A394" s="21" t="s">
        <v>861</v>
      </c>
      <c r="B394" t="s">
        <v>862</v>
      </c>
      <c r="C394" t="s">
        <v>860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s">
        <v>54</v>
      </c>
      <c r="AO394" s="23" t="s">
        <v>54</v>
      </c>
      <c r="AP394" s="23" t="s">
        <v>54</v>
      </c>
      <c r="AQ394" s="23" t="s">
        <v>54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IFERROR($A$2+AU394,"上周无销量")</f>
        <v>上周无销量</v>
      </c>
    </row>
    <row r="395" spans="1:48">
      <c r="A395" s="21" t="s">
        <v>863</v>
      </c>
      <c r="B395" t="s">
        <v>864</v>
      </c>
      <c r="C395" t="s">
        <v>865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s">
        <v>54</v>
      </c>
      <c r="AO395" s="23" t="s">
        <v>54</v>
      </c>
      <c r="AP395" s="23" t="s">
        <v>54</v>
      </c>
      <c r="AQ395" s="23" t="s">
        <v>54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IFERROR($A$2+AU395,"上周无销量")</f>
        <v>上周无销量</v>
      </c>
    </row>
    <row r="396" spans="1:48">
      <c r="A396" s="21" t="s">
        <v>866</v>
      </c>
      <c r="B396" t="s">
        <v>867</v>
      </c>
      <c r="C396" t="s">
        <v>865</v>
      </c>
      <c r="D396" s="31">
        <v>1</v>
      </c>
      <c r="E396" s="31">
        <v>1</v>
      </c>
      <c r="F396" s="31">
        <v>2</v>
      </c>
      <c r="G396" s="31">
        <v>2</v>
      </c>
      <c r="H396" s="32">
        <v>10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2</v>
      </c>
      <c r="AK396">
        <v>22</v>
      </c>
      <c r="AL396">
        <v>24</v>
      </c>
      <c r="AM396">
        <v>27</v>
      </c>
      <c r="AN396" s="23">
        <v>0.5</v>
      </c>
      <c r="AO396" s="23">
        <v>0.0454545454545455</v>
      </c>
      <c r="AP396" s="23">
        <v>0.0833333333333333</v>
      </c>
      <c r="AQ396" s="23">
        <v>0.0740740740740741</v>
      </c>
      <c r="AR396" s="35">
        <v>0.142857142857143</v>
      </c>
      <c r="AS396" s="35">
        <v>8.57142857142857</v>
      </c>
      <c r="AT396" s="35">
        <v>-8.57142857142857</v>
      </c>
      <c r="AU396" s="31">
        <f t="shared" si="9"/>
        <v>0</v>
      </c>
      <c r="AV396" s="36">
        <f>IFERROR($A$2+AU396,"上周无销量")</f>
        <v>43276</v>
      </c>
    </row>
    <row r="397" spans="1:48">
      <c r="A397" s="21" t="s">
        <v>868</v>
      </c>
      <c r="B397" t="s">
        <v>869</v>
      </c>
      <c r="C397" t="s">
        <v>870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0</v>
      </c>
      <c r="J397" s="33">
        <v>0</v>
      </c>
      <c r="K397" s="33">
        <v>0</v>
      </c>
      <c r="L397" s="33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s">
        <v>54</v>
      </c>
      <c r="AO397" s="23" t="s">
        <v>54</v>
      </c>
      <c r="AP397" s="23" t="s">
        <v>54</v>
      </c>
      <c r="AQ397" s="23" t="s">
        <v>54</v>
      </c>
      <c r="AR397" s="35">
        <v>0</v>
      </c>
      <c r="AS397" s="35">
        <v>0</v>
      </c>
      <c r="AT397" s="35">
        <v>0</v>
      </c>
      <c r="AU397" s="31" t="str">
        <f t="shared" si="9"/>
        <v>库存为0</v>
      </c>
      <c r="AV397" s="36" t="str">
        <f>IFERROR($A$2+AU397,"上周无销量")</f>
        <v>上周无销量</v>
      </c>
    </row>
    <row r="398" spans="1:48">
      <c r="A398" s="21" t="s">
        <v>871</v>
      </c>
      <c r="B398" t="s">
        <v>872</v>
      </c>
      <c r="C398" t="s">
        <v>870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s">
        <v>54</v>
      </c>
      <c r="AO398" s="23" t="s">
        <v>54</v>
      </c>
      <c r="AP398" s="23" t="s">
        <v>54</v>
      </c>
      <c r="AQ398" s="23" t="s">
        <v>54</v>
      </c>
      <c r="AR398" s="35">
        <v>0</v>
      </c>
      <c r="AS398" s="35">
        <v>0</v>
      </c>
      <c r="AT398" s="35">
        <v>0</v>
      </c>
      <c r="AU398" s="31" t="str">
        <f t="shared" si="9"/>
        <v>库存为0</v>
      </c>
      <c r="AV398" s="36" t="str">
        <f>IFERROR($A$2+AU398,"上周无销量")</f>
        <v>上周无销量</v>
      </c>
    </row>
    <row r="399" spans="1:48">
      <c r="A399" s="21" t="s">
        <v>873</v>
      </c>
      <c r="B399" t="s">
        <v>874</v>
      </c>
      <c r="C399" t="s">
        <v>875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3</v>
      </c>
      <c r="J399" s="33">
        <v>0</v>
      </c>
      <c r="K399" s="33">
        <v>0</v>
      </c>
      <c r="L399" s="33">
        <v>0</v>
      </c>
      <c r="M399">
        <v>3</v>
      </c>
      <c r="N399">
        <v>0</v>
      </c>
      <c r="O399">
        <v>2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12</v>
      </c>
      <c r="AK399">
        <v>2</v>
      </c>
      <c r="AL399">
        <v>12</v>
      </c>
      <c r="AM399">
        <v>2</v>
      </c>
      <c r="AN399" s="23">
        <v>0</v>
      </c>
      <c r="AO399" s="23">
        <v>0</v>
      </c>
      <c r="AP399" s="23">
        <v>0</v>
      </c>
      <c r="AQ399" s="23">
        <v>0</v>
      </c>
      <c r="AR399" s="35">
        <v>0</v>
      </c>
      <c r="AS399" s="35">
        <v>0</v>
      </c>
      <c r="AT399" s="35">
        <v>3</v>
      </c>
      <c r="AU399" s="31" t="str">
        <f t="shared" si="9"/>
        <v>库存为3</v>
      </c>
      <c r="AV399" s="36" t="str">
        <f>IFERROR($A$2+AU399,"上周无销量")</f>
        <v>上周无销量</v>
      </c>
    </row>
    <row r="400" spans="1:48">
      <c r="A400" s="21" t="s">
        <v>876</v>
      </c>
      <c r="B400" t="s">
        <v>877</v>
      </c>
      <c r="C400" t="s">
        <v>875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1</v>
      </c>
      <c r="J400" s="33">
        <v>0</v>
      </c>
      <c r="K400" s="33">
        <v>0</v>
      </c>
      <c r="L400" s="33">
        <v>0</v>
      </c>
      <c r="M400">
        <v>1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4</v>
      </c>
      <c r="AK400">
        <v>1</v>
      </c>
      <c r="AL400">
        <v>2</v>
      </c>
      <c r="AM400">
        <v>0</v>
      </c>
      <c r="AN400" s="23">
        <v>0</v>
      </c>
      <c r="AO400" s="23">
        <v>0</v>
      </c>
      <c r="AP400" s="23">
        <v>0</v>
      </c>
      <c r="AQ400" s="23" t="s">
        <v>54</v>
      </c>
      <c r="AR400" s="35">
        <v>0</v>
      </c>
      <c r="AS400" s="35">
        <v>0</v>
      </c>
      <c r="AT400" s="35">
        <v>1</v>
      </c>
      <c r="AU400" s="31" t="str">
        <f t="shared" si="9"/>
        <v>库存为1</v>
      </c>
      <c r="AV400" s="36" t="str">
        <f>IFERROR($A$2+AU400,"上周无销量")</f>
        <v>上周无销量</v>
      </c>
    </row>
    <row r="401" spans="1:48">
      <c r="A401" s="21" t="s">
        <v>878</v>
      </c>
      <c r="B401" t="s">
        <v>879</v>
      </c>
      <c r="C401" t="s">
        <v>875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s">
        <v>54</v>
      </c>
      <c r="AO401" s="23" t="s">
        <v>54</v>
      </c>
      <c r="AP401" s="23" t="s">
        <v>54</v>
      </c>
      <c r="AQ401" s="23" t="s">
        <v>54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IFERROR($A$2+AU401,"上周无销量")</f>
        <v>上周无销量</v>
      </c>
    </row>
    <row r="402" spans="1:48">
      <c r="A402" s="21" t="s">
        <v>880</v>
      </c>
      <c r="B402" t="s">
        <v>881</v>
      </c>
      <c r="C402" t="s">
        <v>882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s">
        <v>54</v>
      </c>
      <c r="AO402" s="23" t="s">
        <v>54</v>
      </c>
      <c r="AP402" s="23" t="s">
        <v>54</v>
      </c>
      <c r="AQ402" s="23" t="s">
        <v>54</v>
      </c>
      <c r="AR402" s="35">
        <v>0</v>
      </c>
      <c r="AS402" s="35">
        <v>0</v>
      </c>
      <c r="AT402" s="35">
        <v>0</v>
      </c>
      <c r="AU402" s="31" t="str">
        <f t="shared" si="9"/>
        <v>库存为0</v>
      </c>
      <c r="AV402" s="36" t="str">
        <f>IFERROR($A$2+AU402,"上周无销量")</f>
        <v>上周无销量</v>
      </c>
    </row>
    <row r="403" spans="1:48">
      <c r="A403" s="21" t="s">
        <v>883</v>
      </c>
      <c r="B403" t="s">
        <v>884</v>
      </c>
      <c r="C403" t="s">
        <v>882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s">
        <v>54</v>
      </c>
      <c r="AO403" s="23" t="s">
        <v>54</v>
      </c>
      <c r="AP403" s="23" t="s">
        <v>54</v>
      </c>
      <c r="AQ403" s="23" t="s">
        <v>54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IFERROR($A$2+AU403,"上周无销量")</f>
        <v>上周无销量</v>
      </c>
    </row>
    <row r="404" spans="1:48">
      <c r="A404" s="21" t="s">
        <v>885</v>
      </c>
      <c r="B404" t="s">
        <v>886</v>
      </c>
      <c r="C404" t="s">
        <v>882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s">
        <v>54</v>
      </c>
      <c r="AO404" s="23" t="s">
        <v>54</v>
      </c>
      <c r="AP404" s="23" t="s">
        <v>54</v>
      </c>
      <c r="AQ404" s="23" t="s">
        <v>54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IFERROR($A$2+AU404,"上周无销量")</f>
        <v>上周无销量</v>
      </c>
    </row>
    <row r="405" spans="1:48">
      <c r="A405" s="21" t="s">
        <v>887</v>
      </c>
      <c r="B405" t="s">
        <v>888</v>
      </c>
      <c r="C405" t="s">
        <v>882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s">
        <v>54</v>
      </c>
      <c r="AO405" s="23" t="s">
        <v>54</v>
      </c>
      <c r="AP405" s="23" t="s">
        <v>54</v>
      </c>
      <c r="AQ405" s="23" t="s">
        <v>54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IFERROR($A$2+AU405,"上周无销量")</f>
        <v>上周无销量</v>
      </c>
    </row>
    <row r="406" spans="1:48">
      <c r="A406" s="21" t="s">
        <v>889</v>
      </c>
      <c r="B406" t="s">
        <v>890</v>
      </c>
      <c r="C406" t="s">
        <v>882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s">
        <v>54</v>
      </c>
      <c r="AO406" s="23" t="s">
        <v>54</v>
      </c>
      <c r="AP406" s="23" t="s">
        <v>54</v>
      </c>
      <c r="AQ406" s="23" t="s">
        <v>54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IFERROR($A$2+AU406,"上周无销量")</f>
        <v>上周无销量</v>
      </c>
    </row>
    <row r="407" spans="1:48">
      <c r="A407" s="21" t="s">
        <v>891</v>
      </c>
      <c r="B407" t="s">
        <v>892</v>
      </c>
      <c r="C407" t="s">
        <v>882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s">
        <v>54</v>
      </c>
      <c r="AO407" s="23" t="s">
        <v>54</v>
      </c>
      <c r="AP407" s="23" t="s">
        <v>54</v>
      </c>
      <c r="AQ407" s="23" t="s">
        <v>54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IFERROR($A$2+AU407,"上周无销量")</f>
        <v>上周无销量</v>
      </c>
    </row>
    <row r="408" spans="1:48">
      <c r="A408" s="21" t="s">
        <v>893</v>
      </c>
      <c r="B408" t="s">
        <v>894</v>
      </c>
      <c r="C408" t="s">
        <v>882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s">
        <v>54</v>
      </c>
      <c r="AO408" s="23" t="s">
        <v>54</v>
      </c>
      <c r="AP408" s="23" t="s">
        <v>54</v>
      </c>
      <c r="AQ408" s="23" t="s">
        <v>54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IFERROR($A$2+AU408,"上周无销量")</f>
        <v>上周无销量</v>
      </c>
    </row>
    <row r="409" spans="1:48">
      <c r="A409" s="21" t="s">
        <v>895</v>
      </c>
      <c r="B409" t="s">
        <v>896</v>
      </c>
      <c r="C409" t="s">
        <v>882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5</v>
      </c>
      <c r="J409" s="33">
        <v>0</v>
      </c>
      <c r="K409" s="33">
        <v>0</v>
      </c>
      <c r="L409" s="33">
        <v>0</v>
      </c>
      <c r="M409">
        <v>5</v>
      </c>
      <c r="N409">
        <v>0</v>
      </c>
      <c r="O409">
        <v>5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8</v>
      </c>
      <c r="AK409">
        <v>5</v>
      </c>
      <c r="AL409">
        <v>5</v>
      </c>
      <c r="AM409">
        <v>8</v>
      </c>
      <c r="AN409" s="23">
        <v>0</v>
      </c>
      <c r="AO409" s="23">
        <v>0</v>
      </c>
      <c r="AP409" s="23">
        <v>0</v>
      </c>
      <c r="AQ409" s="23">
        <v>0</v>
      </c>
      <c r="AR409" s="35">
        <v>0</v>
      </c>
      <c r="AS409" s="35">
        <v>0</v>
      </c>
      <c r="AT409" s="35">
        <v>5</v>
      </c>
      <c r="AU409" s="31" t="str">
        <f t="shared" si="9"/>
        <v>库存为5</v>
      </c>
      <c r="AV409" s="36" t="str">
        <f>IFERROR($A$2+AU409,"上周无销量")</f>
        <v>上周无销量</v>
      </c>
    </row>
    <row r="410" spans="1:48">
      <c r="A410" s="21" t="s">
        <v>897</v>
      </c>
      <c r="B410" t="s">
        <v>898</v>
      </c>
      <c r="C410" t="s">
        <v>899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s">
        <v>54</v>
      </c>
      <c r="AO410" s="23" t="s">
        <v>54</v>
      </c>
      <c r="AP410" s="23" t="s">
        <v>54</v>
      </c>
      <c r="AQ410" s="23" t="s">
        <v>54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IFERROR($A$2+AU410,"上周无销量")</f>
        <v>上周无销量</v>
      </c>
    </row>
    <row r="411" spans="1:48">
      <c r="A411" s="21" t="s">
        <v>900</v>
      </c>
      <c r="B411" t="s">
        <v>898</v>
      </c>
      <c r="C411" t="s">
        <v>899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s">
        <v>54</v>
      </c>
      <c r="AO411" s="23" t="s">
        <v>54</v>
      </c>
      <c r="AP411" s="23" t="s">
        <v>54</v>
      </c>
      <c r="AQ411" s="23" t="s">
        <v>54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IFERROR($A$2+AU411,"上周无销量")</f>
        <v>上周无销量</v>
      </c>
    </row>
    <row r="412" spans="1:48">
      <c r="A412" s="21" t="s">
        <v>901</v>
      </c>
      <c r="B412" t="s">
        <v>902</v>
      </c>
      <c r="C412" t="s">
        <v>903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s">
        <v>54</v>
      </c>
      <c r="AO412" s="23" t="s">
        <v>54</v>
      </c>
      <c r="AP412" s="23" t="s">
        <v>54</v>
      </c>
      <c r="AQ412" s="23" t="s">
        <v>54</v>
      </c>
      <c r="AR412" s="35">
        <v>0</v>
      </c>
      <c r="AS412" s="35">
        <v>0</v>
      </c>
      <c r="AT412" s="35">
        <v>0</v>
      </c>
      <c r="AU412" s="31" t="str">
        <f t="shared" si="9"/>
        <v>库存为0</v>
      </c>
      <c r="AV412" s="36" t="str">
        <f>IFERROR($A$2+AU412,"上周无销量")</f>
        <v>上周无销量</v>
      </c>
    </row>
    <row r="413" spans="1:48">
      <c r="A413" s="21" t="s">
        <v>904</v>
      </c>
      <c r="B413" t="s">
        <v>905</v>
      </c>
      <c r="C413" t="s">
        <v>903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s">
        <v>54</v>
      </c>
      <c r="AO413" s="23" t="s">
        <v>54</v>
      </c>
      <c r="AP413" s="23" t="s">
        <v>54</v>
      </c>
      <c r="AQ413" s="23" t="s">
        <v>54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IFERROR($A$2+AU413,"上周无销量")</f>
        <v>上周无销量</v>
      </c>
    </row>
    <row r="414" spans="1:48">
      <c r="A414" s="21" t="s">
        <v>906</v>
      </c>
      <c r="B414" t="s">
        <v>907</v>
      </c>
      <c r="C414" t="s">
        <v>903</v>
      </c>
      <c r="D414" s="31">
        <v>0</v>
      </c>
      <c r="E414" s="31">
        <v>2</v>
      </c>
      <c r="F414" s="31">
        <v>0</v>
      </c>
      <c r="G414" s="31">
        <v>0</v>
      </c>
      <c r="H414" s="32">
        <v>15.98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88</v>
      </c>
      <c r="AL414">
        <v>16</v>
      </c>
      <c r="AM414">
        <v>0</v>
      </c>
      <c r="AN414" s="23" t="s">
        <v>54</v>
      </c>
      <c r="AO414" s="23">
        <v>0.0227272727272727</v>
      </c>
      <c r="AP414" s="23">
        <v>0</v>
      </c>
      <c r="AQ414" s="23" t="s">
        <v>54</v>
      </c>
      <c r="AR414" s="35">
        <v>0</v>
      </c>
      <c r="AS414" s="35">
        <v>0</v>
      </c>
      <c r="AT414" s="35">
        <v>0</v>
      </c>
      <c r="AU414" s="31" t="str">
        <f t="shared" si="9"/>
        <v>库存为0</v>
      </c>
      <c r="AV414" s="36" t="str">
        <f>IFERROR($A$2+AU414,"上周无销量")</f>
        <v>上周无销量</v>
      </c>
    </row>
    <row r="415" spans="1:48">
      <c r="A415" s="21" t="s">
        <v>908</v>
      </c>
      <c r="B415" t="s">
        <v>909</v>
      </c>
      <c r="C415" t="s">
        <v>903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s">
        <v>54</v>
      </c>
      <c r="AO415" s="23" t="s">
        <v>54</v>
      </c>
      <c r="AP415" s="23" t="s">
        <v>54</v>
      </c>
      <c r="AQ415" s="23" t="s">
        <v>54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IFERROR($A$2+AU415,"上周无销量")</f>
        <v>上周无销量</v>
      </c>
    </row>
    <row r="416" spans="1:48">
      <c r="A416" s="21" t="s">
        <v>910</v>
      </c>
      <c r="B416" t="s">
        <v>911</v>
      </c>
      <c r="C416" t="s">
        <v>903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s">
        <v>54</v>
      </c>
      <c r="AO416" s="23" t="s">
        <v>54</v>
      </c>
      <c r="AP416" s="23" t="s">
        <v>54</v>
      </c>
      <c r="AQ416" s="23" t="s">
        <v>54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IFERROR($A$2+AU416,"上周无销量")</f>
        <v>上周无销量</v>
      </c>
    </row>
    <row r="417" spans="1:48">
      <c r="A417" s="21" t="s">
        <v>912</v>
      </c>
      <c r="B417" t="s">
        <v>913</v>
      </c>
      <c r="C417" t="s">
        <v>903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s">
        <v>54</v>
      </c>
      <c r="AO417" s="23" t="s">
        <v>54</v>
      </c>
      <c r="AP417" s="23" t="s">
        <v>54</v>
      </c>
      <c r="AQ417" s="23" t="s">
        <v>54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IFERROR($A$2+AU417,"上周无销量")</f>
        <v>上周无销量</v>
      </c>
    </row>
    <row r="418" spans="1:48">
      <c r="A418" s="21" t="s">
        <v>914</v>
      </c>
      <c r="B418" t="s">
        <v>915</v>
      </c>
      <c r="C418" t="s">
        <v>903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s">
        <v>54</v>
      </c>
      <c r="AO418" s="23" t="s">
        <v>54</v>
      </c>
      <c r="AP418" s="23" t="s">
        <v>54</v>
      </c>
      <c r="AQ418" s="23" t="s">
        <v>54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IFERROR($A$2+AU418,"上周无销量")</f>
        <v>上周无销量</v>
      </c>
    </row>
    <row r="419" spans="1:48">
      <c r="A419" s="21" t="s">
        <v>916</v>
      </c>
      <c r="B419" t="s">
        <v>917</v>
      </c>
      <c r="C419" t="s">
        <v>903</v>
      </c>
      <c r="D419" s="31">
        <v>1</v>
      </c>
      <c r="E419" s="31">
        <v>0</v>
      </c>
      <c r="F419" s="31">
        <v>0</v>
      </c>
      <c r="G419" s="31">
        <v>1</v>
      </c>
      <c r="H419" s="32">
        <v>18.98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1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14</v>
      </c>
      <c r="AK419">
        <v>28</v>
      </c>
      <c r="AL419">
        <v>0</v>
      </c>
      <c r="AM419">
        <v>19</v>
      </c>
      <c r="AN419" s="23">
        <v>0.0714285714285714</v>
      </c>
      <c r="AO419" s="23">
        <v>0</v>
      </c>
      <c r="AP419" s="23" t="s">
        <v>54</v>
      </c>
      <c r="AQ419" s="23">
        <v>0.0526315789473684</v>
      </c>
      <c r="AR419" s="35">
        <v>0.142857142857143</v>
      </c>
      <c r="AS419" s="35">
        <v>8.57142857142857</v>
      </c>
      <c r="AT419" s="35">
        <v>-8.57142857142857</v>
      </c>
      <c r="AU419" s="31">
        <f t="shared" si="9"/>
        <v>0</v>
      </c>
      <c r="AV419" s="36">
        <f>IFERROR($A$2+AU419,"上周无销量")</f>
        <v>43276</v>
      </c>
    </row>
    <row r="420" spans="1:48">
      <c r="A420" s="21" t="s">
        <v>918</v>
      </c>
      <c r="B420" t="s">
        <v>919</v>
      </c>
      <c r="C420" t="s">
        <v>903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s">
        <v>54</v>
      </c>
      <c r="AO420" s="23" t="s">
        <v>54</v>
      </c>
      <c r="AP420" s="23" t="s">
        <v>54</v>
      </c>
      <c r="AQ420" s="23" t="s">
        <v>54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IFERROR($A$2+AU420,"上周无销量")</f>
        <v>上周无销量</v>
      </c>
    </row>
    <row r="421" spans="1:48">
      <c r="A421" s="21" t="s">
        <v>920</v>
      </c>
      <c r="B421" t="s">
        <v>921</v>
      </c>
      <c r="C421" t="s">
        <v>903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s">
        <v>54</v>
      </c>
      <c r="AO421" s="23" t="s">
        <v>54</v>
      </c>
      <c r="AP421" s="23" t="s">
        <v>54</v>
      </c>
      <c r="AQ421" s="23" t="s">
        <v>54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IFERROR($A$2+AU421,"上周无销量")</f>
        <v>上周无销量</v>
      </c>
    </row>
    <row r="422" spans="1:48">
      <c r="A422" s="21" t="s">
        <v>922</v>
      </c>
      <c r="B422" t="s">
        <v>923</v>
      </c>
      <c r="C422" t="s">
        <v>903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s">
        <v>54</v>
      </c>
      <c r="AO422" s="23" t="s">
        <v>54</v>
      </c>
      <c r="AP422" s="23" t="s">
        <v>54</v>
      </c>
      <c r="AQ422" s="23" t="s">
        <v>54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IFERROR($A$2+AU422,"上周无销量")</f>
        <v>上周无销量</v>
      </c>
    </row>
    <row r="423" spans="1:48">
      <c r="A423" s="21" t="s">
        <v>924</v>
      </c>
      <c r="B423" t="s">
        <v>925</v>
      </c>
      <c r="C423" t="s">
        <v>903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s">
        <v>54</v>
      </c>
      <c r="AO423" s="23" t="s">
        <v>54</v>
      </c>
      <c r="AP423" s="23" t="s">
        <v>54</v>
      </c>
      <c r="AQ423" s="23" t="s">
        <v>54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IFERROR($A$2+AU423,"上周无销量")</f>
        <v>上周无销量</v>
      </c>
    </row>
    <row r="424" spans="1:48">
      <c r="A424" s="21" t="s">
        <v>926</v>
      </c>
      <c r="B424" t="s">
        <v>927</v>
      </c>
      <c r="C424" t="s">
        <v>903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IFERROR($A$2+AU424,"上周无销量")</f>
        <v>上周无销量</v>
      </c>
    </row>
    <row r="425" spans="1:48">
      <c r="A425" s="21" t="s">
        <v>928</v>
      </c>
      <c r="B425" t="s">
        <v>929</v>
      </c>
      <c r="C425" t="s">
        <v>903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IFERROR($A$2+AU425,"上周无销量")</f>
        <v>上周无销量</v>
      </c>
    </row>
    <row r="426" spans="1:48">
      <c r="A426" s="21" t="s">
        <v>930</v>
      </c>
      <c r="B426" t="s">
        <v>931</v>
      </c>
      <c r="C426" t="s">
        <v>903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s">
        <v>54</v>
      </c>
      <c r="AO426" s="23" t="s">
        <v>54</v>
      </c>
      <c r="AP426" s="23" t="s">
        <v>54</v>
      </c>
      <c r="AQ426" s="23" t="s">
        <v>54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IFERROR($A$2+AU426,"上周无销量")</f>
        <v>上周无销量</v>
      </c>
    </row>
    <row r="427" spans="1:48">
      <c r="A427" s="21" t="s">
        <v>932</v>
      </c>
      <c r="B427" t="s">
        <v>933</v>
      </c>
      <c r="C427" t="s">
        <v>903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s">
        <v>54</v>
      </c>
      <c r="AO427" s="23" t="s">
        <v>54</v>
      </c>
      <c r="AP427" s="23" t="s">
        <v>54</v>
      </c>
      <c r="AQ427" s="23" t="s">
        <v>54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IFERROR($A$2+AU427,"上周无销量")</f>
        <v>上周无销量</v>
      </c>
    </row>
    <row r="428" spans="1:48">
      <c r="A428" s="21" t="s">
        <v>934</v>
      </c>
      <c r="B428" t="s">
        <v>935</v>
      </c>
      <c r="C428" t="s">
        <v>903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s">
        <v>54</v>
      </c>
      <c r="AO428" s="23" t="s">
        <v>54</v>
      </c>
      <c r="AP428" s="23" t="s">
        <v>54</v>
      </c>
      <c r="AQ428" s="23" t="s">
        <v>54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IFERROR($A$2+AU428,"上周无销量")</f>
        <v>上周无销量</v>
      </c>
    </row>
    <row r="429" spans="1:48">
      <c r="A429" s="21" t="s">
        <v>936</v>
      </c>
      <c r="B429" t="s">
        <v>937</v>
      </c>
      <c r="C429" t="s">
        <v>903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s">
        <v>54</v>
      </c>
      <c r="AO429" s="23" t="s">
        <v>54</v>
      </c>
      <c r="AP429" s="23" t="s">
        <v>54</v>
      </c>
      <c r="AQ429" s="23" t="s">
        <v>54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IFERROR($A$2+AU429,"上周无销量")</f>
        <v>上周无销量</v>
      </c>
    </row>
    <row r="430" spans="1:48">
      <c r="A430" s="21" t="s">
        <v>938</v>
      </c>
      <c r="B430" t="s">
        <v>939</v>
      </c>
      <c r="C430" t="s">
        <v>903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s">
        <v>54</v>
      </c>
      <c r="AO430" s="23" t="s">
        <v>54</v>
      </c>
      <c r="AP430" s="23" t="s">
        <v>54</v>
      </c>
      <c r="AQ430" s="23" t="s">
        <v>54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IFERROR($A$2+AU430,"上周无销量")</f>
        <v>上周无销量</v>
      </c>
    </row>
    <row r="431" spans="1:48">
      <c r="A431" s="21" t="s">
        <v>940</v>
      </c>
      <c r="B431" t="s">
        <v>941</v>
      </c>
      <c r="C431" t="s">
        <v>903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s">
        <v>54</v>
      </c>
      <c r="AO431" s="23" t="s">
        <v>54</v>
      </c>
      <c r="AP431" s="23" t="s">
        <v>54</v>
      </c>
      <c r="AQ431" s="23" t="s">
        <v>54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IFERROR($A$2+AU431,"上周无销量")</f>
        <v>上周无销量</v>
      </c>
    </row>
    <row r="432" spans="1:48">
      <c r="A432" s="21" t="s">
        <v>942</v>
      </c>
      <c r="B432" t="s">
        <v>943</v>
      </c>
      <c r="C432" t="s">
        <v>903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s">
        <v>54</v>
      </c>
      <c r="AO432" s="23" t="s">
        <v>54</v>
      </c>
      <c r="AP432" s="23" t="s">
        <v>54</v>
      </c>
      <c r="AQ432" s="23" t="s">
        <v>54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IFERROR($A$2+AU432,"上周无销量")</f>
        <v>上周无销量</v>
      </c>
    </row>
    <row r="433" spans="1:48">
      <c r="A433" s="21" t="s">
        <v>944</v>
      </c>
      <c r="B433" t="s">
        <v>945</v>
      </c>
      <c r="C433" t="s">
        <v>903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s">
        <v>54</v>
      </c>
      <c r="AO433" s="23" t="s">
        <v>54</v>
      </c>
      <c r="AP433" s="23" t="s">
        <v>54</v>
      </c>
      <c r="AQ433" s="23" t="s">
        <v>54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IFERROR($A$2+AU433,"上周无销量")</f>
        <v>上周无销量</v>
      </c>
    </row>
    <row r="434" spans="1:48">
      <c r="A434" s="21" t="s">
        <v>946</v>
      </c>
      <c r="B434" t="s">
        <v>947</v>
      </c>
      <c r="C434" t="s">
        <v>903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s">
        <v>54</v>
      </c>
      <c r="AO434" s="23" t="s">
        <v>54</v>
      </c>
      <c r="AP434" s="23" t="s">
        <v>54</v>
      </c>
      <c r="AQ434" s="23" t="s">
        <v>54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IFERROR($A$2+AU434,"上周无销量")</f>
        <v>上周无销量</v>
      </c>
    </row>
    <row r="435" spans="1:48">
      <c r="A435" s="21" t="s">
        <v>948</v>
      </c>
      <c r="B435" t="s">
        <v>949</v>
      </c>
      <c r="C435" t="s">
        <v>950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s">
        <v>54</v>
      </c>
      <c r="AO435" s="23" t="s">
        <v>54</v>
      </c>
      <c r="AP435" s="23" t="s">
        <v>54</v>
      </c>
      <c r="AQ435" s="23" t="s">
        <v>54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IFERROR($A$2+AU435,"上周无销量")</f>
        <v>上周无销量</v>
      </c>
    </row>
    <row r="436" spans="1:48">
      <c r="A436" s="21" t="s">
        <v>951</v>
      </c>
      <c r="B436" t="s">
        <v>952</v>
      </c>
      <c r="C436" t="s">
        <v>950</v>
      </c>
      <c r="D436" s="31">
        <v>1</v>
      </c>
      <c r="E436" s="31">
        <v>1</v>
      </c>
      <c r="F436" s="31">
        <v>1</v>
      </c>
      <c r="G436" s="31">
        <v>1</v>
      </c>
      <c r="H436" s="32">
        <v>15.98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2</v>
      </c>
      <c r="AK436">
        <v>14</v>
      </c>
      <c r="AL436">
        <v>10</v>
      </c>
      <c r="AM436">
        <v>7</v>
      </c>
      <c r="AN436" s="23">
        <v>0.5</v>
      </c>
      <c r="AO436" s="23">
        <v>0.0714285714285714</v>
      </c>
      <c r="AP436" s="23">
        <v>0.1</v>
      </c>
      <c r="AQ436" s="23">
        <v>0.142857142857143</v>
      </c>
      <c r="AR436" s="35">
        <v>0.142857142857143</v>
      </c>
      <c r="AS436" s="35">
        <v>8.57142857142857</v>
      </c>
      <c r="AT436" s="35">
        <v>-8.57142857142857</v>
      </c>
      <c r="AU436" s="31">
        <f t="shared" si="9"/>
        <v>0</v>
      </c>
      <c r="AV436" s="36">
        <f>IFERROR($A$2+AU436,"上周无销量")</f>
        <v>43276</v>
      </c>
    </row>
    <row r="437" spans="1:48">
      <c r="A437" s="21" t="s">
        <v>953</v>
      </c>
      <c r="B437" t="s">
        <v>954</v>
      </c>
      <c r="C437" t="s">
        <v>950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3</v>
      </c>
      <c r="J437" s="33">
        <v>0</v>
      </c>
      <c r="K437" s="33">
        <v>0</v>
      </c>
      <c r="L437" s="33">
        <v>0</v>
      </c>
      <c r="M437">
        <v>3</v>
      </c>
      <c r="N437">
        <v>0</v>
      </c>
      <c r="O437">
        <v>3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15</v>
      </c>
      <c r="AK437">
        <v>8</v>
      </c>
      <c r="AL437">
        <v>3</v>
      </c>
      <c r="AM437">
        <v>5</v>
      </c>
      <c r="AN437" s="23">
        <v>0</v>
      </c>
      <c r="AO437" s="23">
        <v>0</v>
      </c>
      <c r="AP437" s="23">
        <v>0</v>
      </c>
      <c r="AQ437" s="23">
        <v>0</v>
      </c>
      <c r="AR437" s="35">
        <v>0</v>
      </c>
      <c r="AS437" s="35">
        <v>0</v>
      </c>
      <c r="AT437" s="35">
        <v>3</v>
      </c>
      <c r="AU437" s="31" t="str">
        <f t="shared" si="9"/>
        <v>库存为3</v>
      </c>
      <c r="AV437" s="36" t="str">
        <f>IFERROR($A$2+AU437,"上周无销量")</f>
        <v>上周无销量</v>
      </c>
    </row>
    <row r="438" spans="1:48">
      <c r="A438" s="21" t="s">
        <v>955</v>
      </c>
      <c r="B438" t="s">
        <v>956</v>
      </c>
      <c r="C438" t="s">
        <v>950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s">
        <v>54</v>
      </c>
      <c r="AO438" s="23" t="s">
        <v>54</v>
      </c>
      <c r="AP438" s="23" t="s">
        <v>54</v>
      </c>
      <c r="AQ438" s="23" t="s">
        <v>54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IFERROR($A$2+AU438,"上周无销量")</f>
        <v>上周无销量</v>
      </c>
    </row>
    <row r="439" spans="1:48">
      <c r="A439" s="21" t="s">
        <v>957</v>
      </c>
      <c r="B439" t="s">
        <v>958</v>
      </c>
      <c r="C439" t="s">
        <v>950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s">
        <v>54</v>
      </c>
      <c r="AO439" s="23" t="s">
        <v>54</v>
      </c>
      <c r="AP439" s="23" t="s">
        <v>54</v>
      </c>
      <c r="AQ439" s="23" t="s">
        <v>54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IFERROR($A$2+AU439,"上周无销量")</f>
        <v>上周无销量</v>
      </c>
    </row>
    <row r="440" spans="1:48">
      <c r="A440" s="21" t="s">
        <v>959</v>
      </c>
      <c r="B440" t="s">
        <v>960</v>
      </c>
      <c r="C440" t="s">
        <v>950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13</v>
      </c>
      <c r="J440" s="33">
        <v>0</v>
      </c>
      <c r="K440" s="33">
        <v>0</v>
      </c>
      <c r="L440" s="33">
        <v>0</v>
      </c>
      <c r="M440">
        <v>13</v>
      </c>
      <c r="N440">
        <v>0</v>
      </c>
      <c r="O440">
        <v>13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12</v>
      </c>
      <c r="AK440">
        <v>5</v>
      </c>
      <c r="AL440">
        <v>7</v>
      </c>
      <c r="AM440">
        <v>11</v>
      </c>
      <c r="AN440" s="23">
        <v>0</v>
      </c>
      <c r="AO440" s="23">
        <v>0</v>
      </c>
      <c r="AP440" s="23">
        <v>0</v>
      </c>
      <c r="AQ440" s="23">
        <v>0</v>
      </c>
      <c r="AR440" s="35">
        <v>0</v>
      </c>
      <c r="AS440" s="35">
        <v>0</v>
      </c>
      <c r="AT440" s="35">
        <v>13</v>
      </c>
      <c r="AU440" s="31" t="str">
        <f t="shared" si="9"/>
        <v>库存为13</v>
      </c>
      <c r="AV440" s="36" t="str">
        <f>IFERROR($A$2+AU440,"上周无销量")</f>
        <v>上周无销量</v>
      </c>
    </row>
    <row r="441" spans="1:48">
      <c r="A441" s="21" t="s">
        <v>961</v>
      </c>
      <c r="B441" t="s">
        <v>962</v>
      </c>
      <c r="C441" t="s">
        <v>950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s">
        <v>54</v>
      </c>
      <c r="AO441" s="23" t="s">
        <v>54</v>
      </c>
      <c r="AP441" s="23" t="s">
        <v>54</v>
      </c>
      <c r="AQ441" s="23" t="s">
        <v>54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IFERROR($A$2+AU441,"上周无销量")</f>
        <v>上周无销量</v>
      </c>
    </row>
    <row r="442" spans="1:48">
      <c r="A442" s="21" t="s">
        <v>963</v>
      </c>
      <c r="B442" t="s">
        <v>964</v>
      </c>
      <c r="C442" t="s">
        <v>950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s">
        <v>54</v>
      </c>
      <c r="AO442" s="23" t="s">
        <v>54</v>
      </c>
      <c r="AP442" s="23" t="s">
        <v>54</v>
      </c>
      <c r="AQ442" s="23" t="s">
        <v>54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IFERROR($A$2+AU442,"上周无销量")</f>
        <v>上周无销量</v>
      </c>
    </row>
    <row r="443" spans="1:48">
      <c r="A443" s="21" t="s">
        <v>965</v>
      </c>
      <c r="B443" t="s">
        <v>966</v>
      </c>
      <c r="C443" t="s">
        <v>950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IFERROR($A$2+AU443,"上周无销量")</f>
        <v>上周无销量</v>
      </c>
    </row>
    <row r="444" spans="1:48">
      <c r="A444" s="21" t="s">
        <v>967</v>
      </c>
      <c r="B444" t="s">
        <v>968</v>
      </c>
      <c r="C444" t="s">
        <v>969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IFERROR($A$2+AU444,"上周无销量")</f>
        <v>上周无销量</v>
      </c>
    </row>
    <row r="445" spans="1:48">
      <c r="A445" s="21" t="s">
        <v>970</v>
      </c>
      <c r="B445" t="s">
        <v>971</v>
      </c>
      <c r="C445" t="s">
        <v>969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6</v>
      </c>
      <c r="J445" s="33">
        <v>0</v>
      </c>
      <c r="K445" s="33">
        <v>0</v>
      </c>
      <c r="L445" s="33">
        <v>0</v>
      </c>
      <c r="M445">
        <v>6</v>
      </c>
      <c r="N445">
        <v>0</v>
      </c>
      <c r="O445">
        <v>6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3</v>
      </c>
      <c r="AK445">
        <v>3</v>
      </c>
      <c r="AL445">
        <v>5</v>
      </c>
      <c r="AM445">
        <v>3</v>
      </c>
      <c r="AN445" s="23">
        <v>0</v>
      </c>
      <c r="AO445" s="23">
        <v>0</v>
      </c>
      <c r="AP445" s="23">
        <v>0</v>
      </c>
      <c r="AQ445" s="23">
        <v>0</v>
      </c>
      <c r="AR445" s="35">
        <v>0</v>
      </c>
      <c r="AS445" s="35">
        <v>0</v>
      </c>
      <c r="AT445" s="35">
        <v>6</v>
      </c>
      <c r="AU445" s="31" t="str">
        <f t="shared" si="9"/>
        <v>库存为6</v>
      </c>
      <c r="AV445" s="36" t="str">
        <f>IFERROR($A$2+AU445,"上周无销量")</f>
        <v>上周无销量</v>
      </c>
    </row>
    <row r="446" spans="1:48">
      <c r="A446" s="21" t="s">
        <v>972</v>
      </c>
      <c r="B446" t="s">
        <v>973</v>
      </c>
      <c r="C446" t="s">
        <v>969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2</v>
      </c>
      <c r="J446" s="33">
        <v>0</v>
      </c>
      <c r="K446" s="33">
        <v>0</v>
      </c>
      <c r="L446" s="33">
        <v>0</v>
      </c>
      <c r="M446">
        <v>2</v>
      </c>
      <c r="N446">
        <v>0</v>
      </c>
      <c r="O446">
        <v>2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2</v>
      </c>
      <c r="AK446">
        <v>3</v>
      </c>
      <c r="AL446">
        <v>2</v>
      </c>
      <c r="AM446">
        <v>4</v>
      </c>
      <c r="AN446" s="23">
        <v>0</v>
      </c>
      <c r="AO446" s="23">
        <v>0</v>
      </c>
      <c r="AP446" s="23">
        <v>0</v>
      </c>
      <c r="AQ446" s="23">
        <v>0</v>
      </c>
      <c r="AR446" s="35">
        <v>0</v>
      </c>
      <c r="AS446" s="35">
        <v>0</v>
      </c>
      <c r="AT446" s="35">
        <v>2</v>
      </c>
      <c r="AU446" s="31" t="str">
        <f t="shared" si="9"/>
        <v>库存为2</v>
      </c>
      <c r="AV446" s="36" t="str">
        <f>IFERROR($A$2+AU446,"上周无销量")</f>
        <v>上周无销量</v>
      </c>
    </row>
    <row r="447" spans="1:48">
      <c r="A447" s="21" t="s">
        <v>974</v>
      </c>
      <c r="B447" t="s">
        <v>975</v>
      </c>
      <c r="C447" t="s">
        <v>969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s">
        <v>54</v>
      </c>
      <c r="AO447" s="23" t="s">
        <v>54</v>
      </c>
      <c r="AP447" s="23" t="s">
        <v>54</v>
      </c>
      <c r="AQ447" s="23" t="s">
        <v>54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IFERROR($A$2+AU447,"上周无销量")</f>
        <v>上周无销量</v>
      </c>
    </row>
    <row r="448" spans="1:48">
      <c r="A448" s="21" t="s">
        <v>976</v>
      </c>
      <c r="B448" t="s">
        <v>977</v>
      </c>
      <c r="C448" t="s">
        <v>969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5</v>
      </c>
      <c r="J448" s="33">
        <v>0</v>
      </c>
      <c r="K448" s="33">
        <v>0</v>
      </c>
      <c r="L448" s="33">
        <v>0</v>
      </c>
      <c r="M448">
        <v>5</v>
      </c>
      <c r="N448">
        <v>0</v>
      </c>
      <c r="O448">
        <v>5</v>
      </c>
      <c r="P448">
        <v>608</v>
      </c>
      <c r="Q448">
        <v>246</v>
      </c>
      <c r="R448">
        <v>246</v>
      </c>
      <c r="S448">
        <v>227</v>
      </c>
      <c r="T448">
        <v>1</v>
      </c>
      <c r="U448">
        <v>0</v>
      </c>
      <c r="V448">
        <v>0</v>
      </c>
      <c r="W448">
        <v>0</v>
      </c>
      <c r="X448" s="23">
        <v>0.00164473684210526</v>
      </c>
      <c r="Y448" s="23">
        <v>0</v>
      </c>
      <c r="Z448" s="23">
        <v>0</v>
      </c>
      <c r="AA448" s="23">
        <v>0</v>
      </c>
      <c r="AB448">
        <v>0.35</v>
      </c>
      <c r="AC448">
        <v>0</v>
      </c>
      <c r="AD448">
        <v>0</v>
      </c>
      <c r="AE448">
        <v>0</v>
      </c>
      <c r="AF448" s="23">
        <v>0</v>
      </c>
      <c r="AG448" s="23" t="s">
        <v>54</v>
      </c>
      <c r="AH448" s="23" t="s">
        <v>54</v>
      </c>
      <c r="AI448" s="23" t="s">
        <v>54</v>
      </c>
      <c r="AJ448">
        <v>2</v>
      </c>
      <c r="AK448">
        <v>4</v>
      </c>
      <c r="AL448">
        <v>1</v>
      </c>
      <c r="AM448">
        <v>3</v>
      </c>
      <c r="AN448" s="23">
        <v>0</v>
      </c>
      <c r="AO448" s="23">
        <v>0</v>
      </c>
      <c r="AP448" s="23">
        <v>0</v>
      </c>
      <c r="AQ448" s="23">
        <v>0</v>
      </c>
      <c r="AR448" s="35">
        <v>0</v>
      </c>
      <c r="AS448" s="35">
        <v>0</v>
      </c>
      <c r="AT448" s="35">
        <v>5</v>
      </c>
      <c r="AU448" s="31" t="str">
        <f t="shared" si="9"/>
        <v>库存为5</v>
      </c>
      <c r="AV448" s="36" t="str">
        <f>IFERROR($A$2+AU448,"上周无销量")</f>
        <v>上周无销量</v>
      </c>
    </row>
    <row r="449" spans="1:48">
      <c r="A449" s="21" t="s">
        <v>978</v>
      </c>
      <c r="B449" t="s">
        <v>979</v>
      </c>
      <c r="C449" t="s">
        <v>969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15</v>
      </c>
      <c r="J449" s="33">
        <v>0</v>
      </c>
      <c r="K449" s="33">
        <v>0</v>
      </c>
      <c r="L449" s="33">
        <v>0</v>
      </c>
      <c r="M449">
        <v>15</v>
      </c>
      <c r="N449">
        <v>0</v>
      </c>
      <c r="O449">
        <v>15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3</v>
      </c>
      <c r="AK449">
        <v>3</v>
      </c>
      <c r="AL449">
        <v>3</v>
      </c>
      <c r="AM449">
        <v>5</v>
      </c>
      <c r="AN449" s="23">
        <v>0</v>
      </c>
      <c r="AO449" s="23">
        <v>0</v>
      </c>
      <c r="AP449" s="23">
        <v>0</v>
      </c>
      <c r="AQ449" s="23">
        <v>0</v>
      </c>
      <c r="AR449" s="35">
        <v>0</v>
      </c>
      <c r="AS449" s="35">
        <v>0</v>
      </c>
      <c r="AT449" s="35">
        <v>15</v>
      </c>
      <c r="AU449" s="31" t="str">
        <f t="shared" si="9"/>
        <v>库存为15</v>
      </c>
      <c r="AV449" s="36" t="str">
        <f>IFERROR($A$2+AU449,"上周无销量")</f>
        <v>上周无销量</v>
      </c>
    </row>
    <row r="450" spans="1:48">
      <c r="A450" s="21" t="s">
        <v>980</v>
      </c>
      <c r="B450" t="s">
        <v>981</v>
      </c>
      <c r="C450" t="s">
        <v>969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14</v>
      </c>
      <c r="J450" s="33">
        <v>0</v>
      </c>
      <c r="K450" s="33">
        <v>0</v>
      </c>
      <c r="L450" s="33">
        <v>0</v>
      </c>
      <c r="M450">
        <v>14</v>
      </c>
      <c r="N450">
        <v>0</v>
      </c>
      <c r="O450">
        <v>13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5</v>
      </c>
      <c r="AK450">
        <v>5</v>
      </c>
      <c r="AL450">
        <v>1</v>
      </c>
      <c r="AM450">
        <v>2</v>
      </c>
      <c r="AN450" s="23">
        <v>0</v>
      </c>
      <c r="AO450" s="23">
        <v>0</v>
      </c>
      <c r="AP450" s="23">
        <v>0</v>
      </c>
      <c r="AQ450" s="23">
        <v>0</v>
      </c>
      <c r="AR450" s="35">
        <v>0</v>
      </c>
      <c r="AS450" s="35">
        <v>0</v>
      </c>
      <c r="AT450" s="35">
        <v>14</v>
      </c>
      <c r="AU450" s="31" t="str">
        <f t="shared" si="9"/>
        <v>库存为14</v>
      </c>
      <c r="AV450" s="36" t="str">
        <f>IFERROR($A$2+AU450,"上周无销量")</f>
        <v>上周无销量</v>
      </c>
    </row>
    <row r="451" spans="1:48">
      <c r="A451" s="21" t="s">
        <v>982</v>
      </c>
      <c r="B451" t="s">
        <v>983</v>
      </c>
      <c r="C451" t="s">
        <v>969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5</v>
      </c>
      <c r="J451" s="33">
        <v>0</v>
      </c>
      <c r="K451" s="33">
        <v>0</v>
      </c>
      <c r="L451" s="33">
        <v>0</v>
      </c>
      <c r="M451">
        <v>5</v>
      </c>
      <c r="N451">
        <v>0</v>
      </c>
      <c r="O451">
        <v>5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2</v>
      </c>
      <c r="AK451">
        <v>0</v>
      </c>
      <c r="AL451">
        <v>1</v>
      </c>
      <c r="AM451">
        <v>2</v>
      </c>
      <c r="AN451" s="23">
        <v>0</v>
      </c>
      <c r="AO451" s="23" t="s">
        <v>54</v>
      </c>
      <c r="AP451" s="23">
        <v>0</v>
      </c>
      <c r="AQ451" s="23">
        <v>0</v>
      </c>
      <c r="AR451" s="35">
        <v>0</v>
      </c>
      <c r="AS451" s="35">
        <v>0</v>
      </c>
      <c r="AT451" s="35">
        <v>5</v>
      </c>
      <c r="AU451" s="31" t="str">
        <f t="shared" si="9"/>
        <v>库存为5</v>
      </c>
      <c r="AV451" s="36" t="str">
        <f>IFERROR($A$2+AU451,"上周无销量")</f>
        <v>上周无销量</v>
      </c>
    </row>
    <row r="452" spans="1:48">
      <c r="A452" s="21" t="s">
        <v>984</v>
      </c>
      <c r="B452" t="s">
        <v>985</v>
      </c>
      <c r="C452" t="s">
        <v>969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6</v>
      </c>
      <c r="J452" s="33">
        <v>0</v>
      </c>
      <c r="K452" s="33">
        <v>0</v>
      </c>
      <c r="L452" s="33">
        <v>0</v>
      </c>
      <c r="M452">
        <v>6</v>
      </c>
      <c r="N452">
        <v>0</v>
      </c>
      <c r="O452">
        <v>4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1</v>
      </c>
      <c r="AK452">
        <v>3</v>
      </c>
      <c r="AL452">
        <v>0</v>
      </c>
      <c r="AM452">
        <v>2</v>
      </c>
      <c r="AN452" s="23">
        <v>0</v>
      </c>
      <c r="AO452" s="23">
        <v>0</v>
      </c>
      <c r="AP452" s="23" t="s">
        <v>54</v>
      </c>
      <c r="AQ452" s="23">
        <v>0</v>
      </c>
      <c r="AR452" s="35">
        <v>0</v>
      </c>
      <c r="AS452" s="35">
        <v>0</v>
      </c>
      <c r="AT452" s="35">
        <v>6</v>
      </c>
      <c r="AU452" s="31" t="str">
        <f t="shared" si="9"/>
        <v>库存为6</v>
      </c>
      <c r="AV452" s="36" t="str">
        <f>IFERROR($A$2+AU452,"上周无销量")</f>
        <v>上周无销量</v>
      </c>
    </row>
    <row r="453" spans="1:48">
      <c r="A453" s="21" t="s">
        <v>986</v>
      </c>
      <c r="B453" t="s">
        <v>987</v>
      </c>
      <c r="C453" t="s">
        <v>969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18</v>
      </c>
      <c r="J453" s="33">
        <v>0</v>
      </c>
      <c r="K453" s="33">
        <v>0</v>
      </c>
      <c r="L453" s="33">
        <v>0</v>
      </c>
      <c r="M453">
        <v>18</v>
      </c>
      <c r="N453">
        <v>1</v>
      </c>
      <c r="O453">
        <v>18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3</v>
      </c>
      <c r="AK453">
        <v>3</v>
      </c>
      <c r="AL453">
        <v>1</v>
      </c>
      <c r="AM453">
        <v>4</v>
      </c>
      <c r="AN453" s="23">
        <v>0</v>
      </c>
      <c r="AO453" s="23">
        <v>0</v>
      </c>
      <c r="AP453" s="23">
        <v>0</v>
      </c>
      <c r="AQ453" s="23">
        <v>0</v>
      </c>
      <c r="AR453" s="35">
        <v>0</v>
      </c>
      <c r="AS453" s="35">
        <v>0</v>
      </c>
      <c r="AT453" s="35">
        <v>18</v>
      </c>
      <c r="AU453" s="31" t="str">
        <f t="shared" ref="AU453:AU516" si="10">IF(AR453="","库存为"&amp;M453,IF(AS453=0,"库存为"&amp;M453,INT(M453/AR453)))</f>
        <v>库存为18</v>
      </c>
      <c r="AV453" s="36" t="str">
        <f>IFERROR($A$2+AU453,"上周无销量")</f>
        <v>上周无销量</v>
      </c>
    </row>
    <row r="454" spans="1:48">
      <c r="A454" s="21" t="s">
        <v>988</v>
      </c>
      <c r="B454" t="s">
        <v>989</v>
      </c>
      <c r="C454" t="s">
        <v>969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14</v>
      </c>
      <c r="J454" s="33">
        <v>0</v>
      </c>
      <c r="K454" s="33">
        <v>0</v>
      </c>
      <c r="L454" s="33">
        <v>0</v>
      </c>
      <c r="M454">
        <v>14</v>
      </c>
      <c r="N454">
        <v>0</v>
      </c>
      <c r="O454">
        <v>14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3</v>
      </c>
      <c r="AK454">
        <v>2</v>
      </c>
      <c r="AL454">
        <v>4</v>
      </c>
      <c r="AM454">
        <v>2</v>
      </c>
      <c r="AN454" s="23">
        <v>0</v>
      </c>
      <c r="AO454" s="23">
        <v>0</v>
      </c>
      <c r="AP454" s="23">
        <v>0</v>
      </c>
      <c r="AQ454" s="23">
        <v>0</v>
      </c>
      <c r="AR454" s="35">
        <v>0</v>
      </c>
      <c r="AS454" s="35">
        <v>0</v>
      </c>
      <c r="AT454" s="35">
        <v>14</v>
      </c>
      <c r="AU454" s="31" t="str">
        <f t="shared" si="10"/>
        <v>库存为14</v>
      </c>
      <c r="AV454" s="36" t="str">
        <f>IFERROR($A$2+AU454,"上周无销量")</f>
        <v>上周无销量</v>
      </c>
    </row>
    <row r="455" spans="1:48">
      <c r="A455" s="21" t="s">
        <v>990</v>
      </c>
      <c r="B455" t="s">
        <v>991</v>
      </c>
      <c r="C455" t="s">
        <v>969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19</v>
      </c>
      <c r="J455" s="33">
        <v>0</v>
      </c>
      <c r="K455" s="33">
        <v>0</v>
      </c>
      <c r="L455" s="33">
        <v>0</v>
      </c>
      <c r="M455">
        <v>19</v>
      </c>
      <c r="N455">
        <v>0</v>
      </c>
      <c r="O455">
        <v>19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4</v>
      </c>
      <c r="AK455">
        <v>2</v>
      </c>
      <c r="AL455">
        <v>2</v>
      </c>
      <c r="AM455">
        <v>2</v>
      </c>
      <c r="AN455" s="23">
        <v>0</v>
      </c>
      <c r="AO455" s="23">
        <v>0</v>
      </c>
      <c r="AP455" s="23">
        <v>0</v>
      </c>
      <c r="AQ455" s="23">
        <v>0</v>
      </c>
      <c r="AR455" s="35">
        <v>0</v>
      </c>
      <c r="AS455" s="35">
        <v>0</v>
      </c>
      <c r="AT455" s="35">
        <v>19</v>
      </c>
      <c r="AU455" s="31" t="str">
        <f t="shared" si="10"/>
        <v>库存为19</v>
      </c>
      <c r="AV455" s="36" t="str">
        <f>IFERROR($A$2+AU455,"上周无销量")</f>
        <v>上周无销量</v>
      </c>
    </row>
    <row r="456" spans="1:48">
      <c r="A456" s="21" t="s">
        <v>992</v>
      </c>
      <c r="B456" t="s">
        <v>993</v>
      </c>
      <c r="C456" t="s">
        <v>969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13</v>
      </c>
      <c r="J456" s="33">
        <v>0</v>
      </c>
      <c r="K456" s="33">
        <v>0</v>
      </c>
      <c r="L456" s="33">
        <v>0</v>
      </c>
      <c r="M456">
        <v>13</v>
      </c>
      <c r="N456">
        <v>0</v>
      </c>
      <c r="O456">
        <v>13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2</v>
      </c>
      <c r="AK456">
        <v>0</v>
      </c>
      <c r="AL456">
        <v>2</v>
      </c>
      <c r="AM456">
        <v>3</v>
      </c>
      <c r="AN456" s="23">
        <v>0</v>
      </c>
      <c r="AO456" s="23" t="s">
        <v>54</v>
      </c>
      <c r="AP456" s="23">
        <v>0</v>
      </c>
      <c r="AQ456" s="23">
        <v>0</v>
      </c>
      <c r="AR456" s="35">
        <v>0</v>
      </c>
      <c r="AS456" s="35">
        <v>0</v>
      </c>
      <c r="AT456" s="35">
        <v>13</v>
      </c>
      <c r="AU456" s="31" t="str">
        <f t="shared" si="10"/>
        <v>库存为13</v>
      </c>
      <c r="AV456" s="36" t="str">
        <f>IFERROR($A$2+AU456,"上周无销量")</f>
        <v>上周无销量</v>
      </c>
    </row>
    <row r="457" spans="1:48">
      <c r="A457" s="21" t="s">
        <v>994</v>
      </c>
      <c r="B457" t="s">
        <v>995</v>
      </c>
      <c r="C457" t="s">
        <v>969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14</v>
      </c>
      <c r="J457" s="33">
        <v>0</v>
      </c>
      <c r="K457" s="33">
        <v>0</v>
      </c>
      <c r="L457" s="33">
        <v>0</v>
      </c>
      <c r="M457">
        <v>14</v>
      </c>
      <c r="N457">
        <v>0</v>
      </c>
      <c r="O457">
        <v>14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1</v>
      </c>
      <c r="AK457">
        <v>3</v>
      </c>
      <c r="AL457">
        <v>2</v>
      </c>
      <c r="AM457">
        <v>4</v>
      </c>
      <c r="AN457" s="23">
        <v>0</v>
      </c>
      <c r="AO457" s="23">
        <v>0</v>
      </c>
      <c r="AP457" s="23">
        <v>0</v>
      </c>
      <c r="AQ457" s="23">
        <v>0</v>
      </c>
      <c r="AR457" s="35">
        <v>0</v>
      </c>
      <c r="AS457" s="35">
        <v>0</v>
      </c>
      <c r="AT457" s="35">
        <v>14</v>
      </c>
      <c r="AU457" s="31" t="str">
        <f t="shared" si="10"/>
        <v>库存为14</v>
      </c>
      <c r="AV457" s="36" t="str">
        <f>IFERROR($A$2+AU457,"上周无销量")</f>
        <v>上周无销量</v>
      </c>
    </row>
    <row r="458" spans="1:48">
      <c r="A458" s="21" t="s">
        <v>996</v>
      </c>
      <c r="B458" t="s">
        <v>997</v>
      </c>
      <c r="C458" t="s">
        <v>969</v>
      </c>
      <c r="D458" s="31">
        <v>0</v>
      </c>
      <c r="E458" s="31">
        <v>2</v>
      </c>
      <c r="F458" s="31">
        <v>0</v>
      </c>
      <c r="G458" s="31">
        <v>0</v>
      </c>
      <c r="H458" s="32">
        <v>14.98</v>
      </c>
      <c r="I458">
        <v>14</v>
      </c>
      <c r="J458" s="33">
        <v>0</v>
      </c>
      <c r="K458" s="33">
        <v>0</v>
      </c>
      <c r="L458" s="33">
        <v>0</v>
      </c>
      <c r="M458">
        <v>14</v>
      </c>
      <c r="N458">
        <v>0</v>
      </c>
      <c r="O458">
        <v>14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1</v>
      </c>
      <c r="AK458">
        <v>4</v>
      </c>
      <c r="AL458">
        <v>0</v>
      </c>
      <c r="AM458">
        <v>3</v>
      </c>
      <c r="AN458" s="23">
        <v>0</v>
      </c>
      <c r="AO458" s="23">
        <v>0.5</v>
      </c>
      <c r="AP458" s="23" t="s">
        <v>54</v>
      </c>
      <c r="AQ458" s="23">
        <v>0</v>
      </c>
      <c r="AR458" s="35">
        <v>0</v>
      </c>
      <c r="AS458" s="35">
        <v>0</v>
      </c>
      <c r="AT458" s="35">
        <v>14</v>
      </c>
      <c r="AU458" s="31" t="str">
        <f t="shared" si="10"/>
        <v>库存为14</v>
      </c>
      <c r="AV458" s="36" t="str">
        <f>IFERROR($A$2+AU458,"上周无销量")</f>
        <v>上周无销量</v>
      </c>
    </row>
    <row r="459" spans="1:48">
      <c r="A459" s="21" t="s">
        <v>998</v>
      </c>
      <c r="B459" t="s">
        <v>999</v>
      </c>
      <c r="C459" t="s">
        <v>969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14</v>
      </c>
      <c r="J459" s="33">
        <v>0</v>
      </c>
      <c r="K459" s="33">
        <v>0</v>
      </c>
      <c r="L459" s="33">
        <v>0</v>
      </c>
      <c r="M459">
        <v>14</v>
      </c>
      <c r="N459">
        <v>0</v>
      </c>
      <c r="O459">
        <v>14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2</v>
      </c>
      <c r="AK459">
        <v>3</v>
      </c>
      <c r="AL459">
        <v>1</v>
      </c>
      <c r="AM459">
        <v>3</v>
      </c>
      <c r="AN459" s="23">
        <v>0</v>
      </c>
      <c r="AO459" s="23">
        <v>0</v>
      </c>
      <c r="AP459" s="23">
        <v>0</v>
      </c>
      <c r="AQ459" s="23">
        <v>0</v>
      </c>
      <c r="AR459" s="35">
        <v>0</v>
      </c>
      <c r="AS459" s="35">
        <v>0</v>
      </c>
      <c r="AT459" s="35">
        <v>14</v>
      </c>
      <c r="AU459" s="31" t="str">
        <f t="shared" si="10"/>
        <v>库存为14</v>
      </c>
      <c r="AV459" s="36" t="str">
        <f>IFERROR($A$2+AU459,"上周无销量")</f>
        <v>上周无销量</v>
      </c>
    </row>
    <row r="460" spans="1:48">
      <c r="A460" s="21" t="s">
        <v>1000</v>
      </c>
      <c r="B460" t="s">
        <v>1001</v>
      </c>
      <c r="C460" t="s">
        <v>969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16</v>
      </c>
      <c r="J460" s="33">
        <v>0</v>
      </c>
      <c r="K460" s="33">
        <v>0</v>
      </c>
      <c r="L460" s="33">
        <v>0</v>
      </c>
      <c r="M460">
        <v>16</v>
      </c>
      <c r="N460">
        <v>0</v>
      </c>
      <c r="O460">
        <v>16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1</v>
      </c>
      <c r="AK460">
        <v>3</v>
      </c>
      <c r="AL460">
        <v>2</v>
      </c>
      <c r="AM460">
        <v>5</v>
      </c>
      <c r="AN460" s="23">
        <v>0</v>
      </c>
      <c r="AO460" s="23">
        <v>0</v>
      </c>
      <c r="AP460" s="23">
        <v>0</v>
      </c>
      <c r="AQ460" s="23">
        <v>0</v>
      </c>
      <c r="AR460" s="35">
        <v>0</v>
      </c>
      <c r="AS460" s="35">
        <v>0</v>
      </c>
      <c r="AT460" s="35">
        <v>16</v>
      </c>
      <c r="AU460" s="31" t="str">
        <f t="shared" si="10"/>
        <v>库存为16</v>
      </c>
      <c r="AV460" s="36" t="str">
        <f>IFERROR($A$2+AU460,"上周无销量")</f>
        <v>上周无销量</v>
      </c>
    </row>
    <row r="461" spans="1:48">
      <c r="A461" s="21" t="s">
        <v>1002</v>
      </c>
      <c r="B461" t="s">
        <v>1003</v>
      </c>
      <c r="C461" t="s">
        <v>969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16</v>
      </c>
      <c r="J461" s="33">
        <v>0</v>
      </c>
      <c r="K461" s="33">
        <v>0</v>
      </c>
      <c r="L461" s="33">
        <v>0</v>
      </c>
      <c r="M461">
        <v>16</v>
      </c>
      <c r="N461">
        <v>0</v>
      </c>
      <c r="O461">
        <v>16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1</v>
      </c>
      <c r="AK461">
        <v>1</v>
      </c>
      <c r="AL461">
        <v>4</v>
      </c>
      <c r="AM461">
        <v>4</v>
      </c>
      <c r="AN461" s="23">
        <v>0</v>
      </c>
      <c r="AO461" s="23">
        <v>0</v>
      </c>
      <c r="AP461" s="23">
        <v>0</v>
      </c>
      <c r="AQ461" s="23">
        <v>0</v>
      </c>
      <c r="AR461" s="35">
        <v>0</v>
      </c>
      <c r="AS461" s="35">
        <v>0</v>
      </c>
      <c r="AT461" s="35">
        <v>16</v>
      </c>
      <c r="AU461" s="31" t="str">
        <f t="shared" si="10"/>
        <v>库存为16</v>
      </c>
      <c r="AV461" s="36" t="str">
        <f>IFERROR($A$2+AU461,"上周无销量")</f>
        <v>上周无销量</v>
      </c>
    </row>
    <row r="462" spans="1:48">
      <c r="A462" s="21" t="s">
        <v>1004</v>
      </c>
      <c r="B462" t="s">
        <v>1005</v>
      </c>
      <c r="C462" t="s">
        <v>969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10</v>
      </c>
      <c r="J462" s="33">
        <v>0</v>
      </c>
      <c r="K462" s="33">
        <v>0</v>
      </c>
      <c r="L462" s="33">
        <v>0</v>
      </c>
      <c r="M462">
        <v>10</v>
      </c>
      <c r="N462">
        <v>0</v>
      </c>
      <c r="O462">
        <v>8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2</v>
      </c>
      <c r="AK462">
        <v>0</v>
      </c>
      <c r="AL462">
        <v>4</v>
      </c>
      <c r="AM462">
        <v>4</v>
      </c>
      <c r="AN462" s="23">
        <v>0</v>
      </c>
      <c r="AO462" s="23" t="s">
        <v>54</v>
      </c>
      <c r="AP462" s="23">
        <v>0</v>
      </c>
      <c r="AQ462" s="23">
        <v>0</v>
      </c>
      <c r="AR462" s="35">
        <v>0</v>
      </c>
      <c r="AS462" s="35">
        <v>0</v>
      </c>
      <c r="AT462" s="35">
        <v>10</v>
      </c>
      <c r="AU462" s="31" t="str">
        <f t="shared" si="10"/>
        <v>库存为10</v>
      </c>
      <c r="AV462" s="36" t="str">
        <f>IFERROR($A$2+AU462,"上周无销量")</f>
        <v>上周无销量</v>
      </c>
    </row>
    <row r="463" spans="1:48">
      <c r="A463" s="21" t="s">
        <v>1006</v>
      </c>
      <c r="B463" t="s">
        <v>1007</v>
      </c>
      <c r="C463" t="s">
        <v>969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18</v>
      </c>
      <c r="J463" s="33">
        <v>0</v>
      </c>
      <c r="K463" s="33">
        <v>0</v>
      </c>
      <c r="L463" s="33">
        <v>0</v>
      </c>
      <c r="M463">
        <v>18</v>
      </c>
      <c r="N463">
        <v>0</v>
      </c>
      <c r="O463">
        <v>18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1</v>
      </c>
      <c r="AK463">
        <v>2</v>
      </c>
      <c r="AL463">
        <v>0</v>
      </c>
      <c r="AM463">
        <v>4</v>
      </c>
      <c r="AN463" s="23">
        <v>0</v>
      </c>
      <c r="AO463" s="23">
        <v>0</v>
      </c>
      <c r="AP463" s="23" t="s">
        <v>54</v>
      </c>
      <c r="AQ463" s="23">
        <v>0</v>
      </c>
      <c r="AR463" s="35">
        <v>0</v>
      </c>
      <c r="AS463" s="35">
        <v>0</v>
      </c>
      <c r="AT463" s="35">
        <v>18</v>
      </c>
      <c r="AU463" s="31" t="str">
        <f t="shared" si="10"/>
        <v>库存为18</v>
      </c>
      <c r="AV463" s="36" t="str">
        <f>IFERROR($A$2+AU463,"上周无销量")</f>
        <v>上周无销量</v>
      </c>
    </row>
    <row r="464" spans="1:48">
      <c r="A464" s="21" t="s">
        <v>1008</v>
      </c>
      <c r="B464" t="s">
        <v>1009</v>
      </c>
      <c r="C464" t="s">
        <v>969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18</v>
      </c>
      <c r="J464" s="33">
        <v>0</v>
      </c>
      <c r="K464" s="33">
        <v>0</v>
      </c>
      <c r="L464" s="33">
        <v>0</v>
      </c>
      <c r="M464">
        <v>18</v>
      </c>
      <c r="N464">
        <v>0</v>
      </c>
      <c r="O464">
        <v>18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3</v>
      </c>
      <c r="AK464">
        <v>1</v>
      </c>
      <c r="AL464">
        <v>2</v>
      </c>
      <c r="AM464">
        <v>2</v>
      </c>
      <c r="AN464" s="23">
        <v>0</v>
      </c>
      <c r="AO464" s="23">
        <v>0</v>
      </c>
      <c r="AP464" s="23">
        <v>0</v>
      </c>
      <c r="AQ464" s="23">
        <v>0</v>
      </c>
      <c r="AR464" s="35">
        <v>0</v>
      </c>
      <c r="AS464" s="35">
        <v>0</v>
      </c>
      <c r="AT464" s="35">
        <v>18</v>
      </c>
      <c r="AU464" s="31" t="str">
        <f t="shared" si="10"/>
        <v>库存为18</v>
      </c>
      <c r="AV464" s="36" t="str">
        <f>IFERROR($A$2+AU464,"上周无销量")</f>
        <v>上周无销量</v>
      </c>
    </row>
    <row r="465" spans="1:48">
      <c r="A465" s="21" t="s">
        <v>1010</v>
      </c>
      <c r="B465" t="s">
        <v>1011</v>
      </c>
      <c r="C465" t="s">
        <v>969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18</v>
      </c>
      <c r="J465" s="33">
        <v>0</v>
      </c>
      <c r="K465" s="33">
        <v>0</v>
      </c>
      <c r="L465" s="33">
        <v>0</v>
      </c>
      <c r="M465">
        <v>18</v>
      </c>
      <c r="N465">
        <v>0</v>
      </c>
      <c r="O465">
        <v>18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2</v>
      </c>
      <c r="AK465">
        <v>1</v>
      </c>
      <c r="AL465">
        <v>1</v>
      </c>
      <c r="AM465">
        <v>2</v>
      </c>
      <c r="AN465" s="23">
        <v>0</v>
      </c>
      <c r="AO465" s="23">
        <v>0</v>
      </c>
      <c r="AP465" s="23">
        <v>0</v>
      </c>
      <c r="AQ465" s="23">
        <v>0</v>
      </c>
      <c r="AR465" s="35">
        <v>0</v>
      </c>
      <c r="AS465" s="35">
        <v>0</v>
      </c>
      <c r="AT465" s="35">
        <v>18</v>
      </c>
      <c r="AU465" s="31" t="str">
        <f t="shared" si="10"/>
        <v>库存为18</v>
      </c>
      <c r="AV465" s="36" t="str">
        <f>IFERROR($A$2+AU465,"上周无销量")</f>
        <v>上周无销量</v>
      </c>
    </row>
    <row r="466" spans="1:48">
      <c r="A466" s="21" t="s">
        <v>1012</v>
      </c>
      <c r="B466" t="s">
        <v>1013</v>
      </c>
      <c r="C466" t="s">
        <v>969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18</v>
      </c>
      <c r="J466" s="33">
        <v>0</v>
      </c>
      <c r="K466" s="33">
        <v>0</v>
      </c>
      <c r="L466" s="33">
        <v>0</v>
      </c>
      <c r="M466">
        <v>18</v>
      </c>
      <c r="N466">
        <v>0</v>
      </c>
      <c r="O466">
        <v>18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3</v>
      </c>
      <c r="AK466">
        <v>2</v>
      </c>
      <c r="AL466">
        <v>1</v>
      </c>
      <c r="AM466">
        <v>5</v>
      </c>
      <c r="AN466" s="23">
        <v>0</v>
      </c>
      <c r="AO466" s="23">
        <v>0</v>
      </c>
      <c r="AP466" s="23">
        <v>0</v>
      </c>
      <c r="AQ466" s="23">
        <v>0</v>
      </c>
      <c r="AR466" s="35">
        <v>0</v>
      </c>
      <c r="AS466" s="35">
        <v>0</v>
      </c>
      <c r="AT466" s="35">
        <v>18</v>
      </c>
      <c r="AU466" s="31" t="str">
        <f t="shared" si="10"/>
        <v>库存为18</v>
      </c>
      <c r="AV466" s="36" t="str">
        <f>IFERROR($A$2+AU466,"上周无销量")</f>
        <v>上周无销量</v>
      </c>
    </row>
    <row r="467" spans="1:48">
      <c r="A467" s="21" t="s">
        <v>1014</v>
      </c>
      <c r="B467" t="s">
        <v>1015</v>
      </c>
      <c r="C467" t="s">
        <v>969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18</v>
      </c>
      <c r="J467" s="33">
        <v>0</v>
      </c>
      <c r="K467" s="33">
        <v>0</v>
      </c>
      <c r="L467" s="33">
        <v>0</v>
      </c>
      <c r="M467">
        <v>18</v>
      </c>
      <c r="N467">
        <v>0</v>
      </c>
      <c r="O467">
        <v>18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3</v>
      </c>
      <c r="AL467">
        <v>2</v>
      </c>
      <c r="AM467">
        <v>4</v>
      </c>
      <c r="AN467" s="23" t="s">
        <v>54</v>
      </c>
      <c r="AO467" s="23">
        <v>0</v>
      </c>
      <c r="AP467" s="23">
        <v>0</v>
      </c>
      <c r="AQ467" s="23">
        <v>0</v>
      </c>
      <c r="AR467" s="35">
        <v>0</v>
      </c>
      <c r="AS467" s="35">
        <v>0</v>
      </c>
      <c r="AT467" s="35">
        <v>18</v>
      </c>
      <c r="AU467" s="31" t="str">
        <f t="shared" si="10"/>
        <v>库存为18</v>
      </c>
      <c r="AV467" s="36" t="str">
        <f>IFERROR($A$2+AU467,"上周无销量")</f>
        <v>上周无销量</v>
      </c>
    </row>
    <row r="468" spans="1:48">
      <c r="A468" s="21" t="s">
        <v>1016</v>
      </c>
      <c r="B468" t="s">
        <v>1017</v>
      </c>
      <c r="C468" t="s">
        <v>969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5</v>
      </c>
      <c r="J468" s="33">
        <v>0</v>
      </c>
      <c r="K468" s="33">
        <v>0</v>
      </c>
      <c r="L468" s="33">
        <v>0</v>
      </c>
      <c r="M468">
        <v>5</v>
      </c>
      <c r="N468">
        <v>0</v>
      </c>
      <c r="O468">
        <v>5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4</v>
      </c>
      <c r="AK468">
        <v>1</v>
      </c>
      <c r="AL468">
        <v>3</v>
      </c>
      <c r="AM468">
        <v>4</v>
      </c>
      <c r="AN468" s="23">
        <v>0</v>
      </c>
      <c r="AO468" s="23">
        <v>0</v>
      </c>
      <c r="AP468" s="23">
        <v>0</v>
      </c>
      <c r="AQ468" s="23">
        <v>0</v>
      </c>
      <c r="AR468" s="35">
        <v>0</v>
      </c>
      <c r="AS468" s="35">
        <v>0</v>
      </c>
      <c r="AT468" s="35">
        <v>5</v>
      </c>
      <c r="AU468" s="31" t="str">
        <f t="shared" si="10"/>
        <v>库存为5</v>
      </c>
      <c r="AV468" s="36" t="str">
        <f>IFERROR($A$2+AU468,"上周无销量")</f>
        <v>上周无销量</v>
      </c>
    </row>
    <row r="469" spans="1:48">
      <c r="A469" s="21" t="s">
        <v>1018</v>
      </c>
      <c r="B469" t="s">
        <v>1019</v>
      </c>
      <c r="C469" t="s">
        <v>969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4</v>
      </c>
      <c r="J469" s="33">
        <v>0</v>
      </c>
      <c r="K469" s="33">
        <v>0</v>
      </c>
      <c r="L469" s="33">
        <v>0</v>
      </c>
      <c r="M469">
        <v>4</v>
      </c>
      <c r="N469">
        <v>0</v>
      </c>
      <c r="O469">
        <v>4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5</v>
      </c>
      <c r="AK469">
        <v>0</v>
      </c>
      <c r="AL469">
        <v>3</v>
      </c>
      <c r="AM469">
        <v>5</v>
      </c>
      <c r="AN469" s="23">
        <v>0</v>
      </c>
      <c r="AO469" s="23" t="s">
        <v>54</v>
      </c>
      <c r="AP469" s="23">
        <v>0</v>
      </c>
      <c r="AQ469" s="23">
        <v>0</v>
      </c>
      <c r="AR469" s="35">
        <v>0</v>
      </c>
      <c r="AS469" s="35">
        <v>0</v>
      </c>
      <c r="AT469" s="35">
        <v>4</v>
      </c>
      <c r="AU469" s="31" t="str">
        <f t="shared" si="10"/>
        <v>库存为4</v>
      </c>
      <c r="AV469" s="36" t="str">
        <f>IFERROR($A$2+AU469,"上周无销量")</f>
        <v>上周无销量</v>
      </c>
    </row>
    <row r="470" spans="1:48">
      <c r="A470" s="21" t="s">
        <v>1020</v>
      </c>
      <c r="B470" t="s">
        <v>1021</v>
      </c>
      <c r="C470" t="s">
        <v>969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7</v>
      </c>
      <c r="J470" s="33">
        <v>0</v>
      </c>
      <c r="K470" s="33">
        <v>0</v>
      </c>
      <c r="L470" s="33">
        <v>0</v>
      </c>
      <c r="M470">
        <v>7</v>
      </c>
      <c r="N470">
        <v>0</v>
      </c>
      <c r="O470">
        <v>6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2</v>
      </c>
      <c r="AK470">
        <v>1</v>
      </c>
      <c r="AL470">
        <v>1</v>
      </c>
      <c r="AM470">
        <v>2</v>
      </c>
      <c r="AN470" s="23">
        <v>0</v>
      </c>
      <c r="AO470" s="23">
        <v>0</v>
      </c>
      <c r="AP470" s="23">
        <v>0</v>
      </c>
      <c r="AQ470" s="23">
        <v>0</v>
      </c>
      <c r="AR470" s="35">
        <v>0</v>
      </c>
      <c r="AS470" s="35">
        <v>0</v>
      </c>
      <c r="AT470" s="35">
        <v>7</v>
      </c>
      <c r="AU470" s="31" t="str">
        <f t="shared" si="10"/>
        <v>库存为7</v>
      </c>
      <c r="AV470" s="36" t="str">
        <f>IFERROR($A$2+AU470,"上周无销量")</f>
        <v>上周无销量</v>
      </c>
    </row>
    <row r="471" spans="1:48">
      <c r="A471" s="21" t="s">
        <v>1022</v>
      </c>
      <c r="B471" t="s">
        <v>1023</v>
      </c>
      <c r="C471" t="s">
        <v>969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2</v>
      </c>
      <c r="J471" s="33">
        <v>0</v>
      </c>
      <c r="K471" s="33">
        <v>0</v>
      </c>
      <c r="L471" s="33">
        <v>0</v>
      </c>
      <c r="M471">
        <v>2</v>
      </c>
      <c r="N471">
        <v>0</v>
      </c>
      <c r="O471">
        <v>2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5</v>
      </c>
      <c r="AK471">
        <v>2</v>
      </c>
      <c r="AL471">
        <v>2</v>
      </c>
      <c r="AM471">
        <v>5</v>
      </c>
      <c r="AN471" s="23">
        <v>0</v>
      </c>
      <c r="AO471" s="23">
        <v>0</v>
      </c>
      <c r="AP471" s="23">
        <v>0</v>
      </c>
      <c r="AQ471" s="23">
        <v>0</v>
      </c>
      <c r="AR471" s="35">
        <v>0</v>
      </c>
      <c r="AS471" s="35">
        <v>0</v>
      </c>
      <c r="AT471" s="35">
        <v>2</v>
      </c>
      <c r="AU471" s="31" t="str">
        <f t="shared" si="10"/>
        <v>库存为2</v>
      </c>
      <c r="AV471" s="36" t="str">
        <f>IFERROR($A$2+AU471,"上周无销量")</f>
        <v>上周无销量</v>
      </c>
    </row>
    <row r="472" spans="1:48">
      <c r="A472" s="21" t="s">
        <v>1024</v>
      </c>
      <c r="B472" t="s">
        <v>1025</v>
      </c>
      <c r="C472" t="s">
        <v>969</v>
      </c>
      <c r="D472" s="31">
        <v>0</v>
      </c>
      <c r="E472" s="31">
        <v>1</v>
      </c>
      <c r="F472" s="31">
        <v>0</v>
      </c>
      <c r="G472" s="31">
        <v>0</v>
      </c>
      <c r="H472" s="32">
        <v>14.98</v>
      </c>
      <c r="I472">
        <v>8</v>
      </c>
      <c r="J472" s="33">
        <v>0</v>
      </c>
      <c r="K472" s="33">
        <v>0</v>
      </c>
      <c r="L472" s="33">
        <v>0</v>
      </c>
      <c r="M472">
        <v>8</v>
      </c>
      <c r="N472">
        <v>0</v>
      </c>
      <c r="O472">
        <v>9</v>
      </c>
      <c r="P472">
        <v>1578</v>
      </c>
      <c r="Q472">
        <v>778</v>
      </c>
      <c r="R472">
        <v>778</v>
      </c>
      <c r="S472">
        <v>971</v>
      </c>
      <c r="T472">
        <v>2</v>
      </c>
      <c r="U472">
        <v>2</v>
      </c>
      <c r="V472">
        <v>2</v>
      </c>
      <c r="W472">
        <v>1</v>
      </c>
      <c r="X472" s="23">
        <v>0.00126742712294043</v>
      </c>
      <c r="Y472" s="23">
        <v>0.0025706940874036</v>
      </c>
      <c r="Z472" s="23">
        <v>0.0025706940874036</v>
      </c>
      <c r="AA472" s="23">
        <v>0.00102986611740474</v>
      </c>
      <c r="AB472">
        <v>0.52</v>
      </c>
      <c r="AC472">
        <v>0.61</v>
      </c>
      <c r="AD472">
        <v>0.61</v>
      </c>
      <c r="AE472">
        <v>0.35</v>
      </c>
      <c r="AF472" s="23">
        <v>0</v>
      </c>
      <c r="AG472" s="23">
        <v>0.0407209612817089</v>
      </c>
      <c r="AH472" s="23">
        <v>0</v>
      </c>
      <c r="AI472" s="23">
        <v>0</v>
      </c>
      <c r="AJ472">
        <v>4</v>
      </c>
      <c r="AK472">
        <v>0</v>
      </c>
      <c r="AL472">
        <v>2</v>
      </c>
      <c r="AM472">
        <v>5</v>
      </c>
      <c r="AN472" s="23">
        <v>0</v>
      </c>
      <c r="AO472" s="23" t="s">
        <v>54</v>
      </c>
      <c r="AP472" s="23">
        <v>0</v>
      </c>
      <c r="AQ472" s="23">
        <v>0</v>
      </c>
      <c r="AR472" s="35">
        <v>0</v>
      </c>
      <c r="AS472" s="35">
        <v>0</v>
      </c>
      <c r="AT472" s="35">
        <v>8</v>
      </c>
      <c r="AU472" s="31" t="str">
        <f t="shared" si="10"/>
        <v>库存为8</v>
      </c>
      <c r="AV472" s="36" t="str">
        <f>IFERROR($A$2+AU472,"上周无销量")</f>
        <v>上周无销量</v>
      </c>
    </row>
    <row r="473" spans="1:48">
      <c r="A473" s="21" t="s">
        <v>1026</v>
      </c>
      <c r="B473" t="s">
        <v>1027</v>
      </c>
      <c r="C473" t="s">
        <v>969</v>
      </c>
      <c r="D473" s="31">
        <v>0</v>
      </c>
      <c r="E473" s="31">
        <v>4</v>
      </c>
      <c r="F473" s="31">
        <v>1</v>
      </c>
      <c r="G473" s="31">
        <v>0</v>
      </c>
      <c r="H473" s="32">
        <v>14.98</v>
      </c>
      <c r="I473">
        <v>9</v>
      </c>
      <c r="J473" s="33">
        <v>0</v>
      </c>
      <c r="K473" s="33">
        <v>0</v>
      </c>
      <c r="L473" s="33">
        <v>0</v>
      </c>
      <c r="M473">
        <v>9</v>
      </c>
      <c r="N473">
        <v>0</v>
      </c>
      <c r="O473">
        <v>9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3</v>
      </c>
      <c r="AK473">
        <v>2</v>
      </c>
      <c r="AL473">
        <v>2</v>
      </c>
      <c r="AM473">
        <v>4</v>
      </c>
      <c r="AN473" s="23">
        <v>0</v>
      </c>
      <c r="AO473" s="23">
        <v>2</v>
      </c>
      <c r="AP473" s="23">
        <v>0.5</v>
      </c>
      <c r="AQ473" s="23">
        <v>0</v>
      </c>
      <c r="AR473" s="35">
        <v>0</v>
      </c>
      <c r="AS473" s="35">
        <v>0</v>
      </c>
      <c r="AT473" s="35">
        <v>9</v>
      </c>
      <c r="AU473" s="31" t="str">
        <f t="shared" si="10"/>
        <v>库存为9</v>
      </c>
      <c r="AV473" s="36" t="str">
        <f>IFERROR($A$2+AU473,"上周无销量")</f>
        <v>上周无销量</v>
      </c>
    </row>
    <row r="474" spans="1:48">
      <c r="A474" s="21" t="s">
        <v>1028</v>
      </c>
      <c r="B474" t="s">
        <v>1029</v>
      </c>
      <c r="C474" t="s">
        <v>969</v>
      </c>
      <c r="D474" s="31">
        <v>0</v>
      </c>
      <c r="E474" s="31">
        <v>3</v>
      </c>
      <c r="F474" s="31">
        <v>0</v>
      </c>
      <c r="G474" s="31">
        <v>0</v>
      </c>
      <c r="H474" s="32">
        <v>12.98</v>
      </c>
      <c r="I474">
        <v>11</v>
      </c>
      <c r="J474" s="33">
        <v>0</v>
      </c>
      <c r="K474" s="33">
        <v>0</v>
      </c>
      <c r="L474" s="33">
        <v>0</v>
      </c>
      <c r="M474">
        <v>11</v>
      </c>
      <c r="N474">
        <v>0</v>
      </c>
      <c r="O474">
        <v>10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7</v>
      </c>
      <c r="AL474">
        <v>1</v>
      </c>
      <c r="AM474">
        <v>6</v>
      </c>
      <c r="AN474" s="23" t="s">
        <v>54</v>
      </c>
      <c r="AO474" s="23">
        <v>0.428571428571429</v>
      </c>
      <c r="AP474" s="23">
        <v>0</v>
      </c>
      <c r="AQ474" s="23">
        <v>0</v>
      </c>
      <c r="AR474" s="35">
        <v>0</v>
      </c>
      <c r="AS474" s="35">
        <v>0</v>
      </c>
      <c r="AT474" s="35">
        <v>11</v>
      </c>
      <c r="AU474" s="31" t="str">
        <f t="shared" si="10"/>
        <v>库存为11</v>
      </c>
      <c r="AV474" s="36" t="str">
        <f>IFERROR($A$2+AU474,"上周无销量")</f>
        <v>上周无销量</v>
      </c>
    </row>
    <row r="475" spans="1:48">
      <c r="A475" s="21" t="s">
        <v>1030</v>
      </c>
      <c r="B475" t="s">
        <v>1031</v>
      </c>
      <c r="C475" t="s">
        <v>969</v>
      </c>
      <c r="D475" s="31">
        <v>0</v>
      </c>
      <c r="E475" s="31">
        <v>0</v>
      </c>
      <c r="F475" s="31">
        <v>1</v>
      </c>
      <c r="G475" s="31">
        <v>0</v>
      </c>
      <c r="H475" s="32">
        <v>15.98</v>
      </c>
      <c r="I475">
        <v>8</v>
      </c>
      <c r="J475" s="33">
        <v>0</v>
      </c>
      <c r="K475" s="33">
        <v>0</v>
      </c>
      <c r="L475" s="33">
        <v>0</v>
      </c>
      <c r="M475">
        <v>8</v>
      </c>
      <c r="N475">
        <v>0</v>
      </c>
      <c r="O475">
        <v>8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2</v>
      </c>
      <c r="AK475">
        <v>3</v>
      </c>
      <c r="AL475">
        <v>1</v>
      </c>
      <c r="AM475">
        <v>5</v>
      </c>
      <c r="AN475" s="23">
        <v>0</v>
      </c>
      <c r="AO475" s="23">
        <v>0</v>
      </c>
      <c r="AP475" s="23">
        <v>1</v>
      </c>
      <c r="AQ475" s="23">
        <v>0</v>
      </c>
      <c r="AR475" s="35">
        <v>0</v>
      </c>
      <c r="AS475" s="35">
        <v>0</v>
      </c>
      <c r="AT475" s="35">
        <v>8</v>
      </c>
      <c r="AU475" s="31" t="str">
        <f t="shared" si="10"/>
        <v>库存为8</v>
      </c>
      <c r="AV475" s="36" t="str">
        <f>IFERROR($A$2+AU475,"上周无销量")</f>
        <v>上周无销量</v>
      </c>
    </row>
    <row r="476" spans="1:48">
      <c r="A476" s="21" t="s">
        <v>1032</v>
      </c>
      <c r="B476" t="s">
        <v>1033</v>
      </c>
      <c r="C476" t="s">
        <v>969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12</v>
      </c>
      <c r="J476" s="33">
        <v>0</v>
      </c>
      <c r="K476" s="33">
        <v>0</v>
      </c>
      <c r="L476" s="33">
        <v>0</v>
      </c>
      <c r="M476">
        <v>12</v>
      </c>
      <c r="N476">
        <v>0</v>
      </c>
      <c r="O476">
        <v>12</v>
      </c>
      <c r="P476">
        <v>0</v>
      </c>
      <c r="Q476">
        <v>0</v>
      </c>
      <c r="R476">
        <v>0</v>
      </c>
      <c r="S476">
        <v>20</v>
      </c>
      <c r="T476">
        <v>0</v>
      </c>
      <c r="U476">
        <v>0</v>
      </c>
      <c r="V476">
        <v>0</v>
      </c>
      <c r="W476">
        <v>1</v>
      </c>
      <c r="X476" s="23" t="s">
        <v>54</v>
      </c>
      <c r="Y476" s="23" t="s">
        <v>54</v>
      </c>
      <c r="Z476" s="23" t="s">
        <v>54</v>
      </c>
      <c r="AA476" s="23">
        <v>0.05</v>
      </c>
      <c r="AB476">
        <v>0</v>
      </c>
      <c r="AC476">
        <v>0</v>
      </c>
      <c r="AD476">
        <v>0</v>
      </c>
      <c r="AE476">
        <v>0.28</v>
      </c>
      <c r="AF476" s="23" t="s">
        <v>54</v>
      </c>
      <c r="AG476" s="23" t="s">
        <v>54</v>
      </c>
      <c r="AH476" s="23" t="s">
        <v>54</v>
      </c>
      <c r="AI476" s="23">
        <v>0</v>
      </c>
      <c r="AJ476">
        <v>0</v>
      </c>
      <c r="AK476">
        <v>2</v>
      </c>
      <c r="AL476">
        <v>0</v>
      </c>
      <c r="AM476">
        <v>3</v>
      </c>
      <c r="AN476" s="23" t="s">
        <v>54</v>
      </c>
      <c r="AO476" s="23">
        <v>0</v>
      </c>
      <c r="AP476" s="23" t="s">
        <v>54</v>
      </c>
      <c r="AQ476" s="23">
        <v>0</v>
      </c>
      <c r="AR476" s="35">
        <v>0</v>
      </c>
      <c r="AS476" s="35">
        <v>0</v>
      </c>
      <c r="AT476" s="35">
        <v>12</v>
      </c>
      <c r="AU476" s="31" t="str">
        <f t="shared" si="10"/>
        <v>库存为12</v>
      </c>
      <c r="AV476" s="36" t="str">
        <f>IFERROR($A$2+AU476,"上周无销量")</f>
        <v>上周无销量</v>
      </c>
    </row>
    <row r="477" spans="1:48">
      <c r="A477" s="21" t="s">
        <v>1034</v>
      </c>
      <c r="B477" t="s">
        <v>1035</v>
      </c>
      <c r="C477" t="s">
        <v>969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15</v>
      </c>
      <c r="J477" s="33">
        <v>0</v>
      </c>
      <c r="K477" s="33">
        <v>0</v>
      </c>
      <c r="L477" s="33">
        <v>0</v>
      </c>
      <c r="M477">
        <v>15</v>
      </c>
      <c r="N477">
        <v>0</v>
      </c>
      <c r="O477">
        <v>15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1</v>
      </c>
      <c r="AK477">
        <v>1</v>
      </c>
      <c r="AL477">
        <v>2</v>
      </c>
      <c r="AM477">
        <v>6</v>
      </c>
      <c r="AN477" s="23">
        <v>0</v>
      </c>
      <c r="AO477" s="23">
        <v>0</v>
      </c>
      <c r="AP477" s="23">
        <v>0</v>
      </c>
      <c r="AQ477" s="23">
        <v>0</v>
      </c>
      <c r="AR477" s="35">
        <v>0</v>
      </c>
      <c r="AS477" s="35">
        <v>0</v>
      </c>
      <c r="AT477" s="35">
        <v>15</v>
      </c>
      <c r="AU477" s="31" t="str">
        <f t="shared" si="10"/>
        <v>库存为15</v>
      </c>
      <c r="AV477" s="36" t="str">
        <f>IFERROR($A$2+AU477,"上周无销量")</f>
        <v>上周无销量</v>
      </c>
    </row>
    <row r="478" spans="1:48">
      <c r="A478" s="21" t="s">
        <v>1036</v>
      </c>
      <c r="B478" t="s">
        <v>1037</v>
      </c>
      <c r="C478" t="s">
        <v>969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16</v>
      </c>
      <c r="J478" s="33">
        <v>0</v>
      </c>
      <c r="K478" s="33">
        <v>0</v>
      </c>
      <c r="L478" s="33">
        <v>0</v>
      </c>
      <c r="M478">
        <v>16</v>
      </c>
      <c r="N478">
        <v>0</v>
      </c>
      <c r="O478">
        <v>16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1</v>
      </c>
      <c r="AK478">
        <v>3</v>
      </c>
      <c r="AL478">
        <v>1</v>
      </c>
      <c r="AM478">
        <v>4</v>
      </c>
      <c r="AN478" s="23">
        <v>0</v>
      </c>
      <c r="AO478" s="23">
        <v>0</v>
      </c>
      <c r="AP478" s="23">
        <v>0</v>
      </c>
      <c r="AQ478" s="23">
        <v>0</v>
      </c>
      <c r="AR478" s="35">
        <v>0</v>
      </c>
      <c r="AS478" s="35">
        <v>0</v>
      </c>
      <c r="AT478" s="35">
        <v>16</v>
      </c>
      <c r="AU478" s="31" t="str">
        <f t="shared" si="10"/>
        <v>库存为16</v>
      </c>
      <c r="AV478" s="36" t="str">
        <f>IFERROR($A$2+AU478,"上周无销量")</f>
        <v>上周无销量</v>
      </c>
    </row>
    <row r="479" spans="1:48">
      <c r="A479" s="21" t="s">
        <v>1038</v>
      </c>
      <c r="B479" t="s">
        <v>1039</v>
      </c>
      <c r="C479" t="s">
        <v>969</v>
      </c>
      <c r="D479" s="31">
        <v>0</v>
      </c>
      <c r="E479" s="31">
        <v>1</v>
      </c>
      <c r="F479" s="31">
        <v>0</v>
      </c>
      <c r="G479" s="31">
        <v>0</v>
      </c>
      <c r="H479" s="32">
        <v>12.98</v>
      </c>
      <c r="I479">
        <v>10</v>
      </c>
      <c r="J479" s="33">
        <v>0</v>
      </c>
      <c r="K479" s="33">
        <v>0</v>
      </c>
      <c r="L479" s="33">
        <v>0</v>
      </c>
      <c r="M479">
        <v>10</v>
      </c>
      <c r="N479">
        <v>0</v>
      </c>
      <c r="O479">
        <v>8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5</v>
      </c>
      <c r="AK479">
        <v>1</v>
      </c>
      <c r="AL479">
        <v>1</v>
      </c>
      <c r="AM479">
        <v>3</v>
      </c>
      <c r="AN479" s="23">
        <v>0</v>
      </c>
      <c r="AO479" s="23">
        <v>1</v>
      </c>
      <c r="AP479" s="23">
        <v>0</v>
      </c>
      <c r="AQ479" s="23">
        <v>0</v>
      </c>
      <c r="AR479" s="35">
        <v>0</v>
      </c>
      <c r="AS479" s="35">
        <v>0</v>
      </c>
      <c r="AT479" s="35">
        <v>10</v>
      </c>
      <c r="AU479" s="31" t="str">
        <f t="shared" si="10"/>
        <v>库存为10</v>
      </c>
      <c r="AV479" s="36" t="str">
        <f>IFERROR($A$2+AU479,"上周无销量")</f>
        <v>上周无销量</v>
      </c>
    </row>
    <row r="480" spans="1:48">
      <c r="A480" s="21" t="s">
        <v>1040</v>
      </c>
      <c r="B480" t="s">
        <v>1041</v>
      </c>
      <c r="C480" t="s">
        <v>969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17</v>
      </c>
      <c r="J480" s="33">
        <v>0</v>
      </c>
      <c r="K480" s="33">
        <v>0</v>
      </c>
      <c r="L480" s="33">
        <v>0</v>
      </c>
      <c r="M480">
        <v>17</v>
      </c>
      <c r="N480">
        <v>0</v>
      </c>
      <c r="O480">
        <v>17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2</v>
      </c>
      <c r="AK480">
        <v>1</v>
      </c>
      <c r="AL480">
        <v>2</v>
      </c>
      <c r="AM480">
        <v>2</v>
      </c>
      <c r="AN480" s="23">
        <v>0</v>
      </c>
      <c r="AO480" s="23">
        <v>0</v>
      </c>
      <c r="AP480" s="23">
        <v>0</v>
      </c>
      <c r="AQ480" s="23">
        <v>0</v>
      </c>
      <c r="AR480" s="35">
        <v>0</v>
      </c>
      <c r="AS480" s="35">
        <v>0</v>
      </c>
      <c r="AT480" s="35">
        <v>17</v>
      </c>
      <c r="AU480" s="31" t="str">
        <f t="shared" si="10"/>
        <v>库存为17</v>
      </c>
      <c r="AV480" s="36" t="str">
        <f>IFERROR($A$2+AU480,"上周无销量")</f>
        <v>上周无销量</v>
      </c>
    </row>
    <row r="481" spans="1:48">
      <c r="A481" s="21" t="s">
        <v>1042</v>
      </c>
      <c r="B481" t="s">
        <v>1043</v>
      </c>
      <c r="C481" t="s">
        <v>969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15</v>
      </c>
      <c r="J481" s="33">
        <v>0</v>
      </c>
      <c r="K481" s="33">
        <v>0</v>
      </c>
      <c r="L481" s="33">
        <v>0</v>
      </c>
      <c r="M481">
        <v>15</v>
      </c>
      <c r="N481">
        <v>0</v>
      </c>
      <c r="O481">
        <v>14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2</v>
      </c>
      <c r="AK481">
        <v>1</v>
      </c>
      <c r="AL481">
        <v>3</v>
      </c>
      <c r="AM481">
        <v>3</v>
      </c>
      <c r="AN481" s="23">
        <v>0</v>
      </c>
      <c r="AO481" s="23">
        <v>0</v>
      </c>
      <c r="AP481" s="23">
        <v>0</v>
      </c>
      <c r="AQ481" s="23">
        <v>0</v>
      </c>
      <c r="AR481" s="35">
        <v>0</v>
      </c>
      <c r="AS481" s="35">
        <v>0</v>
      </c>
      <c r="AT481" s="35">
        <v>15</v>
      </c>
      <c r="AU481" s="31" t="str">
        <f t="shared" si="10"/>
        <v>库存为15</v>
      </c>
      <c r="AV481" s="36" t="str">
        <f>IFERROR($A$2+AU481,"上周无销量")</f>
        <v>上周无销量</v>
      </c>
    </row>
    <row r="482" spans="1:48">
      <c r="A482" s="21" t="s">
        <v>1044</v>
      </c>
      <c r="B482" t="s">
        <v>1045</v>
      </c>
      <c r="C482" t="s">
        <v>969</v>
      </c>
      <c r="D482" s="31">
        <v>0</v>
      </c>
      <c r="E482" s="31">
        <v>0</v>
      </c>
      <c r="F482" s="31">
        <v>0</v>
      </c>
      <c r="G482" s="31">
        <v>1</v>
      </c>
      <c r="H482" s="32">
        <v>14.98</v>
      </c>
      <c r="I482">
        <v>15</v>
      </c>
      <c r="J482" s="33">
        <v>0</v>
      </c>
      <c r="K482" s="33">
        <v>0</v>
      </c>
      <c r="L482" s="33">
        <v>0</v>
      </c>
      <c r="M482">
        <v>15</v>
      </c>
      <c r="N482">
        <v>1</v>
      </c>
      <c r="O482">
        <v>14</v>
      </c>
      <c r="P482">
        <v>0</v>
      </c>
      <c r="Q482">
        <v>0</v>
      </c>
      <c r="R482">
        <v>0</v>
      </c>
      <c r="S482">
        <v>1469</v>
      </c>
      <c r="T482">
        <v>0</v>
      </c>
      <c r="U482">
        <v>0</v>
      </c>
      <c r="V482">
        <v>0</v>
      </c>
      <c r="W482">
        <v>20</v>
      </c>
      <c r="X482" s="23" t="s">
        <v>54</v>
      </c>
      <c r="Y482" s="23" t="s">
        <v>54</v>
      </c>
      <c r="Z482" s="23" t="s">
        <v>54</v>
      </c>
      <c r="AA482" s="23">
        <v>0.0136147038801906</v>
      </c>
      <c r="AB482">
        <v>0</v>
      </c>
      <c r="AC482">
        <v>0</v>
      </c>
      <c r="AD482">
        <v>0</v>
      </c>
      <c r="AE482">
        <v>14.07</v>
      </c>
      <c r="AF482" s="23" t="s">
        <v>54</v>
      </c>
      <c r="AG482" s="23" t="s">
        <v>54</v>
      </c>
      <c r="AH482" s="23" t="s">
        <v>54</v>
      </c>
      <c r="AI482" s="23">
        <v>0.939252336448598</v>
      </c>
      <c r="AJ482">
        <v>3</v>
      </c>
      <c r="AK482">
        <v>2</v>
      </c>
      <c r="AL482">
        <v>1</v>
      </c>
      <c r="AM482">
        <v>16</v>
      </c>
      <c r="AN482" s="23">
        <v>0</v>
      </c>
      <c r="AO482" s="23">
        <v>0</v>
      </c>
      <c r="AP482" s="23">
        <v>0</v>
      </c>
      <c r="AQ482" s="23">
        <v>0.0625</v>
      </c>
      <c r="AR482" s="35">
        <v>0</v>
      </c>
      <c r="AS482" s="35">
        <v>0</v>
      </c>
      <c r="AT482" s="35">
        <v>15</v>
      </c>
      <c r="AU482" s="31" t="str">
        <f t="shared" si="10"/>
        <v>库存为15</v>
      </c>
      <c r="AV482" s="36" t="str">
        <f>IFERROR($A$2+AU482,"上周无销量")</f>
        <v>上周无销量</v>
      </c>
    </row>
    <row r="483" spans="1:48">
      <c r="A483" s="21" t="s">
        <v>1046</v>
      </c>
      <c r="B483" t="s">
        <v>1047</v>
      </c>
      <c r="C483" t="s">
        <v>969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3</v>
      </c>
      <c r="J483" s="33">
        <v>0</v>
      </c>
      <c r="K483" s="33">
        <v>0</v>
      </c>
      <c r="L483" s="33">
        <v>0</v>
      </c>
      <c r="M483">
        <v>3</v>
      </c>
      <c r="N483">
        <v>0</v>
      </c>
      <c r="O483">
        <v>3</v>
      </c>
      <c r="P483">
        <v>170</v>
      </c>
      <c r="Q483">
        <v>55</v>
      </c>
      <c r="R483">
        <v>55</v>
      </c>
      <c r="S483">
        <v>197</v>
      </c>
      <c r="T483">
        <v>0</v>
      </c>
      <c r="U483">
        <v>0</v>
      </c>
      <c r="V483">
        <v>0</v>
      </c>
      <c r="W483">
        <v>0</v>
      </c>
      <c r="X483" s="23">
        <v>0</v>
      </c>
      <c r="Y483" s="23">
        <v>0</v>
      </c>
      <c r="Z483" s="23">
        <v>0</v>
      </c>
      <c r="AA483" s="23">
        <v>0</v>
      </c>
      <c r="AB483">
        <v>0</v>
      </c>
      <c r="AC483">
        <v>0</v>
      </c>
      <c r="AD483">
        <v>0</v>
      </c>
      <c r="AE483">
        <v>0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3</v>
      </c>
      <c r="AK483">
        <v>1</v>
      </c>
      <c r="AL483">
        <v>1</v>
      </c>
      <c r="AM483">
        <v>3</v>
      </c>
      <c r="AN483" s="23">
        <v>0</v>
      </c>
      <c r="AO483" s="23">
        <v>0</v>
      </c>
      <c r="AP483" s="23">
        <v>0</v>
      </c>
      <c r="AQ483" s="23">
        <v>0</v>
      </c>
      <c r="AR483" s="35">
        <v>0</v>
      </c>
      <c r="AS483" s="35">
        <v>0</v>
      </c>
      <c r="AT483" s="35">
        <v>3</v>
      </c>
      <c r="AU483" s="31" t="str">
        <f t="shared" si="10"/>
        <v>库存为3</v>
      </c>
      <c r="AV483" s="36" t="str">
        <f>IFERROR($A$2+AU483,"上周无销量")</f>
        <v>上周无销量</v>
      </c>
    </row>
    <row r="484" spans="1:48">
      <c r="A484" s="21" t="s">
        <v>1048</v>
      </c>
      <c r="B484" t="s">
        <v>1049</v>
      </c>
      <c r="C484" t="s">
        <v>969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7</v>
      </c>
      <c r="J484" s="33">
        <v>0</v>
      </c>
      <c r="K484" s="33">
        <v>0</v>
      </c>
      <c r="L484" s="33">
        <v>0</v>
      </c>
      <c r="M484">
        <v>7</v>
      </c>
      <c r="N484">
        <v>0</v>
      </c>
      <c r="O484">
        <v>7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2</v>
      </c>
      <c r="AK484">
        <v>1</v>
      </c>
      <c r="AL484">
        <v>1</v>
      </c>
      <c r="AM484">
        <v>2</v>
      </c>
      <c r="AN484" s="23">
        <v>0</v>
      </c>
      <c r="AO484" s="23">
        <v>0</v>
      </c>
      <c r="AP484" s="23">
        <v>0</v>
      </c>
      <c r="AQ484" s="23">
        <v>0</v>
      </c>
      <c r="AR484" s="35">
        <v>0</v>
      </c>
      <c r="AS484" s="35">
        <v>0</v>
      </c>
      <c r="AT484" s="35">
        <v>7</v>
      </c>
      <c r="AU484" s="31" t="str">
        <f t="shared" si="10"/>
        <v>库存为7</v>
      </c>
      <c r="AV484" s="36" t="str">
        <f>IFERROR($A$2+AU484,"上周无销量")</f>
        <v>上周无销量</v>
      </c>
    </row>
    <row r="485" spans="1:48">
      <c r="A485" s="21" t="s">
        <v>1050</v>
      </c>
      <c r="B485" t="s">
        <v>1051</v>
      </c>
      <c r="C485" t="s">
        <v>969</v>
      </c>
      <c r="D485" s="31">
        <v>0</v>
      </c>
      <c r="E485" s="31">
        <v>1</v>
      </c>
      <c r="F485" s="31">
        <v>0</v>
      </c>
      <c r="G485" s="31">
        <v>0</v>
      </c>
      <c r="H485" s="32">
        <v>15.98</v>
      </c>
      <c r="I485">
        <v>1</v>
      </c>
      <c r="J485" s="33">
        <v>0</v>
      </c>
      <c r="K485" s="33">
        <v>0</v>
      </c>
      <c r="L485" s="33">
        <v>0</v>
      </c>
      <c r="M485">
        <v>1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4</v>
      </c>
      <c r="AK485">
        <v>0</v>
      </c>
      <c r="AL485">
        <v>0</v>
      </c>
      <c r="AM485">
        <v>0</v>
      </c>
      <c r="AN485" s="23">
        <v>0</v>
      </c>
      <c r="AO485" s="23" t="s">
        <v>54</v>
      </c>
      <c r="AP485" s="23" t="s">
        <v>54</v>
      </c>
      <c r="AQ485" s="23" t="s">
        <v>54</v>
      </c>
      <c r="AR485" s="35">
        <v>0</v>
      </c>
      <c r="AS485" s="35">
        <v>0</v>
      </c>
      <c r="AT485" s="35">
        <v>1</v>
      </c>
      <c r="AU485" s="31" t="str">
        <f t="shared" si="10"/>
        <v>库存为1</v>
      </c>
      <c r="AV485" s="36" t="str">
        <f>IFERROR($A$2+AU485,"上周无销量")</f>
        <v>上周无销量</v>
      </c>
    </row>
    <row r="486" spans="1:48">
      <c r="A486" s="21" t="s">
        <v>1052</v>
      </c>
      <c r="B486" t="s">
        <v>1053</v>
      </c>
      <c r="C486" t="s">
        <v>969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1</v>
      </c>
      <c r="J486" s="33">
        <v>0</v>
      </c>
      <c r="K486" s="33">
        <v>0</v>
      </c>
      <c r="L486" s="33">
        <v>0</v>
      </c>
      <c r="M486">
        <v>1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3</v>
      </c>
      <c r="AK486">
        <v>0</v>
      </c>
      <c r="AL486">
        <v>0</v>
      </c>
      <c r="AM486">
        <v>0</v>
      </c>
      <c r="AN486" s="23">
        <v>0</v>
      </c>
      <c r="AO486" s="23" t="s">
        <v>54</v>
      </c>
      <c r="AP486" s="23" t="s">
        <v>54</v>
      </c>
      <c r="AQ486" s="23" t="s">
        <v>54</v>
      </c>
      <c r="AR486" s="35">
        <v>0</v>
      </c>
      <c r="AS486" s="35">
        <v>0</v>
      </c>
      <c r="AT486" s="35">
        <v>1</v>
      </c>
      <c r="AU486" s="31" t="str">
        <f t="shared" si="10"/>
        <v>库存为1</v>
      </c>
      <c r="AV486" s="36" t="str">
        <f>IFERROR($A$2+AU486,"上周无销量")</f>
        <v>上周无销量</v>
      </c>
    </row>
    <row r="487" spans="1:48">
      <c r="A487" s="21" t="s">
        <v>1054</v>
      </c>
      <c r="B487" t="s">
        <v>1055</v>
      </c>
      <c r="C487" t="s">
        <v>1056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s">
        <v>54</v>
      </c>
      <c r="AO487" s="23" t="s">
        <v>54</v>
      </c>
      <c r="AP487" s="23" t="s">
        <v>54</v>
      </c>
      <c r="AQ487" s="23" t="s">
        <v>54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IFERROR($A$2+AU487,"上周无销量")</f>
        <v>上周无销量</v>
      </c>
    </row>
    <row r="488" spans="1:48">
      <c r="A488" s="21" t="s">
        <v>1057</v>
      </c>
      <c r="B488" t="s">
        <v>1058</v>
      </c>
      <c r="C488" t="s">
        <v>1056</v>
      </c>
      <c r="D488" s="31">
        <v>0</v>
      </c>
      <c r="E488" s="31">
        <v>0</v>
      </c>
      <c r="F488" s="31">
        <v>0</v>
      </c>
      <c r="G488" s="31">
        <v>1</v>
      </c>
      <c r="H488" s="32">
        <v>10</v>
      </c>
      <c r="I488">
        <v>1</v>
      </c>
      <c r="J488" s="33">
        <v>0</v>
      </c>
      <c r="K488" s="33">
        <v>0</v>
      </c>
      <c r="L488" s="33">
        <v>0</v>
      </c>
      <c r="M488">
        <v>1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5</v>
      </c>
      <c r="AK488">
        <v>4</v>
      </c>
      <c r="AL488">
        <v>4</v>
      </c>
      <c r="AM488">
        <v>3</v>
      </c>
      <c r="AN488" s="23">
        <v>0</v>
      </c>
      <c r="AO488" s="23">
        <v>0</v>
      </c>
      <c r="AP488" s="23">
        <v>0</v>
      </c>
      <c r="AQ488" s="23">
        <v>0.333333333333333</v>
      </c>
      <c r="AR488" s="35">
        <v>0</v>
      </c>
      <c r="AS488" s="35">
        <v>0</v>
      </c>
      <c r="AT488" s="35">
        <v>1</v>
      </c>
      <c r="AU488" s="31" t="str">
        <f t="shared" si="10"/>
        <v>库存为1</v>
      </c>
      <c r="AV488" s="36" t="str">
        <f>IFERROR($A$2+AU488,"上周无销量")</f>
        <v>上周无销量</v>
      </c>
    </row>
    <row r="489" spans="1:48">
      <c r="A489" s="21" t="s">
        <v>1059</v>
      </c>
      <c r="B489" t="s">
        <v>1060</v>
      </c>
      <c r="C489" t="s">
        <v>1056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0</v>
      </c>
      <c r="AL489">
        <v>0</v>
      </c>
      <c r="AM489">
        <v>0</v>
      </c>
      <c r="AN489" s="23" t="s">
        <v>54</v>
      </c>
      <c r="AO489" s="23" t="s">
        <v>54</v>
      </c>
      <c r="AP489" s="23" t="s">
        <v>54</v>
      </c>
      <c r="AQ489" s="23" t="s">
        <v>54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IFERROR($A$2+AU489,"上周无销量")</f>
        <v>上周无销量</v>
      </c>
    </row>
    <row r="490" spans="1:48">
      <c r="A490" s="21" t="s">
        <v>1061</v>
      </c>
      <c r="B490" t="s">
        <v>1062</v>
      </c>
      <c r="C490" t="s">
        <v>1056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s">
        <v>54</v>
      </c>
      <c r="AO490" s="23" t="s">
        <v>54</v>
      </c>
      <c r="AP490" s="23" t="s">
        <v>54</v>
      </c>
      <c r="AQ490" s="23" t="s">
        <v>54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IFERROR($A$2+AU490,"上周无销量")</f>
        <v>上周无销量</v>
      </c>
    </row>
    <row r="491" spans="1:48">
      <c r="A491" s="21" t="s">
        <v>1063</v>
      </c>
      <c r="B491" t="s">
        <v>1064</v>
      </c>
      <c r="C491" t="s">
        <v>1056</v>
      </c>
      <c r="D491" s="31">
        <v>3</v>
      </c>
      <c r="E491" s="31">
        <v>3</v>
      </c>
      <c r="F491" s="31">
        <v>2</v>
      </c>
      <c r="G491" s="31">
        <v>0</v>
      </c>
      <c r="H491" s="32">
        <v>10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5</v>
      </c>
      <c r="AK491">
        <v>8</v>
      </c>
      <c r="AL491">
        <v>1</v>
      </c>
      <c r="AM491">
        <v>7</v>
      </c>
      <c r="AN491" s="23">
        <v>0.6</v>
      </c>
      <c r="AO491" s="23">
        <v>0.375</v>
      </c>
      <c r="AP491" s="23">
        <v>2</v>
      </c>
      <c r="AQ491" s="23">
        <v>0</v>
      </c>
      <c r="AR491" s="35">
        <v>0.428571428571429</v>
      </c>
      <c r="AS491" s="35">
        <v>25.7142857142857</v>
      </c>
      <c r="AT491" s="35">
        <v>-25.7142857142857</v>
      </c>
      <c r="AU491" s="31">
        <f t="shared" si="10"/>
        <v>0</v>
      </c>
      <c r="AV491" s="36">
        <f>IFERROR($A$2+AU491,"上周无销量")</f>
        <v>43276</v>
      </c>
    </row>
    <row r="492" spans="1:48">
      <c r="A492" s="21" t="s">
        <v>1065</v>
      </c>
      <c r="B492" t="s">
        <v>1066</v>
      </c>
      <c r="C492" t="s">
        <v>1056</v>
      </c>
      <c r="D492" s="31">
        <v>0</v>
      </c>
      <c r="E492" s="31">
        <v>1</v>
      </c>
      <c r="F492" s="31">
        <v>1</v>
      </c>
      <c r="G492" s="31">
        <v>0</v>
      </c>
      <c r="H492" s="32">
        <v>10</v>
      </c>
      <c r="I492">
        <v>2</v>
      </c>
      <c r="J492" s="33">
        <v>0</v>
      </c>
      <c r="K492" s="33">
        <v>0</v>
      </c>
      <c r="L492" s="33">
        <v>0</v>
      </c>
      <c r="M492">
        <v>2</v>
      </c>
      <c r="N492">
        <v>0</v>
      </c>
      <c r="O492">
        <v>2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4</v>
      </c>
      <c r="AK492">
        <v>4</v>
      </c>
      <c r="AL492">
        <v>5</v>
      </c>
      <c r="AM492">
        <v>7</v>
      </c>
      <c r="AN492" s="23">
        <v>0</v>
      </c>
      <c r="AO492" s="23">
        <v>0.25</v>
      </c>
      <c r="AP492" s="23">
        <v>0.2</v>
      </c>
      <c r="AQ492" s="23">
        <v>0</v>
      </c>
      <c r="AR492" s="35">
        <v>0</v>
      </c>
      <c r="AS492" s="35">
        <v>0</v>
      </c>
      <c r="AT492" s="35">
        <v>2</v>
      </c>
      <c r="AU492" s="31" t="str">
        <f t="shared" si="10"/>
        <v>库存为2</v>
      </c>
      <c r="AV492" s="36" t="str">
        <f>IFERROR($A$2+AU492,"上周无销量")</f>
        <v>上周无销量</v>
      </c>
    </row>
    <row r="493" spans="1:48">
      <c r="A493" s="21" t="s">
        <v>1067</v>
      </c>
      <c r="B493" t="s">
        <v>1068</v>
      </c>
      <c r="C493" t="s">
        <v>1056</v>
      </c>
      <c r="D493" s="31">
        <v>0</v>
      </c>
      <c r="E493" s="31">
        <v>1</v>
      </c>
      <c r="F493" s="31">
        <v>0</v>
      </c>
      <c r="G493" s="31">
        <v>1</v>
      </c>
      <c r="H493" s="32">
        <v>9.525</v>
      </c>
      <c r="I493">
        <v>8</v>
      </c>
      <c r="J493" s="33">
        <v>0</v>
      </c>
      <c r="K493" s="33">
        <v>0</v>
      </c>
      <c r="L493" s="33">
        <v>0</v>
      </c>
      <c r="M493">
        <v>8</v>
      </c>
      <c r="N493">
        <v>0</v>
      </c>
      <c r="O493">
        <v>8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3</v>
      </c>
      <c r="AK493">
        <v>6</v>
      </c>
      <c r="AL493">
        <v>2</v>
      </c>
      <c r="AM493">
        <v>3</v>
      </c>
      <c r="AN493" s="23">
        <v>0</v>
      </c>
      <c r="AO493" s="23">
        <v>0.166666666666667</v>
      </c>
      <c r="AP493" s="23">
        <v>0</v>
      </c>
      <c r="AQ493" s="23">
        <v>0.333333333333333</v>
      </c>
      <c r="AR493" s="35">
        <v>0</v>
      </c>
      <c r="AS493" s="35">
        <v>0</v>
      </c>
      <c r="AT493" s="35">
        <v>8</v>
      </c>
      <c r="AU493" s="31" t="str">
        <f t="shared" si="10"/>
        <v>库存为8</v>
      </c>
      <c r="AV493" s="36" t="str">
        <f>IFERROR($A$2+AU493,"上周无销量")</f>
        <v>上周无销量</v>
      </c>
    </row>
    <row r="494" spans="1:48">
      <c r="A494" s="21" t="s">
        <v>1069</v>
      </c>
      <c r="B494" t="s">
        <v>1070</v>
      </c>
      <c r="C494" t="s">
        <v>1056</v>
      </c>
      <c r="D494" s="31">
        <v>0</v>
      </c>
      <c r="E494" s="31">
        <v>1</v>
      </c>
      <c r="F494" s="31">
        <v>1</v>
      </c>
      <c r="G494" s="31">
        <v>1</v>
      </c>
      <c r="H494" s="32">
        <v>10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>
        <v>0</v>
      </c>
      <c r="Q494">
        <v>394</v>
      </c>
      <c r="R494">
        <v>394</v>
      </c>
      <c r="S494">
        <v>1111</v>
      </c>
      <c r="T494">
        <v>0</v>
      </c>
      <c r="U494">
        <v>7</v>
      </c>
      <c r="V494">
        <v>7</v>
      </c>
      <c r="W494">
        <v>23</v>
      </c>
      <c r="X494" s="23" t="s">
        <v>54</v>
      </c>
      <c r="Y494" s="23">
        <v>0.0177664974619289</v>
      </c>
      <c r="Z494" s="23">
        <v>0.0177664974619289</v>
      </c>
      <c r="AA494" s="23">
        <v>0.0207020702070207</v>
      </c>
      <c r="AB494">
        <v>0</v>
      </c>
      <c r="AC494">
        <v>4.58</v>
      </c>
      <c r="AD494">
        <v>4.58</v>
      </c>
      <c r="AE494">
        <v>14.64</v>
      </c>
      <c r="AF494" s="23" t="s">
        <v>54</v>
      </c>
      <c r="AG494" s="23">
        <v>0.458</v>
      </c>
      <c r="AH494" s="23">
        <v>0.458</v>
      </c>
      <c r="AI494" s="23">
        <v>1.464</v>
      </c>
      <c r="AJ494">
        <v>0</v>
      </c>
      <c r="AK494">
        <v>4</v>
      </c>
      <c r="AL494">
        <v>10</v>
      </c>
      <c r="AM494">
        <v>19</v>
      </c>
      <c r="AN494" s="23" t="s">
        <v>54</v>
      </c>
      <c r="AO494" s="23">
        <v>0.25</v>
      </c>
      <c r="AP494" s="23">
        <v>0.1</v>
      </c>
      <c r="AQ494" s="23">
        <v>0.0526315789473684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IFERROR($A$2+AU494,"上周无销量")</f>
        <v>上周无销量</v>
      </c>
    </row>
    <row r="495" spans="1:48">
      <c r="A495" s="21" t="s">
        <v>1071</v>
      </c>
      <c r="B495" t="s">
        <v>1072</v>
      </c>
      <c r="C495" t="s">
        <v>1056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s">
        <v>54</v>
      </c>
      <c r="AO495" s="23" t="s">
        <v>54</v>
      </c>
      <c r="AP495" s="23" t="s">
        <v>54</v>
      </c>
      <c r="AQ495" s="23" t="s">
        <v>54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IFERROR($A$2+AU495,"上周无销量")</f>
        <v>上周无销量</v>
      </c>
    </row>
    <row r="496" spans="1:48">
      <c r="A496" s="21" t="s">
        <v>1073</v>
      </c>
      <c r="B496" t="s">
        <v>1074</v>
      </c>
      <c r="C496" t="s">
        <v>1056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IFERROR($A$2+AU496,"上周无销量")</f>
        <v>上周无销量</v>
      </c>
    </row>
    <row r="497" spans="1:48">
      <c r="A497" s="21" t="s">
        <v>1075</v>
      </c>
      <c r="B497" t="s">
        <v>1076</v>
      </c>
      <c r="C497" t="s">
        <v>1056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11</v>
      </c>
      <c r="J497" s="33">
        <v>0</v>
      </c>
      <c r="K497" s="33">
        <v>0</v>
      </c>
      <c r="L497" s="33">
        <v>0</v>
      </c>
      <c r="M497">
        <v>11</v>
      </c>
      <c r="N497">
        <v>0</v>
      </c>
      <c r="O497">
        <v>11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2</v>
      </c>
      <c r="AK497">
        <v>2</v>
      </c>
      <c r="AL497">
        <v>2</v>
      </c>
      <c r="AM497">
        <v>4</v>
      </c>
      <c r="AN497" s="23">
        <v>0</v>
      </c>
      <c r="AO497" s="23">
        <v>0</v>
      </c>
      <c r="AP497" s="23">
        <v>0</v>
      </c>
      <c r="AQ497" s="23">
        <v>0</v>
      </c>
      <c r="AR497" s="35">
        <v>0</v>
      </c>
      <c r="AS497" s="35">
        <v>0</v>
      </c>
      <c r="AT497" s="35">
        <v>11</v>
      </c>
      <c r="AU497" s="31" t="str">
        <f t="shared" si="10"/>
        <v>库存为11</v>
      </c>
      <c r="AV497" s="36" t="str">
        <f>IFERROR($A$2+AU497,"上周无销量")</f>
        <v>上周无销量</v>
      </c>
    </row>
    <row r="498" spans="1:48">
      <c r="A498" s="21" t="s">
        <v>1077</v>
      </c>
      <c r="B498" t="s">
        <v>1078</v>
      </c>
      <c r="C498" t="s">
        <v>1056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0</v>
      </c>
      <c r="AL498">
        <v>0</v>
      </c>
      <c r="AM498">
        <v>0</v>
      </c>
      <c r="AN498" s="23" t="s">
        <v>54</v>
      </c>
      <c r="AO498" s="23" t="s">
        <v>54</v>
      </c>
      <c r="AP498" s="23" t="s">
        <v>54</v>
      </c>
      <c r="AQ498" s="23" t="s">
        <v>54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IFERROR($A$2+AU498,"上周无销量")</f>
        <v>上周无销量</v>
      </c>
    </row>
    <row r="499" spans="1:48">
      <c r="A499" s="21" t="s">
        <v>1079</v>
      </c>
      <c r="B499" t="s">
        <v>1080</v>
      </c>
      <c r="C499" t="s">
        <v>1056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s">
        <v>54</v>
      </c>
      <c r="AO499" s="23" t="s">
        <v>54</v>
      </c>
      <c r="AP499" s="23" t="s">
        <v>54</v>
      </c>
      <c r="AQ499" s="23" t="s">
        <v>54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IFERROR($A$2+AU499,"上周无销量")</f>
        <v>上周无销量</v>
      </c>
    </row>
    <row r="500" spans="1:48">
      <c r="A500" s="21" t="s">
        <v>1081</v>
      </c>
      <c r="B500" t="s">
        <v>1082</v>
      </c>
      <c r="C500" t="s">
        <v>1056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s">
        <v>54</v>
      </c>
      <c r="AO500" s="23" t="s">
        <v>54</v>
      </c>
      <c r="AP500" s="23" t="s">
        <v>54</v>
      </c>
      <c r="AQ500" s="23" t="s">
        <v>54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IFERROR($A$2+AU500,"上周无销量")</f>
        <v>上周无销量</v>
      </c>
    </row>
    <row r="501" spans="1:48">
      <c r="A501" s="21" t="s">
        <v>1083</v>
      </c>
      <c r="B501" t="s">
        <v>1084</v>
      </c>
      <c r="C501" t="s">
        <v>1056</v>
      </c>
      <c r="D501" s="31">
        <v>0</v>
      </c>
      <c r="E501" s="31">
        <v>0</v>
      </c>
      <c r="F501" s="31">
        <v>2</v>
      </c>
      <c r="G501" s="31">
        <v>1</v>
      </c>
      <c r="H501" s="32">
        <v>10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0</v>
      </c>
      <c r="AL501">
        <v>3</v>
      </c>
      <c r="AM501">
        <v>7</v>
      </c>
      <c r="AN501" s="23" t="s">
        <v>54</v>
      </c>
      <c r="AO501" s="23" t="s">
        <v>54</v>
      </c>
      <c r="AP501" s="23">
        <v>0.666666666666667</v>
      </c>
      <c r="AQ501" s="23">
        <v>0.142857142857143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IFERROR($A$2+AU501,"上周无销量")</f>
        <v>上周无销量</v>
      </c>
    </row>
    <row r="502" spans="1:48">
      <c r="A502" s="21" t="s">
        <v>1085</v>
      </c>
      <c r="B502" t="s">
        <v>1086</v>
      </c>
      <c r="C502" t="s">
        <v>1056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13</v>
      </c>
      <c r="J502" s="33">
        <v>0</v>
      </c>
      <c r="K502" s="33">
        <v>0</v>
      </c>
      <c r="L502" s="33">
        <v>0</v>
      </c>
      <c r="M502">
        <v>13</v>
      </c>
      <c r="N502">
        <v>0</v>
      </c>
      <c r="O502">
        <v>13</v>
      </c>
      <c r="P502">
        <v>0</v>
      </c>
      <c r="Q502">
        <v>0</v>
      </c>
      <c r="R502">
        <v>0</v>
      </c>
      <c r="S502">
        <v>3</v>
      </c>
      <c r="T502">
        <v>0</v>
      </c>
      <c r="U502">
        <v>0</v>
      </c>
      <c r="V502">
        <v>0</v>
      </c>
      <c r="W502">
        <v>0</v>
      </c>
      <c r="X502" s="23" t="s">
        <v>54</v>
      </c>
      <c r="Y502" s="23" t="s">
        <v>54</v>
      </c>
      <c r="Z502" s="23" t="s">
        <v>54</v>
      </c>
      <c r="AA502" s="23">
        <v>0</v>
      </c>
      <c r="AB502">
        <v>0</v>
      </c>
      <c r="AC502">
        <v>0</v>
      </c>
      <c r="AD502">
        <v>0</v>
      </c>
      <c r="AE502">
        <v>0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10</v>
      </c>
      <c r="AK502">
        <v>1</v>
      </c>
      <c r="AL502">
        <v>2</v>
      </c>
      <c r="AM502">
        <v>5</v>
      </c>
      <c r="AN502" s="23">
        <v>0</v>
      </c>
      <c r="AO502" s="23">
        <v>0</v>
      </c>
      <c r="AP502" s="23">
        <v>0</v>
      </c>
      <c r="AQ502" s="23">
        <v>0</v>
      </c>
      <c r="AR502" s="35">
        <v>0</v>
      </c>
      <c r="AS502" s="35">
        <v>0</v>
      </c>
      <c r="AT502" s="35">
        <v>13</v>
      </c>
      <c r="AU502" s="31" t="str">
        <f t="shared" si="10"/>
        <v>库存为13</v>
      </c>
      <c r="AV502" s="36" t="str">
        <f>IFERROR($A$2+AU502,"上周无销量")</f>
        <v>上周无销量</v>
      </c>
    </row>
    <row r="503" spans="1:48">
      <c r="A503" s="21" t="s">
        <v>1087</v>
      </c>
      <c r="B503" t="s">
        <v>1088</v>
      </c>
      <c r="C503" t="s">
        <v>1056</v>
      </c>
      <c r="D503" s="31">
        <v>0</v>
      </c>
      <c r="E503" s="31">
        <v>0</v>
      </c>
      <c r="F503" s="31">
        <v>1</v>
      </c>
      <c r="G503" s="31">
        <v>2</v>
      </c>
      <c r="H503" s="32">
        <v>12.3266666666667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4</v>
      </c>
      <c r="AM503">
        <v>11</v>
      </c>
      <c r="AN503" s="23" t="s">
        <v>54</v>
      </c>
      <c r="AO503" s="23" t="s">
        <v>54</v>
      </c>
      <c r="AP503" s="23">
        <v>0.25</v>
      </c>
      <c r="AQ503" s="23">
        <v>0.181818181818182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IFERROR($A$2+AU503,"上周无销量")</f>
        <v>上周无销量</v>
      </c>
    </row>
    <row r="504" spans="1:48">
      <c r="A504" s="21" t="s">
        <v>1089</v>
      </c>
      <c r="B504" t="s">
        <v>1090</v>
      </c>
      <c r="C504" t="s">
        <v>1056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0</v>
      </c>
      <c r="AN504" s="23" t="s">
        <v>54</v>
      </c>
      <c r="AO504" s="23" t="s">
        <v>54</v>
      </c>
      <c r="AP504" s="23" t="s">
        <v>54</v>
      </c>
      <c r="AQ504" s="23" t="s">
        <v>54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IFERROR($A$2+AU504,"上周无销量")</f>
        <v>上周无销量</v>
      </c>
    </row>
    <row r="505" spans="1:48">
      <c r="A505" s="21" t="s">
        <v>1091</v>
      </c>
      <c r="B505" t="s">
        <v>1092</v>
      </c>
      <c r="C505" t="s">
        <v>1056</v>
      </c>
      <c r="D505" s="31">
        <v>3</v>
      </c>
      <c r="E505" s="31">
        <v>2</v>
      </c>
      <c r="F505" s="31">
        <v>0</v>
      </c>
      <c r="G505" s="31">
        <v>2</v>
      </c>
      <c r="H505" s="32">
        <v>12.98</v>
      </c>
      <c r="I505">
        <v>3</v>
      </c>
      <c r="J505" s="33">
        <v>0</v>
      </c>
      <c r="K505" s="33">
        <v>0</v>
      </c>
      <c r="L505" s="33">
        <v>0</v>
      </c>
      <c r="M505">
        <v>3</v>
      </c>
      <c r="N505">
        <v>0</v>
      </c>
      <c r="O505">
        <v>3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10</v>
      </c>
      <c r="AK505">
        <v>7</v>
      </c>
      <c r="AL505">
        <v>5</v>
      </c>
      <c r="AM505">
        <v>5</v>
      </c>
      <c r="AN505" s="23">
        <v>0.3</v>
      </c>
      <c r="AO505" s="23">
        <v>0.285714285714286</v>
      </c>
      <c r="AP505" s="23">
        <v>0</v>
      </c>
      <c r="AQ505" s="23">
        <v>0.4</v>
      </c>
      <c r="AR505" s="35">
        <v>0.428571428571429</v>
      </c>
      <c r="AS505" s="35">
        <v>25.7142857142857</v>
      </c>
      <c r="AT505" s="35">
        <v>-22.7142857142857</v>
      </c>
      <c r="AU505" s="31">
        <f t="shared" si="10"/>
        <v>7</v>
      </c>
      <c r="AV505" s="36">
        <f>IFERROR($A$2+AU505,"上周无销量")</f>
        <v>43283</v>
      </c>
    </row>
    <row r="506" spans="1:48">
      <c r="A506" s="21" t="s">
        <v>1093</v>
      </c>
      <c r="B506" t="s">
        <v>1094</v>
      </c>
      <c r="C506" t="s">
        <v>1056</v>
      </c>
      <c r="D506" s="31">
        <v>0</v>
      </c>
      <c r="E506" s="31">
        <v>1</v>
      </c>
      <c r="F506" s="31">
        <v>1</v>
      </c>
      <c r="G506" s="31">
        <v>0</v>
      </c>
      <c r="H506" s="32">
        <v>12.98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2</v>
      </c>
      <c r="AM506">
        <v>3</v>
      </c>
      <c r="AN506" s="23" t="s">
        <v>54</v>
      </c>
      <c r="AO506" s="23" t="s">
        <v>54</v>
      </c>
      <c r="AP506" s="23">
        <v>0.5</v>
      </c>
      <c r="AQ506" s="23">
        <v>0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IFERROR($A$2+AU506,"上周无销量")</f>
        <v>上周无销量</v>
      </c>
    </row>
    <row r="507" spans="1:48">
      <c r="A507" s="21" t="s">
        <v>1095</v>
      </c>
      <c r="B507" t="s">
        <v>1096</v>
      </c>
      <c r="C507" t="s">
        <v>1056</v>
      </c>
      <c r="D507" s="31">
        <v>2</v>
      </c>
      <c r="E507" s="31">
        <v>3</v>
      </c>
      <c r="F507" s="31">
        <v>0</v>
      </c>
      <c r="G507" s="31">
        <v>0</v>
      </c>
      <c r="H507" s="32">
        <v>12.98</v>
      </c>
      <c r="I507">
        <v>5</v>
      </c>
      <c r="J507" s="33">
        <v>0</v>
      </c>
      <c r="K507" s="33">
        <v>0</v>
      </c>
      <c r="L507" s="33">
        <v>0</v>
      </c>
      <c r="M507">
        <v>5</v>
      </c>
      <c r="N507">
        <v>0</v>
      </c>
      <c r="O507">
        <v>4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18</v>
      </c>
      <c r="AK507">
        <v>5</v>
      </c>
      <c r="AL507">
        <v>5</v>
      </c>
      <c r="AM507">
        <v>2</v>
      </c>
      <c r="AN507" s="23">
        <v>0.111111111111111</v>
      </c>
      <c r="AO507" s="23">
        <v>0.6</v>
      </c>
      <c r="AP507" s="23">
        <v>0</v>
      </c>
      <c r="AQ507" s="23">
        <v>0</v>
      </c>
      <c r="AR507" s="35">
        <v>0.285714285714286</v>
      </c>
      <c r="AS507" s="35">
        <v>17.1428571428571</v>
      </c>
      <c r="AT507" s="35">
        <v>-12.1428571428571</v>
      </c>
      <c r="AU507" s="31">
        <f t="shared" si="10"/>
        <v>17</v>
      </c>
      <c r="AV507" s="36">
        <f>IFERROR($A$2+AU507,"上周无销量")</f>
        <v>43293</v>
      </c>
    </row>
    <row r="508" spans="1:48">
      <c r="A508" s="21" t="s">
        <v>1097</v>
      </c>
      <c r="B508" t="s">
        <v>1098</v>
      </c>
      <c r="C508" t="s">
        <v>1056</v>
      </c>
      <c r="D508" s="31">
        <v>2</v>
      </c>
      <c r="E508" s="31">
        <v>0</v>
      </c>
      <c r="F508" s="31">
        <v>1</v>
      </c>
      <c r="G508" s="31">
        <v>1</v>
      </c>
      <c r="H508" s="32">
        <v>12.98</v>
      </c>
      <c r="I508">
        <v>4</v>
      </c>
      <c r="J508" s="33">
        <v>0</v>
      </c>
      <c r="K508" s="33">
        <v>0</v>
      </c>
      <c r="L508" s="33">
        <v>0</v>
      </c>
      <c r="M508">
        <v>4</v>
      </c>
      <c r="N508">
        <v>0</v>
      </c>
      <c r="O508">
        <v>4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14</v>
      </c>
      <c r="AK508">
        <v>5</v>
      </c>
      <c r="AL508">
        <v>3</v>
      </c>
      <c r="AM508">
        <v>3</v>
      </c>
      <c r="AN508" s="23">
        <v>0.142857142857143</v>
      </c>
      <c r="AO508" s="23">
        <v>0</v>
      </c>
      <c r="AP508" s="23">
        <v>0.333333333333333</v>
      </c>
      <c r="AQ508" s="23">
        <v>0.333333333333333</v>
      </c>
      <c r="AR508" s="35">
        <v>0.285714285714286</v>
      </c>
      <c r="AS508" s="35">
        <v>17.1428571428571</v>
      </c>
      <c r="AT508" s="35">
        <v>-13.1428571428571</v>
      </c>
      <c r="AU508" s="31">
        <f t="shared" si="10"/>
        <v>14</v>
      </c>
      <c r="AV508" s="36">
        <f>IFERROR($A$2+AU508,"上周无销量")</f>
        <v>43290</v>
      </c>
    </row>
    <row r="509" spans="1:48">
      <c r="A509" s="21" t="s">
        <v>1099</v>
      </c>
      <c r="B509" t="s">
        <v>1100</v>
      </c>
      <c r="C509" t="s">
        <v>1056</v>
      </c>
      <c r="D509" s="31">
        <v>1</v>
      </c>
      <c r="E509" s="31">
        <v>1</v>
      </c>
      <c r="F509" s="31">
        <v>1</v>
      </c>
      <c r="G509" s="31">
        <v>0</v>
      </c>
      <c r="H509" s="32">
        <v>12.98</v>
      </c>
      <c r="I509">
        <v>1</v>
      </c>
      <c r="J509" s="33">
        <v>0</v>
      </c>
      <c r="K509" s="33">
        <v>0</v>
      </c>
      <c r="L509" s="33">
        <v>1</v>
      </c>
      <c r="M509">
        <v>2</v>
      </c>
      <c r="N509">
        <v>0</v>
      </c>
      <c r="O509">
        <v>0</v>
      </c>
      <c r="P509">
        <v>1193</v>
      </c>
      <c r="Q509">
        <v>0</v>
      </c>
      <c r="R509">
        <v>0</v>
      </c>
      <c r="S509">
        <v>0</v>
      </c>
      <c r="T509">
        <v>25</v>
      </c>
      <c r="U509">
        <v>0</v>
      </c>
      <c r="V509">
        <v>0</v>
      </c>
      <c r="W509">
        <v>0</v>
      </c>
      <c r="X509" s="23">
        <v>0.0209555741827326</v>
      </c>
      <c r="Y509" s="23" t="s">
        <v>54</v>
      </c>
      <c r="Z509" s="23" t="s">
        <v>54</v>
      </c>
      <c r="AA509" s="23" t="s">
        <v>54</v>
      </c>
      <c r="AB509">
        <v>17.02</v>
      </c>
      <c r="AC509">
        <v>0</v>
      </c>
      <c r="AD509">
        <v>0</v>
      </c>
      <c r="AE509">
        <v>0</v>
      </c>
      <c r="AF509" s="23">
        <v>1.31124807395994</v>
      </c>
      <c r="AG509" s="23" t="s">
        <v>54</v>
      </c>
      <c r="AH509" s="23" t="s">
        <v>54</v>
      </c>
      <c r="AI509" s="23" t="s">
        <v>54</v>
      </c>
      <c r="AJ509">
        <v>26</v>
      </c>
      <c r="AK509">
        <v>12</v>
      </c>
      <c r="AL509">
        <v>4</v>
      </c>
      <c r="AM509">
        <v>6</v>
      </c>
      <c r="AN509" s="23">
        <v>0.0384615384615385</v>
      </c>
      <c r="AO509" s="23">
        <v>0.0833333333333333</v>
      </c>
      <c r="AP509" s="23">
        <v>0.25</v>
      </c>
      <c r="AQ509" s="23">
        <v>0</v>
      </c>
      <c r="AR509" s="35">
        <v>0.142857142857143</v>
      </c>
      <c r="AS509" s="35">
        <v>8.57142857142857</v>
      </c>
      <c r="AT509" s="35">
        <v>-6.57142857142857</v>
      </c>
      <c r="AU509" s="31">
        <f t="shared" si="10"/>
        <v>14</v>
      </c>
      <c r="AV509" s="36">
        <f>IFERROR($A$2+AU509,"上周无销量")</f>
        <v>43290</v>
      </c>
    </row>
    <row r="510" spans="1:48">
      <c r="A510" s="21" t="s">
        <v>1101</v>
      </c>
      <c r="B510" t="s">
        <v>1102</v>
      </c>
      <c r="C510" t="s">
        <v>1056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0</v>
      </c>
      <c r="AL510">
        <v>0</v>
      </c>
      <c r="AM510">
        <v>0</v>
      </c>
      <c r="AN510" s="23" t="s">
        <v>54</v>
      </c>
      <c r="AO510" s="23" t="s">
        <v>54</v>
      </c>
      <c r="AP510" s="23" t="s">
        <v>54</v>
      </c>
      <c r="AQ510" s="23" t="s">
        <v>54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IFERROR($A$2+AU510,"上周无销量")</f>
        <v>上周无销量</v>
      </c>
    </row>
    <row r="511" spans="1:48">
      <c r="A511" s="21" t="s">
        <v>1103</v>
      </c>
      <c r="B511" t="s">
        <v>1104</v>
      </c>
      <c r="C511" t="s">
        <v>1056</v>
      </c>
      <c r="D511" s="31">
        <v>0</v>
      </c>
      <c r="E511" s="31">
        <v>0</v>
      </c>
      <c r="F511" s="31">
        <v>1</v>
      </c>
      <c r="G511" s="31">
        <v>0</v>
      </c>
      <c r="H511" s="32">
        <v>10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5</v>
      </c>
      <c r="AN511" s="23" t="s">
        <v>54</v>
      </c>
      <c r="AO511" s="23" t="s">
        <v>54</v>
      </c>
      <c r="AP511" s="23" t="s">
        <v>54</v>
      </c>
      <c r="AQ511" s="23">
        <v>0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IFERROR($A$2+AU511,"上周无销量")</f>
        <v>上周无销量</v>
      </c>
    </row>
    <row r="512" spans="1:48">
      <c r="A512" s="21" t="s">
        <v>1105</v>
      </c>
      <c r="B512" t="s">
        <v>1106</v>
      </c>
      <c r="C512" t="s">
        <v>1056</v>
      </c>
      <c r="D512" s="31">
        <v>0</v>
      </c>
      <c r="E512" s="31">
        <v>1</v>
      </c>
      <c r="F512" s="31">
        <v>0</v>
      </c>
      <c r="G512" s="31">
        <v>0</v>
      </c>
      <c r="H512" s="32">
        <v>10</v>
      </c>
      <c r="I512">
        <v>5</v>
      </c>
      <c r="J512" s="33">
        <v>0</v>
      </c>
      <c r="K512" s="33">
        <v>0</v>
      </c>
      <c r="L512" s="33">
        <v>0</v>
      </c>
      <c r="M512">
        <v>5</v>
      </c>
      <c r="N512">
        <v>0</v>
      </c>
      <c r="O512">
        <v>5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8</v>
      </c>
      <c r="AK512">
        <v>6</v>
      </c>
      <c r="AL512">
        <v>1</v>
      </c>
      <c r="AM512">
        <v>4</v>
      </c>
      <c r="AN512" s="23">
        <v>0</v>
      </c>
      <c r="AO512" s="23">
        <v>0.166666666666667</v>
      </c>
      <c r="AP512" s="23">
        <v>0</v>
      </c>
      <c r="AQ512" s="23">
        <v>0</v>
      </c>
      <c r="AR512" s="35">
        <v>0</v>
      </c>
      <c r="AS512" s="35">
        <v>0</v>
      </c>
      <c r="AT512" s="35">
        <v>5</v>
      </c>
      <c r="AU512" s="31" t="str">
        <f t="shared" si="10"/>
        <v>库存为5</v>
      </c>
      <c r="AV512" s="36" t="str">
        <f>IFERROR($A$2+AU512,"上周无销量")</f>
        <v>上周无销量</v>
      </c>
    </row>
    <row r="513" spans="1:48">
      <c r="A513" s="21" t="s">
        <v>1107</v>
      </c>
      <c r="B513" t="s">
        <v>1108</v>
      </c>
      <c r="C513" t="s">
        <v>1056</v>
      </c>
      <c r="D513" s="31">
        <v>0</v>
      </c>
      <c r="E513" s="31">
        <v>0</v>
      </c>
      <c r="F513" s="31">
        <v>0</v>
      </c>
      <c r="G513" s="31">
        <v>1</v>
      </c>
      <c r="H513" s="32">
        <v>10</v>
      </c>
      <c r="I513">
        <v>9</v>
      </c>
      <c r="J513" s="33">
        <v>0</v>
      </c>
      <c r="K513" s="33">
        <v>0</v>
      </c>
      <c r="L513" s="33">
        <v>0</v>
      </c>
      <c r="M513">
        <v>9</v>
      </c>
      <c r="N513">
        <v>0</v>
      </c>
      <c r="O513">
        <v>9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2</v>
      </c>
      <c r="AK513">
        <v>3</v>
      </c>
      <c r="AL513">
        <v>8</v>
      </c>
      <c r="AM513">
        <v>5</v>
      </c>
      <c r="AN513" s="23">
        <v>0</v>
      </c>
      <c r="AO513" s="23">
        <v>0</v>
      </c>
      <c r="AP513" s="23">
        <v>0</v>
      </c>
      <c r="AQ513" s="23">
        <v>0.2</v>
      </c>
      <c r="AR513" s="35">
        <v>0</v>
      </c>
      <c r="AS513" s="35">
        <v>0</v>
      </c>
      <c r="AT513" s="35">
        <v>9</v>
      </c>
      <c r="AU513" s="31" t="str">
        <f t="shared" si="10"/>
        <v>库存为9</v>
      </c>
      <c r="AV513" s="36" t="str">
        <f>IFERROR($A$2+AU513,"上周无销量")</f>
        <v>上周无销量</v>
      </c>
    </row>
    <row r="514" spans="1:48">
      <c r="A514" s="21" t="s">
        <v>1109</v>
      </c>
      <c r="B514" t="s">
        <v>1110</v>
      </c>
      <c r="C514" t="s">
        <v>1056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11</v>
      </c>
      <c r="J514" s="33">
        <v>0</v>
      </c>
      <c r="K514" s="33">
        <v>0</v>
      </c>
      <c r="L514" s="33">
        <v>0</v>
      </c>
      <c r="M514">
        <v>11</v>
      </c>
      <c r="N514">
        <v>0</v>
      </c>
      <c r="O514">
        <v>12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4</v>
      </c>
      <c r="AK514">
        <v>3</v>
      </c>
      <c r="AL514">
        <v>4</v>
      </c>
      <c r="AM514">
        <v>3</v>
      </c>
      <c r="AN514" s="23">
        <v>0</v>
      </c>
      <c r="AO514" s="23">
        <v>0</v>
      </c>
      <c r="AP514" s="23">
        <v>0</v>
      </c>
      <c r="AQ514" s="23">
        <v>0</v>
      </c>
      <c r="AR514" s="35">
        <v>0</v>
      </c>
      <c r="AS514" s="35">
        <v>0</v>
      </c>
      <c r="AT514" s="35">
        <v>11</v>
      </c>
      <c r="AU514" s="31" t="str">
        <f t="shared" si="10"/>
        <v>库存为11</v>
      </c>
      <c r="AV514" s="36" t="str">
        <f>IFERROR($A$2+AU514,"上周无销量")</f>
        <v>上周无销量</v>
      </c>
    </row>
    <row r="515" spans="1:48">
      <c r="A515" s="21" t="s">
        <v>1111</v>
      </c>
      <c r="B515" t="s">
        <v>1112</v>
      </c>
      <c r="C515" t="s">
        <v>1056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s">
        <v>54</v>
      </c>
      <c r="AO515" s="23" t="s">
        <v>54</v>
      </c>
      <c r="AP515" s="23" t="s">
        <v>54</v>
      </c>
      <c r="AQ515" s="23" t="s">
        <v>54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IFERROR($A$2+AU515,"上周无销量")</f>
        <v>上周无销量</v>
      </c>
    </row>
    <row r="516" spans="1:48">
      <c r="A516" s="21" t="s">
        <v>1113</v>
      </c>
      <c r="B516" t="s">
        <v>1114</v>
      </c>
      <c r="C516" t="s">
        <v>1056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s">
        <v>54</v>
      </c>
      <c r="AO516" s="23" t="s">
        <v>54</v>
      </c>
      <c r="AP516" s="23" t="s">
        <v>54</v>
      </c>
      <c r="AQ516" s="23" t="s">
        <v>54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IFERROR($A$2+AU516,"上周无销量")</f>
        <v>上周无销量</v>
      </c>
    </row>
    <row r="517" spans="1:48">
      <c r="A517" s="21" t="s">
        <v>1115</v>
      </c>
      <c r="B517" t="s">
        <v>1116</v>
      </c>
      <c r="C517" t="s">
        <v>1056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s">
        <v>54</v>
      </c>
      <c r="AO517" s="23" t="s">
        <v>54</v>
      </c>
      <c r="AP517" s="23" t="s">
        <v>54</v>
      </c>
      <c r="AQ517" s="23" t="s">
        <v>54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IFERROR($A$2+AU517,"上周无销量")</f>
        <v>上周无销量</v>
      </c>
    </row>
    <row r="518" spans="1:48">
      <c r="A518" s="21" t="s">
        <v>1117</v>
      </c>
      <c r="B518" t="s">
        <v>1118</v>
      </c>
      <c r="C518" t="s">
        <v>1056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s">
        <v>54</v>
      </c>
      <c r="AO518" s="23" t="s">
        <v>54</v>
      </c>
      <c r="AP518" s="23" t="s">
        <v>54</v>
      </c>
      <c r="AQ518" s="23" t="s">
        <v>54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IFERROR($A$2+AU518,"上周无销量")</f>
        <v>上周无销量</v>
      </c>
    </row>
    <row r="519" spans="1:48">
      <c r="A519" s="21" t="s">
        <v>1119</v>
      </c>
      <c r="B519" t="s">
        <v>1120</v>
      </c>
      <c r="C519" t="s">
        <v>1056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6</v>
      </c>
      <c r="J519" s="33">
        <v>0</v>
      </c>
      <c r="K519" s="33">
        <v>0</v>
      </c>
      <c r="L519" s="33">
        <v>0</v>
      </c>
      <c r="M519">
        <v>6</v>
      </c>
      <c r="N519">
        <v>0</v>
      </c>
      <c r="O519">
        <v>7</v>
      </c>
      <c r="P519">
        <v>0</v>
      </c>
      <c r="Q519">
        <v>0</v>
      </c>
      <c r="R519">
        <v>0</v>
      </c>
      <c r="S519">
        <v>2</v>
      </c>
      <c r="T519">
        <v>0</v>
      </c>
      <c r="U519">
        <v>0</v>
      </c>
      <c r="V519">
        <v>0</v>
      </c>
      <c r="W519">
        <v>0</v>
      </c>
      <c r="X519" s="23" t="s">
        <v>54</v>
      </c>
      <c r="Y519" s="23" t="s">
        <v>54</v>
      </c>
      <c r="Z519" s="23" t="s">
        <v>54</v>
      </c>
      <c r="AA519" s="23">
        <v>0</v>
      </c>
      <c r="AB519">
        <v>0</v>
      </c>
      <c r="AC519">
        <v>0</v>
      </c>
      <c r="AD519">
        <v>0</v>
      </c>
      <c r="AE519">
        <v>0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8</v>
      </c>
      <c r="AK519">
        <v>3</v>
      </c>
      <c r="AL519">
        <v>5</v>
      </c>
      <c r="AM519">
        <v>5</v>
      </c>
      <c r="AN519" s="23">
        <v>0</v>
      </c>
      <c r="AO519" s="23">
        <v>0</v>
      </c>
      <c r="AP519" s="23">
        <v>0</v>
      </c>
      <c r="AQ519" s="23">
        <v>0</v>
      </c>
      <c r="AR519" s="35">
        <v>0</v>
      </c>
      <c r="AS519" s="35">
        <v>0</v>
      </c>
      <c r="AT519" s="35">
        <v>6</v>
      </c>
      <c r="AU519" s="31" t="str">
        <f t="shared" si="11"/>
        <v>库存为6</v>
      </c>
      <c r="AV519" s="36" t="str">
        <f>IFERROR($A$2+AU519,"上周无销量")</f>
        <v>上周无销量</v>
      </c>
    </row>
    <row r="520" spans="1:48">
      <c r="A520" s="21" t="s">
        <v>1121</v>
      </c>
      <c r="B520" t="s">
        <v>1122</v>
      </c>
      <c r="C520" t="s">
        <v>1056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s">
        <v>54</v>
      </c>
      <c r="AO520" s="23" t="s">
        <v>54</v>
      </c>
      <c r="AP520" s="23" t="s">
        <v>54</v>
      </c>
      <c r="AQ520" s="23" t="s">
        <v>54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IFERROR($A$2+AU520,"上周无销量")</f>
        <v>上周无销量</v>
      </c>
    </row>
    <row r="521" spans="1:48">
      <c r="A521" s="21" t="s">
        <v>1123</v>
      </c>
      <c r="B521" t="s">
        <v>1124</v>
      </c>
      <c r="C521" t="s">
        <v>1056</v>
      </c>
      <c r="D521" s="31">
        <v>0</v>
      </c>
      <c r="E521" s="31">
        <v>2</v>
      </c>
      <c r="F521" s="31">
        <v>0</v>
      </c>
      <c r="G521" s="31">
        <v>2</v>
      </c>
      <c r="H521" s="32">
        <v>10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1</v>
      </c>
      <c r="AM521">
        <v>3</v>
      </c>
      <c r="AN521" s="23" t="s">
        <v>54</v>
      </c>
      <c r="AO521" s="23" t="s">
        <v>54</v>
      </c>
      <c r="AP521" s="23">
        <v>0</v>
      </c>
      <c r="AQ521" s="23">
        <v>0.666666666666667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IFERROR($A$2+AU521,"上周无销量")</f>
        <v>上周无销量</v>
      </c>
    </row>
    <row r="522" spans="1:48">
      <c r="A522" s="21" t="s">
        <v>1125</v>
      </c>
      <c r="B522" t="s">
        <v>1126</v>
      </c>
      <c r="C522" t="s">
        <v>1056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s">
        <v>54</v>
      </c>
      <c r="AO522" s="23" t="s">
        <v>54</v>
      </c>
      <c r="AP522" s="23" t="s">
        <v>54</v>
      </c>
      <c r="AQ522" s="23" t="s">
        <v>54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IFERROR($A$2+AU522,"上周无销量")</f>
        <v>上周无销量</v>
      </c>
    </row>
    <row r="523" spans="1:48">
      <c r="A523" s="21" t="s">
        <v>1127</v>
      </c>
      <c r="B523" t="s">
        <v>1128</v>
      </c>
      <c r="C523" t="s">
        <v>1127</v>
      </c>
      <c r="D523" s="31">
        <v>0</v>
      </c>
      <c r="E523" s="31">
        <v>1</v>
      </c>
      <c r="F523" s="31">
        <v>0</v>
      </c>
      <c r="G523" s="31">
        <v>0</v>
      </c>
      <c r="H523" s="32">
        <v>10.99</v>
      </c>
      <c r="I523">
        <v>4</v>
      </c>
      <c r="J523" s="33">
        <v>0</v>
      </c>
      <c r="K523" s="33">
        <v>0</v>
      </c>
      <c r="L523" s="33">
        <v>0</v>
      </c>
      <c r="M523">
        <v>4</v>
      </c>
      <c r="N523">
        <v>0</v>
      </c>
      <c r="O523">
        <v>4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7</v>
      </c>
      <c r="AK523">
        <v>19</v>
      </c>
      <c r="AL523">
        <v>2</v>
      </c>
      <c r="AM523">
        <v>4</v>
      </c>
      <c r="AN523" s="23">
        <v>0</v>
      </c>
      <c r="AO523" s="23">
        <v>0.0526315789473684</v>
      </c>
      <c r="AP523" s="23">
        <v>0</v>
      </c>
      <c r="AQ523" s="23">
        <v>0</v>
      </c>
      <c r="AR523" s="35">
        <v>0</v>
      </c>
      <c r="AS523" s="35">
        <v>0</v>
      </c>
      <c r="AT523" s="35">
        <v>4</v>
      </c>
      <c r="AU523" s="31" t="str">
        <f t="shared" si="11"/>
        <v>库存为4</v>
      </c>
      <c r="AV523" s="36" t="str">
        <f>IFERROR($A$2+AU523,"上周无销量")</f>
        <v>上周无销量</v>
      </c>
    </row>
    <row r="524" spans="1:48">
      <c r="A524" s="21" t="s">
        <v>1129</v>
      </c>
      <c r="B524" t="s">
        <v>1130</v>
      </c>
      <c r="C524" t="s">
        <v>1131</v>
      </c>
      <c r="D524" s="31">
        <v>5</v>
      </c>
      <c r="E524" s="31">
        <v>5</v>
      </c>
      <c r="F524" s="31">
        <v>4</v>
      </c>
      <c r="G524" s="31">
        <v>3</v>
      </c>
      <c r="H524" s="32">
        <v>24.99</v>
      </c>
      <c r="I524">
        <v>16</v>
      </c>
      <c r="J524" s="33">
        <v>0</v>
      </c>
      <c r="K524" s="33">
        <v>0</v>
      </c>
      <c r="L524" s="33">
        <v>10</v>
      </c>
      <c r="M524">
        <v>26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347</v>
      </c>
      <c r="AK524">
        <v>70</v>
      </c>
      <c r="AL524">
        <v>21</v>
      </c>
      <c r="AM524">
        <v>14</v>
      </c>
      <c r="AN524" s="23">
        <v>0.0144092219020173</v>
      </c>
      <c r="AO524" s="23">
        <v>0.0714285714285714</v>
      </c>
      <c r="AP524" s="23">
        <v>0.19047619047619</v>
      </c>
      <c r="AQ524" s="23">
        <v>0.214285714285714</v>
      </c>
      <c r="AR524" s="35">
        <v>0.714285714285714</v>
      </c>
      <c r="AS524" s="35">
        <v>42.8571428571429</v>
      </c>
      <c r="AT524" s="35">
        <v>-16.8571428571429</v>
      </c>
      <c r="AU524" s="31">
        <f t="shared" si="11"/>
        <v>36</v>
      </c>
      <c r="AV524" s="36">
        <f>IFERROR($A$2+AU524,"上周无销量")</f>
        <v>43312</v>
      </c>
    </row>
    <row r="525" spans="1:48">
      <c r="A525" s="21" t="s">
        <v>1132</v>
      </c>
      <c r="B525" t="s">
        <v>1133</v>
      </c>
      <c r="C525" t="s">
        <v>1131</v>
      </c>
      <c r="D525" s="31">
        <v>4</v>
      </c>
      <c r="E525" s="31">
        <v>5</v>
      </c>
      <c r="F525" s="31">
        <v>3</v>
      </c>
      <c r="G525" s="31">
        <v>6</v>
      </c>
      <c r="H525" s="32">
        <v>18.99</v>
      </c>
      <c r="I525">
        <v>26</v>
      </c>
      <c r="J525" s="33">
        <v>0</v>
      </c>
      <c r="K525" s="33">
        <v>0</v>
      </c>
      <c r="L525" s="33">
        <v>5</v>
      </c>
      <c r="M525">
        <v>31</v>
      </c>
      <c r="N525">
        <v>1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16</v>
      </c>
      <c r="AK525">
        <v>24</v>
      </c>
      <c r="AL525">
        <v>26</v>
      </c>
      <c r="AM525">
        <v>33</v>
      </c>
      <c r="AN525" s="23">
        <v>0.25</v>
      </c>
      <c r="AO525" s="23">
        <v>0.208333333333333</v>
      </c>
      <c r="AP525" s="23">
        <v>0.115384615384615</v>
      </c>
      <c r="AQ525" s="23">
        <v>0.181818181818182</v>
      </c>
      <c r="AR525" s="35">
        <v>0.571428571428571</v>
      </c>
      <c r="AS525" s="35">
        <v>34.2857142857143</v>
      </c>
      <c r="AT525" s="35">
        <v>-3.28571428571428</v>
      </c>
      <c r="AU525" s="31">
        <f t="shared" si="11"/>
        <v>54</v>
      </c>
      <c r="AV525" s="36">
        <f>IFERROR($A$2+AU525,"上周无销量")</f>
        <v>43330</v>
      </c>
    </row>
    <row r="526" spans="1:48">
      <c r="A526" s="21" t="s">
        <v>1134</v>
      </c>
      <c r="B526" t="s">
        <v>1135</v>
      </c>
      <c r="C526" t="s">
        <v>1131</v>
      </c>
      <c r="D526" s="31">
        <v>3</v>
      </c>
      <c r="E526" s="31">
        <v>5</v>
      </c>
      <c r="F526" s="31">
        <v>7</v>
      </c>
      <c r="G526" s="31">
        <v>8</v>
      </c>
      <c r="H526" s="32">
        <v>13.9469565217391</v>
      </c>
      <c r="I526">
        <v>54</v>
      </c>
      <c r="J526" s="33">
        <v>30</v>
      </c>
      <c r="K526" s="33">
        <v>0</v>
      </c>
      <c r="L526" s="33">
        <v>4</v>
      </c>
      <c r="M526">
        <v>88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2534</v>
      </c>
      <c r="T526">
        <v>0</v>
      </c>
      <c r="U526">
        <v>0</v>
      </c>
      <c r="V526">
        <v>0</v>
      </c>
      <c r="W526">
        <v>40</v>
      </c>
      <c r="X526" s="23" t="s">
        <v>54</v>
      </c>
      <c r="Y526" s="23" t="s">
        <v>54</v>
      </c>
      <c r="Z526" s="23" t="s">
        <v>54</v>
      </c>
      <c r="AA526" s="23">
        <v>0.015785319652723</v>
      </c>
      <c r="AB526">
        <v>0</v>
      </c>
      <c r="AC526">
        <v>0</v>
      </c>
      <c r="AD526">
        <v>0</v>
      </c>
      <c r="AE526">
        <v>35.1</v>
      </c>
      <c r="AF526" s="23" t="s">
        <v>54</v>
      </c>
      <c r="AG526" s="23" t="s">
        <v>54</v>
      </c>
      <c r="AH526" s="23" t="s">
        <v>54</v>
      </c>
      <c r="AI526" s="23">
        <v>0.314584762142279</v>
      </c>
      <c r="AJ526">
        <v>64</v>
      </c>
      <c r="AK526">
        <v>29</v>
      </c>
      <c r="AL526">
        <v>62</v>
      </c>
      <c r="AM526">
        <v>79</v>
      </c>
      <c r="AN526" s="23">
        <v>0.046875</v>
      </c>
      <c r="AO526" s="23">
        <v>0.172413793103448</v>
      </c>
      <c r="AP526" s="23">
        <v>0.112903225806452</v>
      </c>
      <c r="AQ526" s="23">
        <v>0.10126582278481</v>
      </c>
      <c r="AR526" s="35">
        <v>0.428571428571429</v>
      </c>
      <c r="AS526" s="35">
        <v>25.7142857142857</v>
      </c>
      <c r="AT526" s="35">
        <v>62.2857142857143</v>
      </c>
      <c r="AU526" s="31">
        <f t="shared" si="11"/>
        <v>205</v>
      </c>
      <c r="AV526" s="36">
        <f>IFERROR($A$2+AU526,"上周无销量")</f>
        <v>43481</v>
      </c>
    </row>
    <row r="527" spans="1:48">
      <c r="A527" s="21" t="s">
        <v>1136</v>
      </c>
      <c r="B527" t="s">
        <v>1137</v>
      </c>
      <c r="C527" t="s">
        <v>1131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5</v>
      </c>
      <c r="AK527">
        <v>176</v>
      </c>
      <c r="AL527">
        <v>34</v>
      </c>
      <c r="AM527">
        <v>31</v>
      </c>
      <c r="AN527" s="23">
        <v>0</v>
      </c>
      <c r="AO527" s="23">
        <v>0</v>
      </c>
      <c r="AP527" s="23">
        <v>0</v>
      </c>
      <c r="AQ527" s="23">
        <v>0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IFERROR($A$2+AU527,"上周无销量")</f>
        <v>上周无销量</v>
      </c>
    </row>
    <row r="528" spans="1:48">
      <c r="A528" s="21" t="s">
        <v>1138</v>
      </c>
      <c r="B528" t="s">
        <v>1139</v>
      </c>
      <c r="C528" t="s">
        <v>1131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2284</v>
      </c>
      <c r="AK528">
        <v>114</v>
      </c>
      <c r="AL528">
        <v>36</v>
      </c>
      <c r="AM528">
        <v>55</v>
      </c>
      <c r="AN528" s="23">
        <v>0</v>
      </c>
      <c r="AO528" s="23">
        <v>0</v>
      </c>
      <c r="AP528" s="23">
        <v>0</v>
      </c>
      <c r="AQ528" s="23">
        <v>0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IFERROR($A$2+AU528,"上周无销量")</f>
        <v>上周无销量</v>
      </c>
    </row>
    <row r="529" spans="1:48">
      <c r="A529" s="21" t="s">
        <v>1140</v>
      </c>
      <c r="B529" t="s">
        <v>1141</v>
      </c>
      <c r="C529" t="s">
        <v>1131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 s="23" t="s">
        <v>54</v>
      </c>
      <c r="Y529" s="23" t="s">
        <v>54</v>
      </c>
      <c r="Z529" s="23" t="s">
        <v>54</v>
      </c>
      <c r="AA529" s="23" t="s">
        <v>54</v>
      </c>
      <c r="AB529">
        <v>0</v>
      </c>
      <c r="AC529">
        <v>0</v>
      </c>
      <c r="AD529">
        <v>0</v>
      </c>
      <c r="AE529">
        <v>0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660</v>
      </c>
      <c r="AK529">
        <v>115</v>
      </c>
      <c r="AL529">
        <v>83</v>
      </c>
      <c r="AM529">
        <v>65</v>
      </c>
      <c r="AN529" s="23">
        <v>0</v>
      </c>
      <c r="AO529" s="23">
        <v>0</v>
      </c>
      <c r="AP529" s="23">
        <v>0</v>
      </c>
      <c r="AQ529" s="23">
        <v>0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IFERROR($A$2+AU529,"上周无销量")</f>
        <v>上周无销量</v>
      </c>
    </row>
    <row r="530" spans="1:48">
      <c r="A530" s="21" t="s">
        <v>1142</v>
      </c>
      <c r="B530" t="s">
        <v>1143</v>
      </c>
      <c r="C530" t="e">
        <v>#N/A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s">
        <v>54</v>
      </c>
      <c r="AO530" s="23" t="s">
        <v>54</v>
      </c>
      <c r="AP530" s="23" t="s">
        <v>54</v>
      </c>
      <c r="AQ530" s="23" t="s">
        <v>54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IFERROR($A$2+AU530,"上周无销量")</f>
        <v>上周无销量</v>
      </c>
    </row>
    <row r="531" spans="1:48">
      <c r="A531" s="21" t="s">
        <v>1144</v>
      </c>
      <c r="B531" t="s">
        <v>1145</v>
      </c>
      <c r="C531" t="e">
        <v>#N/A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s">
        <v>54</v>
      </c>
      <c r="AO531" s="23" t="s">
        <v>54</v>
      </c>
      <c r="AP531" s="23" t="s">
        <v>54</v>
      </c>
      <c r="AQ531" s="23" t="s">
        <v>54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IFERROR($A$2+AU531,"上周无销量")</f>
        <v>上周无销量</v>
      </c>
    </row>
    <row r="532" spans="1:48">
      <c r="A532" s="21" t="s">
        <v>1146</v>
      </c>
      <c r="B532" t="s">
        <v>1147</v>
      </c>
      <c r="C532" t="e">
        <v>#N/A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s">
        <v>54</v>
      </c>
      <c r="AO532" s="23" t="s">
        <v>54</v>
      </c>
      <c r="AP532" s="23" t="s">
        <v>54</v>
      </c>
      <c r="AQ532" s="23" t="s">
        <v>54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IFERROR($A$2+AU532,"上周无销量")</f>
        <v>上周无销量</v>
      </c>
    </row>
    <row r="533" spans="1:48">
      <c r="A533" s="21" t="s">
        <v>1148</v>
      </c>
      <c r="B533" t="s">
        <v>1149</v>
      </c>
      <c r="C533" t="s">
        <v>1131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328</v>
      </c>
      <c r="AK533">
        <v>51</v>
      </c>
      <c r="AL533">
        <v>29</v>
      </c>
      <c r="AM533">
        <v>30</v>
      </c>
      <c r="AN533" s="23">
        <v>0</v>
      </c>
      <c r="AO533" s="23">
        <v>0</v>
      </c>
      <c r="AP533" s="23">
        <v>0</v>
      </c>
      <c r="AQ533" s="23">
        <v>0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IFERROR($A$2+AU533,"上周无销量")</f>
        <v>上周无销量</v>
      </c>
    </row>
    <row r="534" spans="1:48">
      <c r="A534" s="21" t="s">
        <v>1150</v>
      </c>
      <c r="B534" t="s">
        <v>1151</v>
      </c>
      <c r="C534" t="s">
        <v>1131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396</v>
      </c>
      <c r="AK534">
        <v>81</v>
      </c>
      <c r="AL534">
        <v>45</v>
      </c>
      <c r="AM534">
        <v>59</v>
      </c>
      <c r="AN534" s="23">
        <v>0</v>
      </c>
      <c r="AO534" s="23">
        <v>0</v>
      </c>
      <c r="AP534" s="23">
        <v>0</v>
      </c>
      <c r="AQ534" s="23">
        <v>0</v>
      </c>
      <c r="AR534" s="35">
        <v>0</v>
      </c>
      <c r="AS534" s="35">
        <v>0</v>
      </c>
      <c r="AT534" s="35">
        <v>0</v>
      </c>
      <c r="AU534" s="31" t="str">
        <f t="shared" si="11"/>
        <v>库存为0</v>
      </c>
      <c r="AV534" s="36" t="str">
        <f>IFERROR($A$2+AU534,"上周无销量")</f>
        <v>上周无销量</v>
      </c>
    </row>
    <row r="535" spans="1:48">
      <c r="A535" s="21" t="s">
        <v>1152</v>
      </c>
      <c r="B535" t="s">
        <v>1153</v>
      </c>
      <c r="C535" t="s">
        <v>1131</v>
      </c>
      <c r="D535" s="31">
        <v>0</v>
      </c>
      <c r="E535" s="31">
        <v>0</v>
      </c>
      <c r="F535" s="31">
        <v>0</v>
      </c>
      <c r="G535" s="31">
        <v>1</v>
      </c>
      <c r="H535" s="32">
        <v>12.99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310</v>
      </c>
      <c r="AK535">
        <v>118</v>
      </c>
      <c r="AL535">
        <v>103</v>
      </c>
      <c r="AM535">
        <v>157</v>
      </c>
      <c r="AN535" s="23">
        <v>0</v>
      </c>
      <c r="AO535" s="23">
        <v>0</v>
      </c>
      <c r="AP535" s="23">
        <v>0</v>
      </c>
      <c r="AQ535" s="23">
        <v>0.00636942675159236</v>
      </c>
      <c r="AR535" s="35">
        <v>0</v>
      </c>
      <c r="AS535" s="35">
        <v>0</v>
      </c>
      <c r="AT535" s="35">
        <v>0</v>
      </c>
      <c r="AU535" s="31" t="str">
        <f t="shared" si="11"/>
        <v>库存为0</v>
      </c>
      <c r="AV535" s="36" t="str">
        <f>IFERROR($A$2+AU535,"上周无销量")</f>
        <v>上周无销量</v>
      </c>
    </row>
    <row r="536" spans="1:48">
      <c r="A536" s="21" t="s">
        <v>1154</v>
      </c>
      <c r="B536" t="s">
        <v>1155</v>
      </c>
      <c r="C536" t="s">
        <v>1131</v>
      </c>
      <c r="D536" s="31">
        <v>3</v>
      </c>
      <c r="E536" s="31">
        <v>4</v>
      </c>
      <c r="F536" s="31">
        <v>1</v>
      </c>
      <c r="G536" s="31">
        <v>5</v>
      </c>
      <c r="H536" s="32">
        <v>24.99</v>
      </c>
      <c r="I536">
        <v>10</v>
      </c>
      <c r="J536" s="33">
        <v>15</v>
      </c>
      <c r="K536" s="33">
        <v>0</v>
      </c>
      <c r="L536" s="33">
        <v>4</v>
      </c>
      <c r="M536">
        <v>29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60</v>
      </c>
      <c r="AK536">
        <v>22</v>
      </c>
      <c r="AL536">
        <v>20</v>
      </c>
      <c r="AM536">
        <v>19</v>
      </c>
      <c r="AN536" s="23">
        <v>0.05</v>
      </c>
      <c r="AO536" s="23">
        <v>0.181818181818182</v>
      </c>
      <c r="AP536" s="23">
        <v>0.05</v>
      </c>
      <c r="AQ536" s="23">
        <v>0.263157894736842</v>
      </c>
      <c r="AR536" s="35">
        <v>0.428571428571429</v>
      </c>
      <c r="AS536" s="35">
        <v>25.7142857142857</v>
      </c>
      <c r="AT536" s="35">
        <v>3.28571428571429</v>
      </c>
      <c r="AU536" s="31">
        <f t="shared" si="11"/>
        <v>67</v>
      </c>
      <c r="AV536" s="36">
        <f>IFERROR($A$2+AU536,"上周无销量")</f>
        <v>43343</v>
      </c>
    </row>
    <row r="537" spans="1:48">
      <c r="A537" s="21" t="s">
        <v>1156</v>
      </c>
      <c r="B537" t="s">
        <v>1157</v>
      </c>
      <c r="C537" t="s">
        <v>1131</v>
      </c>
      <c r="D537" s="31">
        <v>1</v>
      </c>
      <c r="E537" s="31">
        <v>12</v>
      </c>
      <c r="F537" s="31">
        <v>5</v>
      </c>
      <c r="G537" s="31">
        <v>11</v>
      </c>
      <c r="H537" s="32">
        <v>18.921724137931</v>
      </c>
      <c r="I537">
        <v>30</v>
      </c>
      <c r="J537" s="33">
        <v>0</v>
      </c>
      <c r="K537" s="33">
        <v>0</v>
      </c>
      <c r="L537" s="33">
        <v>14</v>
      </c>
      <c r="M537">
        <v>44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94</v>
      </c>
      <c r="AK537">
        <v>72</v>
      </c>
      <c r="AL537">
        <v>28</v>
      </c>
      <c r="AM537">
        <v>32</v>
      </c>
      <c r="AN537" s="23">
        <v>0.0106382978723404</v>
      </c>
      <c r="AO537" s="23">
        <v>0.166666666666667</v>
      </c>
      <c r="AP537" s="23">
        <v>0.178571428571429</v>
      </c>
      <c r="AQ537" s="23">
        <v>0.34375</v>
      </c>
      <c r="AR537" s="35">
        <v>0.142857142857143</v>
      </c>
      <c r="AS537" s="35">
        <v>8.57142857142857</v>
      </c>
      <c r="AT537" s="35">
        <v>35.4285714285714</v>
      </c>
      <c r="AU537" s="31">
        <f t="shared" si="11"/>
        <v>308</v>
      </c>
      <c r="AV537" s="36">
        <f>IFERROR($A$2+AU537,"上周无销量")</f>
        <v>43584</v>
      </c>
    </row>
    <row r="538" spans="1:48">
      <c r="A538" s="21" t="s">
        <v>1158</v>
      </c>
      <c r="B538" t="s">
        <v>1159</v>
      </c>
      <c r="C538" t="s">
        <v>1131</v>
      </c>
      <c r="D538" s="31">
        <v>31</v>
      </c>
      <c r="E538" s="31">
        <v>7</v>
      </c>
      <c r="F538" s="31">
        <v>11</v>
      </c>
      <c r="G538" s="31">
        <v>9</v>
      </c>
      <c r="H538" s="32">
        <v>13.99</v>
      </c>
      <c r="I538">
        <v>36</v>
      </c>
      <c r="J538" s="33">
        <v>0</v>
      </c>
      <c r="K538" s="33">
        <v>0</v>
      </c>
      <c r="L538" s="33">
        <v>21</v>
      </c>
      <c r="M538">
        <v>57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4651</v>
      </c>
      <c r="T538">
        <v>0</v>
      </c>
      <c r="U538">
        <v>0</v>
      </c>
      <c r="V538">
        <v>0</v>
      </c>
      <c r="W538">
        <v>37</v>
      </c>
      <c r="X538" s="23" t="s">
        <v>54</v>
      </c>
      <c r="Y538" s="23" t="s">
        <v>54</v>
      </c>
      <c r="Z538" s="23" t="s">
        <v>54</v>
      </c>
      <c r="AA538" s="23">
        <v>0.00795527843474522</v>
      </c>
      <c r="AB538">
        <v>0</v>
      </c>
      <c r="AC538">
        <v>0</v>
      </c>
      <c r="AD538">
        <v>0</v>
      </c>
      <c r="AE538">
        <v>31.19</v>
      </c>
      <c r="AF538" s="23" t="s">
        <v>54</v>
      </c>
      <c r="AG538" s="23" t="s">
        <v>54</v>
      </c>
      <c r="AH538" s="23" t="s">
        <v>54</v>
      </c>
      <c r="AI538" s="23">
        <v>0.247716622984672</v>
      </c>
      <c r="AJ538">
        <v>303</v>
      </c>
      <c r="AK538">
        <v>47</v>
      </c>
      <c r="AL538">
        <v>42</v>
      </c>
      <c r="AM538">
        <v>70</v>
      </c>
      <c r="AN538" s="23">
        <v>0.102310231023102</v>
      </c>
      <c r="AO538" s="23">
        <v>0.148936170212766</v>
      </c>
      <c r="AP538" s="23">
        <v>0.261904761904762</v>
      </c>
      <c r="AQ538" s="23">
        <v>0.128571428571429</v>
      </c>
      <c r="AR538" s="35">
        <v>4.42857142857143</v>
      </c>
      <c r="AS538" s="35">
        <v>265.714285714286</v>
      </c>
      <c r="AT538" s="35">
        <v>-208.714285714286</v>
      </c>
      <c r="AU538" s="31">
        <f t="shared" si="11"/>
        <v>12</v>
      </c>
      <c r="AV538" s="36">
        <f>IFERROR($A$2+AU538,"上周无销量")</f>
        <v>43288</v>
      </c>
    </row>
    <row r="539" spans="1:48">
      <c r="A539" s="21" t="s">
        <v>1160</v>
      </c>
      <c r="B539" t="s">
        <v>1161</v>
      </c>
      <c r="C539" t="s">
        <v>1131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525</v>
      </c>
      <c r="AK539">
        <v>151</v>
      </c>
      <c r="AL539">
        <v>81</v>
      </c>
      <c r="AM539">
        <v>53</v>
      </c>
      <c r="AN539" s="23">
        <v>0</v>
      </c>
      <c r="AO539" s="23">
        <v>0</v>
      </c>
      <c r="AP539" s="23">
        <v>0</v>
      </c>
      <c r="AQ539" s="23">
        <v>0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IFERROR($A$2+AU539,"上周无销量")</f>
        <v>上周无销量</v>
      </c>
    </row>
    <row r="540" spans="1:48">
      <c r="A540" s="21" t="s">
        <v>1162</v>
      </c>
      <c r="B540" t="s">
        <v>1163</v>
      </c>
      <c r="C540" t="s">
        <v>1131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494</v>
      </c>
      <c r="AK540">
        <v>242</v>
      </c>
      <c r="AL540">
        <v>123</v>
      </c>
      <c r="AM540">
        <v>143</v>
      </c>
      <c r="AN540" s="23">
        <v>0</v>
      </c>
      <c r="AO540" s="23">
        <v>0</v>
      </c>
      <c r="AP540" s="23">
        <v>0</v>
      </c>
      <c r="AQ540" s="23">
        <v>0</v>
      </c>
      <c r="AR540" s="35">
        <v>0</v>
      </c>
      <c r="AS540" s="35">
        <v>0</v>
      </c>
      <c r="AT540" s="35">
        <v>0</v>
      </c>
      <c r="AU540" s="31" t="str">
        <f t="shared" si="11"/>
        <v>库存为0</v>
      </c>
      <c r="AV540" s="36" t="str">
        <f>IFERROR($A$2+AU540,"上周无销量")</f>
        <v>上周无销量</v>
      </c>
    </row>
    <row r="541" spans="1:48">
      <c r="A541" s="21" t="s">
        <v>1164</v>
      </c>
      <c r="B541" t="s">
        <v>1165</v>
      </c>
      <c r="C541" t="s">
        <v>1131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1083</v>
      </c>
      <c r="AK541">
        <v>551</v>
      </c>
      <c r="AL541">
        <v>425</v>
      </c>
      <c r="AM541">
        <v>277</v>
      </c>
      <c r="AN541" s="23">
        <v>0</v>
      </c>
      <c r="AO541" s="23">
        <v>0</v>
      </c>
      <c r="AP541" s="23">
        <v>0</v>
      </c>
      <c r="AQ541" s="23">
        <v>0</v>
      </c>
      <c r="AR541" s="35">
        <v>0</v>
      </c>
      <c r="AS541" s="35">
        <v>0</v>
      </c>
      <c r="AT541" s="35">
        <v>0</v>
      </c>
      <c r="AU541" s="31" t="str">
        <f t="shared" si="11"/>
        <v>库存为0</v>
      </c>
      <c r="AV541" s="36" t="str">
        <f>IFERROR($A$2+AU541,"上周无销量")</f>
        <v>上周无销量</v>
      </c>
    </row>
    <row r="542" spans="1:48">
      <c r="A542" s="21" t="s">
        <v>1166</v>
      </c>
      <c r="B542" t="s">
        <v>1167</v>
      </c>
      <c r="C542" t="s">
        <v>1131</v>
      </c>
      <c r="D542" s="31">
        <v>5</v>
      </c>
      <c r="E542" s="31">
        <v>0</v>
      </c>
      <c r="F542" s="31">
        <v>1</v>
      </c>
      <c r="G542" s="31">
        <v>0</v>
      </c>
      <c r="H542" s="32">
        <v>24.99</v>
      </c>
      <c r="I542">
        <v>23</v>
      </c>
      <c r="J542" s="33">
        <v>0</v>
      </c>
      <c r="K542" s="33">
        <v>0</v>
      </c>
      <c r="L542" s="33">
        <v>0</v>
      </c>
      <c r="M542">
        <v>23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163</v>
      </c>
      <c r="AK542">
        <v>34</v>
      </c>
      <c r="AL542">
        <v>15</v>
      </c>
      <c r="AM542">
        <v>14</v>
      </c>
      <c r="AN542" s="23">
        <v>0.0306748466257669</v>
      </c>
      <c r="AO542" s="23">
        <v>0</v>
      </c>
      <c r="AP542" s="23">
        <v>0.0666666666666667</v>
      </c>
      <c r="AQ542" s="23">
        <v>0</v>
      </c>
      <c r="AR542" s="35">
        <v>0.714285714285714</v>
      </c>
      <c r="AS542" s="35">
        <v>42.8571428571429</v>
      </c>
      <c r="AT542" s="35">
        <v>-19.8571428571429</v>
      </c>
      <c r="AU542" s="31">
        <f t="shared" si="11"/>
        <v>32</v>
      </c>
      <c r="AV542" s="36">
        <f>IFERROR($A$2+AU542,"上周无销量")</f>
        <v>43308</v>
      </c>
    </row>
    <row r="543" spans="1:48">
      <c r="A543" s="21" t="s">
        <v>1168</v>
      </c>
      <c r="B543" t="s">
        <v>1169</v>
      </c>
      <c r="C543" t="s">
        <v>1131</v>
      </c>
      <c r="D543" s="31">
        <v>5</v>
      </c>
      <c r="E543" s="31">
        <v>2</v>
      </c>
      <c r="F543" s="31">
        <v>3</v>
      </c>
      <c r="G543" s="31">
        <v>3</v>
      </c>
      <c r="H543" s="32">
        <v>18.99</v>
      </c>
      <c r="I543">
        <v>34</v>
      </c>
      <c r="J543" s="33">
        <v>0</v>
      </c>
      <c r="K543" s="33">
        <v>0</v>
      </c>
      <c r="L543" s="33">
        <v>0</v>
      </c>
      <c r="M543">
        <v>34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233</v>
      </c>
      <c r="AK543">
        <v>53</v>
      </c>
      <c r="AL543">
        <v>26</v>
      </c>
      <c r="AM543">
        <v>21</v>
      </c>
      <c r="AN543" s="23">
        <v>0.0214592274678112</v>
      </c>
      <c r="AO543" s="23">
        <v>0.0377358490566038</v>
      </c>
      <c r="AP543" s="23">
        <v>0.115384615384615</v>
      </c>
      <c r="AQ543" s="23">
        <v>0.142857142857143</v>
      </c>
      <c r="AR543" s="35">
        <v>0.714285714285714</v>
      </c>
      <c r="AS543" s="35">
        <v>42.8571428571429</v>
      </c>
      <c r="AT543" s="35">
        <v>-8.85714285714286</v>
      </c>
      <c r="AU543" s="31">
        <f t="shared" si="11"/>
        <v>47</v>
      </c>
      <c r="AV543" s="36">
        <f>IFERROR($A$2+AU543,"上周无销量")</f>
        <v>43323</v>
      </c>
    </row>
    <row r="544" spans="1:48">
      <c r="A544" s="21" t="s">
        <v>1170</v>
      </c>
      <c r="B544" t="s">
        <v>1171</v>
      </c>
      <c r="C544" t="s">
        <v>1131</v>
      </c>
      <c r="D544" s="31">
        <v>4</v>
      </c>
      <c r="E544" s="31">
        <v>4</v>
      </c>
      <c r="F544" s="31">
        <v>3</v>
      </c>
      <c r="G544" s="31">
        <v>1</v>
      </c>
      <c r="H544" s="32">
        <v>13.9075</v>
      </c>
      <c r="I544">
        <v>44</v>
      </c>
      <c r="J544" s="33">
        <v>0</v>
      </c>
      <c r="K544" s="33">
        <v>0</v>
      </c>
      <c r="L544" s="33">
        <v>0</v>
      </c>
      <c r="M544">
        <v>44</v>
      </c>
      <c r="N544">
        <v>2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347</v>
      </c>
      <c r="AK544">
        <v>72</v>
      </c>
      <c r="AL544">
        <v>44</v>
      </c>
      <c r="AM544">
        <v>44</v>
      </c>
      <c r="AN544" s="23">
        <v>0.0115273775216138</v>
      </c>
      <c r="AO544" s="23">
        <v>0.0555555555555556</v>
      </c>
      <c r="AP544" s="23">
        <v>0.0681818181818182</v>
      </c>
      <c r="AQ544" s="23">
        <v>0.0227272727272727</v>
      </c>
      <c r="AR544" s="35">
        <v>0.571428571428571</v>
      </c>
      <c r="AS544" s="35">
        <v>34.2857142857143</v>
      </c>
      <c r="AT544" s="35">
        <v>9.71428571428572</v>
      </c>
      <c r="AU544" s="31">
        <f t="shared" si="11"/>
        <v>77</v>
      </c>
      <c r="AV544" s="36">
        <f>IFERROR($A$2+AU544,"上周无销量")</f>
        <v>43353</v>
      </c>
    </row>
    <row r="545" spans="1:48">
      <c r="A545" s="21" t="s">
        <v>1172</v>
      </c>
      <c r="B545" t="s">
        <v>1173</v>
      </c>
      <c r="C545" t="s">
        <v>1131</v>
      </c>
      <c r="D545" s="31">
        <v>14</v>
      </c>
      <c r="E545" s="31">
        <v>1</v>
      </c>
      <c r="F545" s="31">
        <v>1</v>
      </c>
      <c r="G545" s="31">
        <v>1</v>
      </c>
      <c r="H545" s="32">
        <v>25.8141176470588</v>
      </c>
      <c r="I545">
        <v>0</v>
      </c>
      <c r="J545" s="33">
        <v>0</v>
      </c>
      <c r="K545" s="33">
        <v>0</v>
      </c>
      <c r="L545" s="33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735</v>
      </c>
      <c r="AK545">
        <v>148</v>
      </c>
      <c r="AL545">
        <v>48</v>
      </c>
      <c r="AM545">
        <v>54</v>
      </c>
      <c r="AN545" s="23">
        <v>0.019047619047619</v>
      </c>
      <c r="AO545" s="23">
        <v>0.00675675675675676</v>
      </c>
      <c r="AP545" s="23">
        <v>0.0208333333333333</v>
      </c>
      <c r="AQ545" s="23">
        <v>0.0185185185185185</v>
      </c>
      <c r="AR545" s="35">
        <v>2</v>
      </c>
      <c r="AS545" s="35">
        <v>120</v>
      </c>
      <c r="AT545" s="35">
        <v>-120</v>
      </c>
      <c r="AU545" s="31">
        <f t="shared" si="11"/>
        <v>0</v>
      </c>
      <c r="AV545" s="36">
        <f>IFERROR($A$2+AU545,"上周无销量")</f>
        <v>43276</v>
      </c>
    </row>
    <row r="546" spans="1:48">
      <c r="A546" s="21" t="s">
        <v>1174</v>
      </c>
      <c r="B546" t="s">
        <v>1175</v>
      </c>
      <c r="C546" t="s">
        <v>1131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1186</v>
      </c>
      <c r="AK546">
        <v>518</v>
      </c>
      <c r="AL546">
        <v>75</v>
      </c>
      <c r="AM546">
        <v>106</v>
      </c>
      <c r="AN546" s="23">
        <v>0</v>
      </c>
      <c r="AO546" s="23">
        <v>0</v>
      </c>
      <c r="AP546" s="23">
        <v>0</v>
      </c>
      <c r="AQ546" s="23">
        <v>0</v>
      </c>
      <c r="AR546" s="35">
        <v>0</v>
      </c>
      <c r="AS546" s="35">
        <v>0</v>
      </c>
      <c r="AT546" s="35">
        <v>0</v>
      </c>
      <c r="AU546" s="31" t="str">
        <f t="shared" si="11"/>
        <v>库存为0</v>
      </c>
      <c r="AV546" s="36" t="str">
        <f>IFERROR($A$2+AU546,"上周无销量")</f>
        <v>上周无销量</v>
      </c>
    </row>
    <row r="547" spans="1:48">
      <c r="A547" s="21" t="s">
        <v>1176</v>
      </c>
      <c r="B547" t="s">
        <v>1177</v>
      </c>
      <c r="C547" t="s">
        <v>1131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1599</v>
      </c>
      <c r="AK547">
        <v>162</v>
      </c>
      <c r="AL547">
        <v>106</v>
      </c>
      <c r="AM547">
        <v>60</v>
      </c>
      <c r="AN547" s="23">
        <v>0</v>
      </c>
      <c r="AO547" s="23">
        <v>0</v>
      </c>
      <c r="AP547" s="23">
        <v>0</v>
      </c>
      <c r="AQ547" s="23">
        <v>0</v>
      </c>
      <c r="AR547" s="35">
        <v>0</v>
      </c>
      <c r="AS547" s="35">
        <v>0</v>
      </c>
      <c r="AT547" s="35">
        <v>0</v>
      </c>
      <c r="AU547" s="31" t="str">
        <f t="shared" si="11"/>
        <v>库存为0</v>
      </c>
      <c r="AV547" s="36" t="str">
        <f>IFERROR($A$2+AU547,"上周无销量")</f>
        <v>上周无销量</v>
      </c>
    </row>
    <row r="548" spans="1:48">
      <c r="A548" s="21" t="s">
        <v>1178</v>
      </c>
      <c r="B548" t="s">
        <v>1179</v>
      </c>
      <c r="C548" t="s">
        <v>1131</v>
      </c>
      <c r="D548" s="31">
        <v>3</v>
      </c>
      <c r="E548" s="31">
        <v>2</v>
      </c>
      <c r="F548" s="31">
        <v>1</v>
      </c>
      <c r="G548" s="31">
        <v>1</v>
      </c>
      <c r="H548" s="32">
        <v>25.99</v>
      </c>
      <c r="I548">
        <v>22</v>
      </c>
      <c r="J548" s="33">
        <v>0</v>
      </c>
      <c r="K548" s="33">
        <v>0</v>
      </c>
      <c r="L548" s="33">
        <v>0</v>
      </c>
      <c r="M548">
        <v>22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174</v>
      </c>
      <c r="AK548">
        <v>37</v>
      </c>
      <c r="AL548">
        <v>22</v>
      </c>
      <c r="AM548">
        <v>6</v>
      </c>
      <c r="AN548" s="23">
        <v>0.0172413793103448</v>
      </c>
      <c r="AO548" s="23">
        <v>0.0540540540540541</v>
      </c>
      <c r="AP548" s="23">
        <v>0.0454545454545455</v>
      </c>
      <c r="AQ548" s="23">
        <v>0.166666666666667</v>
      </c>
      <c r="AR548" s="35">
        <v>0.428571428571429</v>
      </c>
      <c r="AS548" s="35">
        <v>25.7142857142857</v>
      </c>
      <c r="AT548" s="35">
        <v>-3.71428571428571</v>
      </c>
      <c r="AU548" s="31">
        <f t="shared" si="11"/>
        <v>51</v>
      </c>
      <c r="AV548" s="36">
        <f>IFERROR($A$2+AU548,"上周无销量")</f>
        <v>43327</v>
      </c>
    </row>
    <row r="549" spans="1:48">
      <c r="A549" s="21" t="s">
        <v>1180</v>
      </c>
      <c r="B549" t="s">
        <v>1181</v>
      </c>
      <c r="C549" t="s">
        <v>1131</v>
      </c>
      <c r="D549" s="31">
        <v>5</v>
      </c>
      <c r="E549" s="31">
        <v>5</v>
      </c>
      <c r="F549" s="31">
        <v>3</v>
      </c>
      <c r="G549" s="31">
        <v>1</v>
      </c>
      <c r="H549" s="32">
        <v>18.99</v>
      </c>
      <c r="I549">
        <v>30</v>
      </c>
      <c r="J549" s="33">
        <v>0</v>
      </c>
      <c r="K549" s="33">
        <v>0</v>
      </c>
      <c r="L549" s="33">
        <v>0</v>
      </c>
      <c r="M549">
        <v>30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139</v>
      </c>
      <c r="T549">
        <v>0</v>
      </c>
      <c r="U549">
        <v>0</v>
      </c>
      <c r="V549">
        <v>0</v>
      </c>
      <c r="W549">
        <v>0</v>
      </c>
      <c r="X549" s="23" t="s">
        <v>54</v>
      </c>
      <c r="Y549" s="23" t="s">
        <v>54</v>
      </c>
      <c r="Z549" s="23" t="s">
        <v>54</v>
      </c>
      <c r="AA549" s="23">
        <v>0</v>
      </c>
      <c r="AB549">
        <v>0</v>
      </c>
      <c r="AC549">
        <v>0</v>
      </c>
      <c r="AD549">
        <v>0</v>
      </c>
      <c r="AE549">
        <v>0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147</v>
      </c>
      <c r="AK549">
        <v>49</v>
      </c>
      <c r="AL549">
        <v>20</v>
      </c>
      <c r="AM549">
        <v>19</v>
      </c>
      <c r="AN549" s="23">
        <v>0.0340136054421769</v>
      </c>
      <c r="AO549" s="23">
        <v>0.102040816326531</v>
      </c>
      <c r="AP549" s="23">
        <v>0.15</v>
      </c>
      <c r="AQ549" s="23">
        <v>0.0526315789473684</v>
      </c>
      <c r="AR549" s="35">
        <v>0.714285714285714</v>
      </c>
      <c r="AS549" s="35">
        <v>42.8571428571429</v>
      </c>
      <c r="AT549" s="35">
        <v>-12.8571428571429</v>
      </c>
      <c r="AU549" s="31">
        <f t="shared" si="11"/>
        <v>42</v>
      </c>
      <c r="AV549" s="36">
        <f>IFERROR($A$2+AU549,"上周无销量")</f>
        <v>43318</v>
      </c>
    </row>
    <row r="550" spans="1:48">
      <c r="A550" s="21" t="s">
        <v>1182</v>
      </c>
      <c r="B550" t="s">
        <v>1183</v>
      </c>
      <c r="C550" t="s">
        <v>1131</v>
      </c>
      <c r="D550" s="31">
        <v>7</v>
      </c>
      <c r="E550" s="31">
        <v>11</v>
      </c>
      <c r="F550" s="31">
        <v>4</v>
      </c>
      <c r="G550" s="31">
        <v>1</v>
      </c>
      <c r="H550" s="32">
        <v>13.99</v>
      </c>
      <c r="I550">
        <v>19</v>
      </c>
      <c r="J550" s="33">
        <v>50</v>
      </c>
      <c r="K550" s="33">
        <v>0</v>
      </c>
      <c r="L550" s="33">
        <v>0</v>
      </c>
      <c r="M550">
        <v>69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335</v>
      </c>
      <c r="T550">
        <v>0</v>
      </c>
      <c r="U550">
        <v>0</v>
      </c>
      <c r="V550">
        <v>0</v>
      </c>
      <c r="W550">
        <v>7</v>
      </c>
      <c r="X550" s="23" t="s">
        <v>54</v>
      </c>
      <c r="Y550" s="23" t="s">
        <v>54</v>
      </c>
      <c r="Z550" s="23" t="s">
        <v>54</v>
      </c>
      <c r="AA550" s="23">
        <v>0.0208955223880597</v>
      </c>
      <c r="AB550">
        <v>0</v>
      </c>
      <c r="AC550">
        <v>0</v>
      </c>
      <c r="AD550">
        <v>0</v>
      </c>
      <c r="AE550">
        <v>6.25</v>
      </c>
      <c r="AF550" s="23" t="s">
        <v>54</v>
      </c>
      <c r="AG550" s="23" t="s">
        <v>54</v>
      </c>
      <c r="AH550" s="23" t="s">
        <v>54</v>
      </c>
      <c r="AI550" s="23">
        <v>0.44674767691208</v>
      </c>
      <c r="AJ550">
        <v>306</v>
      </c>
      <c r="AK550">
        <v>77</v>
      </c>
      <c r="AL550">
        <v>35</v>
      </c>
      <c r="AM550">
        <v>36</v>
      </c>
      <c r="AN550" s="23">
        <v>0.0228758169934641</v>
      </c>
      <c r="AO550" s="23">
        <v>0.142857142857143</v>
      </c>
      <c r="AP550" s="23">
        <v>0.114285714285714</v>
      </c>
      <c r="AQ550" s="23">
        <v>0.0277777777777778</v>
      </c>
      <c r="AR550" s="35">
        <v>1</v>
      </c>
      <c r="AS550" s="35">
        <v>60</v>
      </c>
      <c r="AT550" s="35">
        <v>9</v>
      </c>
      <c r="AU550" s="31">
        <f t="shared" si="11"/>
        <v>69</v>
      </c>
      <c r="AV550" s="36">
        <f>IFERROR($A$2+AU550,"上周无销量")</f>
        <v>43345</v>
      </c>
    </row>
    <row r="551" spans="1:48">
      <c r="A551" s="21" t="s">
        <v>1184</v>
      </c>
      <c r="B551" t="s">
        <v>1185</v>
      </c>
      <c r="C551" t="s">
        <v>1131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13</v>
      </c>
      <c r="J551" s="33">
        <v>0</v>
      </c>
      <c r="K551" s="33">
        <v>0</v>
      </c>
      <c r="L551" s="33">
        <v>0</v>
      </c>
      <c r="M551">
        <v>13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363</v>
      </c>
      <c r="AK551">
        <v>36</v>
      </c>
      <c r="AL551">
        <v>22</v>
      </c>
      <c r="AM551">
        <v>13</v>
      </c>
      <c r="AN551" s="23">
        <v>0</v>
      </c>
      <c r="AO551" s="23">
        <v>0</v>
      </c>
      <c r="AP551" s="23">
        <v>0</v>
      </c>
      <c r="AQ551" s="23">
        <v>0</v>
      </c>
      <c r="AR551" s="35">
        <v>0</v>
      </c>
      <c r="AS551" s="35">
        <v>0</v>
      </c>
      <c r="AT551" s="35">
        <v>13</v>
      </c>
      <c r="AU551" s="31" t="str">
        <f t="shared" si="11"/>
        <v>库存为13</v>
      </c>
      <c r="AV551" s="36" t="str">
        <f>IFERROR($A$2+AU551,"上周无销量")</f>
        <v>上周无销量</v>
      </c>
    </row>
    <row r="552" spans="1:48">
      <c r="A552" s="21" t="s">
        <v>1186</v>
      </c>
      <c r="B552" t="s">
        <v>1187</v>
      </c>
      <c r="C552" t="s">
        <v>1131</v>
      </c>
      <c r="D552" s="31">
        <v>4</v>
      </c>
      <c r="E552" s="31">
        <v>0</v>
      </c>
      <c r="F552" s="31">
        <v>1</v>
      </c>
      <c r="G552" s="31">
        <v>2</v>
      </c>
      <c r="H552" s="32">
        <v>18.99</v>
      </c>
      <c r="I552">
        <v>10</v>
      </c>
      <c r="J552" s="33">
        <v>0</v>
      </c>
      <c r="K552" s="33">
        <v>0</v>
      </c>
      <c r="L552" s="33">
        <v>1</v>
      </c>
      <c r="M552">
        <v>11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200</v>
      </c>
      <c r="AK552">
        <v>55</v>
      </c>
      <c r="AL552">
        <v>21</v>
      </c>
      <c r="AM552">
        <v>23</v>
      </c>
      <c r="AN552" s="23">
        <v>0.02</v>
      </c>
      <c r="AO552" s="23">
        <v>0</v>
      </c>
      <c r="AP552" s="23">
        <v>0.0476190476190476</v>
      </c>
      <c r="AQ552" s="23">
        <v>0.0869565217391304</v>
      </c>
      <c r="AR552" s="35">
        <v>0.571428571428571</v>
      </c>
      <c r="AS552" s="35">
        <v>34.2857142857143</v>
      </c>
      <c r="AT552" s="35">
        <v>-23.2857142857143</v>
      </c>
      <c r="AU552" s="31">
        <f t="shared" si="11"/>
        <v>19</v>
      </c>
      <c r="AV552" s="36">
        <f>IFERROR($A$2+AU552,"上周无销量")</f>
        <v>43295</v>
      </c>
    </row>
    <row r="553" spans="1:48">
      <c r="A553" s="21" t="s">
        <v>1188</v>
      </c>
      <c r="B553" t="s">
        <v>1189</v>
      </c>
      <c r="C553" t="s">
        <v>1131</v>
      </c>
      <c r="D553" s="31">
        <v>0</v>
      </c>
      <c r="E553" s="31">
        <v>1</v>
      </c>
      <c r="F553" s="31">
        <v>3</v>
      </c>
      <c r="G553" s="31">
        <v>5</v>
      </c>
      <c r="H553" s="32">
        <v>12.99</v>
      </c>
      <c r="I553">
        <v>0</v>
      </c>
      <c r="J553" s="33">
        <v>0</v>
      </c>
      <c r="K553" s="33">
        <v>0</v>
      </c>
      <c r="L553" s="33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192</v>
      </c>
      <c r="AK553">
        <v>37</v>
      </c>
      <c r="AL553">
        <v>23</v>
      </c>
      <c r="AM553">
        <v>31</v>
      </c>
      <c r="AN553" s="23">
        <v>0</v>
      </c>
      <c r="AO553" s="23">
        <v>0.027027027027027</v>
      </c>
      <c r="AP553" s="23">
        <v>0.130434782608696</v>
      </c>
      <c r="AQ553" s="23">
        <v>0.161290322580645</v>
      </c>
      <c r="AR553" s="35">
        <v>0</v>
      </c>
      <c r="AS553" s="35">
        <v>0</v>
      </c>
      <c r="AT553" s="35">
        <v>0</v>
      </c>
      <c r="AU553" s="31" t="str">
        <f t="shared" si="11"/>
        <v>库存为0</v>
      </c>
      <c r="AV553" s="36" t="str">
        <f>IFERROR($A$2+AU553,"上周无销量")</f>
        <v>上周无销量</v>
      </c>
    </row>
    <row r="554" spans="1:48">
      <c r="A554" s="21" t="s">
        <v>1190</v>
      </c>
      <c r="B554" t="s">
        <v>1191</v>
      </c>
      <c r="C554" t="s">
        <v>1131</v>
      </c>
      <c r="D554" s="31">
        <v>0</v>
      </c>
      <c r="E554" s="31">
        <v>0</v>
      </c>
      <c r="F554" s="31">
        <v>1</v>
      </c>
      <c r="G554" s="31">
        <v>1</v>
      </c>
      <c r="H554" s="32">
        <v>23.995</v>
      </c>
      <c r="I554">
        <v>21</v>
      </c>
      <c r="J554" s="33">
        <v>0</v>
      </c>
      <c r="K554" s="33">
        <v>0</v>
      </c>
      <c r="L554" s="33">
        <v>0</v>
      </c>
      <c r="M554">
        <v>21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136</v>
      </c>
      <c r="AK554">
        <v>33</v>
      </c>
      <c r="AL554">
        <v>22</v>
      </c>
      <c r="AM554">
        <v>12</v>
      </c>
      <c r="AN554" s="23">
        <v>0</v>
      </c>
      <c r="AO554" s="23">
        <v>0</v>
      </c>
      <c r="AP554" s="23">
        <v>0.0454545454545455</v>
      </c>
      <c r="AQ554" s="23">
        <v>0.0833333333333333</v>
      </c>
      <c r="AR554" s="35">
        <v>0</v>
      </c>
      <c r="AS554" s="35">
        <v>0</v>
      </c>
      <c r="AT554" s="35">
        <v>21</v>
      </c>
      <c r="AU554" s="31" t="str">
        <f t="shared" si="11"/>
        <v>库存为21</v>
      </c>
      <c r="AV554" s="36" t="str">
        <f>IFERROR($A$2+AU554,"上周无销量")</f>
        <v>上周无销量</v>
      </c>
    </row>
    <row r="555" spans="1:48">
      <c r="A555" s="21" t="s">
        <v>1192</v>
      </c>
      <c r="B555" t="s">
        <v>1193</v>
      </c>
      <c r="C555" t="s">
        <v>1131</v>
      </c>
      <c r="D555" s="31">
        <v>5</v>
      </c>
      <c r="E555" s="31">
        <v>0</v>
      </c>
      <c r="F555" s="31">
        <v>0</v>
      </c>
      <c r="G555" s="31">
        <v>1</v>
      </c>
      <c r="H555" s="32">
        <v>18.825</v>
      </c>
      <c r="I555">
        <v>26</v>
      </c>
      <c r="J555" s="33">
        <v>0</v>
      </c>
      <c r="K555" s="33">
        <v>0</v>
      </c>
      <c r="L555" s="33">
        <v>0</v>
      </c>
      <c r="M555">
        <v>26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162</v>
      </c>
      <c r="AK555">
        <v>54</v>
      </c>
      <c r="AL555">
        <v>28</v>
      </c>
      <c r="AM555">
        <v>30</v>
      </c>
      <c r="AN555" s="23">
        <v>0.0308641975308642</v>
      </c>
      <c r="AO555" s="23">
        <v>0</v>
      </c>
      <c r="AP555" s="23">
        <v>0</v>
      </c>
      <c r="AQ555" s="23">
        <v>0.0333333333333333</v>
      </c>
      <c r="AR555" s="35">
        <v>0.714285714285714</v>
      </c>
      <c r="AS555" s="35">
        <v>42.8571428571429</v>
      </c>
      <c r="AT555" s="35">
        <v>-16.8571428571429</v>
      </c>
      <c r="AU555" s="31">
        <f t="shared" si="11"/>
        <v>36</v>
      </c>
      <c r="AV555" s="36">
        <f>IFERROR($A$2+AU555,"上周无销量")</f>
        <v>43312</v>
      </c>
    </row>
    <row r="556" spans="1:48">
      <c r="A556" s="21" t="s">
        <v>1194</v>
      </c>
      <c r="B556" t="s">
        <v>1195</v>
      </c>
      <c r="C556" t="s">
        <v>1131</v>
      </c>
      <c r="D556" s="31">
        <v>0</v>
      </c>
      <c r="E556" s="31">
        <v>0</v>
      </c>
      <c r="F556" s="31">
        <v>0</v>
      </c>
      <c r="G556" s="31">
        <v>6</v>
      </c>
      <c r="H556" s="32">
        <v>12.99</v>
      </c>
      <c r="I556">
        <v>0</v>
      </c>
      <c r="J556" s="33">
        <v>0</v>
      </c>
      <c r="K556" s="33">
        <v>0</v>
      </c>
      <c r="L556" s="33">
        <v>0</v>
      </c>
      <c r="M556">
        <v>0</v>
      </c>
      <c r="N556">
        <v>1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230</v>
      </c>
      <c r="AK556">
        <v>70</v>
      </c>
      <c r="AL556">
        <v>50</v>
      </c>
      <c r="AM556">
        <v>49</v>
      </c>
      <c r="AN556" s="23">
        <v>0</v>
      </c>
      <c r="AO556" s="23">
        <v>0</v>
      </c>
      <c r="AP556" s="23">
        <v>0</v>
      </c>
      <c r="AQ556" s="23">
        <v>0.122448979591837</v>
      </c>
      <c r="AR556" s="35">
        <v>0</v>
      </c>
      <c r="AS556" s="35">
        <v>0</v>
      </c>
      <c r="AT556" s="35">
        <v>0</v>
      </c>
      <c r="AU556" s="31" t="str">
        <f t="shared" si="11"/>
        <v>库存为0</v>
      </c>
      <c r="AV556" s="36" t="str">
        <f>IFERROR($A$2+AU556,"上周无销量")</f>
        <v>上周无销量</v>
      </c>
    </row>
    <row r="557" spans="1:48">
      <c r="A557" s="21" t="s">
        <v>1196</v>
      </c>
      <c r="B557" t="s">
        <v>1137</v>
      </c>
      <c r="C557" t="s">
        <v>1131</v>
      </c>
      <c r="D557" s="31">
        <v>42</v>
      </c>
      <c r="E557" s="31">
        <v>10</v>
      </c>
      <c r="F557" s="31">
        <v>12</v>
      </c>
      <c r="G557" s="31">
        <v>11</v>
      </c>
      <c r="H557" s="32">
        <v>24.99</v>
      </c>
      <c r="I557">
        <v>19</v>
      </c>
      <c r="J557" s="33">
        <v>10</v>
      </c>
      <c r="K557" s="33">
        <v>2</v>
      </c>
      <c r="L557" s="33">
        <v>14</v>
      </c>
      <c r="M557">
        <v>45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5</v>
      </c>
      <c r="AK557">
        <v>176</v>
      </c>
      <c r="AL557">
        <v>34</v>
      </c>
      <c r="AM557">
        <v>31</v>
      </c>
      <c r="AN557" s="23">
        <v>8.4</v>
      </c>
      <c r="AO557" s="23">
        <v>0.0568181818181818</v>
      </c>
      <c r="AP557" s="23">
        <v>0.352941176470588</v>
      </c>
      <c r="AQ557" s="23">
        <v>0.354838709677419</v>
      </c>
      <c r="AR557" s="35">
        <v>6</v>
      </c>
      <c r="AS557" s="35">
        <v>360</v>
      </c>
      <c r="AT557" s="35">
        <v>-315</v>
      </c>
      <c r="AU557" s="31">
        <f t="shared" si="11"/>
        <v>7</v>
      </c>
      <c r="AV557" s="36">
        <f>IFERROR($A$2+AU557,"上周无销量")</f>
        <v>43283</v>
      </c>
    </row>
    <row r="558" spans="1:48">
      <c r="A558" s="21" t="s">
        <v>1197</v>
      </c>
      <c r="B558" t="s">
        <v>1139</v>
      </c>
      <c r="C558" t="s">
        <v>1131</v>
      </c>
      <c r="D558" s="31">
        <v>124</v>
      </c>
      <c r="E558" s="31">
        <v>41</v>
      </c>
      <c r="F558" s="31">
        <v>15</v>
      </c>
      <c r="G558" s="31">
        <v>16</v>
      </c>
      <c r="H558" s="32">
        <v>18.9899999999999</v>
      </c>
      <c r="I558">
        <v>24</v>
      </c>
      <c r="J558" s="33">
        <v>20</v>
      </c>
      <c r="K558" s="33">
        <v>0</v>
      </c>
      <c r="L558" s="33">
        <v>20</v>
      </c>
      <c r="M558">
        <v>64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2284</v>
      </c>
      <c r="AK558">
        <v>114</v>
      </c>
      <c r="AL558">
        <v>36</v>
      </c>
      <c r="AM558">
        <v>55</v>
      </c>
      <c r="AN558" s="23">
        <v>0.0542907180385289</v>
      </c>
      <c r="AO558" s="23">
        <v>0.359649122807018</v>
      </c>
      <c r="AP558" s="23">
        <v>0.416666666666667</v>
      </c>
      <c r="AQ558" s="23">
        <v>0.290909090909091</v>
      </c>
      <c r="AR558" s="35">
        <v>17.7142857142857</v>
      </c>
      <c r="AS558" s="35">
        <v>1062.85714285714</v>
      </c>
      <c r="AT558" s="35">
        <v>-998.857142857143</v>
      </c>
      <c r="AU558" s="31">
        <f t="shared" si="11"/>
        <v>3</v>
      </c>
      <c r="AV558" s="36">
        <f>IFERROR($A$2+AU558,"上周无销量")</f>
        <v>43279</v>
      </c>
    </row>
    <row r="559" spans="1:48">
      <c r="A559" s="21" t="s">
        <v>1198</v>
      </c>
      <c r="B559" t="s">
        <v>1141</v>
      </c>
      <c r="C559" t="s">
        <v>1131</v>
      </c>
      <c r="D559" s="31">
        <v>88</v>
      </c>
      <c r="E559" s="31">
        <v>17</v>
      </c>
      <c r="F559" s="31">
        <v>15</v>
      </c>
      <c r="G559" s="31">
        <v>10</v>
      </c>
      <c r="H559" s="32">
        <v>13.9746153846154</v>
      </c>
      <c r="I559">
        <v>75</v>
      </c>
      <c r="J559" s="33">
        <v>202</v>
      </c>
      <c r="K559" s="33">
        <v>0</v>
      </c>
      <c r="L559" s="33">
        <v>1</v>
      </c>
      <c r="M559">
        <v>278</v>
      </c>
      <c r="N559">
        <v>1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660</v>
      </c>
      <c r="AK559">
        <v>115</v>
      </c>
      <c r="AL559">
        <v>83</v>
      </c>
      <c r="AM559">
        <v>65</v>
      </c>
      <c r="AN559" s="23">
        <v>0.133333333333333</v>
      </c>
      <c r="AO559" s="23">
        <v>0.147826086956522</v>
      </c>
      <c r="AP559" s="23">
        <v>0.180722891566265</v>
      </c>
      <c r="AQ559" s="23">
        <v>0.153846153846154</v>
      </c>
      <c r="AR559" s="35">
        <v>12.5714285714286</v>
      </c>
      <c r="AS559" s="35">
        <v>754.285714285714</v>
      </c>
      <c r="AT559" s="35">
        <v>-476.285714285714</v>
      </c>
      <c r="AU559" s="31">
        <f t="shared" si="11"/>
        <v>22</v>
      </c>
      <c r="AV559" s="36">
        <f>IFERROR($A$2+AU559,"上周无销量")</f>
        <v>43298</v>
      </c>
    </row>
    <row r="560" spans="1:48">
      <c r="A560" s="21" t="s">
        <v>1199</v>
      </c>
      <c r="B560" t="s">
        <v>1149</v>
      </c>
      <c r="C560" t="s">
        <v>1131</v>
      </c>
      <c r="D560" s="31">
        <v>49</v>
      </c>
      <c r="E560" s="31">
        <v>2</v>
      </c>
      <c r="F560" s="31">
        <v>9</v>
      </c>
      <c r="G560" s="31">
        <v>5</v>
      </c>
      <c r="H560" s="32">
        <v>24.99</v>
      </c>
      <c r="I560">
        <v>33</v>
      </c>
      <c r="J560" s="33">
        <v>45</v>
      </c>
      <c r="K560" s="33">
        <v>0</v>
      </c>
      <c r="L560" s="33">
        <v>16</v>
      </c>
      <c r="M560">
        <v>94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328</v>
      </c>
      <c r="AK560">
        <v>51</v>
      </c>
      <c r="AL560">
        <v>29</v>
      </c>
      <c r="AM560">
        <v>30</v>
      </c>
      <c r="AN560" s="23">
        <v>0.149390243902439</v>
      </c>
      <c r="AO560" s="23">
        <v>0.0392156862745098</v>
      </c>
      <c r="AP560" s="23">
        <v>0.310344827586207</v>
      </c>
      <c r="AQ560" s="23">
        <v>0.166666666666667</v>
      </c>
      <c r="AR560" s="35">
        <v>7</v>
      </c>
      <c r="AS560" s="35">
        <v>420</v>
      </c>
      <c r="AT560" s="35">
        <v>-326</v>
      </c>
      <c r="AU560" s="31">
        <f t="shared" si="11"/>
        <v>13</v>
      </c>
      <c r="AV560" s="36">
        <f>IFERROR($A$2+AU560,"上周无销量")</f>
        <v>43289</v>
      </c>
    </row>
    <row r="561" spans="1:48">
      <c r="A561" s="21" t="s">
        <v>1200</v>
      </c>
      <c r="B561" t="s">
        <v>1151</v>
      </c>
      <c r="C561" t="s">
        <v>1131</v>
      </c>
      <c r="D561" s="31">
        <v>73</v>
      </c>
      <c r="E561" s="31">
        <v>12</v>
      </c>
      <c r="F561" s="31">
        <v>7</v>
      </c>
      <c r="G561" s="31">
        <v>14</v>
      </c>
      <c r="H561" s="32">
        <v>18.99</v>
      </c>
      <c r="I561">
        <v>68</v>
      </c>
      <c r="J561" s="33">
        <v>10</v>
      </c>
      <c r="K561" s="33">
        <v>0</v>
      </c>
      <c r="L561" s="33">
        <v>20</v>
      </c>
      <c r="M561">
        <v>98</v>
      </c>
      <c r="N561">
        <v>1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396</v>
      </c>
      <c r="AK561">
        <v>81</v>
      </c>
      <c r="AL561">
        <v>45</v>
      </c>
      <c r="AM561">
        <v>59</v>
      </c>
      <c r="AN561" s="23">
        <v>0.184343434343434</v>
      </c>
      <c r="AO561" s="23">
        <v>0.148148148148148</v>
      </c>
      <c r="AP561" s="23">
        <v>0.155555555555556</v>
      </c>
      <c r="AQ561" s="23">
        <v>0.23728813559322</v>
      </c>
      <c r="AR561" s="35">
        <v>10.4285714285714</v>
      </c>
      <c r="AS561" s="35">
        <v>625.714285714286</v>
      </c>
      <c r="AT561" s="35">
        <v>-527.714285714286</v>
      </c>
      <c r="AU561" s="31">
        <f t="shared" si="11"/>
        <v>9</v>
      </c>
      <c r="AV561" s="36">
        <f>IFERROR($A$2+AU561,"上周无销量")</f>
        <v>43285</v>
      </c>
    </row>
    <row r="562" spans="1:48">
      <c r="A562" s="21" t="s">
        <v>1201</v>
      </c>
      <c r="B562" t="s">
        <v>1153</v>
      </c>
      <c r="C562" t="s">
        <v>1131</v>
      </c>
      <c r="D562" s="31">
        <v>63</v>
      </c>
      <c r="E562" s="31">
        <v>27</v>
      </c>
      <c r="F562" s="31">
        <v>17</v>
      </c>
      <c r="G562" s="31">
        <v>19</v>
      </c>
      <c r="H562" s="32">
        <v>13.9974603174603</v>
      </c>
      <c r="I562">
        <v>199</v>
      </c>
      <c r="J562" s="33">
        <v>5</v>
      </c>
      <c r="K562" s="33">
        <v>0</v>
      </c>
      <c r="L562" s="33">
        <v>13</v>
      </c>
      <c r="M562">
        <v>217</v>
      </c>
      <c r="N562">
        <v>2</v>
      </c>
      <c r="O562">
        <v>0</v>
      </c>
      <c r="P562">
        <v>0</v>
      </c>
      <c r="Q562">
        <v>1362</v>
      </c>
      <c r="R562">
        <v>1362</v>
      </c>
      <c r="S562">
        <v>1011</v>
      </c>
      <c r="T562">
        <v>0</v>
      </c>
      <c r="U562">
        <v>15</v>
      </c>
      <c r="V562">
        <v>15</v>
      </c>
      <c r="W562">
        <v>9</v>
      </c>
      <c r="X562" s="23" t="s">
        <v>54</v>
      </c>
      <c r="Y562" s="23">
        <v>0.0110132158590308</v>
      </c>
      <c r="Z562" s="23">
        <v>0.0110132158590308</v>
      </c>
      <c r="AA562" s="23">
        <v>0.00890207715133531</v>
      </c>
      <c r="AB562">
        <v>0</v>
      </c>
      <c r="AC562">
        <v>9.39</v>
      </c>
      <c r="AD562">
        <v>9.39</v>
      </c>
      <c r="AE562">
        <v>4.76</v>
      </c>
      <c r="AF562" s="23" t="s">
        <v>54</v>
      </c>
      <c r="AG562" s="23">
        <v>0.0248457770117028</v>
      </c>
      <c r="AH562" s="23">
        <v>0.0394609399597633</v>
      </c>
      <c r="AI562" s="23">
        <v>0.0178979836418589</v>
      </c>
      <c r="AJ562">
        <v>310</v>
      </c>
      <c r="AK562">
        <v>118</v>
      </c>
      <c r="AL562">
        <v>103</v>
      </c>
      <c r="AM562">
        <v>157</v>
      </c>
      <c r="AN562" s="23">
        <v>0.203225806451613</v>
      </c>
      <c r="AO562" s="23">
        <v>0.228813559322034</v>
      </c>
      <c r="AP562" s="23">
        <v>0.16504854368932</v>
      </c>
      <c r="AQ562" s="23">
        <v>0.121019108280255</v>
      </c>
      <c r="AR562" s="35">
        <v>9</v>
      </c>
      <c r="AS562" s="35">
        <v>540</v>
      </c>
      <c r="AT562" s="35">
        <v>-323</v>
      </c>
      <c r="AU562" s="31">
        <f t="shared" si="11"/>
        <v>24</v>
      </c>
      <c r="AV562" s="36">
        <f>IFERROR($A$2+AU562,"上周无销量")</f>
        <v>43300</v>
      </c>
    </row>
    <row r="563" spans="1:48">
      <c r="A563" s="21" t="s">
        <v>1202</v>
      </c>
      <c r="B563" t="s">
        <v>1161</v>
      </c>
      <c r="C563" t="s">
        <v>1131</v>
      </c>
      <c r="D563" s="31">
        <v>80</v>
      </c>
      <c r="E563" s="31">
        <v>21</v>
      </c>
      <c r="F563" s="31">
        <v>9</v>
      </c>
      <c r="G563" s="31">
        <v>3</v>
      </c>
      <c r="H563" s="32">
        <v>24.9899999999999</v>
      </c>
      <c r="I563">
        <v>59</v>
      </c>
      <c r="J563" s="33">
        <v>0</v>
      </c>
      <c r="K563" s="33">
        <v>20</v>
      </c>
      <c r="L563" s="33">
        <v>15</v>
      </c>
      <c r="M563">
        <v>94</v>
      </c>
      <c r="N563">
        <v>1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525</v>
      </c>
      <c r="AK563">
        <v>151</v>
      </c>
      <c r="AL563">
        <v>81</v>
      </c>
      <c r="AM563">
        <v>53</v>
      </c>
      <c r="AN563" s="23">
        <v>0.152380952380952</v>
      </c>
      <c r="AO563" s="23">
        <v>0.139072847682119</v>
      </c>
      <c r="AP563" s="23">
        <v>0.111111111111111</v>
      </c>
      <c r="AQ563" s="23">
        <v>0.0566037735849057</v>
      </c>
      <c r="AR563" s="35">
        <v>11.4285714285714</v>
      </c>
      <c r="AS563" s="35">
        <v>685.714285714286</v>
      </c>
      <c r="AT563" s="35">
        <v>-591.714285714286</v>
      </c>
      <c r="AU563" s="31">
        <f t="shared" si="11"/>
        <v>8</v>
      </c>
      <c r="AV563" s="36">
        <f>IFERROR($A$2+AU563,"上周无销量")</f>
        <v>43284</v>
      </c>
    </row>
    <row r="564" spans="1:48">
      <c r="A564" s="21" t="s">
        <v>1203</v>
      </c>
      <c r="B564" t="s">
        <v>1163</v>
      </c>
      <c r="C564" t="s">
        <v>1131</v>
      </c>
      <c r="D564" s="31">
        <v>99</v>
      </c>
      <c r="E564" s="31">
        <v>26</v>
      </c>
      <c r="F564" s="31">
        <v>21</v>
      </c>
      <c r="G564" s="31">
        <v>20</v>
      </c>
      <c r="H564" s="32">
        <v>18.9899999999999</v>
      </c>
      <c r="I564">
        <v>101</v>
      </c>
      <c r="J564" s="33">
        <v>34</v>
      </c>
      <c r="K564" s="33">
        <v>2</v>
      </c>
      <c r="L564" s="33">
        <v>53</v>
      </c>
      <c r="M564">
        <v>190</v>
      </c>
      <c r="N564">
        <v>2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494</v>
      </c>
      <c r="AK564">
        <v>242</v>
      </c>
      <c r="AL564">
        <v>123</v>
      </c>
      <c r="AM564">
        <v>143</v>
      </c>
      <c r="AN564" s="23">
        <v>0.200404858299595</v>
      </c>
      <c r="AO564" s="23">
        <v>0.107438016528926</v>
      </c>
      <c r="AP564" s="23">
        <v>0.170731707317073</v>
      </c>
      <c r="AQ564" s="23">
        <v>0.13986013986014</v>
      </c>
      <c r="AR564" s="35">
        <v>14.1428571428571</v>
      </c>
      <c r="AS564" s="35">
        <v>848.571428571429</v>
      </c>
      <c r="AT564" s="35">
        <v>-658.571428571429</v>
      </c>
      <c r="AU564" s="31">
        <f t="shared" si="11"/>
        <v>13</v>
      </c>
      <c r="AV564" s="36">
        <f>IFERROR($A$2+AU564,"上周无销量")</f>
        <v>43289</v>
      </c>
    </row>
    <row r="565" spans="1:48">
      <c r="A565" s="21" t="s">
        <v>1204</v>
      </c>
      <c r="B565" t="s">
        <v>1165</v>
      </c>
      <c r="C565" t="s">
        <v>1131</v>
      </c>
      <c r="D565" s="31">
        <v>124</v>
      </c>
      <c r="E565" s="31">
        <v>41</v>
      </c>
      <c r="F565" s="31">
        <v>30</v>
      </c>
      <c r="G565" s="31">
        <v>15</v>
      </c>
      <c r="H565" s="32">
        <v>13.9519047619047</v>
      </c>
      <c r="I565">
        <v>21</v>
      </c>
      <c r="J565" s="33">
        <v>220</v>
      </c>
      <c r="K565" s="33">
        <v>0</v>
      </c>
      <c r="L565" s="33">
        <v>2</v>
      </c>
      <c r="M565">
        <v>243</v>
      </c>
      <c r="N565">
        <v>1</v>
      </c>
      <c r="O565">
        <v>0</v>
      </c>
      <c r="P565">
        <v>153924</v>
      </c>
      <c r="Q565">
        <v>93339</v>
      </c>
      <c r="R565">
        <v>93339</v>
      </c>
      <c r="S565">
        <v>46539</v>
      </c>
      <c r="T565">
        <v>911</v>
      </c>
      <c r="U565">
        <v>596</v>
      </c>
      <c r="V565">
        <v>596</v>
      </c>
      <c r="W565">
        <v>342</v>
      </c>
      <c r="X565" s="23">
        <v>0.00591850523635041</v>
      </c>
      <c r="Y565" s="23">
        <v>0.0063853266051704</v>
      </c>
      <c r="Z565" s="23">
        <v>0.0063853266051704</v>
      </c>
      <c r="AA565" s="23">
        <v>0.00734867530458325</v>
      </c>
      <c r="AB565">
        <v>650.69</v>
      </c>
      <c r="AC565">
        <v>433.06</v>
      </c>
      <c r="AD565">
        <v>433.06</v>
      </c>
      <c r="AE565">
        <v>264.91</v>
      </c>
      <c r="AF565" s="23">
        <v>0.37611351923274</v>
      </c>
      <c r="AG565" s="23">
        <v>0.757060717130947</v>
      </c>
      <c r="AH565" s="23">
        <v>1.03464964674563</v>
      </c>
      <c r="AI565" s="23">
        <v>1.26582477217653</v>
      </c>
      <c r="AJ565">
        <v>1083</v>
      </c>
      <c r="AK565">
        <v>551</v>
      </c>
      <c r="AL565">
        <v>425</v>
      </c>
      <c r="AM565">
        <v>277</v>
      </c>
      <c r="AN565" s="23">
        <v>0.11449676823638</v>
      </c>
      <c r="AO565" s="23">
        <v>0.0744101633393829</v>
      </c>
      <c r="AP565" s="23">
        <v>0.0705882352941176</v>
      </c>
      <c r="AQ565" s="23">
        <v>0.0541516245487365</v>
      </c>
      <c r="AR565" s="35">
        <v>17.7142857142857</v>
      </c>
      <c r="AS565" s="35">
        <v>1062.85714285714</v>
      </c>
      <c r="AT565" s="35">
        <v>-819.857142857143</v>
      </c>
      <c r="AU565" s="31">
        <f t="shared" si="11"/>
        <v>13</v>
      </c>
      <c r="AV565" s="36">
        <f>IFERROR($A$2+AU565,"上周无销量")</f>
        <v>43289</v>
      </c>
    </row>
    <row r="566" spans="1:48">
      <c r="A566" s="21" t="s">
        <v>1205</v>
      </c>
      <c r="B566" t="s">
        <v>1173</v>
      </c>
      <c r="C566" t="s">
        <v>1131</v>
      </c>
      <c r="D566" s="31">
        <v>65</v>
      </c>
      <c r="E566" s="31">
        <v>23</v>
      </c>
      <c r="F566" s="31">
        <v>12</v>
      </c>
      <c r="G566" s="31">
        <v>13</v>
      </c>
      <c r="H566" s="32">
        <v>24.7688495575221</v>
      </c>
      <c r="I566">
        <v>4</v>
      </c>
      <c r="J566" s="33">
        <v>25</v>
      </c>
      <c r="K566" s="33">
        <v>11</v>
      </c>
      <c r="L566" s="33">
        <v>79</v>
      </c>
      <c r="M566">
        <v>119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735</v>
      </c>
      <c r="AK566">
        <v>148</v>
      </c>
      <c r="AL566">
        <v>48</v>
      </c>
      <c r="AM566">
        <v>54</v>
      </c>
      <c r="AN566" s="23">
        <v>0.0884353741496599</v>
      </c>
      <c r="AO566" s="23">
        <v>0.155405405405405</v>
      </c>
      <c r="AP566" s="23">
        <v>0.25</v>
      </c>
      <c r="AQ566" s="23">
        <v>0.240740740740741</v>
      </c>
      <c r="AR566" s="35">
        <v>9.28571428571429</v>
      </c>
      <c r="AS566" s="35">
        <v>557.142857142857</v>
      </c>
      <c r="AT566" s="35">
        <v>-438.142857142857</v>
      </c>
      <c r="AU566" s="31">
        <f t="shared" si="11"/>
        <v>12</v>
      </c>
      <c r="AV566" s="36">
        <f>IFERROR($A$2+AU566,"上周无销量")</f>
        <v>43288</v>
      </c>
    </row>
    <row r="567" spans="1:48">
      <c r="A567" s="21" t="s">
        <v>1206</v>
      </c>
      <c r="B567" t="s">
        <v>1175</v>
      </c>
      <c r="C567" t="s">
        <v>1131</v>
      </c>
      <c r="D567" s="31">
        <v>67</v>
      </c>
      <c r="E567" s="31">
        <v>40</v>
      </c>
      <c r="F567" s="31">
        <v>16</v>
      </c>
      <c r="G567" s="31">
        <v>23</v>
      </c>
      <c r="H567" s="32">
        <v>18.99</v>
      </c>
      <c r="I567">
        <v>22</v>
      </c>
      <c r="J567" s="33">
        <v>140</v>
      </c>
      <c r="K567" s="33">
        <v>0</v>
      </c>
      <c r="L567" s="33">
        <v>59</v>
      </c>
      <c r="M567">
        <v>221</v>
      </c>
      <c r="N567">
        <v>0</v>
      </c>
      <c r="O567">
        <v>0</v>
      </c>
      <c r="P567">
        <v>0</v>
      </c>
      <c r="Q567">
        <v>509</v>
      </c>
      <c r="R567">
        <v>509</v>
      </c>
      <c r="S567">
        <v>997</v>
      </c>
      <c r="T567">
        <v>0</v>
      </c>
      <c r="U567">
        <v>6</v>
      </c>
      <c r="V567">
        <v>6</v>
      </c>
      <c r="W567">
        <v>19</v>
      </c>
      <c r="X567" s="23" t="s">
        <v>54</v>
      </c>
      <c r="Y567" s="23">
        <v>0.0117878192534381</v>
      </c>
      <c r="Z567" s="23">
        <v>0.0117878192534381</v>
      </c>
      <c r="AA567" s="23">
        <v>0.0190571715145436</v>
      </c>
      <c r="AB567">
        <v>0</v>
      </c>
      <c r="AC567">
        <v>5.19</v>
      </c>
      <c r="AD567">
        <v>5.19</v>
      </c>
      <c r="AE567">
        <v>16.78</v>
      </c>
      <c r="AF567" s="23" t="s">
        <v>54</v>
      </c>
      <c r="AG567" s="23">
        <v>0.00683254344391785</v>
      </c>
      <c r="AH567" s="23">
        <v>0.0170813586097946</v>
      </c>
      <c r="AI567" s="23">
        <v>0.0384183895414062</v>
      </c>
      <c r="AJ567">
        <v>1186</v>
      </c>
      <c r="AK567">
        <v>518</v>
      </c>
      <c r="AL567">
        <v>75</v>
      </c>
      <c r="AM567">
        <v>106</v>
      </c>
      <c r="AN567" s="23">
        <v>0.0564924114671164</v>
      </c>
      <c r="AO567" s="23">
        <v>0.0772200772200772</v>
      </c>
      <c r="AP567" s="23">
        <v>0.213333333333333</v>
      </c>
      <c r="AQ567" s="23">
        <v>0.216981132075472</v>
      </c>
      <c r="AR567" s="35">
        <v>9.57142857142857</v>
      </c>
      <c r="AS567" s="35">
        <v>574.285714285714</v>
      </c>
      <c r="AT567" s="35">
        <v>-353.285714285714</v>
      </c>
      <c r="AU567" s="31">
        <f t="shared" si="11"/>
        <v>23</v>
      </c>
      <c r="AV567" s="36">
        <f>IFERROR($A$2+AU567,"上周无销量")</f>
        <v>43299</v>
      </c>
    </row>
    <row r="568" spans="1:48">
      <c r="A568" s="21" t="s">
        <v>1207</v>
      </c>
      <c r="B568" t="s">
        <v>1177</v>
      </c>
      <c r="C568" t="s">
        <v>1131</v>
      </c>
      <c r="D568" s="31">
        <v>139</v>
      </c>
      <c r="E568" s="31">
        <v>36</v>
      </c>
      <c r="F568" s="31">
        <v>27</v>
      </c>
      <c r="G568" s="31">
        <v>9</v>
      </c>
      <c r="H568" s="32">
        <v>13.9757819905213</v>
      </c>
      <c r="I568">
        <v>14</v>
      </c>
      <c r="J568" s="33">
        <v>118</v>
      </c>
      <c r="K568" s="33">
        <v>2</v>
      </c>
      <c r="L568" s="33">
        <v>37</v>
      </c>
      <c r="M568">
        <v>171</v>
      </c>
      <c r="N568">
        <v>0</v>
      </c>
      <c r="O568">
        <v>0</v>
      </c>
      <c r="P568">
        <v>1010</v>
      </c>
      <c r="Q568">
        <v>1279</v>
      </c>
      <c r="R568">
        <v>1279</v>
      </c>
      <c r="S568">
        <v>0</v>
      </c>
      <c r="T568">
        <v>48</v>
      </c>
      <c r="U568">
        <v>14</v>
      </c>
      <c r="V568">
        <v>14</v>
      </c>
      <c r="W568">
        <v>0</v>
      </c>
      <c r="X568" s="23">
        <v>0.0475247524752475</v>
      </c>
      <c r="Y568" s="23">
        <v>0.0109460516028147</v>
      </c>
      <c r="Z568" s="23">
        <v>0.0109460516028147</v>
      </c>
      <c r="AA568" s="23" t="s">
        <v>54</v>
      </c>
      <c r="AB568">
        <v>27.58</v>
      </c>
      <c r="AC568">
        <v>9.66</v>
      </c>
      <c r="AD568">
        <v>9.66</v>
      </c>
      <c r="AE568">
        <v>0</v>
      </c>
      <c r="AF568" s="23">
        <v>0.0141972210443481</v>
      </c>
      <c r="AG568" s="23">
        <v>0.0191998797287567</v>
      </c>
      <c r="AH568" s="23">
        <v>0.0255998396383423</v>
      </c>
      <c r="AI568" s="23" t="s">
        <v>54</v>
      </c>
      <c r="AJ568">
        <v>1599</v>
      </c>
      <c r="AK568">
        <v>162</v>
      </c>
      <c r="AL568">
        <v>106</v>
      </c>
      <c r="AM568">
        <v>60</v>
      </c>
      <c r="AN568" s="23">
        <v>0.0869293308317699</v>
      </c>
      <c r="AO568" s="23">
        <v>0.222222222222222</v>
      </c>
      <c r="AP568" s="23">
        <v>0.254716981132075</v>
      </c>
      <c r="AQ568" s="23">
        <v>0.15</v>
      </c>
      <c r="AR568" s="35">
        <v>19.8571428571429</v>
      </c>
      <c r="AS568" s="35">
        <v>1191.42857142857</v>
      </c>
      <c r="AT568" s="35">
        <v>-1020.42857142857</v>
      </c>
      <c r="AU568" s="31">
        <f t="shared" si="11"/>
        <v>8</v>
      </c>
      <c r="AV568" s="36">
        <f>IFERROR($A$2+AU568,"上周无销量")</f>
        <v>43284</v>
      </c>
    </row>
    <row r="569" spans="1:48">
      <c r="A569" s="21" t="s">
        <v>1208</v>
      </c>
      <c r="B569" t="s">
        <v>1185</v>
      </c>
      <c r="C569" t="s">
        <v>1131</v>
      </c>
      <c r="D569" s="31">
        <v>33</v>
      </c>
      <c r="E569" s="31">
        <v>5</v>
      </c>
      <c r="F569" s="31">
        <v>3</v>
      </c>
      <c r="G569" s="31">
        <v>6</v>
      </c>
      <c r="H569" s="32">
        <v>23.99</v>
      </c>
      <c r="I569">
        <v>51</v>
      </c>
      <c r="J569" s="33">
        <v>0</v>
      </c>
      <c r="K569" s="33">
        <v>0</v>
      </c>
      <c r="L569" s="33">
        <v>0</v>
      </c>
      <c r="M569">
        <v>51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363</v>
      </c>
      <c r="AK569">
        <v>36</v>
      </c>
      <c r="AL569">
        <v>22</v>
      </c>
      <c r="AM569">
        <v>13</v>
      </c>
      <c r="AN569" s="23">
        <v>0.0909090909090909</v>
      </c>
      <c r="AO569" s="23">
        <v>0.138888888888889</v>
      </c>
      <c r="AP569" s="23">
        <v>0.136363636363636</v>
      </c>
      <c r="AQ569" s="23">
        <v>0.461538461538462</v>
      </c>
      <c r="AR569" s="35">
        <v>4.71428571428571</v>
      </c>
      <c r="AS569" s="35">
        <v>282.857142857143</v>
      </c>
      <c r="AT569" s="35">
        <v>-231.857142857143</v>
      </c>
      <c r="AU569" s="31">
        <f t="shared" si="11"/>
        <v>10</v>
      </c>
      <c r="AV569" s="36">
        <f>IFERROR($A$2+AU569,"上周无销量")</f>
        <v>43286</v>
      </c>
    </row>
    <row r="570" spans="1:48">
      <c r="A570" s="21" t="s">
        <v>1209</v>
      </c>
      <c r="B570" t="s">
        <v>1187</v>
      </c>
      <c r="C570" t="s">
        <v>1131</v>
      </c>
      <c r="D570" s="31">
        <v>38</v>
      </c>
      <c r="E570" s="31">
        <v>1</v>
      </c>
      <c r="F570" s="31">
        <v>1</v>
      </c>
      <c r="G570" s="31">
        <v>0</v>
      </c>
      <c r="H570" s="32">
        <v>18.99</v>
      </c>
      <c r="I570">
        <v>71</v>
      </c>
      <c r="J570" s="33">
        <v>0</v>
      </c>
      <c r="K570" s="33">
        <v>0</v>
      </c>
      <c r="L570" s="33">
        <v>0</v>
      </c>
      <c r="M570">
        <v>71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200</v>
      </c>
      <c r="AK570">
        <v>55</v>
      </c>
      <c r="AL570">
        <v>21</v>
      </c>
      <c r="AM570">
        <v>23</v>
      </c>
      <c r="AN570" s="23">
        <v>0.19</v>
      </c>
      <c r="AO570" s="23">
        <v>0.0181818181818182</v>
      </c>
      <c r="AP570" s="23">
        <v>0.0476190476190476</v>
      </c>
      <c r="AQ570" s="23">
        <v>0</v>
      </c>
      <c r="AR570" s="35">
        <v>5.42857142857143</v>
      </c>
      <c r="AS570" s="35">
        <v>325.714285714286</v>
      </c>
      <c r="AT570" s="35">
        <v>-254.714285714286</v>
      </c>
      <c r="AU570" s="31">
        <f t="shared" si="11"/>
        <v>13</v>
      </c>
      <c r="AV570" s="36">
        <f>IFERROR($A$2+AU570,"上周无销量")</f>
        <v>43289</v>
      </c>
    </row>
    <row r="571" spans="1:48">
      <c r="A571" s="21" t="s">
        <v>1210</v>
      </c>
      <c r="B571" t="s">
        <v>1189</v>
      </c>
      <c r="C571" t="s">
        <v>1131</v>
      </c>
      <c r="D571" s="31">
        <v>26</v>
      </c>
      <c r="E571" s="31">
        <v>2</v>
      </c>
      <c r="F571" s="31">
        <v>0</v>
      </c>
      <c r="G571" s="31">
        <v>1</v>
      </c>
      <c r="H571" s="32">
        <v>13.9555172413793</v>
      </c>
      <c r="I571">
        <v>60</v>
      </c>
      <c r="J571" s="33">
        <v>0</v>
      </c>
      <c r="K571" s="33">
        <v>8</v>
      </c>
      <c r="L571" s="33">
        <v>1</v>
      </c>
      <c r="M571">
        <v>69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192</v>
      </c>
      <c r="AK571">
        <v>37</v>
      </c>
      <c r="AL571">
        <v>23</v>
      </c>
      <c r="AM571">
        <v>31</v>
      </c>
      <c r="AN571" s="23">
        <v>0.135416666666667</v>
      </c>
      <c r="AO571" s="23">
        <v>0.0540540540540541</v>
      </c>
      <c r="AP571" s="23">
        <v>0</v>
      </c>
      <c r="AQ571" s="23">
        <v>0.032258064516129</v>
      </c>
      <c r="AR571" s="35">
        <v>3.71428571428571</v>
      </c>
      <c r="AS571" s="35">
        <v>222.857142857143</v>
      </c>
      <c r="AT571" s="35">
        <v>-153.857142857143</v>
      </c>
      <c r="AU571" s="31">
        <f t="shared" si="11"/>
        <v>18</v>
      </c>
      <c r="AV571" s="36">
        <f>IFERROR($A$2+AU571,"上周无销量")</f>
        <v>43294</v>
      </c>
    </row>
    <row r="572" spans="1:48">
      <c r="A572" s="21" t="s">
        <v>1211</v>
      </c>
      <c r="B572" t="s">
        <v>1191</v>
      </c>
      <c r="C572" t="s">
        <v>1131</v>
      </c>
      <c r="D572" s="31">
        <v>12</v>
      </c>
      <c r="E572" s="31">
        <v>1</v>
      </c>
      <c r="F572" s="31">
        <v>2</v>
      </c>
      <c r="G572" s="31">
        <v>2</v>
      </c>
      <c r="H572" s="32">
        <v>24.99</v>
      </c>
      <c r="I572">
        <v>80</v>
      </c>
      <c r="J572" s="33">
        <v>0</v>
      </c>
      <c r="K572" s="33">
        <v>0</v>
      </c>
      <c r="L572" s="33">
        <v>0</v>
      </c>
      <c r="M572">
        <v>80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136</v>
      </c>
      <c r="AK572">
        <v>33</v>
      </c>
      <c r="AL572">
        <v>22</v>
      </c>
      <c r="AM572">
        <v>12</v>
      </c>
      <c r="AN572" s="23">
        <v>0.0882352941176471</v>
      </c>
      <c r="AO572" s="23">
        <v>0.0303030303030303</v>
      </c>
      <c r="AP572" s="23">
        <v>0.0909090909090909</v>
      </c>
      <c r="AQ572" s="23">
        <v>0.166666666666667</v>
      </c>
      <c r="AR572" s="35">
        <v>1.71428571428571</v>
      </c>
      <c r="AS572" s="35">
        <v>102.857142857143</v>
      </c>
      <c r="AT572" s="35">
        <v>-22.8571428571428</v>
      </c>
      <c r="AU572" s="31">
        <f t="shared" si="11"/>
        <v>46</v>
      </c>
      <c r="AV572" s="36">
        <f>IFERROR($A$2+AU572,"上周无销量")</f>
        <v>43322</v>
      </c>
    </row>
    <row r="573" spans="1:48">
      <c r="A573" s="21" t="s">
        <v>1212</v>
      </c>
      <c r="B573" t="s">
        <v>1193</v>
      </c>
      <c r="C573" t="s">
        <v>1131</v>
      </c>
      <c r="D573" s="31">
        <v>30</v>
      </c>
      <c r="E573" s="31">
        <v>3</v>
      </c>
      <c r="F573" s="31">
        <v>2</v>
      </c>
      <c r="G573" s="31">
        <v>2</v>
      </c>
      <c r="H573" s="32">
        <v>18.99</v>
      </c>
      <c r="I573">
        <v>74</v>
      </c>
      <c r="J573" s="33">
        <v>0</v>
      </c>
      <c r="K573" s="33">
        <v>0</v>
      </c>
      <c r="L573" s="33">
        <v>11</v>
      </c>
      <c r="M573">
        <v>85</v>
      </c>
      <c r="N573">
        <v>1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162</v>
      </c>
      <c r="AK573">
        <v>54</v>
      </c>
      <c r="AL573">
        <v>28</v>
      </c>
      <c r="AM573">
        <v>30</v>
      </c>
      <c r="AN573" s="23">
        <v>0.185185185185185</v>
      </c>
      <c r="AO573" s="23">
        <v>0.0555555555555556</v>
      </c>
      <c r="AP573" s="23">
        <v>0.0714285714285714</v>
      </c>
      <c r="AQ573" s="23">
        <v>0.0666666666666667</v>
      </c>
      <c r="AR573" s="35">
        <v>4.28571428571429</v>
      </c>
      <c r="AS573" s="35">
        <v>257.142857142857</v>
      </c>
      <c r="AT573" s="35">
        <v>-172.142857142857</v>
      </c>
      <c r="AU573" s="31">
        <f t="shared" si="11"/>
        <v>19</v>
      </c>
      <c r="AV573" s="36">
        <f>IFERROR($A$2+AU573,"上周无销量")</f>
        <v>43295</v>
      </c>
    </row>
    <row r="574" spans="1:48">
      <c r="A574" s="21" t="s">
        <v>1213</v>
      </c>
      <c r="B574" t="s">
        <v>1195</v>
      </c>
      <c r="C574" t="s">
        <v>1131</v>
      </c>
      <c r="D574" s="31">
        <v>26</v>
      </c>
      <c r="E574" s="31">
        <v>9</v>
      </c>
      <c r="F574" s="31">
        <v>6</v>
      </c>
      <c r="G574" s="31">
        <v>1</v>
      </c>
      <c r="H574" s="32">
        <v>13.9661904761905</v>
      </c>
      <c r="I574">
        <v>155</v>
      </c>
      <c r="J574" s="33">
        <v>0</v>
      </c>
      <c r="K574" s="33">
        <v>0</v>
      </c>
      <c r="L574" s="33">
        <v>4</v>
      </c>
      <c r="M574">
        <v>159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230</v>
      </c>
      <c r="AK574">
        <v>70</v>
      </c>
      <c r="AL574">
        <v>50</v>
      </c>
      <c r="AM574">
        <v>49</v>
      </c>
      <c r="AN574" s="23">
        <v>0.11304347826087</v>
      </c>
      <c r="AO574" s="23">
        <v>0.128571428571429</v>
      </c>
      <c r="AP574" s="23">
        <v>0.12</v>
      </c>
      <c r="AQ574" s="23">
        <v>0.0204081632653061</v>
      </c>
      <c r="AR574" s="35">
        <v>3.71428571428571</v>
      </c>
      <c r="AS574" s="35">
        <v>222.857142857143</v>
      </c>
      <c r="AT574" s="35">
        <v>-63.8571428571429</v>
      </c>
      <c r="AU574" s="31">
        <f t="shared" si="11"/>
        <v>42</v>
      </c>
      <c r="AV574" s="36">
        <f>IFERROR($A$2+AU574,"上周无销量")</f>
        <v>43318</v>
      </c>
    </row>
    <row r="575" spans="1:48">
      <c r="A575" s="21" t="s">
        <v>1214</v>
      </c>
      <c r="B575" t="s">
        <v>1215</v>
      </c>
      <c r="C575" t="s">
        <v>1216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IFERROR($A$2+AU575,"上周无销量")</f>
        <v>上周无销量</v>
      </c>
    </row>
    <row r="576" spans="1:48">
      <c r="A576" s="21" t="s">
        <v>1217</v>
      </c>
      <c r="B576" t="s">
        <v>1218</v>
      </c>
      <c r="C576" t="s">
        <v>1216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IFERROR($A$2+AU576,"上周无销量")</f>
        <v>上周无销量</v>
      </c>
    </row>
    <row r="577" spans="1:48">
      <c r="A577" s="21" t="s">
        <v>1219</v>
      </c>
      <c r="B577" t="s">
        <v>1220</v>
      </c>
      <c r="C577" t="s">
        <v>1216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s">
        <v>54</v>
      </c>
      <c r="AO577" s="23" t="s">
        <v>54</v>
      </c>
      <c r="AP577" s="23" t="s">
        <v>54</v>
      </c>
      <c r="AQ577" s="23" t="s">
        <v>54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IFERROR($A$2+AU577,"上周无销量")</f>
        <v>上周无销量</v>
      </c>
    </row>
    <row r="578" spans="1:48">
      <c r="A578" s="21" t="s">
        <v>1221</v>
      </c>
      <c r="B578" t="s">
        <v>1222</v>
      </c>
      <c r="C578" t="s">
        <v>1223</v>
      </c>
      <c r="D578" s="31">
        <v>2</v>
      </c>
      <c r="E578" s="31">
        <v>0</v>
      </c>
      <c r="F578" s="31">
        <v>0</v>
      </c>
      <c r="G578" s="31">
        <v>1</v>
      </c>
      <c r="H578" s="32">
        <v>9.9</v>
      </c>
      <c r="I578">
        <v>1</v>
      </c>
      <c r="J578" s="33">
        <v>0</v>
      </c>
      <c r="K578" s="33">
        <v>0</v>
      </c>
      <c r="L578" s="33">
        <v>0</v>
      </c>
      <c r="M578">
        <v>1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11</v>
      </c>
      <c r="AK578">
        <v>5</v>
      </c>
      <c r="AL578">
        <v>6</v>
      </c>
      <c r="AM578">
        <v>6</v>
      </c>
      <c r="AN578" s="23">
        <v>0.181818181818182</v>
      </c>
      <c r="AO578" s="23">
        <v>0</v>
      </c>
      <c r="AP578" s="23">
        <v>0</v>
      </c>
      <c r="AQ578" s="23">
        <v>0.166666666666667</v>
      </c>
      <c r="AR578" s="35">
        <v>0.285714285714286</v>
      </c>
      <c r="AS578" s="35">
        <v>17.1428571428571</v>
      </c>
      <c r="AT578" s="35">
        <v>-16.1428571428571</v>
      </c>
      <c r="AU578" s="31">
        <f t="shared" si="11"/>
        <v>3</v>
      </c>
      <c r="AV578" s="36">
        <f>IFERROR($A$2+AU578,"上周无销量")</f>
        <v>43279</v>
      </c>
    </row>
    <row r="579" spans="1:48">
      <c r="A579" s="21" t="s">
        <v>1224</v>
      </c>
      <c r="B579" t="s">
        <v>1225</v>
      </c>
      <c r="C579" t="s">
        <v>1223</v>
      </c>
      <c r="D579" s="31">
        <v>0</v>
      </c>
      <c r="E579" s="31">
        <v>3</v>
      </c>
      <c r="F579" s="31">
        <v>0</v>
      </c>
      <c r="G579" s="31">
        <v>0</v>
      </c>
      <c r="H579" s="32">
        <v>9.9</v>
      </c>
      <c r="I579">
        <v>10</v>
      </c>
      <c r="J579" s="33">
        <v>0</v>
      </c>
      <c r="K579" s="33">
        <v>0</v>
      </c>
      <c r="L579" s="33">
        <v>0</v>
      </c>
      <c r="M579">
        <v>10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5</v>
      </c>
      <c r="AK579">
        <v>11</v>
      </c>
      <c r="AL579">
        <v>8</v>
      </c>
      <c r="AM579">
        <v>4</v>
      </c>
      <c r="AN579" s="23">
        <v>0</v>
      </c>
      <c r="AO579" s="23">
        <v>0.272727272727273</v>
      </c>
      <c r="AP579" s="23">
        <v>0</v>
      </c>
      <c r="AQ579" s="23">
        <v>0</v>
      </c>
      <c r="AR579" s="35">
        <v>0</v>
      </c>
      <c r="AS579" s="35">
        <v>0</v>
      </c>
      <c r="AT579" s="35">
        <v>10</v>
      </c>
      <c r="AU579" s="31" t="str">
        <f t="shared" si="11"/>
        <v>库存为10</v>
      </c>
      <c r="AV579" s="36" t="str">
        <f>IFERROR($A$2+AU579,"上周无销量")</f>
        <v>上周无销量</v>
      </c>
    </row>
    <row r="580" spans="1:48">
      <c r="A580" s="21" t="s">
        <v>1226</v>
      </c>
      <c r="B580" t="s">
        <v>1227</v>
      </c>
      <c r="C580" t="s">
        <v>1223</v>
      </c>
      <c r="D580" s="31">
        <v>1</v>
      </c>
      <c r="E580" s="31">
        <v>2</v>
      </c>
      <c r="F580" s="31">
        <v>2</v>
      </c>
      <c r="G580" s="31">
        <v>0</v>
      </c>
      <c r="H580" s="32">
        <v>9.9</v>
      </c>
      <c r="I580">
        <v>3</v>
      </c>
      <c r="J580" s="33">
        <v>0</v>
      </c>
      <c r="K580" s="33">
        <v>0</v>
      </c>
      <c r="L580" s="33">
        <v>0</v>
      </c>
      <c r="M580">
        <v>3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7</v>
      </c>
      <c r="AK580">
        <v>8</v>
      </c>
      <c r="AL580">
        <v>4</v>
      </c>
      <c r="AM580">
        <v>4</v>
      </c>
      <c r="AN580" s="23">
        <v>0.142857142857143</v>
      </c>
      <c r="AO580" s="23">
        <v>0.25</v>
      </c>
      <c r="AP580" s="23">
        <v>0.5</v>
      </c>
      <c r="AQ580" s="23">
        <v>0</v>
      </c>
      <c r="AR580" s="35">
        <v>0.142857142857143</v>
      </c>
      <c r="AS580" s="35">
        <v>8.57142857142857</v>
      </c>
      <c r="AT580" s="35">
        <v>-5.57142857142857</v>
      </c>
      <c r="AU580" s="31">
        <f t="shared" si="11"/>
        <v>21</v>
      </c>
      <c r="AV580" s="36">
        <f>IFERROR($A$2+AU580,"上周无销量")</f>
        <v>43297</v>
      </c>
    </row>
    <row r="581" spans="1:48">
      <c r="A581" s="21" t="s">
        <v>1228</v>
      </c>
      <c r="B581" t="s">
        <v>1229</v>
      </c>
      <c r="C581" t="s">
        <v>1223</v>
      </c>
      <c r="D581" s="31">
        <v>0</v>
      </c>
      <c r="E581" s="31">
        <v>0</v>
      </c>
      <c r="F581" s="31">
        <v>1</v>
      </c>
      <c r="G581" s="31">
        <v>0</v>
      </c>
      <c r="H581" s="32">
        <v>9.9</v>
      </c>
      <c r="I581">
        <v>9</v>
      </c>
      <c r="J581" s="33">
        <v>0</v>
      </c>
      <c r="K581" s="33">
        <v>0</v>
      </c>
      <c r="L581" s="33">
        <v>0</v>
      </c>
      <c r="M581">
        <v>9</v>
      </c>
      <c r="N581">
        <v>0</v>
      </c>
      <c r="O581">
        <v>4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5</v>
      </c>
      <c r="AK581">
        <v>13</v>
      </c>
      <c r="AL581">
        <v>5</v>
      </c>
      <c r="AM581">
        <v>3</v>
      </c>
      <c r="AN581" s="23">
        <v>0</v>
      </c>
      <c r="AO581" s="23">
        <v>0</v>
      </c>
      <c r="AP581" s="23">
        <v>0.2</v>
      </c>
      <c r="AQ581" s="23">
        <v>0</v>
      </c>
      <c r="AR581" s="35">
        <v>0</v>
      </c>
      <c r="AS581" s="35">
        <v>0</v>
      </c>
      <c r="AT581" s="35">
        <v>9</v>
      </c>
      <c r="AU581" s="31" t="str">
        <f t="shared" ref="AU581:AU632" si="12">IF(AR581="","库存为"&amp;M581,IF(AS581=0,"库存为"&amp;M581,INT(M581/AR581)))</f>
        <v>库存为9</v>
      </c>
      <c r="AV581" s="36" t="str">
        <f>IFERROR($A$2+AU581,"上周无销量")</f>
        <v>上周无销量</v>
      </c>
    </row>
    <row r="582" spans="1:48">
      <c r="A582" s="21" t="s">
        <v>1230</v>
      </c>
      <c r="B582" t="s">
        <v>1231</v>
      </c>
      <c r="C582" t="s">
        <v>1223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12</v>
      </c>
      <c r="J582" s="33">
        <v>0</v>
      </c>
      <c r="K582" s="33">
        <v>0</v>
      </c>
      <c r="L582" s="33">
        <v>0</v>
      </c>
      <c r="M582">
        <v>12</v>
      </c>
      <c r="N582">
        <v>0</v>
      </c>
      <c r="O582">
        <v>7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4</v>
      </c>
      <c r="AK582">
        <v>5</v>
      </c>
      <c r="AL582">
        <v>2</v>
      </c>
      <c r="AM582">
        <v>6</v>
      </c>
      <c r="AN582" s="23">
        <v>0</v>
      </c>
      <c r="AO582" s="23">
        <v>0</v>
      </c>
      <c r="AP582" s="23">
        <v>0</v>
      </c>
      <c r="AQ582" s="23">
        <v>0</v>
      </c>
      <c r="AR582" s="35">
        <v>0</v>
      </c>
      <c r="AS582" s="35">
        <v>0</v>
      </c>
      <c r="AT582" s="35">
        <v>12</v>
      </c>
      <c r="AU582" s="31" t="str">
        <f t="shared" si="12"/>
        <v>库存为12</v>
      </c>
      <c r="AV582" s="36" t="str">
        <f>IFERROR($A$2+AU582,"上周无销量")</f>
        <v>上周无销量</v>
      </c>
    </row>
    <row r="583" spans="1:48">
      <c r="A583" s="21" t="s">
        <v>1232</v>
      </c>
      <c r="B583" t="s">
        <v>1233</v>
      </c>
      <c r="C583" t="s">
        <v>1223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12</v>
      </c>
      <c r="J583" s="33">
        <v>0</v>
      </c>
      <c r="K583" s="33">
        <v>0</v>
      </c>
      <c r="L583" s="33">
        <v>0</v>
      </c>
      <c r="M583">
        <v>12</v>
      </c>
      <c r="N583">
        <v>0</v>
      </c>
      <c r="O583">
        <v>7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6</v>
      </c>
      <c r="AK583">
        <v>11</v>
      </c>
      <c r="AL583">
        <v>6</v>
      </c>
      <c r="AM583">
        <v>4</v>
      </c>
      <c r="AN583" s="23">
        <v>0</v>
      </c>
      <c r="AO583" s="23">
        <v>0</v>
      </c>
      <c r="AP583" s="23">
        <v>0</v>
      </c>
      <c r="AQ583" s="23">
        <v>0</v>
      </c>
      <c r="AR583" s="35">
        <v>0</v>
      </c>
      <c r="AS583" s="35">
        <v>0</v>
      </c>
      <c r="AT583" s="35">
        <v>12</v>
      </c>
      <c r="AU583" s="31" t="str">
        <f t="shared" si="12"/>
        <v>库存为12</v>
      </c>
      <c r="AV583" s="36" t="str">
        <f>IFERROR($A$2+AU583,"上周无销量")</f>
        <v>上周无销量</v>
      </c>
    </row>
    <row r="584" spans="1:48">
      <c r="A584" s="21" t="s">
        <v>1234</v>
      </c>
      <c r="B584" t="s">
        <v>1235</v>
      </c>
      <c r="C584" t="s">
        <v>1223</v>
      </c>
      <c r="D584" s="31">
        <v>0</v>
      </c>
      <c r="E584" s="31">
        <v>0</v>
      </c>
      <c r="F584" s="31">
        <v>0</v>
      </c>
      <c r="G584" s="31">
        <v>1</v>
      </c>
      <c r="H584" s="32">
        <v>9.9</v>
      </c>
      <c r="I584">
        <v>10</v>
      </c>
      <c r="J584" s="33">
        <v>0</v>
      </c>
      <c r="K584" s="33">
        <v>0</v>
      </c>
      <c r="L584" s="33">
        <v>0</v>
      </c>
      <c r="M584">
        <v>10</v>
      </c>
      <c r="N584">
        <v>0</v>
      </c>
      <c r="O584">
        <v>0</v>
      </c>
      <c r="P584">
        <v>239</v>
      </c>
      <c r="Q584">
        <v>0</v>
      </c>
      <c r="R584">
        <v>0</v>
      </c>
      <c r="S584">
        <v>0</v>
      </c>
      <c r="T584">
        <v>3</v>
      </c>
      <c r="U584">
        <v>0</v>
      </c>
      <c r="V584">
        <v>0</v>
      </c>
      <c r="W584">
        <v>0</v>
      </c>
      <c r="X584" s="23">
        <v>0.0125523012552301</v>
      </c>
      <c r="Y584" s="23" t="s">
        <v>54</v>
      </c>
      <c r="Z584" s="23" t="s">
        <v>54</v>
      </c>
      <c r="AA584" s="23" t="s">
        <v>54</v>
      </c>
      <c r="AB584">
        <v>0.85</v>
      </c>
      <c r="AC584">
        <v>0</v>
      </c>
      <c r="AD584">
        <v>0</v>
      </c>
      <c r="AE584">
        <v>0</v>
      </c>
      <c r="AF584" s="23">
        <v>0</v>
      </c>
      <c r="AG584" s="23" t="s">
        <v>54</v>
      </c>
      <c r="AH584" s="23" t="s">
        <v>54</v>
      </c>
      <c r="AI584" s="23" t="s">
        <v>54</v>
      </c>
      <c r="AJ584">
        <v>11</v>
      </c>
      <c r="AK584">
        <v>2</v>
      </c>
      <c r="AL584">
        <v>5</v>
      </c>
      <c r="AM584">
        <v>6</v>
      </c>
      <c r="AN584" s="23">
        <v>0</v>
      </c>
      <c r="AO584" s="23">
        <v>0</v>
      </c>
      <c r="AP584" s="23">
        <v>0</v>
      </c>
      <c r="AQ584" s="23">
        <v>0.166666666666667</v>
      </c>
      <c r="AR584" s="35">
        <v>0</v>
      </c>
      <c r="AS584" s="35">
        <v>0</v>
      </c>
      <c r="AT584" s="35">
        <v>10</v>
      </c>
      <c r="AU584" s="31" t="str">
        <f t="shared" si="12"/>
        <v>库存为10</v>
      </c>
      <c r="AV584" s="36" t="str">
        <f>IFERROR($A$2+AU584,"上周无销量")</f>
        <v>上周无销量</v>
      </c>
    </row>
    <row r="585" spans="1:48">
      <c r="A585" s="21" t="s">
        <v>1236</v>
      </c>
      <c r="B585" t="s">
        <v>1237</v>
      </c>
      <c r="C585" t="s">
        <v>1223</v>
      </c>
      <c r="D585" s="31">
        <v>0</v>
      </c>
      <c r="E585" s="31">
        <v>0</v>
      </c>
      <c r="F585" s="31">
        <v>1</v>
      </c>
      <c r="G585" s="31">
        <v>1</v>
      </c>
      <c r="H585" s="32">
        <v>9.9</v>
      </c>
      <c r="I585">
        <v>10</v>
      </c>
      <c r="J585" s="33">
        <v>0</v>
      </c>
      <c r="K585" s="33">
        <v>0</v>
      </c>
      <c r="L585" s="33">
        <v>0</v>
      </c>
      <c r="M585">
        <v>10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4</v>
      </c>
      <c r="AK585">
        <v>5</v>
      </c>
      <c r="AL585">
        <v>5</v>
      </c>
      <c r="AM585">
        <v>2</v>
      </c>
      <c r="AN585" s="23">
        <v>0</v>
      </c>
      <c r="AO585" s="23">
        <v>0</v>
      </c>
      <c r="AP585" s="23">
        <v>0.2</v>
      </c>
      <c r="AQ585" s="23">
        <v>0.5</v>
      </c>
      <c r="AR585" s="35">
        <v>0</v>
      </c>
      <c r="AS585" s="35">
        <v>0</v>
      </c>
      <c r="AT585" s="35">
        <v>10</v>
      </c>
      <c r="AU585" s="31" t="str">
        <f t="shared" si="12"/>
        <v>库存为10</v>
      </c>
      <c r="AV585" s="36" t="str">
        <f>IFERROR($A$2+AU585,"上周无销量")</f>
        <v>上周无销量</v>
      </c>
    </row>
    <row r="586" spans="1:48">
      <c r="A586" s="21" t="s">
        <v>1238</v>
      </c>
      <c r="B586" t="s">
        <v>1239</v>
      </c>
      <c r="C586" t="s">
        <v>1223</v>
      </c>
      <c r="D586" s="31">
        <v>1</v>
      </c>
      <c r="E586" s="31">
        <v>1</v>
      </c>
      <c r="F586" s="31">
        <v>0</v>
      </c>
      <c r="G586" s="31">
        <v>2</v>
      </c>
      <c r="H586" s="32">
        <v>9.9</v>
      </c>
      <c r="I586">
        <v>3</v>
      </c>
      <c r="J586" s="33">
        <v>0</v>
      </c>
      <c r="K586" s="33">
        <v>0</v>
      </c>
      <c r="L586" s="33">
        <v>0</v>
      </c>
      <c r="M586">
        <v>3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13</v>
      </c>
      <c r="AK586">
        <v>20</v>
      </c>
      <c r="AL586">
        <v>16</v>
      </c>
      <c r="AM586">
        <v>13</v>
      </c>
      <c r="AN586" s="23">
        <v>0.0769230769230769</v>
      </c>
      <c r="AO586" s="23">
        <v>0.05</v>
      </c>
      <c r="AP586" s="23">
        <v>0</v>
      </c>
      <c r="AQ586" s="23">
        <v>0.153846153846154</v>
      </c>
      <c r="AR586" s="35">
        <v>0.142857142857143</v>
      </c>
      <c r="AS586" s="35">
        <v>8.57142857142857</v>
      </c>
      <c r="AT586" s="35">
        <v>-5.57142857142857</v>
      </c>
      <c r="AU586" s="31">
        <f t="shared" si="12"/>
        <v>21</v>
      </c>
      <c r="AV586" s="36">
        <f>IFERROR($A$2+AU586,"上周无销量")</f>
        <v>43297</v>
      </c>
    </row>
    <row r="587" spans="1:48">
      <c r="A587" s="21" t="s">
        <v>1240</v>
      </c>
      <c r="B587" t="s">
        <v>1241</v>
      </c>
      <c r="C587" t="s">
        <v>1223</v>
      </c>
      <c r="D587" s="31">
        <v>1</v>
      </c>
      <c r="E587" s="31">
        <v>2</v>
      </c>
      <c r="F587" s="31">
        <v>0</v>
      </c>
      <c r="G587" s="31">
        <v>2</v>
      </c>
      <c r="H587" s="32">
        <v>9.9</v>
      </c>
      <c r="I587">
        <v>2</v>
      </c>
      <c r="J587" s="33">
        <v>0</v>
      </c>
      <c r="K587" s="33">
        <v>0</v>
      </c>
      <c r="L587" s="33">
        <v>0</v>
      </c>
      <c r="M587">
        <v>2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11</v>
      </c>
      <c r="AK587">
        <v>8</v>
      </c>
      <c r="AL587">
        <v>15</v>
      </c>
      <c r="AM587">
        <v>9</v>
      </c>
      <c r="AN587" s="23">
        <v>0.0909090909090909</v>
      </c>
      <c r="AO587" s="23">
        <v>0.25</v>
      </c>
      <c r="AP587" s="23">
        <v>0</v>
      </c>
      <c r="AQ587" s="23">
        <v>0.222222222222222</v>
      </c>
      <c r="AR587" s="35">
        <v>0.142857142857143</v>
      </c>
      <c r="AS587" s="35">
        <v>8.57142857142857</v>
      </c>
      <c r="AT587" s="35">
        <v>-6.57142857142857</v>
      </c>
      <c r="AU587" s="31">
        <f t="shared" si="12"/>
        <v>14</v>
      </c>
      <c r="AV587" s="36">
        <f>IFERROR($A$2+AU587,"上周无销量")</f>
        <v>43290</v>
      </c>
    </row>
    <row r="588" spans="1:48">
      <c r="A588" s="21" t="s">
        <v>1242</v>
      </c>
      <c r="B588" t="s">
        <v>1243</v>
      </c>
      <c r="C588" t="s">
        <v>1223</v>
      </c>
      <c r="D588" s="31">
        <v>0</v>
      </c>
      <c r="E588" s="31">
        <v>1</v>
      </c>
      <c r="F588" s="31">
        <v>1</v>
      </c>
      <c r="G588" s="31">
        <v>2</v>
      </c>
      <c r="H588" s="32">
        <v>9.9</v>
      </c>
      <c r="I588">
        <v>4</v>
      </c>
      <c r="J588" s="33">
        <v>0</v>
      </c>
      <c r="K588" s="33">
        <v>0</v>
      </c>
      <c r="L588" s="33">
        <v>0</v>
      </c>
      <c r="M588">
        <v>4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5</v>
      </c>
      <c r="AK588">
        <v>9</v>
      </c>
      <c r="AL588">
        <v>6</v>
      </c>
      <c r="AM588">
        <v>9</v>
      </c>
      <c r="AN588" s="23">
        <v>0</v>
      </c>
      <c r="AO588" s="23">
        <v>0.111111111111111</v>
      </c>
      <c r="AP588" s="23">
        <v>0.166666666666667</v>
      </c>
      <c r="AQ588" s="23">
        <v>0.222222222222222</v>
      </c>
      <c r="AR588" s="35">
        <v>0</v>
      </c>
      <c r="AS588" s="35">
        <v>0</v>
      </c>
      <c r="AT588" s="35">
        <v>4</v>
      </c>
      <c r="AU588" s="31" t="str">
        <f t="shared" si="12"/>
        <v>库存为4</v>
      </c>
      <c r="AV588" s="36" t="str">
        <f>IFERROR($A$2+AU588,"上周无销量")</f>
        <v>上周无销量</v>
      </c>
    </row>
    <row r="589" spans="1:48">
      <c r="A589" s="21" t="s">
        <v>1244</v>
      </c>
      <c r="B589" t="s">
        <v>1245</v>
      </c>
      <c r="C589" t="s">
        <v>1223</v>
      </c>
      <c r="D589" s="31">
        <v>1</v>
      </c>
      <c r="E589" s="31">
        <v>0</v>
      </c>
      <c r="F589" s="31">
        <v>1</v>
      </c>
      <c r="G589" s="31">
        <v>0</v>
      </c>
      <c r="H589" s="32">
        <v>9.9</v>
      </c>
      <c r="I589">
        <v>5</v>
      </c>
      <c r="J589" s="33">
        <v>0</v>
      </c>
      <c r="K589" s="33">
        <v>0</v>
      </c>
      <c r="L589" s="33">
        <v>0</v>
      </c>
      <c r="M589">
        <v>5</v>
      </c>
      <c r="N589">
        <v>0</v>
      </c>
      <c r="O589">
        <v>1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6</v>
      </c>
      <c r="AK589">
        <v>3</v>
      </c>
      <c r="AL589">
        <v>5</v>
      </c>
      <c r="AM589">
        <v>3</v>
      </c>
      <c r="AN589" s="23">
        <v>0.166666666666667</v>
      </c>
      <c r="AO589" s="23">
        <v>0</v>
      </c>
      <c r="AP589" s="23">
        <v>0.2</v>
      </c>
      <c r="AQ589" s="23">
        <v>0</v>
      </c>
      <c r="AR589" s="35">
        <v>0.142857142857143</v>
      </c>
      <c r="AS589" s="35">
        <v>8.57142857142857</v>
      </c>
      <c r="AT589" s="35">
        <v>-3.57142857142857</v>
      </c>
      <c r="AU589" s="31">
        <f t="shared" si="12"/>
        <v>35</v>
      </c>
      <c r="AV589" s="36">
        <f>IFERROR($A$2+AU589,"上周无销量")</f>
        <v>43311</v>
      </c>
    </row>
    <row r="590" spans="1:48">
      <c r="A590" s="21" t="s">
        <v>1246</v>
      </c>
      <c r="B590" t="s">
        <v>1247</v>
      </c>
      <c r="C590" t="s">
        <v>1223</v>
      </c>
      <c r="D590" s="31">
        <v>0</v>
      </c>
      <c r="E590" s="31">
        <v>1</v>
      </c>
      <c r="F590" s="31">
        <v>0</v>
      </c>
      <c r="G590" s="31">
        <v>0</v>
      </c>
      <c r="H590" s="32">
        <v>9.9</v>
      </c>
      <c r="I590">
        <v>5</v>
      </c>
      <c r="J590" s="33">
        <v>0</v>
      </c>
      <c r="K590" s="33">
        <v>0</v>
      </c>
      <c r="L590" s="33">
        <v>0</v>
      </c>
      <c r="M590">
        <v>5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8</v>
      </c>
      <c r="AK590">
        <v>5</v>
      </c>
      <c r="AL590">
        <v>6</v>
      </c>
      <c r="AM590">
        <v>8</v>
      </c>
      <c r="AN590" s="23">
        <v>0</v>
      </c>
      <c r="AO590" s="23">
        <v>0.2</v>
      </c>
      <c r="AP590" s="23">
        <v>0</v>
      </c>
      <c r="AQ590" s="23">
        <v>0</v>
      </c>
      <c r="AR590" s="35">
        <v>0</v>
      </c>
      <c r="AS590" s="35">
        <v>0</v>
      </c>
      <c r="AT590" s="35">
        <v>5</v>
      </c>
      <c r="AU590" s="31" t="str">
        <f t="shared" si="12"/>
        <v>库存为5</v>
      </c>
      <c r="AV590" s="36" t="str">
        <f>IFERROR($A$2+AU590,"上周无销量")</f>
        <v>上周无销量</v>
      </c>
    </row>
    <row r="591" spans="1:48">
      <c r="A591" s="21" t="s">
        <v>1248</v>
      </c>
      <c r="B591" t="s">
        <v>1249</v>
      </c>
      <c r="C591" t="s">
        <v>1223</v>
      </c>
      <c r="D591" s="31">
        <v>1</v>
      </c>
      <c r="E591" s="31">
        <v>1</v>
      </c>
      <c r="F591" s="31">
        <v>0</v>
      </c>
      <c r="G591" s="31">
        <v>1</v>
      </c>
      <c r="H591" s="32">
        <v>9.9</v>
      </c>
      <c r="I591">
        <v>1</v>
      </c>
      <c r="J591" s="33">
        <v>0</v>
      </c>
      <c r="K591" s="33">
        <v>0</v>
      </c>
      <c r="L591" s="33">
        <v>0</v>
      </c>
      <c r="M591">
        <v>1</v>
      </c>
      <c r="N591">
        <v>0</v>
      </c>
      <c r="O591">
        <v>0</v>
      </c>
      <c r="P591">
        <v>5419</v>
      </c>
      <c r="Q591">
        <v>4628</v>
      </c>
      <c r="R591">
        <v>4628</v>
      </c>
      <c r="S591">
        <v>2090</v>
      </c>
      <c r="T591">
        <v>22</v>
      </c>
      <c r="U591">
        <v>25</v>
      </c>
      <c r="V591">
        <v>25</v>
      </c>
      <c r="W591">
        <v>23</v>
      </c>
      <c r="X591" s="23">
        <v>0.00405978962908286</v>
      </c>
      <c r="Y591" s="23">
        <v>0.0054019014693172</v>
      </c>
      <c r="Z591" s="23">
        <v>0.0054019014693172</v>
      </c>
      <c r="AA591" s="23">
        <v>0.0110047846889952</v>
      </c>
      <c r="AB591">
        <v>10.64</v>
      </c>
      <c r="AC591">
        <v>12.16</v>
      </c>
      <c r="AD591">
        <v>12.16</v>
      </c>
      <c r="AE591">
        <v>12.37</v>
      </c>
      <c r="AF591" s="23">
        <v>1.07474747474747</v>
      </c>
      <c r="AG591" s="23">
        <v>1.22828282828283</v>
      </c>
      <c r="AH591" s="23">
        <v>0</v>
      </c>
      <c r="AI591" s="23">
        <v>1.24949494949495</v>
      </c>
      <c r="AJ591">
        <v>11</v>
      </c>
      <c r="AK591">
        <v>21</v>
      </c>
      <c r="AL591">
        <v>15</v>
      </c>
      <c r="AM591">
        <v>12</v>
      </c>
      <c r="AN591" s="23">
        <v>0.0909090909090909</v>
      </c>
      <c r="AO591" s="23">
        <v>0.0476190476190476</v>
      </c>
      <c r="AP591" s="23">
        <v>0</v>
      </c>
      <c r="AQ591" s="23">
        <v>0.0833333333333333</v>
      </c>
      <c r="AR591" s="35">
        <v>0.142857142857143</v>
      </c>
      <c r="AS591" s="35">
        <v>8.57142857142857</v>
      </c>
      <c r="AT591" s="35">
        <v>-7.57142857142857</v>
      </c>
      <c r="AU591" s="31">
        <f t="shared" si="12"/>
        <v>7</v>
      </c>
      <c r="AV591" s="36">
        <f>IFERROR($A$2+AU591,"上周无销量")</f>
        <v>43283</v>
      </c>
    </row>
    <row r="592" spans="1:48">
      <c r="A592" s="21" t="s">
        <v>1250</v>
      </c>
      <c r="B592" t="s">
        <v>1251</v>
      </c>
      <c r="C592" t="s">
        <v>1223</v>
      </c>
      <c r="D592" s="31">
        <v>0</v>
      </c>
      <c r="E592" s="31">
        <v>1</v>
      </c>
      <c r="F592" s="31">
        <v>0</v>
      </c>
      <c r="G592" s="31">
        <v>1</v>
      </c>
      <c r="H592" s="32">
        <v>9.9</v>
      </c>
      <c r="I592">
        <v>3</v>
      </c>
      <c r="J592" s="33">
        <v>0</v>
      </c>
      <c r="K592" s="33">
        <v>0</v>
      </c>
      <c r="L592" s="33">
        <v>0</v>
      </c>
      <c r="M592">
        <v>3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4</v>
      </c>
      <c r="AK592">
        <v>4</v>
      </c>
      <c r="AL592">
        <v>6</v>
      </c>
      <c r="AM592">
        <v>7</v>
      </c>
      <c r="AN592" s="23">
        <v>0</v>
      </c>
      <c r="AO592" s="23">
        <v>0.25</v>
      </c>
      <c r="AP592" s="23">
        <v>0</v>
      </c>
      <c r="AQ592" s="23">
        <v>0.142857142857143</v>
      </c>
      <c r="AR592" s="35">
        <v>0</v>
      </c>
      <c r="AS592" s="35">
        <v>0</v>
      </c>
      <c r="AT592" s="35">
        <v>3</v>
      </c>
      <c r="AU592" s="31" t="str">
        <f t="shared" si="12"/>
        <v>库存为3</v>
      </c>
      <c r="AV592" s="36" t="str">
        <f>IFERROR($A$2+AU592,"上周无销量")</f>
        <v>上周无销量</v>
      </c>
    </row>
    <row r="593" spans="1:48">
      <c r="A593" s="21" t="s">
        <v>1252</v>
      </c>
      <c r="B593" t="s">
        <v>1253</v>
      </c>
      <c r="C593" t="s">
        <v>1223</v>
      </c>
      <c r="D593" s="31">
        <v>0</v>
      </c>
      <c r="E593" s="31">
        <v>2</v>
      </c>
      <c r="F593" s="31">
        <v>0</v>
      </c>
      <c r="G593" s="31">
        <v>0</v>
      </c>
      <c r="H593" s="32">
        <v>9.9</v>
      </c>
      <c r="I593">
        <v>3</v>
      </c>
      <c r="J593" s="33">
        <v>0</v>
      </c>
      <c r="K593" s="33">
        <v>0</v>
      </c>
      <c r="L593" s="33">
        <v>0</v>
      </c>
      <c r="M593">
        <v>3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2</v>
      </c>
      <c r="AK593">
        <v>3</v>
      </c>
      <c r="AL593">
        <v>5</v>
      </c>
      <c r="AM593">
        <v>3</v>
      </c>
      <c r="AN593" s="23">
        <v>0</v>
      </c>
      <c r="AO593" s="23">
        <v>0.666666666666667</v>
      </c>
      <c r="AP593" s="23">
        <v>0</v>
      </c>
      <c r="AQ593" s="23">
        <v>0</v>
      </c>
      <c r="AR593" s="35">
        <v>0</v>
      </c>
      <c r="AS593" s="35">
        <v>0</v>
      </c>
      <c r="AT593" s="35">
        <v>3</v>
      </c>
      <c r="AU593" s="31" t="str">
        <f t="shared" si="12"/>
        <v>库存为3</v>
      </c>
      <c r="AV593" s="36" t="str">
        <f>IFERROR($A$2+AU593,"上周无销量")</f>
        <v>上周无销量</v>
      </c>
    </row>
    <row r="594" spans="1:48">
      <c r="A594" s="21" t="s">
        <v>1254</v>
      </c>
      <c r="B594" t="s">
        <v>1255</v>
      </c>
      <c r="C594" t="s">
        <v>1256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4</v>
      </c>
      <c r="J594" s="33">
        <v>0</v>
      </c>
      <c r="K594" s="33">
        <v>0</v>
      </c>
      <c r="L594" s="33">
        <v>0</v>
      </c>
      <c r="M594">
        <v>4</v>
      </c>
      <c r="N594">
        <v>0</v>
      </c>
      <c r="O594">
        <v>4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2</v>
      </c>
      <c r="AK594">
        <v>1</v>
      </c>
      <c r="AL594">
        <v>0</v>
      </c>
      <c r="AM594">
        <v>3</v>
      </c>
      <c r="AN594" s="23">
        <v>0</v>
      </c>
      <c r="AO594" s="23">
        <v>0</v>
      </c>
      <c r="AP594" s="23" t="s">
        <v>54</v>
      </c>
      <c r="AQ594" s="23">
        <v>0</v>
      </c>
      <c r="AR594" s="35">
        <v>0</v>
      </c>
      <c r="AS594" s="35">
        <v>0</v>
      </c>
      <c r="AT594" s="35">
        <v>4</v>
      </c>
      <c r="AU594" s="31" t="str">
        <f t="shared" si="12"/>
        <v>库存为4</v>
      </c>
      <c r="AV594" s="36" t="str">
        <f>IFERROR($A$2+AU594,"上周无销量")</f>
        <v>上周无销量</v>
      </c>
    </row>
    <row r="595" spans="1:48">
      <c r="A595" s="21" t="s">
        <v>1257</v>
      </c>
      <c r="B595" t="s">
        <v>1258</v>
      </c>
      <c r="C595" t="s">
        <v>1256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4</v>
      </c>
      <c r="J595" s="33">
        <v>0</v>
      </c>
      <c r="K595" s="33">
        <v>0</v>
      </c>
      <c r="L595" s="33">
        <v>0</v>
      </c>
      <c r="M595">
        <v>4</v>
      </c>
      <c r="N595">
        <v>0</v>
      </c>
      <c r="O595">
        <v>4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2</v>
      </c>
      <c r="AK595">
        <v>2</v>
      </c>
      <c r="AL595">
        <v>1</v>
      </c>
      <c r="AM595">
        <v>0</v>
      </c>
      <c r="AN595" s="23">
        <v>0</v>
      </c>
      <c r="AO595" s="23">
        <v>0</v>
      </c>
      <c r="AP595" s="23">
        <v>0</v>
      </c>
      <c r="AQ595" s="23" t="s">
        <v>54</v>
      </c>
      <c r="AR595" s="35">
        <v>0</v>
      </c>
      <c r="AS595" s="35">
        <v>0</v>
      </c>
      <c r="AT595" s="35">
        <v>4</v>
      </c>
      <c r="AU595" s="31" t="str">
        <f t="shared" si="12"/>
        <v>库存为4</v>
      </c>
      <c r="AV595" s="36" t="str">
        <f>IFERROR($A$2+AU595,"上周无销量")</f>
        <v>上周无销量</v>
      </c>
    </row>
    <row r="596" spans="1:48">
      <c r="A596" s="21" t="s">
        <v>1259</v>
      </c>
      <c r="B596" t="s">
        <v>1260</v>
      </c>
      <c r="C596" t="s">
        <v>1256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4</v>
      </c>
      <c r="J596" s="33">
        <v>0</v>
      </c>
      <c r="K596" s="33">
        <v>0</v>
      </c>
      <c r="L596" s="33">
        <v>0</v>
      </c>
      <c r="M596">
        <v>4</v>
      </c>
      <c r="N596">
        <v>0</v>
      </c>
      <c r="O596">
        <v>4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2</v>
      </c>
      <c r="AK596">
        <v>2</v>
      </c>
      <c r="AL596">
        <v>1</v>
      </c>
      <c r="AM596">
        <v>1</v>
      </c>
      <c r="AN596" s="23">
        <v>0</v>
      </c>
      <c r="AO596" s="23">
        <v>0</v>
      </c>
      <c r="AP596" s="23">
        <v>0</v>
      </c>
      <c r="AQ596" s="23">
        <v>0</v>
      </c>
      <c r="AR596" s="35">
        <v>0</v>
      </c>
      <c r="AS596" s="35">
        <v>0</v>
      </c>
      <c r="AT596" s="35">
        <v>4</v>
      </c>
      <c r="AU596" s="31" t="str">
        <f t="shared" si="12"/>
        <v>库存为4</v>
      </c>
      <c r="AV596" s="36" t="str">
        <f>IFERROR($A$2+AU596,"上周无销量")</f>
        <v>上周无销量</v>
      </c>
    </row>
    <row r="597" spans="1:48">
      <c r="A597" s="21" t="s">
        <v>1261</v>
      </c>
      <c r="B597" t="s">
        <v>1262</v>
      </c>
      <c r="C597" t="s">
        <v>1256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4</v>
      </c>
      <c r="J597" s="33">
        <v>0</v>
      </c>
      <c r="K597" s="33">
        <v>0</v>
      </c>
      <c r="L597" s="33">
        <v>0</v>
      </c>
      <c r="M597">
        <v>4</v>
      </c>
      <c r="N597">
        <v>0</v>
      </c>
      <c r="O597">
        <v>4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2</v>
      </c>
      <c r="AK597">
        <v>3</v>
      </c>
      <c r="AL597">
        <v>2</v>
      </c>
      <c r="AM597">
        <v>1</v>
      </c>
      <c r="AN597" s="23">
        <v>0</v>
      </c>
      <c r="AO597" s="23">
        <v>0</v>
      </c>
      <c r="AP597" s="23">
        <v>0</v>
      </c>
      <c r="AQ597" s="23">
        <v>0</v>
      </c>
      <c r="AR597" s="35">
        <v>0</v>
      </c>
      <c r="AS597" s="35">
        <v>0</v>
      </c>
      <c r="AT597" s="35">
        <v>4</v>
      </c>
      <c r="AU597" s="31" t="str">
        <f t="shared" si="12"/>
        <v>库存为4</v>
      </c>
      <c r="AV597" s="36" t="str">
        <f>IFERROR($A$2+AU597,"上周无销量")</f>
        <v>上周无销量</v>
      </c>
    </row>
    <row r="598" spans="1:48">
      <c r="A598" s="21" t="s">
        <v>1263</v>
      </c>
      <c r="B598" t="s">
        <v>1264</v>
      </c>
      <c r="C598" t="s">
        <v>1256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4</v>
      </c>
      <c r="J598" s="33">
        <v>0</v>
      </c>
      <c r="K598" s="33">
        <v>0</v>
      </c>
      <c r="L598" s="33">
        <v>0</v>
      </c>
      <c r="M598">
        <v>4</v>
      </c>
      <c r="N598">
        <v>0</v>
      </c>
      <c r="O598">
        <v>4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2</v>
      </c>
      <c r="AK598">
        <v>0</v>
      </c>
      <c r="AL598">
        <v>1</v>
      </c>
      <c r="AM598">
        <v>0</v>
      </c>
      <c r="AN598" s="23">
        <v>0</v>
      </c>
      <c r="AO598" s="23" t="s">
        <v>54</v>
      </c>
      <c r="AP598" s="23">
        <v>0</v>
      </c>
      <c r="AQ598" s="23" t="s">
        <v>54</v>
      </c>
      <c r="AR598" s="35">
        <v>0</v>
      </c>
      <c r="AS598" s="35">
        <v>0</v>
      </c>
      <c r="AT598" s="35">
        <v>4</v>
      </c>
      <c r="AU598" s="31" t="str">
        <f t="shared" si="12"/>
        <v>库存为4</v>
      </c>
      <c r="AV598" s="36" t="str">
        <f>IFERROR($A$2+AU598,"上周无销量")</f>
        <v>上周无销量</v>
      </c>
    </row>
    <row r="599" spans="1:48">
      <c r="A599" s="21" t="s">
        <v>1265</v>
      </c>
      <c r="B599" t="s">
        <v>1266</v>
      </c>
      <c r="C599" t="s">
        <v>1256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4</v>
      </c>
      <c r="J599" s="33">
        <v>0</v>
      </c>
      <c r="K599" s="33">
        <v>0</v>
      </c>
      <c r="L599" s="33">
        <v>0</v>
      </c>
      <c r="M599">
        <v>4</v>
      </c>
      <c r="N599">
        <v>0</v>
      </c>
      <c r="O599">
        <v>4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3</v>
      </c>
      <c r="AK599">
        <v>1</v>
      </c>
      <c r="AL599">
        <v>1</v>
      </c>
      <c r="AM599">
        <v>0</v>
      </c>
      <c r="AN599" s="23">
        <v>0</v>
      </c>
      <c r="AO599" s="23">
        <v>0</v>
      </c>
      <c r="AP599" s="23">
        <v>0</v>
      </c>
      <c r="AQ599" s="23" t="s">
        <v>54</v>
      </c>
      <c r="AR599" s="35">
        <v>0</v>
      </c>
      <c r="AS599" s="35">
        <v>0</v>
      </c>
      <c r="AT599" s="35">
        <v>4</v>
      </c>
      <c r="AU599" s="31" t="str">
        <f t="shared" si="12"/>
        <v>库存为4</v>
      </c>
      <c r="AV599" s="36" t="str">
        <f>IFERROR($A$2+AU599,"上周无销量")</f>
        <v>上周无销量</v>
      </c>
    </row>
    <row r="600" spans="1:48">
      <c r="A600" s="21" t="s">
        <v>1267</v>
      </c>
      <c r="B600" t="s">
        <v>1268</v>
      </c>
      <c r="C600" t="s">
        <v>1256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4</v>
      </c>
      <c r="J600" s="33">
        <v>0</v>
      </c>
      <c r="K600" s="33">
        <v>0</v>
      </c>
      <c r="L600" s="33">
        <v>0</v>
      </c>
      <c r="M600">
        <v>4</v>
      </c>
      <c r="N600">
        <v>0</v>
      </c>
      <c r="O600">
        <v>4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2</v>
      </c>
      <c r="AK600">
        <v>1</v>
      </c>
      <c r="AL600">
        <v>2</v>
      </c>
      <c r="AM600">
        <v>0</v>
      </c>
      <c r="AN600" s="23">
        <v>0</v>
      </c>
      <c r="AO600" s="23">
        <v>0</v>
      </c>
      <c r="AP600" s="23">
        <v>0</v>
      </c>
      <c r="AQ600" s="23" t="s">
        <v>54</v>
      </c>
      <c r="AR600" s="35">
        <v>0</v>
      </c>
      <c r="AS600" s="35">
        <v>0</v>
      </c>
      <c r="AT600" s="35">
        <v>4</v>
      </c>
      <c r="AU600" s="31" t="str">
        <f t="shared" si="12"/>
        <v>库存为4</v>
      </c>
      <c r="AV600" s="36" t="str">
        <f>IFERROR($A$2+AU600,"上周无销量")</f>
        <v>上周无销量</v>
      </c>
    </row>
    <row r="601" spans="1:48">
      <c r="A601" s="21" t="s">
        <v>1269</v>
      </c>
      <c r="B601" t="s">
        <v>1270</v>
      </c>
      <c r="C601" t="s">
        <v>1256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4</v>
      </c>
      <c r="J601" s="33">
        <v>0</v>
      </c>
      <c r="K601" s="33">
        <v>0</v>
      </c>
      <c r="L601" s="33">
        <v>0</v>
      </c>
      <c r="M601">
        <v>4</v>
      </c>
      <c r="N601">
        <v>0</v>
      </c>
      <c r="O601">
        <v>4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3</v>
      </c>
      <c r="AK601">
        <v>0</v>
      </c>
      <c r="AL601">
        <v>2</v>
      </c>
      <c r="AM601">
        <v>3</v>
      </c>
      <c r="AN601" s="23">
        <v>0</v>
      </c>
      <c r="AO601" s="23" t="s">
        <v>54</v>
      </c>
      <c r="AP601" s="23">
        <v>0</v>
      </c>
      <c r="AQ601" s="23">
        <v>0</v>
      </c>
      <c r="AR601" s="35">
        <v>0</v>
      </c>
      <c r="AS601" s="35">
        <v>0</v>
      </c>
      <c r="AT601" s="35">
        <v>4</v>
      </c>
      <c r="AU601" s="31" t="str">
        <f t="shared" si="12"/>
        <v>库存为4</v>
      </c>
      <c r="AV601" s="36" t="str">
        <f>IFERROR($A$2+AU601,"上周无销量")</f>
        <v>上周无销量</v>
      </c>
    </row>
    <row r="602" spans="1:48">
      <c r="A602" s="21" t="s">
        <v>1271</v>
      </c>
      <c r="B602" t="s">
        <v>1272</v>
      </c>
      <c r="C602" t="s">
        <v>1256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4</v>
      </c>
      <c r="J602" s="33">
        <v>0</v>
      </c>
      <c r="K602" s="33">
        <v>0</v>
      </c>
      <c r="L602" s="33">
        <v>0</v>
      </c>
      <c r="M602">
        <v>4</v>
      </c>
      <c r="N602">
        <v>0</v>
      </c>
      <c r="O602">
        <v>4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1</v>
      </c>
      <c r="AK602">
        <v>0</v>
      </c>
      <c r="AL602">
        <v>2</v>
      </c>
      <c r="AM602">
        <v>0</v>
      </c>
      <c r="AN602" s="23">
        <v>0</v>
      </c>
      <c r="AO602" s="23" t="s">
        <v>54</v>
      </c>
      <c r="AP602" s="23">
        <v>0</v>
      </c>
      <c r="AQ602" s="23" t="s">
        <v>54</v>
      </c>
      <c r="AR602" s="35">
        <v>0</v>
      </c>
      <c r="AS602" s="35">
        <v>0</v>
      </c>
      <c r="AT602" s="35">
        <v>4</v>
      </c>
      <c r="AU602" s="31" t="str">
        <f t="shared" si="12"/>
        <v>库存为4</v>
      </c>
      <c r="AV602" s="36" t="str">
        <f>IFERROR($A$2+AU602,"上周无销量")</f>
        <v>上周无销量</v>
      </c>
    </row>
    <row r="603" spans="1:48">
      <c r="A603" s="21" t="s">
        <v>1273</v>
      </c>
      <c r="B603" t="s">
        <v>1274</v>
      </c>
      <c r="C603" t="s">
        <v>1256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4</v>
      </c>
      <c r="J603" s="33">
        <v>0</v>
      </c>
      <c r="K603" s="33">
        <v>0</v>
      </c>
      <c r="L603" s="33">
        <v>0</v>
      </c>
      <c r="M603">
        <v>4</v>
      </c>
      <c r="N603">
        <v>0</v>
      </c>
      <c r="O603">
        <v>4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2</v>
      </c>
      <c r="AK603">
        <v>2</v>
      </c>
      <c r="AL603">
        <v>3</v>
      </c>
      <c r="AM603">
        <v>0</v>
      </c>
      <c r="AN603" s="23">
        <v>0</v>
      </c>
      <c r="AO603" s="23">
        <v>0</v>
      </c>
      <c r="AP603" s="23">
        <v>0</v>
      </c>
      <c r="AQ603" s="23" t="s">
        <v>54</v>
      </c>
      <c r="AR603" s="35">
        <v>0</v>
      </c>
      <c r="AS603" s="35">
        <v>0</v>
      </c>
      <c r="AT603" s="35">
        <v>4</v>
      </c>
      <c r="AU603" s="31" t="str">
        <f t="shared" si="12"/>
        <v>库存为4</v>
      </c>
      <c r="AV603" s="36" t="str">
        <f>IFERROR($A$2+AU603,"上周无销量")</f>
        <v>上周无销量</v>
      </c>
    </row>
    <row r="604" spans="1:48">
      <c r="A604" s="21" t="s">
        <v>1275</v>
      </c>
      <c r="B604" t="s">
        <v>1276</v>
      </c>
      <c r="C604" t="s">
        <v>1256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4</v>
      </c>
      <c r="J604" s="33">
        <v>0</v>
      </c>
      <c r="K604" s="33">
        <v>0</v>
      </c>
      <c r="L604" s="33">
        <v>0</v>
      </c>
      <c r="M604">
        <v>4</v>
      </c>
      <c r="N604">
        <v>0</v>
      </c>
      <c r="O604">
        <v>4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2</v>
      </c>
      <c r="AK604">
        <v>1</v>
      </c>
      <c r="AL604">
        <v>0</v>
      </c>
      <c r="AM604">
        <v>0</v>
      </c>
      <c r="AN604" s="23">
        <v>0</v>
      </c>
      <c r="AO604" s="23">
        <v>0</v>
      </c>
      <c r="AP604" s="23" t="s">
        <v>54</v>
      </c>
      <c r="AQ604" s="23" t="s">
        <v>54</v>
      </c>
      <c r="AR604" s="35">
        <v>0</v>
      </c>
      <c r="AS604" s="35">
        <v>0</v>
      </c>
      <c r="AT604" s="35">
        <v>4</v>
      </c>
      <c r="AU604" s="31" t="str">
        <f t="shared" si="12"/>
        <v>库存为4</v>
      </c>
      <c r="AV604" s="36" t="str">
        <f>IFERROR($A$2+AU604,"上周无销量")</f>
        <v>上周无销量</v>
      </c>
    </row>
    <row r="605" spans="1:48">
      <c r="A605" s="21" t="s">
        <v>1277</v>
      </c>
      <c r="B605" t="s">
        <v>1278</v>
      </c>
      <c r="C605" t="s">
        <v>1256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4</v>
      </c>
      <c r="J605" s="33">
        <v>0</v>
      </c>
      <c r="K605" s="33">
        <v>0</v>
      </c>
      <c r="L605" s="33">
        <v>0</v>
      </c>
      <c r="M605">
        <v>4</v>
      </c>
      <c r="N605">
        <v>0</v>
      </c>
      <c r="O605">
        <v>4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1</v>
      </c>
      <c r="AK605">
        <v>0</v>
      </c>
      <c r="AL605">
        <v>1</v>
      </c>
      <c r="AM605">
        <v>1</v>
      </c>
      <c r="AN605" s="23">
        <v>0</v>
      </c>
      <c r="AO605" s="23" t="s">
        <v>54</v>
      </c>
      <c r="AP605" s="23">
        <v>0</v>
      </c>
      <c r="AQ605" s="23">
        <v>0</v>
      </c>
      <c r="AR605" s="35">
        <v>0</v>
      </c>
      <c r="AS605" s="35">
        <v>0</v>
      </c>
      <c r="AT605" s="35">
        <v>4</v>
      </c>
      <c r="AU605" s="31" t="str">
        <f t="shared" si="12"/>
        <v>库存为4</v>
      </c>
      <c r="AV605" s="36" t="str">
        <f>IFERROR($A$2+AU605,"上周无销量")</f>
        <v>上周无销量</v>
      </c>
    </row>
    <row r="606" spans="1:48">
      <c r="A606" s="21" t="s">
        <v>1279</v>
      </c>
      <c r="B606" t="s">
        <v>1280</v>
      </c>
      <c r="C606" t="s">
        <v>1256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4</v>
      </c>
      <c r="J606" s="33">
        <v>0</v>
      </c>
      <c r="K606" s="33">
        <v>0</v>
      </c>
      <c r="L606" s="33">
        <v>0</v>
      </c>
      <c r="M606">
        <v>4</v>
      </c>
      <c r="N606">
        <v>0</v>
      </c>
      <c r="O606">
        <v>4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2</v>
      </c>
      <c r="AK606">
        <v>0</v>
      </c>
      <c r="AL606">
        <v>1</v>
      </c>
      <c r="AM606">
        <v>0</v>
      </c>
      <c r="AN606" s="23">
        <v>0</v>
      </c>
      <c r="AO606" s="23" t="s">
        <v>54</v>
      </c>
      <c r="AP606" s="23">
        <v>0</v>
      </c>
      <c r="AQ606" s="23" t="s">
        <v>54</v>
      </c>
      <c r="AR606" s="35">
        <v>0</v>
      </c>
      <c r="AS606" s="35">
        <v>0</v>
      </c>
      <c r="AT606" s="35">
        <v>4</v>
      </c>
      <c r="AU606" s="31" t="str">
        <f t="shared" si="12"/>
        <v>库存为4</v>
      </c>
      <c r="AV606" s="36" t="str">
        <f>IFERROR($A$2+AU606,"上周无销量")</f>
        <v>上周无销量</v>
      </c>
    </row>
    <row r="607" spans="1:48">
      <c r="A607" s="21" t="s">
        <v>1281</v>
      </c>
      <c r="B607" t="s">
        <v>1282</v>
      </c>
      <c r="C607" t="s">
        <v>1256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4</v>
      </c>
      <c r="J607" s="33">
        <v>0</v>
      </c>
      <c r="K607" s="33">
        <v>0</v>
      </c>
      <c r="L607" s="33">
        <v>0</v>
      </c>
      <c r="M607">
        <v>4</v>
      </c>
      <c r="N607">
        <v>0</v>
      </c>
      <c r="O607">
        <v>4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2</v>
      </c>
      <c r="AK607">
        <v>1</v>
      </c>
      <c r="AL607">
        <v>1</v>
      </c>
      <c r="AM607">
        <v>1</v>
      </c>
      <c r="AN607" s="23">
        <v>0</v>
      </c>
      <c r="AO607" s="23">
        <v>0</v>
      </c>
      <c r="AP607" s="23">
        <v>0</v>
      </c>
      <c r="AQ607" s="23">
        <v>0</v>
      </c>
      <c r="AR607" s="35">
        <v>0</v>
      </c>
      <c r="AS607" s="35">
        <v>0</v>
      </c>
      <c r="AT607" s="35">
        <v>4</v>
      </c>
      <c r="AU607" s="31" t="str">
        <f t="shared" si="12"/>
        <v>库存为4</v>
      </c>
      <c r="AV607" s="36" t="str">
        <f>IFERROR($A$2+AU607,"上周无销量")</f>
        <v>上周无销量</v>
      </c>
    </row>
    <row r="608" spans="1:48">
      <c r="A608" s="21" t="s">
        <v>1283</v>
      </c>
      <c r="B608" t="s">
        <v>1284</v>
      </c>
      <c r="C608" t="s">
        <v>1256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4</v>
      </c>
      <c r="J608" s="33">
        <v>0</v>
      </c>
      <c r="K608" s="33">
        <v>0</v>
      </c>
      <c r="L608" s="33">
        <v>0</v>
      </c>
      <c r="M608">
        <v>4</v>
      </c>
      <c r="N608">
        <v>0</v>
      </c>
      <c r="O608">
        <v>4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2</v>
      </c>
      <c r="AK608">
        <v>2</v>
      </c>
      <c r="AL608">
        <v>1</v>
      </c>
      <c r="AM608">
        <v>2</v>
      </c>
      <c r="AN608" s="23">
        <v>0</v>
      </c>
      <c r="AO608" s="23">
        <v>0</v>
      </c>
      <c r="AP608" s="23">
        <v>0</v>
      </c>
      <c r="AQ608" s="23">
        <v>0</v>
      </c>
      <c r="AR608" s="35">
        <v>0</v>
      </c>
      <c r="AS608" s="35">
        <v>0</v>
      </c>
      <c r="AT608" s="35">
        <v>4</v>
      </c>
      <c r="AU608" s="31" t="str">
        <f t="shared" si="12"/>
        <v>库存为4</v>
      </c>
      <c r="AV608" s="36" t="str">
        <f>IFERROR($A$2+AU608,"上周无销量")</f>
        <v>上周无销量</v>
      </c>
    </row>
    <row r="609" spans="1:48">
      <c r="A609" s="21" t="s">
        <v>1285</v>
      </c>
      <c r="B609" t="s">
        <v>1286</v>
      </c>
      <c r="C609" t="s">
        <v>1256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4</v>
      </c>
      <c r="J609" s="33">
        <v>0</v>
      </c>
      <c r="K609" s="33">
        <v>0</v>
      </c>
      <c r="L609" s="33">
        <v>0</v>
      </c>
      <c r="M609">
        <v>4</v>
      </c>
      <c r="N609">
        <v>0</v>
      </c>
      <c r="O609">
        <v>4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2</v>
      </c>
      <c r="AK609">
        <v>0</v>
      </c>
      <c r="AL609">
        <v>1</v>
      </c>
      <c r="AM609">
        <v>4</v>
      </c>
      <c r="AN609" s="23">
        <v>0</v>
      </c>
      <c r="AO609" s="23" t="s">
        <v>54</v>
      </c>
      <c r="AP609" s="23">
        <v>0</v>
      </c>
      <c r="AQ609" s="23">
        <v>0</v>
      </c>
      <c r="AR609" s="35">
        <v>0</v>
      </c>
      <c r="AS609" s="35">
        <v>0</v>
      </c>
      <c r="AT609" s="35">
        <v>4</v>
      </c>
      <c r="AU609" s="31" t="str">
        <f t="shared" si="12"/>
        <v>库存为4</v>
      </c>
      <c r="AV609" s="36" t="str">
        <f>IFERROR($A$2+AU609,"上周无销量")</f>
        <v>上周无销量</v>
      </c>
    </row>
    <row r="610" spans="1:48">
      <c r="A610" s="21" t="s">
        <v>1287</v>
      </c>
      <c r="B610" t="s">
        <v>1288</v>
      </c>
      <c r="C610" t="s">
        <v>1256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4</v>
      </c>
      <c r="J610" s="33">
        <v>0</v>
      </c>
      <c r="K610" s="33">
        <v>0</v>
      </c>
      <c r="L610" s="33">
        <v>0</v>
      </c>
      <c r="M610">
        <v>4</v>
      </c>
      <c r="N610">
        <v>0</v>
      </c>
      <c r="O610">
        <v>4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4</v>
      </c>
      <c r="AK610">
        <v>0</v>
      </c>
      <c r="AL610">
        <v>2</v>
      </c>
      <c r="AM610">
        <v>2</v>
      </c>
      <c r="AN610" s="23">
        <v>0</v>
      </c>
      <c r="AO610" s="23" t="s">
        <v>54</v>
      </c>
      <c r="AP610" s="23">
        <v>0</v>
      </c>
      <c r="AQ610" s="23">
        <v>0</v>
      </c>
      <c r="AR610" s="35">
        <v>0</v>
      </c>
      <c r="AS610" s="35">
        <v>0</v>
      </c>
      <c r="AT610" s="35">
        <v>4</v>
      </c>
      <c r="AU610" s="31" t="str">
        <f t="shared" si="12"/>
        <v>库存为4</v>
      </c>
      <c r="AV610" s="36" t="str">
        <f>IFERROR($A$2+AU610,"上周无销量")</f>
        <v>上周无销量</v>
      </c>
    </row>
    <row r="611" spans="1:48">
      <c r="A611" s="21" t="s">
        <v>1289</v>
      </c>
      <c r="B611" t="s">
        <v>1290</v>
      </c>
      <c r="C611" t="s">
        <v>1256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4</v>
      </c>
      <c r="J611" s="33">
        <v>0</v>
      </c>
      <c r="K611" s="33">
        <v>0</v>
      </c>
      <c r="L611" s="33">
        <v>0</v>
      </c>
      <c r="M611">
        <v>4</v>
      </c>
      <c r="N611">
        <v>0</v>
      </c>
      <c r="O611">
        <v>4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2</v>
      </c>
      <c r="AK611">
        <v>1</v>
      </c>
      <c r="AL611">
        <v>1</v>
      </c>
      <c r="AM611">
        <v>2</v>
      </c>
      <c r="AN611" s="23">
        <v>0</v>
      </c>
      <c r="AO611" s="23">
        <v>0</v>
      </c>
      <c r="AP611" s="23">
        <v>0</v>
      </c>
      <c r="AQ611" s="23">
        <v>0</v>
      </c>
      <c r="AR611" s="35">
        <v>0</v>
      </c>
      <c r="AS611" s="35">
        <v>0</v>
      </c>
      <c r="AT611" s="35">
        <v>4</v>
      </c>
      <c r="AU611" s="31" t="str">
        <f t="shared" si="12"/>
        <v>库存为4</v>
      </c>
      <c r="AV611" s="36" t="str">
        <f>IFERROR($A$2+AU611,"上周无销量")</f>
        <v>上周无销量</v>
      </c>
    </row>
    <row r="612" spans="1:48">
      <c r="A612" s="21" t="s">
        <v>1291</v>
      </c>
      <c r="B612" t="s">
        <v>1292</v>
      </c>
      <c r="C612" t="s">
        <v>1256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4</v>
      </c>
      <c r="J612" s="33">
        <v>0</v>
      </c>
      <c r="K612" s="33">
        <v>0</v>
      </c>
      <c r="L612" s="33">
        <v>0</v>
      </c>
      <c r="M612">
        <v>4</v>
      </c>
      <c r="N612">
        <v>0</v>
      </c>
      <c r="O612">
        <v>4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3</v>
      </c>
      <c r="AK612">
        <v>2</v>
      </c>
      <c r="AL612">
        <v>2</v>
      </c>
      <c r="AM612">
        <v>2</v>
      </c>
      <c r="AN612" s="23">
        <v>0</v>
      </c>
      <c r="AO612" s="23">
        <v>0</v>
      </c>
      <c r="AP612" s="23">
        <v>0</v>
      </c>
      <c r="AQ612" s="23">
        <v>0</v>
      </c>
      <c r="AR612" s="35">
        <v>0</v>
      </c>
      <c r="AS612" s="35">
        <v>0</v>
      </c>
      <c r="AT612" s="35">
        <v>4</v>
      </c>
      <c r="AU612" s="31" t="str">
        <f t="shared" si="12"/>
        <v>库存为4</v>
      </c>
      <c r="AV612" s="36" t="str">
        <f>IFERROR($A$2+AU612,"上周无销量")</f>
        <v>上周无销量</v>
      </c>
    </row>
    <row r="613" spans="1:48">
      <c r="A613" s="21" t="s">
        <v>1293</v>
      </c>
      <c r="B613" t="s">
        <v>1294</v>
      </c>
      <c r="C613" t="s">
        <v>1256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4</v>
      </c>
      <c r="J613" s="33">
        <v>0</v>
      </c>
      <c r="K613" s="33">
        <v>0</v>
      </c>
      <c r="L613" s="33">
        <v>0</v>
      </c>
      <c r="M613">
        <v>4</v>
      </c>
      <c r="N613">
        <v>0</v>
      </c>
      <c r="O613">
        <v>4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3</v>
      </c>
      <c r="AK613">
        <v>1</v>
      </c>
      <c r="AL613">
        <v>1</v>
      </c>
      <c r="AM613">
        <v>2</v>
      </c>
      <c r="AN613" s="23">
        <v>0</v>
      </c>
      <c r="AO613" s="23">
        <v>0</v>
      </c>
      <c r="AP613" s="23">
        <v>0</v>
      </c>
      <c r="AQ613" s="23">
        <v>0</v>
      </c>
      <c r="AR613" s="35">
        <v>0</v>
      </c>
      <c r="AS613" s="35">
        <v>0</v>
      </c>
      <c r="AT613" s="35">
        <v>4</v>
      </c>
      <c r="AU613" s="31" t="str">
        <f t="shared" si="12"/>
        <v>库存为4</v>
      </c>
      <c r="AV613" s="36" t="str">
        <f>IFERROR($A$2+AU613,"上周无销量")</f>
        <v>上周无销量</v>
      </c>
    </row>
    <row r="614" spans="1:48">
      <c r="A614" s="21" t="s">
        <v>1295</v>
      </c>
      <c r="B614" t="s">
        <v>1296</v>
      </c>
      <c r="C614" t="s">
        <v>1256</v>
      </c>
      <c r="D614" s="31">
        <v>1</v>
      </c>
      <c r="E614" s="31">
        <v>0</v>
      </c>
      <c r="F614" s="31">
        <v>0</v>
      </c>
      <c r="G614" s="31">
        <v>0</v>
      </c>
      <c r="H614" s="32">
        <v>9.5</v>
      </c>
      <c r="I614">
        <v>1</v>
      </c>
      <c r="J614" s="33">
        <v>0</v>
      </c>
      <c r="K614" s="33">
        <v>0</v>
      </c>
      <c r="L614" s="33">
        <v>0</v>
      </c>
      <c r="M614">
        <v>1</v>
      </c>
      <c r="N614">
        <v>0</v>
      </c>
      <c r="O614">
        <v>1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4</v>
      </c>
      <c r="AK614">
        <v>1</v>
      </c>
      <c r="AL614">
        <v>0</v>
      </c>
      <c r="AM614">
        <v>0</v>
      </c>
      <c r="AN614" s="23">
        <v>0.25</v>
      </c>
      <c r="AO614" s="23">
        <v>0</v>
      </c>
      <c r="AP614" s="23" t="s">
        <v>54</v>
      </c>
      <c r="AQ614" s="23" t="s">
        <v>54</v>
      </c>
      <c r="AR614" s="35">
        <v>0.142857142857143</v>
      </c>
      <c r="AS614" s="35">
        <v>8.57142857142857</v>
      </c>
      <c r="AT614" s="35">
        <v>-7.57142857142857</v>
      </c>
      <c r="AU614" s="31">
        <f t="shared" si="12"/>
        <v>7</v>
      </c>
      <c r="AV614" s="36">
        <f>IFERROR($A$2+AU614,"上周无销量")</f>
        <v>43283</v>
      </c>
    </row>
    <row r="615" spans="1:48">
      <c r="A615" s="21" t="s">
        <v>1297</v>
      </c>
      <c r="B615" t="s">
        <v>1298</v>
      </c>
      <c r="C615" t="s">
        <v>1256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2</v>
      </c>
      <c r="J615" s="33">
        <v>0</v>
      </c>
      <c r="K615" s="33">
        <v>0</v>
      </c>
      <c r="L615" s="33">
        <v>0</v>
      </c>
      <c r="M615">
        <v>2</v>
      </c>
      <c r="N615">
        <v>0</v>
      </c>
      <c r="O615">
        <v>2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1</v>
      </c>
      <c r="AK615">
        <v>2</v>
      </c>
      <c r="AL615">
        <v>1</v>
      </c>
      <c r="AM615">
        <v>0</v>
      </c>
      <c r="AN615" s="23">
        <v>0</v>
      </c>
      <c r="AO615" s="23">
        <v>0</v>
      </c>
      <c r="AP615" s="23">
        <v>0</v>
      </c>
      <c r="AQ615" s="23" t="s">
        <v>54</v>
      </c>
      <c r="AR615" s="35">
        <v>0</v>
      </c>
      <c r="AS615" s="35">
        <v>0</v>
      </c>
      <c r="AT615" s="35">
        <v>2</v>
      </c>
      <c r="AU615" s="31" t="str">
        <f t="shared" si="12"/>
        <v>库存为2</v>
      </c>
      <c r="AV615" s="36" t="str">
        <f>IFERROR($A$2+AU615,"上周无销量")</f>
        <v>上周无销量</v>
      </c>
    </row>
    <row r="616" spans="1:48">
      <c r="A616" s="21" t="s">
        <v>1299</v>
      </c>
      <c r="B616" t="s">
        <v>1300</v>
      </c>
      <c r="C616" t="s">
        <v>1256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3</v>
      </c>
      <c r="J616" s="33">
        <v>0</v>
      </c>
      <c r="K616" s="33">
        <v>0</v>
      </c>
      <c r="L616" s="33">
        <v>0</v>
      </c>
      <c r="M616">
        <v>3</v>
      </c>
      <c r="N616">
        <v>0</v>
      </c>
      <c r="O616">
        <v>3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2</v>
      </c>
      <c r="AK616">
        <v>4</v>
      </c>
      <c r="AL616">
        <v>2</v>
      </c>
      <c r="AM616">
        <v>0</v>
      </c>
      <c r="AN616" s="23">
        <v>0</v>
      </c>
      <c r="AO616" s="23">
        <v>0</v>
      </c>
      <c r="AP616" s="23">
        <v>0</v>
      </c>
      <c r="AQ616" s="23" t="s">
        <v>54</v>
      </c>
      <c r="AR616" s="35">
        <v>0</v>
      </c>
      <c r="AS616" s="35">
        <v>0</v>
      </c>
      <c r="AT616" s="35">
        <v>3</v>
      </c>
      <c r="AU616" s="31" t="str">
        <f t="shared" si="12"/>
        <v>库存为3</v>
      </c>
      <c r="AV616" s="36" t="str">
        <f>IFERROR($A$2+AU616,"上周无销量")</f>
        <v>上周无销量</v>
      </c>
    </row>
    <row r="617" spans="1:48">
      <c r="A617" s="21" t="s">
        <v>1301</v>
      </c>
      <c r="B617" t="s">
        <v>1302</v>
      </c>
      <c r="C617" t="s">
        <v>1256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1</v>
      </c>
      <c r="J617" s="33">
        <v>0</v>
      </c>
      <c r="K617" s="33">
        <v>0</v>
      </c>
      <c r="L617" s="33">
        <v>0</v>
      </c>
      <c r="M617">
        <v>1</v>
      </c>
      <c r="N617">
        <v>0</v>
      </c>
      <c r="O617">
        <v>1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2</v>
      </c>
      <c r="AK617">
        <v>0</v>
      </c>
      <c r="AL617">
        <v>3</v>
      </c>
      <c r="AM617">
        <v>1</v>
      </c>
      <c r="AN617" s="23">
        <v>0</v>
      </c>
      <c r="AO617" s="23" t="s">
        <v>54</v>
      </c>
      <c r="AP617" s="23">
        <v>0</v>
      </c>
      <c r="AQ617" s="23">
        <v>0</v>
      </c>
      <c r="AR617" s="35">
        <v>0</v>
      </c>
      <c r="AS617" s="35">
        <v>0</v>
      </c>
      <c r="AT617" s="35">
        <v>1</v>
      </c>
      <c r="AU617" s="31" t="str">
        <f t="shared" si="12"/>
        <v>库存为1</v>
      </c>
      <c r="AV617" s="36" t="str">
        <f>IFERROR($A$2+AU617,"上周无销量")</f>
        <v>上周无销量</v>
      </c>
    </row>
    <row r="618" spans="1:48">
      <c r="A618" s="21" t="s">
        <v>1303</v>
      </c>
      <c r="B618" t="s">
        <v>1304</v>
      </c>
      <c r="C618" t="s">
        <v>1256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4</v>
      </c>
      <c r="J618" s="33">
        <v>0</v>
      </c>
      <c r="K618" s="33">
        <v>0</v>
      </c>
      <c r="L618" s="33">
        <v>0</v>
      </c>
      <c r="M618">
        <v>4</v>
      </c>
      <c r="N618">
        <v>0</v>
      </c>
      <c r="O618">
        <v>4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2</v>
      </c>
      <c r="AK618">
        <v>1</v>
      </c>
      <c r="AL618">
        <v>0</v>
      </c>
      <c r="AM618">
        <v>1</v>
      </c>
      <c r="AN618" s="23">
        <v>0</v>
      </c>
      <c r="AO618" s="23">
        <v>0</v>
      </c>
      <c r="AP618" s="23" t="s">
        <v>54</v>
      </c>
      <c r="AQ618" s="23">
        <v>0</v>
      </c>
      <c r="AR618" s="35">
        <v>0</v>
      </c>
      <c r="AS618" s="35">
        <v>0</v>
      </c>
      <c r="AT618" s="35">
        <v>4</v>
      </c>
      <c r="AU618" s="31" t="str">
        <f t="shared" si="12"/>
        <v>库存为4</v>
      </c>
      <c r="AV618" s="36" t="str">
        <f>IFERROR($A$2+AU618,"上周无销量")</f>
        <v>上周无销量</v>
      </c>
    </row>
    <row r="619" spans="1:48">
      <c r="A619" s="21" t="s">
        <v>1305</v>
      </c>
      <c r="B619" t="s">
        <v>1306</v>
      </c>
      <c r="C619" t="s">
        <v>1256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4</v>
      </c>
      <c r="J619" s="33">
        <v>0</v>
      </c>
      <c r="K619" s="33">
        <v>0</v>
      </c>
      <c r="L619" s="33">
        <v>0</v>
      </c>
      <c r="M619">
        <v>4</v>
      </c>
      <c r="N619">
        <v>0</v>
      </c>
      <c r="O619">
        <v>4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2</v>
      </c>
      <c r="AK619">
        <v>3</v>
      </c>
      <c r="AL619">
        <v>1</v>
      </c>
      <c r="AM619">
        <v>0</v>
      </c>
      <c r="AN619" s="23">
        <v>0</v>
      </c>
      <c r="AO619" s="23">
        <v>0</v>
      </c>
      <c r="AP619" s="23">
        <v>0</v>
      </c>
      <c r="AQ619" s="23" t="s">
        <v>54</v>
      </c>
      <c r="AR619" s="35">
        <v>0</v>
      </c>
      <c r="AS619" s="35">
        <v>0</v>
      </c>
      <c r="AT619" s="35">
        <v>4</v>
      </c>
      <c r="AU619" s="31" t="str">
        <f t="shared" si="12"/>
        <v>库存为4</v>
      </c>
      <c r="AV619" s="36" t="str">
        <f>IFERROR($A$2+AU619,"上周无销量")</f>
        <v>上周无销量</v>
      </c>
    </row>
    <row r="620" spans="1:48">
      <c r="A620" s="21" t="s">
        <v>1307</v>
      </c>
      <c r="B620" t="s">
        <v>1308</v>
      </c>
      <c r="C620" t="s">
        <v>1256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4</v>
      </c>
      <c r="J620" s="33">
        <v>0</v>
      </c>
      <c r="K620" s="33">
        <v>0</v>
      </c>
      <c r="L620" s="33">
        <v>0</v>
      </c>
      <c r="M620">
        <v>4</v>
      </c>
      <c r="N620">
        <v>0</v>
      </c>
      <c r="O620">
        <v>4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1</v>
      </c>
      <c r="AK620">
        <v>1</v>
      </c>
      <c r="AL620">
        <v>1</v>
      </c>
      <c r="AM620">
        <v>1</v>
      </c>
      <c r="AN620" s="23">
        <v>0</v>
      </c>
      <c r="AO620" s="23">
        <v>0</v>
      </c>
      <c r="AP620" s="23">
        <v>0</v>
      </c>
      <c r="AQ620" s="23">
        <v>0</v>
      </c>
      <c r="AR620" s="35">
        <v>0</v>
      </c>
      <c r="AS620" s="35">
        <v>0</v>
      </c>
      <c r="AT620" s="35">
        <v>4</v>
      </c>
      <c r="AU620" s="31" t="str">
        <f t="shared" si="12"/>
        <v>库存为4</v>
      </c>
      <c r="AV620" s="36" t="str">
        <f>IFERROR($A$2+AU620,"上周无销量")</f>
        <v>上周无销量</v>
      </c>
    </row>
    <row r="621" spans="1:48">
      <c r="A621" s="21" t="s">
        <v>1309</v>
      </c>
      <c r="B621" t="s">
        <v>1310</v>
      </c>
      <c r="C621" t="s">
        <v>1256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3</v>
      </c>
      <c r="J621" s="33">
        <v>0</v>
      </c>
      <c r="K621" s="33">
        <v>0</v>
      </c>
      <c r="L621" s="33">
        <v>0</v>
      </c>
      <c r="M621">
        <v>3</v>
      </c>
      <c r="N621">
        <v>0</v>
      </c>
      <c r="O621">
        <v>3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2</v>
      </c>
      <c r="AK621">
        <v>0</v>
      </c>
      <c r="AL621">
        <v>2</v>
      </c>
      <c r="AM621">
        <v>1</v>
      </c>
      <c r="AN621" s="23">
        <v>0</v>
      </c>
      <c r="AO621" s="23" t="s">
        <v>54</v>
      </c>
      <c r="AP621" s="23">
        <v>0</v>
      </c>
      <c r="AQ621" s="23">
        <v>0</v>
      </c>
      <c r="AR621" s="35">
        <v>0</v>
      </c>
      <c r="AS621" s="35">
        <v>0</v>
      </c>
      <c r="AT621" s="35">
        <v>3</v>
      </c>
      <c r="AU621" s="31" t="str">
        <f t="shared" si="12"/>
        <v>库存为3</v>
      </c>
      <c r="AV621" s="36" t="str">
        <f>IFERROR($A$2+AU621,"上周无销量")</f>
        <v>上周无销量</v>
      </c>
    </row>
    <row r="622" spans="1:48">
      <c r="A622" s="21" t="s">
        <v>1311</v>
      </c>
      <c r="B622" t="s">
        <v>1312</v>
      </c>
      <c r="C622" t="s">
        <v>1256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4</v>
      </c>
      <c r="J622" s="33">
        <v>0</v>
      </c>
      <c r="K622" s="33">
        <v>0</v>
      </c>
      <c r="L622" s="33">
        <v>0</v>
      </c>
      <c r="M622">
        <v>4</v>
      </c>
      <c r="N622">
        <v>0</v>
      </c>
      <c r="O622">
        <v>4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2</v>
      </c>
      <c r="AK622">
        <v>1</v>
      </c>
      <c r="AL622">
        <v>0</v>
      </c>
      <c r="AM622">
        <v>1</v>
      </c>
      <c r="AN622" s="23">
        <v>0</v>
      </c>
      <c r="AO622" s="23">
        <v>0</v>
      </c>
      <c r="AP622" s="23" t="s">
        <v>54</v>
      </c>
      <c r="AQ622" s="23">
        <v>0</v>
      </c>
      <c r="AR622" s="35">
        <v>0</v>
      </c>
      <c r="AS622" s="35">
        <v>0</v>
      </c>
      <c r="AT622" s="35">
        <v>4</v>
      </c>
      <c r="AU622" s="31" t="str">
        <f t="shared" si="12"/>
        <v>库存为4</v>
      </c>
      <c r="AV622" s="36" t="str">
        <f>IFERROR($A$2+AU622,"上周无销量")</f>
        <v>上周无销量</v>
      </c>
    </row>
    <row r="623" spans="1:48">
      <c r="A623" s="21" t="s">
        <v>1313</v>
      </c>
      <c r="B623" t="s">
        <v>1314</v>
      </c>
      <c r="C623" t="s">
        <v>1256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4</v>
      </c>
      <c r="J623" s="33">
        <v>0</v>
      </c>
      <c r="K623" s="33">
        <v>0</v>
      </c>
      <c r="L623" s="33">
        <v>0</v>
      </c>
      <c r="M623">
        <v>4</v>
      </c>
      <c r="N623">
        <v>0</v>
      </c>
      <c r="O623">
        <v>4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2</v>
      </c>
      <c r="AK623">
        <v>0</v>
      </c>
      <c r="AL623">
        <v>2</v>
      </c>
      <c r="AM623">
        <v>2</v>
      </c>
      <c r="AN623" s="23">
        <v>0</v>
      </c>
      <c r="AO623" s="23" t="s">
        <v>54</v>
      </c>
      <c r="AP623" s="23">
        <v>0</v>
      </c>
      <c r="AQ623" s="23">
        <v>0</v>
      </c>
      <c r="AR623" s="35">
        <v>0</v>
      </c>
      <c r="AS623" s="35">
        <v>0</v>
      </c>
      <c r="AT623" s="35">
        <v>4</v>
      </c>
      <c r="AU623" s="31" t="str">
        <f t="shared" si="12"/>
        <v>库存为4</v>
      </c>
      <c r="AV623" s="36" t="str">
        <f>IFERROR($A$2+AU623,"上周无销量")</f>
        <v>上周无销量</v>
      </c>
    </row>
    <row r="624" spans="1:48">
      <c r="A624" s="21" t="s">
        <v>1315</v>
      </c>
      <c r="B624" t="s">
        <v>1316</v>
      </c>
      <c r="C624" t="s">
        <v>1256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4</v>
      </c>
      <c r="J624" s="33">
        <v>0</v>
      </c>
      <c r="K624" s="33">
        <v>0</v>
      </c>
      <c r="L624" s="33">
        <v>0</v>
      </c>
      <c r="M624">
        <v>4</v>
      </c>
      <c r="N624">
        <v>0</v>
      </c>
      <c r="O624">
        <v>4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2</v>
      </c>
      <c r="AK624">
        <v>2</v>
      </c>
      <c r="AL624">
        <v>2</v>
      </c>
      <c r="AM624">
        <v>1</v>
      </c>
      <c r="AN624" s="23">
        <v>0</v>
      </c>
      <c r="AO624" s="23">
        <v>0</v>
      </c>
      <c r="AP624" s="23">
        <v>0</v>
      </c>
      <c r="AQ624" s="23">
        <v>0</v>
      </c>
      <c r="AR624" s="35">
        <v>0</v>
      </c>
      <c r="AS624" s="35">
        <v>0</v>
      </c>
      <c r="AT624" s="35">
        <v>4</v>
      </c>
      <c r="AU624" s="31" t="str">
        <f t="shared" si="12"/>
        <v>库存为4</v>
      </c>
      <c r="AV624" s="36" t="str">
        <f>IFERROR($A$2+AU624,"上周无销量")</f>
        <v>上周无销量</v>
      </c>
    </row>
    <row r="625" spans="1:48">
      <c r="A625" s="21" t="s">
        <v>1317</v>
      </c>
      <c r="B625" t="s">
        <v>1318</v>
      </c>
      <c r="C625" t="s">
        <v>1256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4</v>
      </c>
      <c r="J625" s="33">
        <v>0</v>
      </c>
      <c r="K625" s="33">
        <v>0</v>
      </c>
      <c r="L625" s="33">
        <v>0</v>
      </c>
      <c r="M625">
        <v>4</v>
      </c>
      <c r="N625">
        <v>0</v>
      </c>
      <c r="O625">
        <v>4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3</v>
      </c>
      <c r="AK625">
        <v>1</v>
      </c>
      <c r="AL625">
        <v>0</v>
      </c>
      <c r="AM625">
        <v>1</v>
      </c>
      <c r="AN625" s="23">
        <v>0</v>
      </c>
      <c r="AO625" s="23">
        <v>0</v>
      </c>
      <c r="AP625" s="23" t="s">
        <v>54</v>
      </c>
      <c r="AQ625" s="23">
        <v>0</v>
      </c>
      <c r="AR625" s="35">
        <v>0</v>
      </c>
      <c r="AS625" s="35">
        <v>0</v>
      </c>
      <c r="AT625" s="35">
        <v>4</v>
      </c>
      <c r="AU625" s="31" t="str">
        <f t="shared" si="12"/>
        <v>库存为4</v>
      </c>
      <c r="AV625" s="36" t="str">
        <f>IFERROR($A$2+AU625,"上周无销量")</f>
        <v>上周无销量</v>
      </c>
    </row>
    <row r="626" spans="1:48">
      <c r="A626" s="21" t="s">
        <v>1319</v>
      </c>
      <c r="B626" t="s">
        <v>1320</v>
      </c>
      <c r="C626" t="s">
        <v>1256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4</v>
      </c>
      <c r="J626" s="33">
        <v>0</v>
      </c>
      <c r="K626" s="33">
        <v>0</v>
      </c>
      <c r="L626" s="33">
        <v>0</v>
      </c>
      <c r="M626">
        <v>4</v>
      </c>
      <c r="N626">
        <v>0</v>
      </c>
      <c r="O626">
        <v>4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1</v>
      </c>
      <c r="AK626">
        <v>2</v>
      </c>
      <c r="AL626">
        <v>1</v>
      </c>
      <c r="AM626">
        <v>2</v>
      </c>
      <c r="AN626" s="23">
        <v>0</v>
      </c>
      <c r="AO626" s="23">
        <v>0</v>
      </c>
      <c r="AP626" s="23">
        <v>0</v>
      </c>
      <c r="AQ626" s="23">
        <v>0</v>
      </c>
      <c r="AR626" s="35">
        <v>0</v>
      </c>
      <c r="AS626" s="35">
        <v>0</v>
      </c>
      <c r="AT626" s="35">
        <v>4</v>
      </c>
      <c r="AU626" s="31" t="str">
        <f t="shared" si="12"/>
        <v>库存为4</v>
      </c>
      <c r="AV626" s="36" t="str">
        <f>IFERROR($A$2+AU626,"上周无销量")</f>
        <v>上周无销量</v>
      </c>
    </row>
    <row r="627" spans="1:48">
      <c r="A627" s="21" t="s">
        <v>1321</v>
      </c>
      <c r="B627" t="s">
        <v>1322</v>
      </c>
      <c r="C627" t="s">
        <v>1256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4</v>
      </c>
      <c r="J627" s="33">
        <v>0</v>
      </c>
      <c r="K627" s="33">
        <v>0</v>
      </c>
      <c r="L627" s="33">
        <v>0</v>
      </c>
      <c r="M627">
        <v>4</v>
      </c>
      <c r="N627">
        <v>0</v>
      </c>
      <c r="O627">
        <v>4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1</v>
      </c>
      <c r="AL627">
        <v>0</v>
      </c>
      <c r="AM627">
        <v>0</v>
      </c>
      <c r="AN627" s="23" t="s">
        <v>54</v>
      </c>
      <c r="AO627" s="23">
        <v>0</v>
      </c>
      <c r="AP627" s="23" t="s">
        <v>54</v>
      </c>
      <c r="AQ627" s="23" t="s">
        <v>54</v>
      </c>
      <c r="AR627" s="35">
        <v>0</v>
      </c>
      <c r="AS627" s="35">
        <v>0</v>
      </c>
      <c r="AT627" s="35">
        <v>4</v>
      </c>
      <c r="AU627" s="31" t="str">
        <f t="shared" si="12"/>
        <v>库存为4</v>
      </c>
      <c r="AV627" s="36" t="str">
        <f>IFERROR($A$2+AU627,"上周无销量")</f>
        <v>上周无销量</v>
      </c>
    </row>
    <row r="628" spans="1:48">
      <c r="A628" s="21" t="s">
        <v>1323</v>
      </c>
      <c r="B628" t="s">
        <v>1324</v>
      </c>
      <c r="C628" t="s">
        <v>1256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4</v>
      </c>
      <c r="J628" s="33">
        <v>0</v>
      </c>
      <c r="K628" s="33">
        <v>0</v>
      </c>
      <c r="L628" s="33">
        <v>0</v>
      </c>
      <c r="M628">
        <v>4</v>
      </c>
      <c r="N628">
        <v>0</v>
      </c>
      <c r="O628">
        <v>4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1</v>
      </c>
      <c r="AK628">
        <v>1</v>
      </c>
      <c r="AL628">
        <v>0</v>
      </c>
      <c r="AM628">
        <v>3</v>
      </c>
      <c r="AN628" s="23">
        <v>0</v>
      </c>
      <c r="AO628" s="23">
        <v>0</v>
      </c>
      <c r="AP628" s="23" t="s">
        <v>54</v>
      </c>
      <c r="AQ628" s="23">
        <v>0</v>
      </c>
      <c r="AR628" s="35">
        <v>0</v>
      </c>
      <c r="AS628" s="35">
        <v>0</v>
      </c>
      <c r="AT628" s="35">
        <v>4</v>
      </c>
      <c r="AU628" s="31" t="str">
        <f t="shared" si="12"/>
        <v>库存为4</v>
      </c>
      <c r="AV628" s="36" t="str">
        <f>IFERROR($A$2+AU628,"上周无销量")</f>
        <v>上周无销量</v>
      </c>
    </row>
    <row r="629" spans="1:48">
      <c r="A629" s="21" t="s">
        <v>1325</v>
      </c>
      <c r="B629" t="s">
        <v>1326</v>
      </c>
      <c r="C629" t="s">
        <v>1256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3</v>
      </c>
      <c r="J629" s="33">
        <v>0</v>
      </c>
      <c r="K629" s="33">
        <v>0</v>
      </c>
      <c r="L629" s="33">
        <v>0</v>
      </c>
      <c r="M629">
        <v>3</v>
      </c>
      <c r="N629">
        <v>0</v>
      </c>
      <c r="O629">
        <v>3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2</v>
      </c>
      <c r="AK629">
        <v>1</v>
      </c>
      <c r="AL629">
        <v>0</v>
      </c>
      <c r="AM629">
        <v>4</v>
      </c>
      <c r="AN629" s="23">
        <v>0</v>
      </c>
      <c r="AO629" s="23">
        <v>0</v>
      </c>
      <c r="AP629" s="23" t="s">
        <v>54</v>
      </c>
      <c r="AQ629" s="23">
        <v>0</v>
      </c>
      <c r="AR629" s="35">
        <v>0</v>
      </c>
      <c r="AS629" s="35">
        <v>0</v>
      </c>
      <c r="AT629" s="35">
        <v>3</v>
      </c>
      <c r="AU629" s="31" t="str">
        <f t="shared" si="12"/>
        <v>库存为3</v>
      </c>
      <c r="AV629" s="36" t="str">
        <f>IFERROR($A$2+AU629,"上周无销量")</f>
        <v>上周无销量</v>
      </c>
    </row>
    <row r="630" spans="1:48">
      <c r="A630" s="21" t="s">
        <v>1327</v>
      </c>
      <c r="B630" t="s">
        <v>1328</v>
      </c>
      <c r="C630" t="s">
        <v>1329</v>
      </c>
      <c r="D630" s="31">
        <v>2</v>
      </c>
      <c r="E630" s="31">
        <v>0</v>
      </c>
      <c r="F630" s="31">
        <v>0</v>
      </c>
      <c r="G630" s="31">
        <v>0</v>
      </c>
      <c r="H630" s="32">
        <v>10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2</v>
      </c>
      <c r="AK630">
        <v>1</v>
      </c>
      <c r="AL630">
        <v>3</v>
      </c>
      <c r="AM630">
        <v>4</v>
      </c>
      <c r="AN630" s="23">
        <v>1</v>
      </c>
      <c r="AO630" s="23">
        <v>0</v>
      </c>
      <c r="AP630" s="23">
        <v>0</v>
      </c>
      <c r="AQ630" s="23">
        <v>0</v>
      </c>
      <c r="AR630" s="35">
        <v>0.285714285714286</v>
      </c>
      <c r="AS630" s="35">
        <v>17.1428571428571</v>
      </c>
      <c r="AT630" s="35">
        <v>-17.1428571428571</v>
      </c>
      <c r="AU630" s="31">
        <f t="shared" si="12"/>
        <v>0</v>
      </c>
      <c r="AV630" s="36">
        <f>IFERROR($A$2+AU630,"上周无销量")</f>
        <v>43276</v>
      </c>
    </row>
    <row r="631" spans="1:48">
      <c r="A631" s="21" t="s">
        <v>1330</v>
      </c>
      <c r="B631" t="s">
        <v>1331</v>
      </c>
      <c r="C631" t="s">
        <v>1329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10</v>
      </c>
      <c r="J631" s="33">
        <v>0</v>
      </c>
      <c r="K631" s="33">
        <v>0</v>
      </c>
      <c r="L631" s="33">
        <v>0</v>
      </c>
      <c r="M631">
        <v>10</v>
      </c>
      <c r="N631">
        <v>0</v>
      </c>
      <c r="O631">
        <v>10</v>
      </c>
      <c r="P631">
        <v>86</v>
      </c>
      <c r="Q631">
        <v>79</v>
      </c>
      <c r="R631">
        <v>79</v>
      </c>
      <c r="S631">
        <v>12063</v>
      </c>
      <c r="T631">
        <v>1</v>
      </c>
      <c r="U631">
        <v>2</v>
      </c>
      <c r="V631">
        <v>2</v>
      </c>
      <c r="W631">
        <v>13</v>
      </c>
      <c r="X631" s="23">
        <v>0.0116279069767442</v>
      </c>
      <c r="Y631" s="23">
        <v>0.0253164556962025</v>
      </c>
      <c r="Z631" s="23">
        <v>0.0253164556962025</v>
      </c>
      <c r="AA631" s="23">
        <v>0.00107767553676532</v>
      </c>
      <c r="AB631">
        <v>0.09</v>
      </c>
      <c r="AC631">
        <v>0.17</v>
      </c>
      <c r="AD631">
        <v>0.17</v>
      </c>
      <c r="AE631">
        <v>7.95</v>
      </c>
      <c r="AF631" s="23">
        <v>0</v>
      </c>
      <c r="AG631" s="23">
        <v>0</v>
      </c>
      <c r="AH631" s="23">
        <v>0</v>
      </c>
      <c r="AI631" s="23">
        <v>0</v>
      </c>
      <c r="AJ631">
        <v>3</v>
      </c>
      <c r="AK631">
        <v>1</v>
      </c>
      <c r="AL631">
        <v>2</v>
      </c>
      <c r="AM631">
        <v>9</v>
      </c>
      <c r="AN631" s="23">
        <v>0</v>
      </c>
      <c r="AO631" s="23">
        <v>0</v>
      </c>
      <c r="AP631" s="23">
        <v>0</v>
      </c>
      <c r="AQ631" s="23">
        <v>0</v>
      </c>
      <c r="AR631" s="35">
        <v>0</v>
      </c>
      <c r="AS631" s="35">
        <v>0</v>
      </c>
      <c r="AT631" s="35">
        <v>10</v>
      </c>
      <c r="AU631" s="31" t="str">
        <f t="shared" si="12"/>
        <v>库存为10</v>
      </c>
      <c r="AV631" s="36" t="str">
        <f>IFERROR($A$2+AU631,"上周无销量")</f>
        <v>上周无销量</v>
      </c>
    </row>
    <row r="632" spans="1:48">
      <c r="A632" s="21" t="s">
        <v>1332</v>
      </c>
      <c r="B632" t="s">
        <v>1333</v>
      </c>
      <c r="C632" t="s">
        <v>1329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7</v>
      </c>
      <c r="J632" s="33">
        <v>0</v>
      </c>
      <c r="K632" s="33">
        <v>0</v>
      </c>
      <c r="L632" s="33">
        <v>0</v>
      </c>
      <c r="M632">
        <v>7</v>
      </c>
      <c r="N632">
        <v>0</v>
      </c>
      <c r="O632">
        <v>7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4</v>
      </c>
      <c r="AK632">
        <v>3</v>
      </c>
      <c r="AL632">
        <v>2</v>
      </c>
      <c r="AM632">
        <v>6</v>
      </c>
      <c r="AN632" s="23">
        <v>0</v>
      </c>
      <c r="AO632" s="23">
        <v>0</v>
      </c>
      <c r="AP632" s="23">
        <v>0</v>
      </c>
      <c r="AQ632" s="23">
        <v>0</v>
      </c>
      <c r="AR632" s="35">
        <v>0</v>
      </c>
      <c r="AS632" s="35">
        <v>0</v>
      </c>
      <c r="AT632" s="35">
        <v>7</v>
      </c>
      <c r="AU632" s="31" t="str">
        <f t="shared" si="12"/>
        <v>库存为7</v>
      </c>
      <c r="AV632" s="36" t="str">
        <f>IFERROR($A$2+AU632,"上周无销量")</f>
        <v>上周无销量</v>
      </c>
    </row>
    <row r="633" spans="1:48">
      <c r="A633" s="21"/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  <c r="AV633" s="36"/>
    </row>
    <row r="634" spans="1:48">
      <c r="A634" s="21"/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  <c r="AV634" s="36"/>
    </row>
    <row r="635" spans="1:48">
      <c r="A635" s="21"/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  <c r="AV635" s="36"/>
    </row>
    <row r="636" spans="1:48">
      <c r="A636" s="21"/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  <c r="AV636" s="36"/>
    </row>
    <row r="637" spans="1:48">
      <c r="A637" s="21"/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  <c r="AV637" s="36"/>
    </row>
    <row r="638" spans="1:48">
      <c r="A638" s="21"/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  <c r="AV638" s="36"/>
    </row>
    <row r="639" spans="1:48">
      <c r="A639" s="21"/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  <c r="AV639" s="36"/>
    </row>
    <row r="640" spans="1:48">
      <c r="A640" s="21"/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  <c r="AV640" s="36"/>
    </row>
    <row r="641" spans="1:48">
      <c r="A641" s="21"/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  <c r="AV641" s="36"/>
    </row>
    <row r="642" spans="1:48">
      <c r="A642" s="21"/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  <c r="AV642" s="36"/>
    </row>
    <row r="643" spans="1:48">
      <c r="A643" s="21"/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  <c r="AV643" s="36"/>
    </row>
    <row r="644" spans="1:48">
      <c r="A644" s="21"/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  <c r="AV644" s="36"/>
    </row>
    <row r="645" spans="1:48">
      <c r="A645" s="21"/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  <c r="AV645" s="36"/>
    </row>
    <row r="646" spans="1:48">
      <c r="A646" s="21"/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  <c r="AV646" s="36"/>
    </row>
    <row r="647" spans="1:48">
      <c r="A647" s="21"/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  <c r="AV647" s="36"/>
    </row>
    <row r="648" spans="1:48">
      <c r="A648" s="21"/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  <c r="AV648" s="36"/>
    </row>
    <row r="649" spans="1:48">
      <c r="A649" s="21"/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  <c r="AV649" s="36"/>
    </row>
    <row r="650" spans="1:48">
      <c r="A650" s="21"/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  <c r="AV650" s="36"/>
    </row>
    <row r="651" spans="1:48">
      <c r="A651" s="21"/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  <c r="AV651" s="36"/>
    </row>
    <row r="652" spans="1:48">
      <c r="A652" s="21"/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  <c r="AV652" s="36"/>
    </row>
    <row r="653" spans="1:48">
      <c r="A653" s="21"/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  <c r="AV653" s="36"/>
    </row>
    <row r="654" spans="1:48">
      <c r="A654" s="21"/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  <c r="AV654" s="36"/>
    </row>
    <row r="655" spans="1:48">
      <c r="A655" s="21"/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  <c r="AV655" s="36"/>
    </row>
    <row r="656" spans="1:48">
      <c r="A656" s="21"/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  <c r="AV656" s="36"/>
    </row>
    <row r="657" spans="1:48">
      <c r="A657" s="21"/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  <c r="AV657" s="36"/>
    </row>
    <row r="658" spans="1:48">
      <c r="A658" s="21"/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  <c r="AV658" s="36"/>
    </row>
    <row r="659" spans="1:48">
      <c r="A659" s="21"/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  <c r="AV659" s="36"/>
    </row>
    <row r="660" spans="1:48">
      <c r="A660" s="21"/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  <c r="AV660" s="36"/>
    </row>
    <row r="661" spans="1:48">
      <c r="A661" s="21"/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  <c r="AV661" s="36"/>
    </row>
    <row r="662" spans="1:48">
      <c r="A662" s="21"/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  <c r="AV662" s="36"/>
    </row>
    <row r="663" spans="1:48">
      <c r="A663" s="21"/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  <c r="AV663" s="36"/>
    </row>
    <row r="664" spans="1:48">
      <c r="A664" s="21"/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  <c r="AV664" s="36"/>
    </row>
    <row r="665" spans="1:48">
      <c r="A665" s="21"/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  <c r="AV665" s="36"/>
    </row>
    <row r="666" spans="1:48">
      <c r="A666" s="21"/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  <c r="AV666" s="36"/>
    </row>
    <row r="667" spans="1:48">
      <c r="A667" s="21"/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  <c r="AV667" s="36"/>
    </row>
    <row r="668" spans="1:48">
      <c r="A668" s="21"/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  <c r="AV668" s="36"/>
    </row>
    <row r="669" spans="1:48">
      <c r="A669" s="21"/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  <c r="AV669" s="36"/>
    </row>
    <row r="670" spans="1:48">
      <c r="A670" s="21"/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  <c r="AV670" s="36"/>
    </row>
    <row r="671" spans="1:48">
      <c r="A671" s="21"/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  <c r="AV671" s="36"/>
    </row>
    <row r="672" spans="1:48">
      <c r="A672" s="21"/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  <c r="AV672" s="36"/>
    </row>
    <row r="673" spans="1:48">
      <c r="A673" s="21"/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  <c r="AV673" s="36"/>
    </row>
    <row r="674" spans="1:48">
      <c r="A674" s="21"/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  <c r="AV674" s="36"/>
    </row>
    <row r="675" spans="1:48">
      <c r="A675" s="21"/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  <c r="AV675" s="36"/>
    </row>
    <row r="676" spans="1:48">
      <c r="A676" s="21"/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  <c r="AV676" s="36"/>
    </row>
    <row r="677" spans="1:48">
      <c r="A677" s="21"/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  <c r="AV677" s="36"/>
    </row>
    <row r="678" spans="1:48">
      <c r="A678" s="21"/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  <c r="AV678" s="36"/>
    </row>
    <row r="679" spans="1:48">
      <c r="A679" s="21"/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  <c r="AV679" s="36"/>
    </row>
    <row r="680" spans="1:48">
      <c r="A680" s="21"/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  <c r="AV680" s="36"/>
    </row>
    <row r="681" spans="1:48">
      <c r="A681" s="21"/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  <c r="AV681" s="36"/>
    </row>
    <row r="682" spans="1:48">
      <c r="A682" s="21"/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  <c r="AV682" s="36"/>
    </row>
    <row r="683" spans="1:48">
      <c r="A683" s="21"/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  <c r="AV683" s="36"/>
    </row>
    <row r="684" spans="1:48">
      <c r="A684" s="21"/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  <c r="AV684" s="36"/>
    </row>
    <row r="685" spans="1:48">
      <c r="A685" s="21"/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  <c r="AV685" s="36"/>
    </row>
    <row r="686" spans="1:48">
      <c r="A686" s="21"/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  <c r="AV686" s="36"/>
    </row>
    <row r="687" spans="1:48">
      <c r="A687" s="21"/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  <c r="AV687" s="36"/>
    </row>
    <row r="688" spans="1:48">
      <c r="A688" s="21"/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  <c r="AV688" s="36"/>
    </row>
    <row r="689" spans="1:48">
      <c r="A689" s="21"/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  <c r="AV689" s="36"/>
    </row>
    <row r="690" spans="1:48">
      <c r="A690" s="21"/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  <c r="AV690" s="36"/>
    </row>
    <row r="691" spans="1:48">
      <c r="A691" s="21"/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  <c r="AV691" s="36"/>
    </row>
    <row r="692" spans="1:48">
      <c r="A692" s="21"/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  <c r="AV692" s="36"/>
    </row>
    <row r="693" spans="1:48">
      <c r="A693" s="21"/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  <c r="AV693" s="36"/>
    </row>
    <row r="694" spans="1:48">
      <c r="A694" s="21"/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  <c r="AV694" s="36"/>
    </row>
    <row r="695" spans="1:48">
      <c r="A695" s="21"/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  <c r="AV695" s="36"/>
    </row>
    <row r="696" spans="1:48">
      <c r="A696" s="21"/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  <c r="AV696" s="36"/>
    </row>
    <row r="697" spans="1:48">
      <c r="A697" s="21"/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  <c r="AV697" s="36"/>
    </row>
    <row r="698" spans="1:48">
      <c r="A698" s="21"/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  <c r="AV698" s="36"/>
    </row>
    <row r="699" spans="1:48">
      <c r="A699" s="21"/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  <c r="AV699" s="36"/>
    </row>
    <row r="700" spans="1:48">
      <c r="A700" s="21"/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  <c r="AV700" s="36"/>
    </row>
    <row r="701" spans="1:48">
      <c r="A701" s="21"/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  <c r="AV701" s="36"/>
    </row>
    <row r="702" spans="1:48">
      <c r="A702" s="21"/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  <c r="AV702" s="36"/>
    </row>
    <row r="703" spans="1:48">
      <c r="A703" s="21"/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  <c r="AV703" s="36"/>
    </row>
    <row r="704" spans="1:48">
      <c r="A704" s="21"/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  <c r="AV704" s="36"/>
    </row>
    <row r="705" spans="1:48">
      <c r="A705" s="21"/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  <c r="AV705" s="36"/>
    </row>
    <row r="706" spans="1:48">
      <c r="A706" s="21"/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  <c r="AV706" s="36"/>
    </row>
    <row r="707" spans="1:48">
      <c r="A707" s="21"/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  <c r="AV707" s="36"/>
    </row>
    <row r="708" spans="1:48">
      <c r="A708" s="21"/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  <c r="AV708" s="36"/>
    </row>
    <row r="709" spans="1:48">
      <c r="A709" s="21"/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  <c r="AV709" s="36"/>
    </row>
    <row r="710" spans="1:48">
      <c r="A710" s="21"/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  <c r="AV710" s="36"/>
    </row>
    <row r="711" spans="1:48">
      <c r="A711" s="21"/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  <c r="AV711" s="36"/>
    </row>
    <row r="712" spans="1:48">
      <c r="A712" s="21"/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  <c r="AV712" s="36"/>
    </row>
    <row r="713" spans="1:48">
      <c r="A713" s="21"/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  <c r="AV713" s="36"/>
    </row>
    <row r="714" spans="1:48">
      <c r="A714" s="21"/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  <c r="AV714" s="36"/>
    </row>
    <row r="715" spans="1:48">
      <c r="A715" s="21"/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  <c r="AV715" s="36"/>
    </row>
    <row r="716" spans="1:48">
      <c r="A716" s="21"/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  <c r="AV716" s="36"/>
    </row>
    <row r="717" spans="1:48">
      <c r="A717" s="21"/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  <c r="AV717" s="36"/>
    </row>
    <row r="718" spans="1:48">
      <c r="A718" s="21"/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  <c r="AV718" s="36"/>
    </row>
    <row r="719" spans="1:48">
      <c r="A719" s="21"/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  <c r="AV719" s="36"/>
    </row>
    <row r="720" spans="1:48">
      <c r="A720" s="21"/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  <c r="AV720" s="36"/>
    </row>
    <row r="721" spans="1:48">
      <c r="A721" s="21"/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  <c r="AV721" s="36"/>
    </row>
    <row r="722" spans="1:48">
      <c r="A722" s="21"/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  <c r="AV722" s="36"/>
    </row>
    <row r="723" spans="1:48">
      <c r="A723" s="21"/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  <c r="AV723" s="36"/>
    </row>
    <row r="724" spans="1:48">
      <c r="A724" s="21"/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  <c r="AV724" s="36"/>
    </row>
    <row r="725" spans="1:48">
      <c r="A725" s="21"/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  <c r="AV725" s="36"/>
    </row>
    <row r="726" spans="1:48">
      <c r="A726" s="21"/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  <c r="AV726" s="36"/>
    </row>
    <row r="727" spans="1:48">
      <c r="A727" s="21"/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  <c r="AV727" s="36"/>
    </row>
    <row r="728" spans="1:48">
      <c r="A728" s="21"/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  <c r="AV728" s="36"/>
    </row>
    <row r="729" spans="1:48">
      <c r="A729" s="21"/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  <c r="AV729" s="36"/>
    </row>
    <row r="730" spans="1:48">
      <c r="A730" s="21"/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  <c r="AV730" s="36"/>
    </row>
    <row r="731" spans="1:48">
      <c r="A731" s="21"/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  <c r="AV731" s="36"/>
    </row>
    <row r="732" spans="1:48">
      <c r="A732" s="21"/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  <c r="AV732" s="36"/>
    </row>
    <row r="733" spans="1:48">
      <c r="A733" s="21"/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  <c r="AV733" s="36"/>
    </row>
    <row r="734" spans="1:48">
      <c r="A734" s="21"/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  <c r="AV734" s="36"/>
    </row>
    <row r="735" spans="1:48">
      <c r="A735" s="21"/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  <c r="AV735" s="36"/>
    </row>
    <row r="736" spans="1:48">
      <c r="A736" s="21"/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  <c r="AV736" s="36"/>
    </row>
    <row r="737" spans="1:48">
      <c r="A737" s="21"/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  <c r="AV737" s="36"/>
    </row>
    <row r="738" spans="1:48">
      <c r="A738" s="21"/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  <c r="AV738" s="36"/>
    </row>
    <row r="739" spans="1:48">
      <c r="A739" s="21"/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  <c r="AV739" s="36"/>
    </row>
    <row r="740" spans="1:48">
      <c r="A740" s="21"/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  <c r="AV740" s="36"/>
    </row>
    <row r="741" spans="1:48">
      <c r="A741" s="21"/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  <c r="AV741" s="36"/>
    </row>
    <row r="742" spans="1:48">
      <c r="A742" s="21"/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  <c r="AV742" s="36"/>
    </row>
    <row r="743" spans="1:48">
      <c r="A743" s="21"/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  <c r="AV743" s="36"/>
    </row>
    <row r="744" spans="1:48">
      <c r="A744" s="21"/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  <c r="AV744" s="36"/>
    </row>
    <row r="745" spans="1:48">
      <c r="A745" s="21"/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  <c r="AV745" s="36"/>
    </row>
    <row r="746" spans="1:48">
      <c r="A746" s="21"/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  <c r="AV746" s="36"/>
    </row>
    <row r="747" spans="1:48">
      <c r="A747" s="21"/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  <c r="AV747" s="36"/>
    </row>
    <row r="748" spans="1:48">
      <c r="A748" s="21"/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  <c r="AV748" s="36"/>
    </row>
    <row r="749" spans="1:48">
      <c r="A749" s="21"/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  <c r="AV749" s="36"/>
    </row>
    <row r="750" spans="1:48">
      <c r="A750" s="21"/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  <c r="AV750" s="36"/>
    </row>
    <row r="751" spans="1:48">
      <c r="A751" s="21"/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  <c r="AV751" s="36"/>
    </row>
    <row r="752" spans="1:48">
      <c r="A752" s="21"/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  <c r="AV752" s="36"/>
    </row>
    <row r="753" spans="1:48">
      <c r="A753" s="21"/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  <c r="AV753" s="36"/>
    </row>
    <row r="754" spans="1:48">
      <c r="A754" s="21"/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  <c r="AV754" s="36"/>
    </row>
    <row r="755" spans="1:48">
      <c r="A755" s="21"/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  <c r="AV755" s="36"/>
    </row>
    <row r="756" spans="1:48">
      <c r="A756" s="21"/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  <c r="AV756" s="36"/>
    </row>
    <row r="757" spans="1:48">
      <c r="A757" s="21"/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  <c r="AV757" s="36"/>
    </row>
    <row r="758" spans="1:48">
      <c r="A758" s="21"/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  <c r="AV758" s="36"/>
    </row>
    <row r="759" spans="1:48">
      <c r="A759" s="21"/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  <c r="AV759" s="36"/>
    </row>
    <row r="760" spans="1:48">
      <c r="A760" s="21"/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  <c r="AV760" s="36"/>
    </row>
    <row r="761" spans="1:48">
      <c r="A761" s="21"/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  <c r="AV761" s="36"/>
    </row>
    <row r="762" spans="1:48">
      <c r="A762" s="21"/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  <c r="AV762" s="36"/>
    </row>
    <row r="763" spans="1:48">
      <c r="A763" s="21"/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  <c r="AV763" s="36"/>
    </row>
    <row r="764" spans="1:48">
      <c r="A764" s="21"/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  <c r="AV764" s="36"/>
    </row>
    <row r="765" spans="1:48">
      <c r="A765" s="21"/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  <c r="AV765" s="36"/>
    </row>
    <row r="766" spans="1:48">
      <c r="A766" s="21"/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  <c r="AV766" s="36"/>
    </row>
    <row r="767" spans="1:48">
      <c r="A767" s="21"/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  <c r="AV767" s="36"/>
    </row>
    <row r="768" spans="1:48">
      <c r="A768" s="21"/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  <c r="AV768" s="36"/>
    </row>
    <row r="769" spans="1:48">
      <c r="A769" s="21"/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  <c r="AV769" s="36"/>
    </row>
    <row r="770" spans="1:48">
      <c r="A770" s="21"/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  <c r="AV770" s="36"/>
    </row>
    <row r="771" spans="1:48">
      <c r="A771" s="21"/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  <c r="AV771" s="36"/>
    </row>
    <row r="772" spans="1:48">
      <c r="A772" s="21"/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  <c r="AV772" s="36"/>
    </row>
    <row r="773" spans="1:48">
      <c r="A773" s="21"/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  <c r="AV773" s="36"/>
    </row>
    <row r="774" spans="1:48">
      <c r="A774" s="21"/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  <c r="AV774" s="36"/>
    </row>
    <row r="775" spans="1:48">
      <c r="A775" s="21"/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  <c r="AV775" s="36"/>
    </row>
    <row r="776" spans="1:48">
      <c r="A776" s="21"/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  <c r="AV776" s="36"/>
    </row>
    <row r="777" spans="1:48">
      <c r="A777" s="21"/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  <c r="AV777" s="36"/>
    </row>
    <row r="778" spans="1:48">
      <c r="A778" s="21"/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  <c r="AV778" s="36"/>
    </row>
    <row r="779" spans="1:48">
      <c r="A779" s="21"/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  <c r="AV779" s="36"/>
    </row>
    <row r="780" spans="1:48">
      <c r="A780" s="21"/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  <c r="AV780" s="36"/>
    </row>
    <row r="781" spans="1:48">
      <c r="A781" s="21"/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  <c r="AV781" s="36"/>
    </row>
    <row r="782" spans="1:48">
      <c r="A782" s="21"/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  <c r="AV782" s="36"/>
    </row>
    <row r="783" spans="1:48">
      <c r="A783" s="21"/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  <c r="AV783" s="36"/>
    </row>
    <row r="784" spans="1:48">
      <c r="A784" s="21"/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  <c r="AV784" s="36"/>
    </row>
    <row r="785" spans="1:48">
      <c r="A785" s="21"/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  <c r="AV785" s="36"/>
    </row>
    <row r="786" spans="1:48">
      <c r="A786" s="21"/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  <c r="AV786" s="36"/>
    </row>
    <row r="787" spans="1:48">
      <c r="A787" s="21"/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  <c r="AV787" s="36"/>
    </row>
    <row r="788" spans="1:48">
      <c r="A788" s="21"/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  <c r="AV788" s="36"/>
    </row>
    <row r="789" spans="1:48">
      <c r="A789" s="21"/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  <c r="AV789" s="36"/>
    </row>
    <row r="790" spans="1:48">
      <c r="A790" s="21"/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  <c r="AV790" s="36"/>
    </row>
    <row r="791" spans="1:48">
      <c r="A791" s="21"/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  <c r="AV791" s="36"/>
    </row>
    <row r="792" spans="1:48">
      <c r="A792" s="21"/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  <c r="AV792" s="36"/>
    </row>
    <row r="793" spans="1:48">
      <c r="A793" s="21"/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  <c r="AV793" s="36"/>
    </row>
    <row r="794" spans="1:48">
      <c r="A794" s="21"/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  <c r="AV794" s="36"/>
    </row>
    <row r="795" spans="1:48">
      <c r="A795" s="21"/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  <c r="AV795" s="36"/>
    </row>
    <row r="796" spans="1:48">
      <c r="A796" s="21"/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  <c r="AV796" s="36"/>
    </row>
    <row r="797" spans="1:48">
      <c r="A797" s="21"/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  <c r="AV797" s="36"/>
    </row>
    <row r="798" spans="1:48">
      <c r="A798" s="21"/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  <c r="AV798" s="36"/>
    </row>
    <row r="799" spans="1:48">
      <c r="A799" s="21"/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  <c r="AV799" s="36"/>
    </row>
    <row r="800" spans="1:48">
      <c r="A800" s="21"/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  <c r="AV800" s="36"/>
    </row>
    <row r="801" spans="1:48">
      <c r="A801" s="21"/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  <c r="AV801" s="36"/>
    </row>
    <row r="802" spans="1:48">
      <c r="A802" s="21"/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  <c r="AV802" s="36"/>
    </row>
    <row r="803" spans="1:48">
      <c r="A803" s="21"/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  <c r="AV803" s="36"/>
    </row>
    <row r="804" spans="1:48">
      <c r="A804" s="21"/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  <c r="AV804" s="36"/>
    </row>
    <row r="805" spans="1:48">
      <c r="A805" s="21"/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  <c r="AV805" s="36"/>
    </row>
    <row r="806" spans="1:48">
      <c r="A806" s="21"/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  <c r="AV806" s="36"/>
    </row>
    <row r="807" spans="1:48">
      <c r="A807" s="21"/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  <c r="AV807" s="36"/>
    </row>
    <row r="808" spans="1:48">
      <c r="A808" s="21"/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  <c r="AV808" s="36"/>
    </row>
    <row r="809" spans="1:48">
      <c r="A809" s="21"/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  <c r="AV809" s="36"/>
    </row>
    <row r="810" spans="1:48">
      <c r="A810" s="21"/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  <c r="AV810" s="36"/>
    </row>
    <row r="811" spans="1:48">
      <c r="A811" s="21"/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  <c r="AV811" s="36"/>
    </row>
    <row r="812" spans="1:48">
      <c r="A812" s="21"/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  <c r="AV812" s="36"/>
    </row>
    <row r="813" spans="1:48">
      <c r="A813" s="21"/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  <c r="AV813" s="36"/>
    </row>
    <row r="814" spans="1:48">
      <c r="A814" s="21"/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  <c r="AV814" s="36"/>
    </row>
    <row r="815" spans="1:48">
      <c r="A815" s="21"/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  <c r="AV815" s="36"/>
    </row>
    <row r="816" spans="1:48">
      <c r="A816" s="21"/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  <c r="AV816" s="36"/>
    </row>
    <row r="817" spans="1:48">
      <c r="A817" s="21"/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  <c r="AV817" s="36"/>
    </row>
    <row r="818" spans="1:48">
      <c r="A818" s="21"/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  <c r="AV818" s="36"/>
    </row>
    <row r="819" spans="1:48">
      <c r="A819" s="21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  <c r="AV819" s="36"/>
    </row>
    <row r="820" spans="1:48">
      <c r="A820" s="21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  <c r="AV820" s="36"/>
    </row>
    <row r="821" spans="1:48">
      <c r="A821" s="21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  <c r="AV821" s="36"/>
    </row>
    <row r="822" spans="1:48">
      <c r="A822" s="21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  <c r="AV822" s="36"/>
    </row>
    <row r="823" spans="1:48">
      <c r="A823" s="21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  <c r="AV823" s="36"/>
    </row>
    <row r="824" spans="1:48">
      <c r="A824" s="21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  <c r="AV824" s="36"/>
    </row>
    <row r="825" spans="1:48">
      <c r="A825" s="21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  <c r="AV825" s="36"/>
    </row>
    <row r="826" spans="1:48">
      <c r="A826" s="21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  <c r="AV826" s="36"/>
    </row>
    <row r="827" spans="1:48">
      <c r="A827" s="21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  <c r="AV827" s="36"/>
    </row>
    <row r="828" spans="1:48">
      <c r="A828" s="21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  <c r="AV828" s="36"/>
    </row>
    <row r="829" spans="1:48">
      <c r="A829" s="21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  <c r="AV829" s="36"/>
    </row>
    <row r="830" spans="1:48">
      <c r="A830" s="21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  <c r="AV830" s="36"/>
    </row>
    <row r="831" spans="1:48">
      <c r="A831" s="21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  <c r="AV831" s="36"/>
    </row>
    <row r="832" spans="1:48">
      <c r="A832" s="21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  <c r="AV832" s="36"/>
    </row>
    <row r="833" spans="1:48">
      <c r="A833" s="21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  <c r="AV833" s="36"/>
    </row>
    <row r="834" spans="1:48">
      <c r="A834" s="21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  <c r="AV834" s="36"/>
    </row>
    <row r="835" spans="1:48">
      <c r="A835" s="21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  <c r="AV835" s="36"/>
    </row>
    <row r="836" spans="1:48">
      <c r="A836" s="21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  <c r="AV836" s="36"/>
    </row>
    <row r="837" spans="1:48">
      <c r="A837" s="21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  <c r="AV837" s="36"/>
    </row>
    <row r="838" spans="1:48">
      <c r="A838" s="21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  <c r="AV838" s="36"/>
    </row>
    <row r="839" spans="1:48">
      <c r="A839" s="21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  <c r="AV839" s="36"/>
    </row>
    <row r="840" spans="1:48">
      <c r="A840" s="21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  <c r="AV840" s="36"/>
    </row>
    <row r="841" spans="1:48">
      <c r="A841" s="21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  <c r="AV841" s="36"/>
    </row>
    <row r="842" spans="1:48">
      <c r="A842" s="21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  <c r="AV842" s="36"/>
    </row>
    <row r="843" spans="1:48">
      <c r="A843" s="21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  <c r="AV843" s="36"/>
    </row>
    <row r="844" spans="1:48">
      <c r="A844" s="21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  <c r="AV844" s="36"/>
    </row>
    <row r="845" spans="1:48">
      <c r="A845" s="21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  <c r="AV845" s="36"/>
    </row>
    <row r="846" spans="1:48">
      <c r="A846" s="21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  <c r="AV846" s="36"/>
    </row>
    <row r="847" spans="1:48">
      <c r="A847" s="21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  <c r="AV847" s="36"/>
    </row>
    <row r="848" spans="1:48">
      <c r="A848" s="21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  <c r="AV848" s="36"/>
    </row>
    <row r="849" spans="1:48">
      <c r="A849" s="21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  <c r="AV849" s="36"/>
    </row>
    <row r="850" spans="1:48">
      <c r="A850" s="21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  <c r="AV850" s="36"/>
    </row>
    <row r="851" spans="1:48">
      <c r="A851" s="21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  <c r="AV851" s="36"/>
    </row>
    <row r="852" spans="1:48">
      <c r="A852" s="21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  <c r="AV852" s="36"/>
    </row>
    <row r="853" spans="1:48">
      <c r="A853" s="21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  <c r="AV853" s="36"/>
    </row>
    <row r="854" spans="1:48">
      <c r="A854" s="21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  <c r="AV854" s="36"/>
    </row>
    <row r="855" spans="1:48">
      <c r="A855" s="21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  <c r="AV855" s="36"/>
    </row>
    <row r="856" spans="1:48">
      <c r="A856" s="21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  <c r="AV856" s="36"/>
    </row>
    <row r="857" spans="1:48">
      <c r="A857" s="21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  <c r="AV857" s="36"/>
    </row>
    <row r="858" spans="1:48">
      <c r="A858" s="21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  <c r="AV858" s="36"/>
    </row>
    <row r="859" spans="1:48">
      <c r="A859" s="21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  <c r="AV859" s="36"/>
    </row>
    <row r="860" spans="1:48">
      <c r="A860" s="21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  <c r="AV860" s="36"/>
    </row>
    <row r="861" spans="1:48">
      <c r="A861" s="21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  <c r="AV861" s="36"/>
    </row>
    <row r="862" spans="1:48">
      <c r="A862" s="21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  <c r="AV862" s="36"/>
    </row>
    <row r="863" spans="1:48">
      <c r="A863" s="21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  <c r="AV863" s="36"/>
    </row>
    <row r="864" spans="1:48">
      <c r="A864" s="21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  <c r="AV864" s="36"/>
    </row>
    <row r="865" spans="1:48">
      <c r="A865" s="21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  <c r="AV865" s="36"/>
    </row>
    <row r="866" spans="1:48">
      <c r="A866" s="21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  <c r="AV866" s="36"/>
    </row>
    <row r="867" spans="1:48">
      <c r="A867" s="21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  <c r="AV867" s="36"/>
    </row>
    <row r="868" spans="1:48">
      <c r="A868" s="21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  <c r="AV868" s="36"/>
    </row>
    <row r="869" spans="1:48">
      <c r="A869" s="21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  <c r="AV869" s="36"/>
    </row>
    <row r="870" spans="1:48">
      <c r="A870" s="21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  <c r="AV870" s="36"/>
    </row>
    <row r="871" spans="1:48">
      <c r="A871" s="21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  <c r="AV871" s="36"/>
    </row>
    <row r="872" spans="1:48">
      <c r="A872" s="21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  <c r="AV872" s="36"/>
    </row>
    <row r="873" spans="1:48">
      <c r="A873" s="21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  <c r="AV873" s="36"/>
    </row>
    <row r="874" spans="1:48">
      <c r="A874" s="21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  <c r="AV874" s="36"/>
    </row>
    <row r="875" spans="1:48">
      <c r="A875" s="21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  <c r="AV875" s="36"/>
    </row>
    <row r="876" spans="1:48">
      <c r="A876" s="21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  <c r="AV876" s="36"/>
    </row>
    <row r="877" spans="1:48">
      <c r="A877" s="21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  <c r="AV877" s="36"/>
    </row>
    <row r="878" spans="1:48">
      <c r="A878" s="21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  <c r="AV878" s="36"/>
    </row>
    <row r="879" spans="1:48">
      <c r="A879" s="21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  <c r="AV879" s="36"/>
    </row>
    <row r="880" spans="1:48">
      <c r="A880" s="21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  <c r="AV880" s="36"/>
    </row>
    <row r="881" spans="1:48">
      <c r="A881" s="21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  <c r="AV881" s="36"/>
    </row>
    <row r="882" spans="1:48">
      <c r="A882" s="21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  <c r="AV882" s="36"/>
    </row>
    <row r="883" spans="1:48">
      <c r="A883" s="21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  <c r="AV883" s="36"/>
    </row>
    <row r="884" spans="1:48">
      <c r="A884" s="21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  <c r="AV884" s="36"/>
    </row>
    <row r="885" spans="1:48">
      <c r="A885" s="21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  <c r="AV885" s="36"/>
    </row>
    <row r="886" spans="1:48">
      <c r="A886" s="21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  <c r="AV886" s="36"/>
    </row>
    <row r="887" spans="1:48">
      <c r="A887" s="21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  <c r="AV887" s="36"/>
    </row>
    <row r="888" spans="1:48">
      <c r="A888" s="21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  <c r="AV888" s="36"/>
    </row>
    <row r="889" spans="1:48">
      <c r="A889" s="21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  <c r="AV889" s="36"/>
    </row>
    <row r="890" spans="1:48">
      <c r="A890" s="21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  <c r="AV890" s="36"/>
    </row>
    <row r="891" spans="1:48">
      <c r="A891" s="21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  <c r="AV891" s="36"/>
    </row>
    <row r="892" spans="1:48">
      <c r="A892" s="21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  <c r="AV892" s="36"/>
    </row>
    <row r="893" spans="1:48">
      <c r="A893" s="21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  <c r="AV893" s="36"/>
    </row>
    <row r="894" spans="1:48">
      <c r="A894" s="21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  <c r="AV894" s="36"/>
    </row>
    <row r="895" spans="1:48">
      <c r="A895" s="21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  <c r="AV895" s="36"/>
    </row>
    <row r="896" spans="1:48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  <c r="AV896" s="36"/>
    </row>
    <row r="897" spans="1:48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  <c r="AV897" s="36"/>
    </row>
    <row r="898" spans="1:48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  <c r="AV898" s="36"/>
    </row>
    <row r="899" spans="1:48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  <c r="AV1045" s="36"/>
    </row>
    <row r="1046" spans="1:48">
      <c r="A1046" s="21"/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  <c r="AV1046" s="36"/>
    </row>
    <row r="1047" spans="1:48">
      <c r="A1047" s="38"/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  <c r="AV1047" s="36"/>
    </row>
    <row r="1048" spans="1:48">
      <c r="A1048" s="38"/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  <c r="AV1048" s="36"/>
    </row>
    <row r="1049" spans="1:48">
      <c r="A1049" s="38"/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  <c r="AV1049" s="36"/>
    </row>
    <row r="1050" spans="1:48">
      <c r="A1050" s="39"/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  <c r="AV1050" s="36"/>
    </row>
    <row r="1051" spans="1:48">
      <c r="A1051" s="39"/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  <c r="AV1051" s="36"/>
    </row>
    <row r="1052" spans="1:48">
      <c r="A1052" s="39"/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  <c r="AV1052" s="36"/>
    </row>
    <row r="1053" spans="1:48">
      <c r="A1053" s="39"/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  <c r="AV1053" s="36"/>
    </row>
    <row r="1054" spans="1:48">
      <c r="A1054" s="39"/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  <c r="AV1054" s="36"/>
    </row>
    <row r="1055" spans="1:48">
      <c r="A1055" s="39"/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  <c r="AV1055" s="36"/>
    </row>
    <row r="1056" spans="1:48">
      <c r="A1056" s="39"/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  <c r="AV1056" s="36"/>
    </row>
    <row r="1057" spans="1:48">
      <c r="A1057" s="39"/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  <c r="AV1057" s="36"/>
    </row>
    <row r="1058" spans="1:48">
      <c r="A1058" s="39"/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  <c r="AV1058" s="36"/>
    </row>
    <row r="1059" spans="1:48">
      <c r="A1059" s="39"/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  <c r="AV1059" s="36"/>
    </row>
    <row r="1060" spans="1:48">
      <c r="A1060" s="39"/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  <c r="AV1060" s="36"/>
    </row>
    <row r="1061" spans="1:48">
      <c r="A1061" s="39"/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  <c r="AV1061" s="36"/>
    </row>
    <row r="1062" spans="1:48">
      <c r="A1062" s="39"/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  <c r="AV1062" s="36"/>
    </row>
    <row r="1063" spans="1:48">
      <c r="A1063" s="39"/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  <c r="AV1063" s="36"/>
    </row>
    <row r="1064" spans="1:48">
      <c r="A1064" s="39"/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  <c r="AV1064" s="36"/>
    </row>
    <row r="1065" spans="1:48">
      <c r="A1065" s="39"/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  <c r="AV1065" s="36"/>
    </row>
    <row r="1066" spans="1:48">
      <c r="A1066" s="39"/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  <c r="AV1066" s="36"/>
    </row>
    <row r="1067" spans="1:48">
      <c r="A1067" s="39"/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  <c r="AV1067" s="36"/>
    </row>
    <row r="1068" spans="1:48">
      <c r="A1068" s="39"/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  <c r="AV1068" s="36"/>
    </row>
    <row r="1069" spans="1:48">
      <c r="A1069" s="39"/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  <c r="AV1069" s="36"/>
    </row>
    <row r="1070" spans="1:48">
      <c r="A1070" s="39"/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  <c r="AV1070" s="36"/>
    </row>
    <row r="1071" spans="1:48">
      <c r="A1071" s="39"/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  <c r="AV1071" s="36"/>
    </row>
    <row r="1072" spans="1:48">
      <c r="A1072" s="39"/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  <c r="AV1072" s="36"/>
    </row>
    <row r="1073" spans="1:48">
      <c r="A1073" s="39"/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  <c r="AV1073" s="36"/>
    </row>
    <row r="1074" spans="1:48">
      <c r="A1074" s="39"/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  <c r="AV1074" s="36"/>
    </row>
    <row r="1075" spans="1:48">
      <c r="A1075" s="39"/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  <c r="AV1075" s="36"/>
    </row>
    <row r="1076" spans="1:48">
      <c r="A1076" s="39"/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  <c r="AV1076" s="36"/>
    </row>
    <row r="1077" spans="1:48">
      <c r="A1077" s="39"/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  <c r="AV1077" s="36"/>
    </row>
    <row r="1078" spans="1:48">
      <c r="A1078" s="39"/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  <c r="AV1078" s="36"/>
    </row>
    <row r="1079" spans="1:48">
      <c r="A1079" s="39"/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  <c r="AV1079" s="36"/>
    </row>
    <row r="1080" spans="1:48">
      <c r="A1080" s="39"/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  <c r="AV1080" s="36"/>
    </row>
    <row r="1081" spans="1:48">
      <c r="A1081" s="39"/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  <c r="AV1081" s="36"/>
    </row>
    <row r="1082" spans="1:48">
      <c r="A1082" s="39"/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  <c r="AV1082" s="36"/>
    </row>
    <row r="1083" spans="1:48">
      <c r="A1083" s="39"/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  <c r="AV1083" s="36"/>
    </row>
    <row r="1084" spans="1:48">
      <c r="A1084" s="39"/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  <c r="AV1084" s="36"/>
    </row>
    <row r="1085" spans="1:48">
      <c r="A1085" s="39"/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  <c r="AV1085" s="36"/>
    </row>
    <row r="1086" spans="1:48">
      <c r="A1086" s="39"/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  <c r="AV1086" s="36"/>
    </row>
    <row r="1087" spans="1:48">
      <c r="A1087" s="39"/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  <c r="AV1087" s="36"/>
    </row>
    <row r="1088" spans="1:48">
      <c r="A1088" s="39"/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  <c r="AV1088" s="36"/>
    </row>
    <row r="1089" spans="1:48">
      <c r="A1089" s="39"/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  <c r="AV1089" s="36"/>
    </row>
    <row r="1090" spans="1:48">
      <c r="A1090" s="39"/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  <c r="AV1090" s="36"/>
    </row>
    <row r="1091" spans="1:48">
      <c r="A1091" s="39"/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  <c r="AV1091" s="36"/>
    </row>
    <row r="1092" spans="1:48">
      <c r="A1092" s="40"/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  <c r="AV1092" s="36"/>
    </row>
    <row r="1093" spans="1:48">
      <c r="A1093" s="40"/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5"/>
      <c r="AS1635" s="35"/>
      <c r="AT1635" s="35"/>
      <c r="AU1635" s="31"/>
      <c r="AV1635" s="36"/>
    </row>
    <row r="1636" spans="4:48">
      <c r="D1636" s="31"/>
      <c r="E1636" s="31"/>
      <c r="F1636" s="31"/>
      <c r="G1636" s="31"/>
      <c r="H1636" s="32"/>
      <c r="J1636" s="33"/>
      <c r="K1636" s="33"/>
      <c r="L1636" s="33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5"/>
      <c r="AS1636" s="35"/>
      <c r="AT1636" s="35"/>
      <c r="AU1636" s="31"/>
      <c r="AV1636" s="36"/>
    </row>
    <row r="1637" spans="4:48">
      <c r="D1637" s="31"/>
      <c r="E1637" s="31"/>
      <c r="F1637" s="31"/>
      <c r="G1637" s="31"/>
      <c r="H1637" s="32"/>
      <c r="J1637" s="33"/>
      <c r="K1637" s="33"/>
      <c r="L1637" s="33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5"/>
      <c r="AS1637" s="35"/>
      <c r="AT1637" s="35"/>
      <c r="AU1637" s="31"/>
      <c r="AV1637" s="36"/>
    </row>
    <row r="1638" spans="4:48">
      <c r="D1638" s="31"/>
      <c r="E1638" s="31"/>
      <c r="F1638" s="31"/>
      <c r="G1638" s="31"/>
      <c r="H1638" s="32"/>
      <c r="J1638" s="33"/>
      <c r="K1638" s="33"/>
      <c r="L1638" s="33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5"/>
      <c r="AS1638" s="35"/>
      <c r="AT1638" s="35"/>
      <c r="AU1638" s="31"/>
      <c r="AV1638" s="36"/>
    </row>
    <row r="1639" spans="4:48">
      <c r="D1639" s="31"/>
      <c r="E1639" s="31"/>
      <c r="F1639" s="31"/>
      <c r="G1639" s="31"/>
      <c r="H1639" s="32"/>
      <c r="J1639" s="33"/>
      <c r="K1639" s="33"/>
      <c r="L1639" s="33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5"/>
      <c r="AS1639" s="35"/>
      <c r="AT1639" s="35"/>
      <c r="AU1639" s="31"/>
      <c r="AV1639" s="36"/>
    </row>
    <row r="1640" spans="4:48">
      <c r="D1640" s="31"/>
      <c r="E1640" s="31"/>
      <c r="F1640" s="31"/>
      <c r="G1640" s="31"/>
      <c r="H1640" s="32"/>
      <c r="J1640" s="33"/>
      <c r="K1640" s="33"/>
      <c r="L1640" s="33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5"/>
      <c r="AS1640" s="35"/>
      <c r="AT1640" s="35"/>
      <c r="AU1640" s="31"/>
      <c r="AV1640" s="36"/>
    </row>
    <row r="1641" spans="4:48">
      <c r="D1641" s="31"/>
      <c r="E1641" s="31"/>
      <c r="F1641" s="31"/>
      <c r="G1641" s="31"/>
      <c r="H1641" s="32"/>
      <c r="J1641" s="33"/>
      <c r="K1641" s="33"/>
      <c r="L1641" s="33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5"/>
      <c r="AS1641" s="35"/>
      <c r="AT1641" s="35"/>
      <c r="AU1641" s="31"/>
      <c r="AV1641" s="36"/>
    </row>
    <row r="1642" spans="4:48">
      <c r="D1642" s="31"/>
      <c r="E1642" s="31"/>
      <c r="F1642" s="31"/>
      <c r="G1642" s="31"/>
      <c r="H1642" s="32"/>
      <c r="J1642" s="33"/>
      <c r="K1642" s="33"/>
      <c r="L1642" s="33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5"/>
      <c r="AS1642" s="35"/>
      <c r="AT1642" s="35"/>
      <c r="AU1642" s="31"/>
      <c r="AV1642" s="36"/>
    </row>
    <row r="1643" spans="4:48">
      <c r="D1643" s="31"/>
      <c r="E1643" s="31"/>
      <c r="F1643" s="31"/>
      <c r="G1643" s="31"/>
      <c r="H1643" s="32"/>
      <c r="J1643" s="33"/>
      <c r="K1643" s="33"/>
      <c r="L1643" s="33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5"/>
      <c r="AS1643" s="35"/>
      <c r="AT1643" s="35"/>
      <c r="AU1643" s="31"/>
      <c r="AV1643" s="36"/>
    </row>
    <row r="1644" spans="4:48">
      <c r="D1644" s="31"/>
      <c r="E1644" s="31"/>
      <c r="F1644" s="31"/>
      <c r="G1644" s="31"/>
      <c r="H1644" s="32"/>
      <c r="J1644" s="33"/>
      <c r="K1644" s="33"/>
      <c r="L1644" s="33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5"/>
      <c r="AS1644" s="35"/>
      <c r="AT1644" s="35"/>
      <c r="AU1644" s="31"/>
      <c r="AV1644" s="36"/>
    </row>
    <row r="1645" spans="4:48">
      <c r="D1645" s="31"/>
      <c r="E1645" s="31"/>
      <c r="F1645" s="31"/>
      <c r="G1645" s="31"/>
      <c r="H1645" s="32"/>
      <c r="J1645" s="33"/>
      <c r="K1645" s="33"/>
      <c r="L1645" s="33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5"/>
      <c r="AS1645" s="35"/>
      <c r="AT1645" s="35"/>
      <c r="AU1645" s="31"/>
      <c r="AV1645" s="36"/>
    </row>
    <row r="1646" spans="4:48">
      <c r="D1646" s="31"/>
      <c r="E1646" s="31"/>
      <c r="F1646" s="31"/>
      <c r="G1646" s="31"/>
      <c r="H1646" s="32"/>
      <c r="J1646" s="33"/>
      <c r="K1646" s="33"/>
      <c r="L1646" s="33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5"/>
      <c r="AS1646" s="35"/>
      <c r="AT1646" s="35"/>
      <c r="AU1646" s="31"/>
      <c r="AV1646" s="36"/>
    </row>
    <row r="1647" spans="4:48">
      <c r="D1647" s="31"/>
      <c r="E1647" s="31"/>
      <c r="F1647" s="31"/>
      <c r="G1647" s="31"/>
      <c r="H1647" s="32"/>
      <c r="J1647" s="33"/>
      <c r="K1647" s="33"/>
      <c r="L1647" s="33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5"/>
      <c r="AS1647" s="35"/>
      <c r="AT1647" s="35"/>
      <c r="AU1647" s="31"/>
      <c r="AV1647" s="36"/>
    </row>
    <row r="1648" spans="4:48">
      <c r="D1648" s="31"/>
      <c r="E1648" s="31"/>
      <c r="F1648" s="31"/>
      <c r="G1648" s="31"/>
      <c r="H1648" s="32"/>
      <c r="J1648" s="33"/>
      <c r="K1648" s="33"/>
      <c r="L1648" s="33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5"/>
      <c r="AS1648" s="35"/>
      <c r="AT1648" s="35"/>
      <c r="AU1648" s="31"/>
      <c r="AV1648" s="36"/>
    </row>
    <row r="1649" spans="4:48">
      <c r="D1649" s="31"/>
      <c r="E1649" s="31"/>
      <c r="F1649" s="31"/>
      <c r="G1649" s="31"/>
      <c r="H1649" s="32"/>
      <c r="J1649" s="33"/>
      <c r="K1649" s="33"/>
      <c r="L1649" s="33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5"/>
      <c r="AS1649" s="35"/>
      <c r="AT1649" s="35"/>
      <c r="AU1649" s="31"/>
      <c r="AV1649" s="36"/>
    </row>
    <row r="1650" spans="4:48">
      <c r="D1650" s="31"/>
      <c r="E1650" s="31"/>
      <c r="F1650" s="31"/>
      <c r="G1650" s="31"/>
      <c r="H1650" s="32"/>
      <c r="J1650" s="33"/>
      <c r="K1650" s="33"/>
      <c r="L1650" s="33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5"/>
      <c r="AS1650" s="35"/>
      <c r="AT1650" s="35"/>
      <c r="AU1650" s="31"/>
      <c r="AV1650" s="36"/>
    </row>
    <row r="1651" spans="4:48">
      <c r="D1651" s="31"/>
      <c r="E1651" s="31"/>
      <c r="F1651" s="31"/>
      <c r="G1651" s="31"/>
      <c r="H1651" s="32"/>
      <c r="J1651" s="33"/>
      <c r="K1651" s="33"/>
      <c r="L1651" s="33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5"/>
      <c r="AS1651" s="35"/>
      <c r="AT1651" s="35"/>
      <c r="AU1651" s="31"/>
      <c r="AV1651" s="36"/>
    </row>
    <row r="1652" spans="4:48">
      <c r="D1652" s="31"/>
      <c r="E1652" s="31"/>
      <c r="F1652" s="31"/>
      <c r="G1652" s="31"/>
      <c r="H1652" s="32"/>
      <c r="J1652" s="33"/>
      <c r="K1652" s="33"/>
      <c r="L1652" s="33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5"/>
      <c r="AS1652" s="35"/>
      <c r="AT1652" s="35"/>
      <c r="AU1652" s="31"/>
      <c r="AV1652" s="36"/>
    </row>
    <row r="1653" spans="4:48">
      <c r="D1653" s="31"/>
      <c r="E1653" s="31"/>
      <c r="F1653" s="31"/>
      <c r="G1653" s="31"/>
      <c r="H1653" s="32"/>
      <c r="J1653" s="33"/>
      <c r="K1653" s="33"/>
      <c r="L1653" s="33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5"/>
      <c r="AS1653" s="35"/>
      <c r="AT1653" s="35"/>
      <c r="AU1653" s="31"/>
      <c r="AV1653" s="36"/>
    </row>
    <row r="1654" spans="4:48">
      <c r="D1654" s="31"/>
      <c r="E1654" s="31"/>
      <c r="F1654" s="31"/>
      <c r="G1654" s="31"/>
      <c r="H1654" s="32"/>
      <c r="J1654" s="33"/>
      <c r="K1654" s="33"/>
      <c r="L1654" s="33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5"/>
      <c r="AS1654" s="35"/>
      <c r="AT1654" s="35"/>
      <c r="AU1654" s="31"/>
      <c r="AV1654" s="36"/>
    </row>
    <row r="1655" spans="4:48">
      <c r="D1655" s="31"/>
      <c r="E1655" s="31"/>
      <c r="F1655" s="31"/>
      <c r="G1655" s="31"/>
      <c r="H1655" s="32"/>
      <c r="J1655" s="33"/>
      <c r="K1655" s="33"/>
      <c r="L1655" s="33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5"/>
      <c r="AS1655" s="35"/>
      <c r="AT1655" s="35"/>
      <c r="AU1655" s="31"/>
      <c r="AV1655" s="36"/>
    </row>
    <row r="1656" spans="4:48">
      <c r="D1656" s="31"/>
      <c r="E1656" s="31"/>
      <c r="F1656" s="31"/>
      <c r="G1656" s="31"/>
      <c r="H1656" s="32"/>
      <c r="J1656" s="33"/>
      <c r="K1656" s="33"/>
      <c r="L1656" s="33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5"/>
      <c r="AS1656" s="35"/>
      <c r="AT1656" s="35"/>
      <c r="AU1656" s="31"/>
      <c r="AV1656" s="36"/>
    </row>
    <row r="1657" spans="4:48">
      <c r="D1657" s="31"/>
      <c r="E1657" s="31"/>
      <c r="F1657" s="31"/>
      <c r="G1657" s="31"/>
      <c r="H1657" s="32"/>
      <c r="J1657" s="33"/>
      <c r="K1657" s="33"/>
      <c r="L1657" s="33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5"/>
      <c r="AS1657" s="35"/>
      <c r="AT1657" s="35"/>
      <c r="AU1657" s="31"/>
      <c r="AV1657" s="36"/>
    </row>
    <row r="1658" spans="4:48">
      <c r="D1658" s="31"/>
      <c r="E1658" s="31"/>
      <c r="F1658" s="31"/>
      <c r="G1658" s="31"/>
      <c r="H1658" s="32"/>
      <c r="J1658" s="33"/>
      <c r="K1658" s="33"/>
      <c r="L1658" s="33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5"/>
      <c r="AS1658" s="35"/>
      <c r="AT1658" s="35"/>
      <c r="AU1658" s="31"/>
      <c r="AV1658" s="36"/>
    </row>
    <row r="1659" spans="4:48">
      <c r="D1659" s="31"/>
      <c r="E1659" s="31"/>
      <c r="F1659" s="31"/>
      <c r="G1659" s="31"/>
      <c r="H1659" s="32"/>
      <c r="J1659" s="33"/>
      <c r="K1659" s="33"/>
      <c r="L1659" s="33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5"/>
      <c r="AS1659" s="35"/>
      <c r="AT1659" s="35"/>
      <c r="AU1659" s="31"/>
      <c r="AV1659" s="36"/>
    </row>
    <row r="1660" spans="4:48">
      <c r="D1660" s="31"/>
      <c r="E1660" s="31"/>
      <c r="F1660" s="31"/>
      <c r="G1660" s="31"/>
      <c r="H1660" s="32"/>
      <c r="J1660" s="33"/>
      <c r="K1660" s="33"/>
      <c r="L1660" s="33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5"/>
      <c r="AS1660" s="35"/>
      <c r="AT1660" s="35"/>
      <c r="AU1660" s="31"/>
      <c r="AV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5"/>
      <c r="AS2074" s="35"/>
      <c r="AT2074" s="35"/>
      <c r="AU2074" s="31"/>
      <c r="AV2074" s="36"/>
      <c r="AW2074" s="36"/>
    </row>
    <row r="2075" spans="4:49">
      <c r="D2075" s="31"/>
      <c r="E2075" s="31"/>
      <c r="F2075" s="31"/>
      <c r="G2075" s="31"/>
      <c r="H2075" s="32"/>
      <c r="J2075" s="33"/>
      <c r="K2075" s="33"/>
      <c r="L2075" s="33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5"/>
      <c r="AS2075" s="35"/>
      <c r="AT2075" s="35"/>
      <c r="AU2075" s="31"/>
      <c r="AV2075" s="36"/>
      <c r="AW2075" s="36"/>
    </row>
    <row r="2076" spans="4:49">
      <c r="D2076" s="31"/>
      <c r="E2076" s="31"/>
      <c r="F2076" s="31"/>
      <c r="G2076" s="31"/>
      <c r="H2076" s="32"/>
      <c r="J2076" s="33"/>
      <c r="K2076" s="33"/>
      <c r="L2076" s="33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5"/>
      <c r="AS2076" s="35"/>
      <c r="AT2076" s="35"/>
      <c r="AU2076" s="31"/>
      <c r="AV2076" s="36"/>
      <c r="AW2076" s="36"/>
    </row>
    <row r="2077" spans="4:49">
      <c r="D2077" s="31"/>
      <c r="E2077" s="31"/>
      <c r="F2077" s="31"/>
      <c r="G2077" s="31"/>
      <c r="H2077" s="32"/>
      <c r="J2077" s="33"/>
      <c r="K2077" s="33"/>
      <c r="L2077" s="33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5"/>
      <c r="AS2077" s="35"/>
      <c r="AT2077" s="35"/>
      <c r="AU2077" s="31"/>
      <c r="AV2077" s="36"/>
      <c r="AW2077" s="36"/>
    </row>
    <row r="2078" spans="4:49">
      <c r="D2078" s="31"/>
      <c r="E2078" s="31"/>
      <c r="F2078" s="31"/>
      <c r="G2078" s="31"/>
      <c r="H2078" s="32"/>
      <c r="J2078" s="33"/>
      <c r="K2078" s="33"/>
      <c r="L2078" s="33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5"/>
      <c r="AS2078" s="35"/>
      <c r="AT2078" s="35"/>
      <c r="AU2078" s="31"/>
      <c r="AV2078" s="36"/>
      <c r="AW2078" s="36"/>
    </row>
    <row r="2079" spans="4:49">
      <c r="D2079" s="31"/>
      <c r="E2079" s="31"/>
      <c r="F2079" s="31"/>
      <c r="G2079" s="31"/>
      <c r="H2079" s="32"/>
      <c r="J2079" s="33"/>
      <c r="K2079" s="33"/>
      <c r="L2079" s="33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5"/>
      <c r="AS2079" s="35"/>
      <c r="AT2079" s="35"/>
      <c r="AU2079" s="31"/>
      <c r="AV2079" s="36"/>
      <c r="AW2079" s="36"/>
    </row>
    <row r="2080" spans="4:49">
      <c r="D2080" s="31"/>
      <c r="E2080" s="31"/>
      <c r="F2080" s="31"/>
      <c r="G2080" s="31"/>
      <c r="H2080" s="32"/>
      <c r="J2080" s="33"/>
      <c r="K2080" s="33"/>
      <c r="L2080" s="33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5"/>
      <c r="AS2080" s="35"/>
      <c r="AT2080" s="35"/>
      <c r="AU2080" s="31"/>
      <c r="AV2080" s="36"/>
      <c r="AW2080" s="36"/>
    </row>
    <row r="2081" spans="4:49">
      <c r="D2081" s="31"/>
      <c r="E2081" s="31"/>
      <c r="F2081" s="31"/>
      <c r="G2081" s="31"/>
      <c r="H2081" s="32"/>
      <c r="J2081" s="33"/>
      <c r="K2081" s="33"/>
      <c r="L2081" s="33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5"/>
      <c r="AS2081" s="35"/>
      <c r="AT2081" s="35"/>
      <c r="AU2081" s="31"/>
      <c r="AV2081" s="36"/>
      <c r="AW2081" s="36"/>
    </row>
    <row r="2082" spans="4:49">
      <c r="D2082" s="31"/>
      <c r="E2082" s="31"/>
      <c r="F2082" s="31"/>
      <c r="G2082" s="31"/>
      <c r="H2082" s="32"/>
      <c r="J2082" s="33"/>
      <c r="K2082" s="33"/>
      <c r="L2082" s="33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5"/>
      <c r="AS2082" s="35"/>
      <c r="AT2082" s="35"/>
      <c r="AU2082" s="31"/>
      <c r="AV2082" s="36"/>
      <c r="AW2082" s="36"/>
    </row>
    <row r="2083" spans="4:49">
      <c r="D2083" s="31"/>
      <c r="E2083" s="31"/>
      <c r="F2083" s="31"/>
      <c r="G2083" s="31"/>
      <c r="H2083" s="32"/>
      <c r="J2083" s="33"/>
      <c r="K2083" s="33"/>
      <c r="L2083" s="33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5"/>
      <c r="AS2083" s="35"/>
      <c r="AT2083" s="35"/>
      <c r="AU2083" s="31"/>
      <c r="AV2083" s="36"/>
      <c r="AW2083" s="36"/>
    </row>
    <row r="2084" spans="4:49">
      <c r="D2084" s="31"/>
      <c r="E2084" s="31"/>
      <c r="F2084" s="31"/>
      <c r="G2084" s="31"/>
      <c r="H2084" s="32"/>
      <c r="J2084" s="33"/>
      <c r="K2084" s="33"/>
      <c r="L2084" s="33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5"/>
      <c r="AS2084" s="35"/>
      <c r="AT2084" s="35"/>
      <c r="AU2084" s="31"/>
      <c r="AV2084" s="36"/>
      <c r="AW2084" s="36"/>
    </row>
    <row r="2085" spans="4:49">
      <c r="D2085" s="31"/>
      <c r="E2085" s="31"/>
      <c r="F2085" s="31"/>
      <c r="G2085" s="31"/>
      <c r="H2085" s="32"/>
      <c r="J2085" s="33"/>
      <c r="K2085" s="33"/>
      <c r="L2085" s="33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5"/>
      <c r="AS2085" s="35"/>
      <c r="AT2085" s="35"/>
      <c r="AU2085" s="31"/>
      <c r="AV2085" s="36"/>
      <c r="AW2085" s="36"/>
    </row>
    <row r="2086" spans="4:49">
      <c r="D2086" s="31"/>
      <c r="E2086" s="31"/>
      <c r="F2086" s="31"/>
      <c r="G2086" s="31"/>
      <c r="H2086" s="32"/>
      <c r="J2086" s="33"/>
      <c r="K2086" s="33"/>
      <c r="L2086" s="33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5"/>
      <c r="AS2086" s="35"/>
      <c r="AT2086" s="35"/>
      <c r="AU2086" s="31"/>
      <c r="AV2086" s="36"/>
      <c r="AW2086" s="36"/>
    </row>
    <row r="2087" spans="4:49">
      <c r="D2087" s="31"/>
      <c r="E2087" s="31"/>
      <c r="F2087" s="31"/>
      <c r="G2087" s="31"/>
      <c r="H2087" s="32"/>
      <c r="J2087" s="33"/>
      <c r="K2087" s="33"/>
      <c r="L2087" s="33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5"/>
      <c r="AS2087" s="35"/>
      <c r="AT2087" s="35"/>
      <c r="AU2087" s="31"/>
      <c r="AV2087" s="36"/>
      <c r="AW2087" s="36"/>
    </row>
    <row r="2088" spans="4:49">
      <c r="D2088" s="31"/>
      <c r="E2088" s="31"/>
      <c r="F2088" s="31"/>
      <c r="G2088" s="31"/>
      <c r="H2088" s="32"/>
      <c r="J2088" s="33"/>
      <c r="K2088" s="33"/>
      <c r="L2088" s="33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5"/>
      <c r="AS2088" s="35"/>
      <c r="AT2088" s="35"/>
      <c r="AU2088" s="31"/>
      <c r="AV2088" s="36"/>
      <c r="AW2088" s="36"/>
    </row>
    <row r="2089" spans="4:49">
      <c r="D2089" s="31"/>
      <c r="E2089" s="31"/>
      <c r="F2089" s="31"/>
      <c r="G2089" s="31"/>
      <c r="H2089" s="32"/>
      <c r="J2089" s="33"/>
      <c r="K2089" s="33"/>
      <c r="L2089" s="33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5"/>
      <c r="AS2089" s="35"/>
      <c r="AT2089" s="35"/>
      <c r="AU2089" s="31"/>
      <c r="AV2089" s="36"/>
      <c r="AW2089" s="36"/>
    </row>
    <row r="2090" spans="4:49">
      <c r="D2090" s="31"/>
      <c r="E2090" s="31"/>
      <c r="F2090" s="31"/>
      <c r="G2090" s="31"/>
      <c r="H2090" s="32"/>
      <c r="J2090" s="33"/>
      <c r="K2090" s="33"/>
      <c r="L2090" s="33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5"/>
      <c r="AS2090" s="35"/>
      <c r="AT2090" s="35"/>
      <c r="AU2090" s="31"/>
      <c r="AV2090" s="36"/>
      <c r="AW2090" s="36"/>
    </row>
    <row r="2091" spans="4:49">
      <c r="D2091" s="31"/>
      <c r="E2091" s="31"/>
      <c r="F2091" s="31"/>
      <c r="G2091" s="31"/>
      <c r="H2091" s="32"/>
      <c r="J2091" s="33"/>
      <c r="K2091" s="33"/>
      <c r="L2091" s="33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5"/>
      <c r="AS2091" s="35"/>
      <c r="AT2091" s="35"/>
      <c r="AU2091" s="31"/>
      <c r="AV2091" s="36"/>
      <c r="AW2091" s="36"/>
    </row>
    <row r="2092" spans="4:49">
      <c r="D2092" s="31"/>
      <c r="E2092" s="31"/>
      <c r="F2092" s="31"/>
      <c r="G2092" s="31"/>
      <c r="H2092" s="32"/>
      <c r="J2092" s="33"/>
      <c r="K2092" s="33"/>
      <c r="L2092" s="33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5"/>
      <c r="AS2092" s="35"/>
      <c r="AT2092" s="35"/>
      <c r="AU2092" s="31"/>
      <c r="AV2092" s="36"/>
      <c r="AW2092" s="36"/>
    </row>
    <row r="2093" spans="4:49">
      <c r="D2093" s="31"/>
      <c r="E2093" s="31"/>
      <c r="F2093" s="31"/>
      <c r="G2093" s="31"/>
      <c r="H2093" s="32"/>
      <c r="J2093" s="33"/>
      <c r="K2093" s="33"/>
      <c r="L2093" s="33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5"/>
      <c r="AS2093" s="35"/>
      <c r="AT2093" s="35"/>
      <c r="AU2093" s="31"/>
      <c r="AV2093" s="36"/>
      <c r="AW2093" s="36"/>
    </row>
    <row r="2094" spans="4:49">
      <c r="D2094" s="31"/>
      <c r="E2094" s="31"/>
      <c r="F2094" s="31"/>
      <c r="G2094" s="31"/>
      <c r="H2094" s="32"/>
      <c r="J2094" s="33"/>
      <c r="K2094" s="33"/>
      <c r="L2094" s="33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5"/>
      <c r="AS2094" s="35"/>
      <c r="AT2094" s="35"/>
      <c r="AU2094" s="31"/>
      <c r="AV2094" s="36"/>
      <c r="AW2094" s="36"/>
    </row>
    <row r="2095" spans="4:49">
      <c r="D2095" s="31"/>
      <c r="E2095" s="31"/>
      <c r="F2095" s="31"/>
      <c r="G2095" s="31"/>
      <c r="H2095" s="32"/>
      <c r="J2095" s="33"/>
      <c r="K2095" s="33"/>
      <c r="L2095" s="33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5"/>
      <c r="AS2095" s="35"/>
      <c r="AT2095" s="35"/>
      <c r="AU2095" s="31"/>
      <c r="AV2095" s="36"/>
      <c r="AW2095" s="36"/>
    </row>
    <row r="2096" spans="4:49">
      <c r="D2096" s="31"/>
      <c r="E2096" s="31"/>
      <c r="F2096" s="31"/>
      <c r="G2096" s="31"/>
      <c r="H2096" s="32"/>
      <c r="J2096" s="33"/>
      <c r="K2096" s="33"/>
      <c r="L2096" s="33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5"/>
      <c r="AS2096" s="35"/>
      <c r="AT2096" s="35"/>
      <c r="AU2096" s="31"/>
      <c r="AV2096" s="36"/>
      <c r="AW2096" s="36"/>
    </row>
    <row r="2097" spans="4:49">
      <c r="D2097" s="31"/>
      <c r="E2097" s="31"/>
      <c r="F2097" s="31"/>
      <c r="G2097" s="31"/>
      <c r="H2097" s="32"/>
      <c r="J2097" s="33"/>
      <c r="K2097" s="33"/>
      <c r="L2097" s="33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5"/>
      <c r="AS2097" s="35"/>
      <c r="AT2097" s="35"/>
      <c r="AU2097" s="31"/>
      <c r="AV2097" s="36"/>
      <c r="AW2097" s="36"/>
    </row>
    <row r="2098" spans="4:49">
      <c r="D2098" s="31"/>
      <c r="E2098" s="31"/>
      <c r="F2098" s="31"/>
      <c r="G2098" s="31"/>
      <c r="H2098" s="32"/>
      <c r="J2098" s="33"/>
      <c r="K2098" s="33"/>
      <c r="L2098" s="33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5"/>
      <c r="AS2098" s="35"/>
      <c r="AT2098" s="35"/>
      <c r="AU2098" s="31"/>
      <c r="AV2098" s="36"/>
      <c r="AW2098" s="36"/>
    </row>
    <row r="2099" spans="4:49">
      <c r="D2099" s="31"/>
      <c r="E2099" s="31"/>
      <c r="F2099" s="31"/>
      <c r="G2099" s="31"/>
      <c r="H2099" s="32"/>
      <c r="J2099" s="33"/>
      <c r="K2099" s="33"/>
      <c r="L2099" s="33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5"/>
      <c r="AS2099" s="35"/>
      <c r="AT2099" s="35"/>
      <c r="AU2099" s="31"/>
      <c r="AV2099" s="36"/>
      <c r="AW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5"/>
      <c r="AS2813" s="35"/>
      <c r="AT2813" s="35"/>
      <c r="AU2813" s="31"/>
      <c r="AV2813" s="36"/>
    </row>
    <row r="2814" spans="4:48">
      <c r="D2814" s="31"/>
      <c r="E2814" s="31"/>
      <c r="F2814" s="31"/>
      <c r="G2814" s="31"/>
      <c r="H2814" s="32"/>
      <c r="J2814" s="33"/>
      <c r="K2814" s="33"/>
      <c r="L2814" s="33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5"/>
      <c r="AS2814" s="35"/>
      <c r="AT2814" s="35"/>
      <c r="AU2814" s="31"/>
      <c r="AV2814" s="36"/>
    </row>
    <row r="2815" spans="4:48">
      <c r="D2815" s="31"/>
      <c r="E2815" s="31"/>
      <c r="F2815" s="31"/>
      <c r="G2815" s="31"/>
      <c r="H2815" s="32"/>
      <c r="J2815" s="33"/>
      <c r="K2815" s="33"/>
      <c r="L2815" s="33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5"/>
      <c r="AS2815" s="35"/>
      <c r="AT2815" s="35"/>
      <c r="AU2815" s="31"/>
      <c r="AV2815" s="36"/>
    </row>
    <row r="2816" spans="4:48">
      <c r="D2816" s="31"/>
      <c r="E2816" s="31"/>
      <c r="F2816" s="31"/>
      <c r="G2816" s="31"/>
      <c r="H2816" s="32"/>
      <c r="J2816" s="33"/>
      <c r="K2816" s="33"/>
      <c r="L2816" s="33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5"/>
      <c r="AS2816" s="35"/>
      <c r="AT2816" s="35"/>
      <c r="AU2816" s="31"/>
      <c r="AV2816" s="36"/>
    </row>
    <row r="2817" spans="4:48">
      <c r="D2817" s="31"/>
      <c r="E2817" s="31"/>
      <c r="F2817" s="31"/>
      <c r="G2817" s="31"/>
      <c r="H2817" s="32"/>
      <c r="J2817" s="33"/>
      <c r="K2817" s="33"/>
      <c r="L2817" s="33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5"/>
      <c r="AS2817" s="35"/>
      <c r="AT2817" s="35"/>
      <c r="AU2817" s="31"/>
      <c r="AV2817" s="36"/>
    </row>
    <row r="2818" spans="4:48">
      <c r="D2818" s="31"/>
      <c r="E2818" s="31"/>
      <c r="F2818" s="31"/>
      <c r="G2818" s="31"/>
      <c r="H2818" s="32"/>
      <c r="J2818" s="33"/>
      <c r="K2818" s="33"/>
      <c r="L2818" s="33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5"/>
      <c r="AS2818" s="35"/>
      <c r="AT2818" s="35"/>
      <c r="AU2818" s="31"/>
      <c r="AV2818" s="36"/>
    </row>
    <row r="2819" spans="4:48">
      <c r="D2819" s="31"/>
      <c r="E2819" s="31"/>
      <c r="F2819" s="31"/>
      <c r="G2819" s="31"/>
      <c r="H2819" s="32"/>
      <c r="J2819" s="33"/>
      <c r="K2819" s="33"/>
      <c r="L2819" s="33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5"/>
      <c r="AS2819" s="35"/>
      <c r="AT2819" s="35"/>
      <c r="AU2819" s="31"/>
      <c r="AV2819" s="36"/>
    </row>
    <row r="2820" spans="4:48">
      <c r="D2820" s="31"/>
      <c r="E2820" s="31"/>
      <c r="F2820" s="31"/>
      <c r="G2820" s="31"/>
      <c r="H2820" s="32"/>
      <c r="J2820" s="33"/>
      <c r="K2820" s="33"/>
      <c r="L2820" s="33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5"/>
      <c r="AS2820" s="35"/>
      <c r="AT2820" s="35"/>
      <c r="AU2820" s="31"/>
      <c r="AV2820" s="36"/>
    </row>
    <row r="2821" spans="4:48">
      <c r="D2821" s="31"/>
      <c r="E2821" s="31"/>
      <c r="F2821" s="31"/>
      <c r="G2821" s="31"/>
      <c r="H2821" s="32"/>
      <c r="J2821" s="33"/>
      <c r="K2821" s="33"/>
      <c r="L2821" s="33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5"/>
      <c r="AS2821" s="35"/>
      <c r="AT2821" s="35"/>
      <c r="AU2821" s="31"/>
      <c r="AV2821" s="36"/>
    </row>
    <row r="2822" spans="4:48">
      <c r="D2822" s="31"/>
      <c r="E2822" s="31"/>
      <c r="F2822" s="31"/>
      <c r="G2822" s="31"/>
      <c r="H2822" s="32"/>
      <c r="J2822" s="33"/>
      <c r="K2822" s="33"/>
      <c r="L2822" s="33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5"/>
      <c r="AS2822" s="35"/>
      <c r="AT2822" s="35"/>
      <c r="AU2822" s="31"/>
      <c r="AV2822" s="36"/>
    </row>
    <row r="2823" spans="4:48">
      <c r="D2823" s="31"/>
      <c r="E2823" s="31"/>
      <c r="F2823" s="31"/>
      <c r="G2823" s="31"/>
      <c r="H2823" s="32"/>
      <c r="J2823" s="33"/>
      <c r="K2823" s="33"/>
      <c r="L2823" s="33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5"/>
      <c r="AS2823" s="35"/>
      <c r="AT2823" s="35"/>
      <c r="AU2823" s="31"/>
      <c r="AV2823" s="36"/>
    </row>
    <row r="2824" spans="4:48">
      <c r="D2824" s="31"/>
      <c r="E2824" s="31"/>
      <c r="F2824" s="31"/>
      <c r="G2824" s="31"/>
      <c r="H2824" s="32"/>
      <c r="J2824" s="33"/>
      <c r="K2824" s="33"/>
      <c r="L2824" s="33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5"/>
      <c r="AS2824" s="35"/>
      <c r="AT2824" s="35"/>
      <c r="AU2824" s="31"/>
      <c r="AV2824" s="36"/>
    </row>
    <row r="2825" spans="4:48">
      <c r="D2825" s="31"/>
      <c r="E2825" s="31"/>
      <c r="F2825" s="31"/>
      <c r="G2825" s="31"/>
      <c r="H2825" s="32"/>
      <c r="J2825" s="33"/>
      <c r="K2825" s="33"/>
      <c r="L2825" s="33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5"/>
      <c r="AS2825" s="35"/>
      <c r="AT2825" s="35"/>
      <c r="AU2825" s="31"/>
      <c r="AV2825" s="36"/>
    </row>
    <row r="2826" spans="4:48">
      <c r="D2826" s="31"/>
      <c r="E2826" s="31"/>
      <c r="F2826" s="31"/>
      <c r="G2826" s="31"/>
      <c r="H2826" s="32"/>
      <c r="J2826" s="33"/>
      <c r="K2826" s="33"/>
      <c r="L2826" s="33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5"/>
      <c r="AS2826" s="35"/>
      <c r="AT2826" s="35"/>
      <c r="AU2826" s="31"/>
      <c r="AV2826" s="36"/>
    </row>
    <row r="2827" spans="4:48">
      <c r="D2827" s="31"/>
      <c r="E2827" s="31"/>
      <c r="F2827" s="31"/>
      <c r="G2827" s="31"/>
      <c r="H2827" s="32"/>
      <c r="J2827" s="33"/>
      <c r="K2827" s="33"/>
      <c r="L2827" s="33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5"/>
      <c r="AS2827" s="35"/>
      <c r="AT2827" s="35"/>
      <c r="AU2827" s="31"/>
      <c r="AV2827" s="36"/>
    </row>
    <row r="2828" spans="4:48">
      <c r="D2828" s="31"/>
      <c r="E2828" s="31"/>
      <c r="F2828" s="31"/>
      <c r="G2828" s="31"/>
      <c r="H2828" s="32"/>
      <c r="J2828" s="33"/>
      <c r="K2828" s="33"/>
      <c r="L2828" s="33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5"/>
      <c r="AS2828" s="35"/>
      <c r="AT2828" s="35"/>
      <c r="AU2828" s="31"/>
      <c r="AV2828" s="36"/>
    </row>
    <row r="2829" spans="4:48">
      <c r="D2829" s="31"/>
      <c r="E2829" s="31"/>
      <c r="F2829" s="31"/>
      <c r="G2829" s="31"/>
      <c r="H2829" s="32"/>
      <c r="J2829" s="33"/>
      <c r="K2829" s="33"/>
      <c r="L2829" s="33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5"/>
      <c r="AS2829" s="35"/>
      <c r="AT2829" s="35"/>
      <c r="AU2829" s="31"/>
      <c r="AV2829" s="36"/>
    </row>
    <row r="2830" spans="4:48">
      <c r="D2830" s="31"/>
      <c r="E2830" s="31"/>
      <c r="F2830" s="31"/>
      <c r="G2830" s="31"/>
      <c r="H2830" s="32"/>
      <c r="J2830" s="33"/>
      <c r="K2830" s="33"/>
      <c r="L2830" s="33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5"/>
      <c r="AS2830" s="35"/>
      <c r="AT2830" s="35"/>
      <c r="AU2830" s="31"/>
      <c r="AV2830" s="36"/>
    </row>
    <row r="2831" spans="4:48">
      <c r="D2831" s="31"/>
      <c r="E2831" s="31"/>
      <c r="F2831" s="31"/>
      <c r="G2831" s="31"/>
      <c r="H2831" s="32"/>
      <c r="J2831" s="33"/>
      <c r="K2831" s="33"/>
      <c r="L2831" s="33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5"/>
      <c r="AS2831" s="35"/>
      <c r="AT2831" s="35"/>
      <c r="AU2831" s="31"/>
      <c r="AV2831" s="36"/>
    </row>
    <row r="2832" spans="4:48">
      <c r="D2832" s="31"/>
      <c r="E2832" s="31"/>
      <c r="F2832" s="31"/>
      <c r="G2832" s="31"/>
      <c r="H2832" s="32"/>
      <c r="J2832" s="33"/>
      <c r="K2832" s="33"/>
      <c r="L2832" s="33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5"/>
      <c r="AS2832" s="35"/>
      <c r="AT2832" s="35"/>
      <c r="AU2832" s="31"/>
      <c r="AV2832" s="36"/>
    </row>
    <row r="2833" spans="4:48">
      <c r="D2833" s="31"/>
      <c r="E2833" s="31"/>
      <c r="F2833" s="31"/>
      <c r="G2833" s="31"/>
      <c r="H2833" s="32"/>
      <c r="J2833" s="33"/>
      <c r="K2833" s="33"/>
      <c r="L2833" s="33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5"/>
      <c r="AS2833" s="35"/>
      <c r="AT2833" s="35"/>
      <c r="AU2833" s="31"/>
      <c r="AV2833" s="36"/>
    </row>
    <row r="2834" spans="4:48">
      <c r="D2834" s="31"/>
      <c r="E2834" s="31"/>
      <c r="F2834" s="31"/>
      <c r="G2834" s="31"/>
      <c r="H2834" s="32"/>
      <c r="J2834" s="33"/>
      <c r="K2834" s="33"/>
      <c r="L2834" s="33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5"/>
      <c r="AS2834" s="35"/>
      <c r="AT2834" s="35"/>
      <c r="AU2834" s="31"/>
      <c r="AV2834" s="36"/>
    </row>
    <row r="2835" spans="4:48">
      <c r="D2835" s="31"/>
      <c r="E2835" s="31"/>
      <c r="F2835" s="31"/>
      <c r="G2835" s="31"/>
      <c r="H2835" s="32"/>
      <c r="J2835" s="33"/>
      <c r="K2835" s="33"/>
      <c r="L2835" s="33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5"/>
      <c r="AS2835" s="35"/>
      <c r="AT2835" s="35"/>
      <c r="AU2835" s="31"/>
      <c r="AV2835" s="36"/>
    </row>
    <row r="2836" spans="4:48">
      <c r="D2836" s="31"/>
      <c r="E2836" s="31"/>
      <c r="F2836" s="31"/>
      <c r="G2836" s="31"/>
      <c r="H2836" s="32"/>
      <c r="J2836" s="33"/>
      <c r="K2836" s="33"/>
      <c r="L2836" s="33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5"/>
      <c r="AS2836" s="35"/>
      <c r="AT2836" s="35"/>
      <c r="AU2836" s="31"/>
      <c r="AV2836" s="36"/>
    </row>
    <row r="2837" spans="4:48">
      <c r="D2837" s="31"/>
      <c r="E2837" s="31"/>
      <c r="F2837" s="31"/>
      <c r="G2837" s="31"/>
      <c r="H2837" s="32"/>
      <c r="J2837" s="33"/>
      <c r="K2837" s="33"/>
      <c r="L2837" s="33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5"/>
      <c r="AS2837" s="35"/>
      <c r="AT2837" s="35"/>
      <c r="AU2837" s="31"/>
      <c r="AV2837" s="36"/>
    </row>
    <row r="2838" spans="4:48">
      <c r="D2838" s="31"/>
      <c r="E2838" s="31"/>
      <c r="F2838" s="31"/>
      <c r="G2838" s="31"/>
      <c r="H2838" s="32"/>
      <c r="J2838" s="33"/>
      <c r="K2838" s="33"/>
      <c r="L2838" s="33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5"/>
      <c r="AS2838" s="35"/>
      <c r="AT2838" s="35"/>
      <c r="AU2838" s="31"/>
      <c r="AV2838" s="36"/>
    </row>
    <row r="2839" spans="4:48">
      <c r="D2839" s="31"/>
      <c r="E2839" s="31"/>
      <c r="F2839" s="31"/>
      <c r="G2839" s="31"/>
      <c r="H2839" s="32"/>
      <c r="J2839" s="33"/>
      <c r="K2839" s="33"/>
      <c r="L2839" s="33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5"/>
      <c r="AS2839" s="35"/>
      <c r="AT2839" s="35"/>
      <c r="AU2839" s="31"/>
      <c r="AV2839" s="36"/>
    </row>
    <row r="2840" spans="4:48">
      <c r="D2840" s="31"/>
      <c r="E2840" s="31"/>
      <c r="F2840" s="31"/>
      <c r="G2840" s="31"/>
      <c r="H2840" s="32"/>
      <c r="J2840" s="33"/>
      <c r="K2840" s="33"/>
      <c r="L2840" s="33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5"/>
      <c r="AS2840" s="35"/>
      <c r="AT2840" s="35"/>
      <c r="AU2840" s="31"/>
      <c r="AV2840" s="36"/>
    </row>
    <row r="2841" spans="4:48">
      <c r="D2841" s="31"/>
      <c r="E2841" s="31"/>
      <c r="F2841" s="31"/>
      <c r="G2841" s="31"/>
      <c r="H2841" s="32"/>
      <c r="J2841" s="33"/>
      <c r="K2841" s="33"/>
      <c r="L2841" s="33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5"/>
      <c r="AS2841" s="35"/>
      <c r="AT2841" s="35"/>
      <c r="AU2841" s="31"/>
      <c r="AV2841" s="36"/>
    </row>
    <row r="2842" spans="4:48">
      <c r="D2842" s="31"/>
      <c r="E2842" s="31"/>
      <c r="F2842" s="31"/>
      <c r="G2842" s="31"/>
      <c r="H2842" s="32"/>
      <c r="J2842" s="33"/>
      <c r="K2842" s="33"/>
      <c r="L2842" s="33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5"/>
      <c r="AS2842" s="35"/>
      <c r="AT2842" s="35"/>
      <c r="AU2842" s="31"/>
      <c r="AV2842" s="36"/>
    </row>
    <row r="2843" spans="4:48">
      <c r="D2843" s="31"/>
      <c r="E2843" s="31"/>
      <c r="F2843" s="31"/>
      <c r="G2843" s="31"/>
      <c r="H2843" s="32"/>
      <c r="J2843" s="33"/>
      <c r="K2843" s="33"/>
      <c r="L2843" s="33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5"/>
      <c r="AS2843" s="35"/>
      <c r="AT2843" s="35"/>
      <c r="AU2843" s="31"/>
      <c r="AV2843" s="36"/>
    </row>
    <row r="2844" spans="4:48">
      <c r="D2844" s="31"/>
      <c r="E2844" s="31"/>
      <c r="F2844" s="31"/>
      <c r="G2844" s="31"/>
      <c r="H2844" s="32"/>
      <c r="J2844" s="33"/>
      <c r="K2844" s="33"/>
      <c r="L2844" s="33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5"/>
      <c r="AS2844" s="35"/>
      <c r="AT2844" s="35"/>
      <c r="AU2844" s="31"/>
      <c r="AV2844" s="36"/>
    </row>
    <row r="2845" spans="4:48">
      <c r="D2845" s="31"/>
      <c r="E2845" s="31"/>
      <c r="F2845" s="31"/>
      <c r="G2845" s="31"/>
      <c r="H2845" s="32"/>
      <c r="J2845" s="33"/>
      <c r="K2845" s="33"/>
      <c r="L2845" s="33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5"/>
      <c r="AS2845" s="35"/>
      <c r="AT2845" s="35"/>
      <c r="AU2845" s="31"/>
      <c r="AV2845" s="36"/>
    </row>
    <row r="2846" spans="4:48">
      <c r="D2846" s="31"/>
      <c r="E2846" s="31"/>
      <c r="F2846" s="31"/>
      <c r="G2846" s="31"/>
      <c r="H2846" s="32"/>
      <c r="J2846" s="33"/>
      <c r="K2846" s="33"/>
      <c r="L2846" s="33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5"/>
      <c r="AS2846" s="35"/>
      <c r="AT2846" s="35"/>
      <c r="AU2846" s="31"/>
      <c r="AV2846" s="36"/>
    </row>
    <row r="2847" spans="4:48">
      <c r="D2847" s="31"/>
      <c r="E2847" s="31"/>
      <c r="F2847" s="31"/>
      <c r="G2847" s="31"/>
      <c r="H2847" s="32"/>
      <c r="J2847" s="33"/>
      <c r="K2847" s="33"/>
      <c r="L2847" s="33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5"/>
      <c r="AS2847" s="35"/>
      <c r="AT2847" s="35"/>
      <c r="AU2847" s="31"/>
      <c r="AV2847" s="36"/>
    </row>
    <row r="2848" spans="4:48">
      <c r="D2848" s="31"/>
      <c r="E2848" s="31"/>
      <c r="F2848" s="31"/>
      <c r="G2848" s="31"/>
      <c r="H2848" s="32"/>
      <c r="J2848" s="33"/>
      <c r="K2848" s="33"/>
      <c r="L2848" s="33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5"/>
      <c r="AS2848" s="35"/>
      <c r="AT2848" s="35"/>
      <c r="AU2848" s="31"/>
      <c r="AV2848" s="36"/>
    </row>
    <row r="2849" spans="4:48">
      <c r="D2849" s="31"/>
      <c r="E2849" s="31"/>
      <c r="F2849" s="31"/>
      <c r="G2849" s="31"/>
      <c r="H2849" s="32"/>
      <c r="J2849" s="33"/>
      <c r="K2849" s="33"/>
      <c r="L2849" s="33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5"/>
      <c r="AS2849" s="35"/>
      <c r="AT2849" s="35"/>
      <c r="AU2849" s="31"/>
      <c r="AV2849" s="36"/>
    </row>
    <row r="2850" spans="4:48">
      <c r="D2850" s="31"/>
      <c r="E2850" s="31"/>
      <c r="F2850" s="31"/>
      <c r="G2850" s="31"/>
      <c r="H2850" s="32"/>
      <c r="J2850" s="33"/>
      <c r="K2850" s="33"/>
      <c r="L2850" s="33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5"/>
      <c r="AS2850" s="35"/>
      <c r="AT2850" s="35"/>
      <c r="AU2850" s="31"/>
      <c r="AV2850" s="36"/>
    </row>
    <row r="2851" spans="4:48">
      <c r="D2851" s="31"/>
      <c r="E2851" s="31"/>
      <c r="F2851" s="31"/>
      <c r="G2851" s="31"/>
      <c r="H2851" s="32"/>
      <c r="J2851" s="33"/>
      <c r="K2851" s="33"/>
      <c r="L2851" s="33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5"/>
      <c r="AS2851" s="35"/>
      <c r="AT2851" s="35"/>
      <c r="AU2851" s="31"/>
      <c r="AV2851" s="36"/>
    </row>
    <row r="2852" spans="4:48">
      <c r="D2852" s="31"/>
      <c r="E2852" s="31"/>
      <c r="F2852" s="31"/>
      <c r="G2852" s="31"/>
      <c r="H2852" s="32"/>
      <c r="J2852" s="33"/>
      <c r="K2852" s="33"/>
      <c r="L2852" s="33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5"/>
      <c r="AS2852" s="35"/>
      <c r="AT2852" s="35"/>
      <c r="AU2852" s="31"/>
      <c r="AV2852" s="36"/>
    </row>
    <row r="2853" spans="4:48">
      <c r="D2853" s="31"/>
      <c r="E2853" s="31"/>
      <c r="F2853" s="31"/>
      <c r="G2853" s="31"/>
      <c r="H2853" s="32"/>
      <c r="J2853" s="33"/>
      <c r="K2853" s="33"/>
      <c r="L2853" s="33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5"/>
      <c r="AS2853" s="35"/>
      <c r="AT2853" s="35"/>
      <c r="AU2853" s="31"/>
      <c r="AV2853" s="36"/>
    </row>
    <row r="2854" spans="4:48">
      <c r="D2854" s="31"/>
      <c r="E2854" s="31"/>
      <c r="F2854" s="31"/>
      <c r="G2854" s="31"/>
      <c r="H2854" s="32"/>
      <c r="J2854" s="33"/>
      <c r="K2854" s="33"/>
      <c r="L2854" s="33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5"/>
      <c r="AS2854" s="35"/>
      <c r="AT2854" s="35"/>
      <c r="AU2854" s="31"/>
      <c r="AV2854" s="36"/>
    </row>
    <row r="2855" spans="4:48">
      <c r="D2855" s="31"/>
      <c r="E2855" s="31"/>
      <c r="F2855" s="31"/>
      <c r="G2855" s="31"/>
      <c r="H2855" s="32"/>
      <c r="J2855" s="33"/>
      <c r="K2855" s="33"/>
      <c r="L2855" s="33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5"/>
      <c r="AS2855" s="35"/>
      <c r="AT2855" s="35"/>
      <c r="AU2855" s="31"/>
      <c r="AV2855" s="36"/>
    </row>
    <row r="2856" spans="4:48">
      <c r="D2856" s="31"/>
      <c r="E2856" s="31"/>
      <c r="F2856" s="31"/>
      <c r="G2856" s="31"/>
      <c r="H2856" s="32"/>
      <c r="J2856" s="33"/>
      <c r="K2856" s="33"/>
      <c r="L2856" s="33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5"/>
      <c r="AS2856" s="35"/>
      <c r="AT2856" s="35"/>
      <c r="AU2856" s="31"/>
      <c r="AV2856" s="36"/>
    </row>
    <row r="2857" spans="4:48">
      <c r="D2857" s="31"/>
      <c r="E2857" s="31"/>
      <c r="F2857" s="31"/>
      <c r="G2857" s="31"/>
      <c r="H2857" s="32"/>
      <c r="J2857" s="33"/>
      <c r="K2857" s="33"/>
      <c r="L2857" s="33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5"/>
      <c r="AS2857" s="35"/>
      <c r="AT2857" s="35"/>
      <c r="AU2857" s="31"/>
      <c r="AV2857" s="36"/>
    </row>
    <row r="2858" spans="4:48">
      <c r="D2858" s="31"/>
      <c r="E2858" s="31"/>
      <c r="F2858" s="31"/>
      <c r="G2858" s="31"/>
      <c r="H2858" s="32"/>
      <c r="J2858" s="33"/>
      <c r="K2858" s="33"/>
      <c r="L2858" s="33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5"/>
      <c r="AS2858" s="35"/>
      <c r="AT2858" s="35"/>
      <c r="AU2858" s="31"/>
      <c r="AV2858" s="36"/>
    </row>
    <row r="2859" spans="4:48">
      <c r="D2859" s="31"/>
      <c r="E2859" s="31"/>
      <c r="F2859" s="31"/>
      <c r="G2859" s="31"/>
      <c r="H2859" s="32"/>
      <c r="J2859" s="33"/>
      <c r="K2859" s="33"/>
      <c r="L2859" s="33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5"/>
      <c r="AS2859" s="35"/>
      <c r="AT2859" s="35"/>
      <c r="AU2859" s="31"/>
      <c r="AV2859" s="36"/>
    </row>
    <row r="2860" spans="4:48">
      <c r="D2860" s="31"/>
      <c r="E2860" s="31"/>
      <c r="F2860" s="31"/>
      <c r="G2860" s="31"/>
      <c r="H2860" s="32"/>
      <c r="J2860" s="33"/>
      <c r="K2860" s="33"/>
      <c r="L2860" s="33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5"/>
      <c r="AS2860" s="35"/>
      <c r="AT2860" s="35"/>
      <c r="AU2860" s="31"/>
      <c r="AV2860" s="36"/>
    </row>
    <row r="2861" spans="4:48">
      <c r="D2861" s="31"/>
      <c r="E2861" s="31"/>
      <c r="F2861" s="31"/>
      <c r="G2861" s="31"/>
      <c r="H2861" s="32"/>
      <c r="J2861" s="33"/>
      <c r="K2861" s="33"/>
      <c r="L2861" s="33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5"/>
      <c r="AS2861" s="35"/>
      <c r="AT2861" s="35"/>
      <c r="AU2861" s="31"/>
      <c r="AV2861" s="36"/>
    </row>
    <row r="2862" spans="4:48">
      <c r="D2862" s="31"/>
      <c r="E2862" s="31"/>
      <c r="F2862" s="31"/>
      <c r="G2862" s="31"/>
      <c r="H2862" s="32"/>
      <c r="J2862" s="33"/>
      <c r="K2862" s="33"/>
      <c r="L2862" s="33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5"/>
      <c r="AS2862" s="35"/>
      <c r="AT2862" s="35"/>
      <c r="AU2862" s="31"/>
      <c r="AV2862" s="36"/>
    </row>
    <row r="2863" spans="4:48">
      <c r="D2863" s="31"/>
      <c r="E2863" s="31"/>
      <c r="F2863" s="31"/>
      <c r="G2863" s="31"/>
      <c r="H2863" s="32"/>
      <c r="J2863" s="33"/>
      <c r="K2863" s="33"/>
      <c r="L2863" s="33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5"/>
      <c r="AS2863" s="35"/>
      <c r="AT2863" s="35"/>
      <c r="AU2863" s="31"/>
      <c r="AV2863" s="36"/>
    </row>
    <row r="2864" spans="4:48">
      <c r="D2864" s="31"/>
      <c r="E2864" s="31"/>
      <c r="F2864" s="31"/>
      <c r="G2864" s="31"/>
      <c r="H2864" s="32"/>
      <c r="J2864" s="33"/>
      <c r="K2864" s="33"/>
      <c r="L2864" s="33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5"/>
      <c r="AS2864" s="35"/>
      <c r="AT2864" s="35"/>
      <c r="AU2864" s="31"/>
      <c r="AV2864" s="36"/>
    </row>
    <row r="2865" spans="4:48">
      <c r="D2865" s="31"/>
      <c r="E2865" s="31"/>
      <c r="F2865" s="31"/>
      <c r="G2865" s="31"/>
      <c r="H2865" s="32"/>
      <c r="J2865" s="33"/>
      <c r="K2865" s="33"/>
      <c r="L2865" s="33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5"/>
      <c r="AS2865" s="35"/>
      <c r="AT2865" s="35"/>
      <c r="AU2865" s="31"/>
      <c r="AV2865" s="36"/>
    </row>
    <row r="2866" spans="4:48">
      <c r="D2866" s="31"/>
      <c r="E2866" s="31"/>
      <c r="F2866" s="31"/>
      <c r="G2866" s="31"/>
      <c r="H2866" s="32"/>
      <c r="J2866" s="33"/>
      <c r="K2866" s="33"/>
      <c r="L2866" s="33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5"/>
      <c r="AS2866" s="35"/>
      <c r="AT2866" s="35"/>
      <c r="AU2866" s="31"/>
      <c r="AV2866" s="36"/>
    </row>
    <row r="2867" spans="4:48">
      <c r="D2867" s="31"/>
      <c r="E2867" s="31"/>
      <c r="F2867" s="31"/>
      <c r="G2867" s="31"/>
      <c r="H2867" s="32"/>
      <c r="J2867" s="33"/>
      <c r="K2867" s="33"/>
      <c r="L2867" s="33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5"/>
      <c r="AS2867" s="35"/>
      <c r="AT2867" s="35"/>
      <c r="AU2867" s="31"/>
      <c r="AV2867" s="36"/>
    </row>
    <row r="2868" spans="4:48">
      <c r="D2868" s="31"/>
      <c r="E2868" s="31"/>
      <c r="F2868" s="31"/>
      <c r="G2868" s="31"/>
      <c r="H2868" s="32"/>
      <c r="J2868" s="33"/>
      <c r="K2868" s="33"/>
      <c r="L2868" s="33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5"/>
      <c r="AS2868" s="35"/>
      <c r="AT2868" s="35"/>
      <c r="AU2868" s="31"/>
      <c r="AV2868" s="36"/>
    </row>
    <row r="2869" spans="4:48">
      <c r="D2869" s="31"/>
      <c r="E2869" s="31"/>
      <c r="F2869" s="31"/>
      <c r="G2869" s="31"/>
      <c r="H2869" s="32"/>
      <c r="J2869" s="33"/>
      <c r="K2869" s="33"/>
      <c r="L2869" s="33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5"/>
      <c r="AS2869" s="35"/>
      <c r="AT2869" s="35"/>
      <c r="AU2869" s="31"/>
      <c r="AV2869" s="36"/>
    </row>
    <row r="2870" spans="4:48">
      <c r="D2870" s="31"/>
      <c r="E2870" s="31"/>
      <c r="F2870" s="31"/>
      <c r="G2870" s="31"/>
      <c r="H2870" s="32"/>
      <c r="J2870" s="33"/>
      <c r="K2870" s="33"/>
      <c r="L2870" s="33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5"/>
      <c r="AS2870" s="35"/>
      <c r="AT2870" s="35"/>
      <c r="AU2870" s="31"/>
      <c r="AV2870" s="36"/>
    </row>
    <row r="2871" spans="4:48">
      <c r="D2871" s="31"/>
      <c r="E2871" s="31"/>
      <c r="F2871" s="31"/>
      <c r="G2871" s="31"/>
      <c r="H2871" s="32"/>
      <c r="J2871" s="33"/>
      <c r="K2871" s="33"/>
      <c r="L2871" s="33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5"/>
      <c r="AS2871" s="35"/>
      <c r="AT2871" s="35"/>
      <c r="AU2871" s="31"/>
      <c r="AV2871" s="36"/>
    </row>
    <row r="2872" spans="4:48">
      <c r="D2872" s="31"/>
      <c r="E2872" s="31"/>
      <c r="F2872" s="31"/>
      <c r="G2872" s="31"/>
      <c r="H2872" s="32"/>
      <c r="J2872" s="33"/>
      <c r="K2872" s="33"/>
      <c r="L2872" s="33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5"/>
      <c r="AS2872" s="35"/>
      <c r="AT2872" s="35"/>
      <c r="AU2872" s="31"/>
      <c r="AV2872" s="36"/>
    </row>
    <row r="2873" spans="4:48">
      <c r="D2873" s="31"/>
      <c r="E2873" s="31"/>
      <c r="F2873" s="31"/>
      <c r="G2873" s="31"/>
      <c r="H2873" s="32"/>
      <c r="J2873" s="33"/>
      <c r="K2873" s="33"/>
      <c r="L2873" s="33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5"/>
      <c r="AS2873" s="35"/>
      <c r="AT2873" s="35"/>
      <c r="AU2873" s="31"/>
      <c r="AV2873" s="36"/>
    </row>
    <row r="2874" spans="4:48">
      <c r="D2874" s="31"/>
      <c r="E2874" s="31"/>
      <c r="F2874" s="31"/>
      <c r="G2874" s="31"/>
      <c r="H2874" s="32"/>
      <c r="J2874" s="33"/>
      <c r="K2874" s="33"/>
      <c r="L2874" s="33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5"/>
      <c r="AS2874" s="35"/>
      <c r="AT2874" s="35"/>
      <c r="AU2874" s="31"/>
      <c r="AV2874" s="36"/>
    </row>
    <row r="2875" spans="4:48">
      <c r="D2875" s="31"/>
      <c r="E2875" s="31"/>
      <c r="F2875" s="31"/>
      <c r="G2875" s="31"/>
      <c r="H2875" s="32"/>
      <c r="J2875" s="33"/>
      <c r="K2875" s="33"/>
      <c r="L2875" s="33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5"/>
      <c r="AS2875" s="35"/>
      <c r="AT2875" s="35"/>
      <c r="AU2875" s="31"/>
      <c r="AV2875" s="36"/>
    </row>
    <row r="2876" spans="4:48">
      <c r="D2876" s="31"/>
      <c r="E2876" s="31"/>
      <c r="F2876" s="31"/>
      <c r="G2876" s="31"/>
      <c r="H2876" s="32"/>
      <c r="J2876" s="33"/>
      <c r="K2876" s="33"/>
      <c r="L2876" s="33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5"/>
      <c r="AS2876" s="35"/>
      <c r="AT2876" s="35"/>
      <c r="AU2876" s="31"/>
      <c r="AV2876" s="36"/>
    </row>
    <row r="2877" spans="4:48">
      <c r="D2877" s="31"/>
      <c r="E2877" s="31"/>
      <c r="F2877" s="31"/>
      <c r="G2877" s="31"/>
      <c r="H2877" s="32"/>
      <c r="J2877" s="33"/>
      <c r="K2877" s="33"/>
      <c r="L2877" s="33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5"/>
      <c r="AS2877" s="35"/>
      <c r="AT2877" s="35"/>
      <c r="AU2877" s="31"/>
      <c r="AV2877" s="36"/>
    </row>
    <row r="2878" spans="4:48">
      <c r="D2878" s="31"/>
      <c r="E2878" s="31"/>
      <c r="F2878" s="31"/>
      <c r="G2878" s="31"/>
      <c r="H2878" s="32"/>
      <c r="J2878" s="33"/>
      <c r="K2878" s="33"/>
      <c r="L2878" s="33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5"/>
      <c r="AS2878" s="35"/>
      <c r="AT2878" s="35"/>
      <c r="AU2878" s="31"/>
      <c r="AV2878" s="36"/>
    </row>
    <row r="2879" spans="4:48">
      <c r="D2879" s="31"/>
      <c r="E2879" s="31"/>
      <c r="F2879" s="31"/>
      <c r="G2879" s="31"/>
      <c r="H2879" s="32"/>
      <c r="J2879" s="33"/>
      <c r="K2879" s="33"/>
      <c r="L2879" s="33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5"/>
      <c r="AS2879" s="35"/>
      <c r="AT2879" s="35"/>
      <c r="AU2879" s="31"/>
      <c r="AV2879" s="36"/>
    </row>
    <row r="2880" spans="4:48">
      <c r="D2880" s="31"/>
      <c r="E2880" s="31"/>
      <c r="F2880" s="31"/>
      <c r="G2880" s="31"/>
      <c r="H2880" s="32"/>
      <c r="J2880" s="33"/>
      <c r="K2880" s="33"/>
      <c r="L2880" s="33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5"/>
      <c r="AS2880" s="35"/>
      <c r="AT2880" s="35"/>
      <c r="AU2880" s="31"/>
      <c r="AV2880" s="36"/>
    </row>
    <row r="2881" spans="4:48">
      <c r="D2881" s="31"/>
      <c r="E2881" s="31"/>
      <c r="F2881" s="31"/>
      <c r="G2881" s="31"/>
      <c r="H2881" s="32"/>
      <c r="J2881" s="33"/>
      <c r="K2881" s="33"/>
      <c r="L2881" s="33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5"/>
      <c r="AS2881" s="35"/>
      <c r="AT2881" s="35"/>
      <c r="AU2881" s="31"/>
      <c r="AV2881" s="36"/>
    </row>
    <row r="2882" spans="4:48">
      <c r="D2882" s="31"/>
      <c r="E2882" s="31"/>
      <c r="F2882" s="31"/>
      <c r="G2882" s="31"/>
      <c r="H2882" s="32"/>
      <c r="J2882" s="33"/>
      <c r="K2882" s="33"/>
      <c r="L2882" s="33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5"/>
      <c r="AS2882" s="35"/>
      <c r="AT2882" s="35"/>
      <c r="AU2882" s="31"/>
      <c r="AV2882" s="36"/>
    </row>
    <row r="2883" spans="4:48">
      <c r="D2883" s="31"/>
      <c r="E2883" s="31"/>
      <c r="F2883" s="31"/>
      <c r="G2883" s="31"/>
      <c r="H2883" s="32"/>
      <c r="J2883" s="33"/>
      <c r="K2883" s="33"/>
      <c r="L2883" s="33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5"/>
      <c r="AS2883" s="35"/>
      <c r="AT2883" s="35"/>
      <c r="AU2883" s="31"/>
      <c r="AV2883" s="36"/>
    </row>
    <row r="2884" spans="4:48">
      <c r="D2884" s="31"/>
      <c r="E2884" s="31"/>
      <c r="F2884" s="31"/>
      <c r="G2884" s="31"/>
      <c r="H2884" s="32"/>
      <c r="J2884" s="33"/>
      <c r="K2884" s="33"/>
      <c r="L2884" s="33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5"/>
      <c r="AS2884" s="35"/>
      <c r="AT2884" s="35"/>
      <c r="AU2884" s="31"/>
      <c r="AV2884" s="36"/>
    </row>
    <row r="2885" spans="4:48">
      <c r="D2885" s="31"/>
      <c r="E2885" s="31"/>
      <c r="F2885" s="31"/>
      <c r="G2885" s="31"/>
      <c r="H2885" s="32"/>
      <c r="J2885" s="33"/>
      <c r="K2885" s="33"/>
      <c r="L2885" s="33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5"/>
      <c r="AS2885" s="35"/>
      <c r="AT2885" s="35"/>
      <c r="AU2885" s="31"/>
      <c r="AV2885" s="36"/>
    </row>
    <row r="2886" spans="4:48">
      <c r="D2886" s="31"/>
      <c r="E2886" s="31"/>
      <c r="F2886" s="31"/>
      <c r="G2886" s="31"/>
      <c r="H2886" s="32"/>
      <c r="J2886" s="33"/>
      <c r="K2886" s="33"/>
      <c r="L2886" s="33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5"/>
      <c r="AS2886" s="35"/>
      <c r="AT2886" s="35"/>
      <c r="AU2886" s="31"/>
      <c r="AV2886" s="36"/>
    </row>
    <row r="2887" spans="4:48">
      <c r="D2887" s="31"/>
      <c r="E2887" s="31"/>
      <c r="F2887" s="31"/>
      <c r="G2887" s="31"/>
      <c r="H2887" s="32"/>
      <c r="J2887" s="33"/>
      <c r="K2887" s="33"/>
      <c r="L2887" s="33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5"/>
      <c r="AS2887" s="35"/>
      <c r="AT2887" s="35"/>
      <c r="AU2887" s="31"/>
      <c r="AV2887" s="36"/>
    </row>
    <row r="2888" spans="4:48">
      <c r="D2888" s="31"/>
      <c r="E2888" s="31"/>
      <c r="F2888" s="31"/>
      <c r="G2888" s="31"/>
      <c r="H2888" s="32"/>
      <c r="J2888" s="33"/>
      <c r="K2888" s="33"/>
      <c r="L2888" s="33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5"/>
      <c r="AS2888" s="35"/>
      <c r="AT2888" s="35"/>
      <c r="AU2888" s="31"/>
      <c r="AV2888" s="36"/>
    </row>
    <row r="2889" spans="4:48">
      <c r="D2889" s="31"/>
      <c r="E2889" s="31"/>
      <c r="F2889" s="31"/>
      <c r="G2889" s="31"/>
      <c r="H2889" s="32"/>
      <c r="J2889" s="33"/>
      <c r="K2889" s="33"/>
      <c r="L2889" s="33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5"/>
      <c r="AS2889" s="35"/>
      <c r="AT2889" s="35"/>
      <c r="AU2889" s="31"/>
      <c r="AV2889" s="36"/>
    </row>
    <row r="2890" spans="4:48">
      <c r="D2890" s="31"/>
      <c r="E2890" s="31"/>
      <c r="F2890" s="31"/>
      <c r="G2890" s="31"/>
      <c r="H2890" s="32"/>
      <c r="J2890" s="33"/>
      <c r="K2890" s="33"/>
      <c r="L2890" s="33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5"/>
      <c r="AS2890" s="35"/>
      <c r="AT2890" s="35"/>
      <c r="AU2890" s="31"/>
      <c r="AV2890" s="36"/>
    </row>
    <row r="2891" spans="4:48">
      <c r="D2891" s="31"/>
      <c r="E2891" s="31"/>
      <c r="F2891" s="31"/>
      <c r="G2891" s="31"/>
      <c r="H2891" s="32"/>
      <c r="J2891" s="33"/>
      <c r="K2891" s="33"/>
      <c r="L2891" s="33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5"/>
      <c r="AS2891" s="35"/>
      <c r="AT2891" s="35"/>
      <c r="AU2891" s="31"/>
      <c r="AV2891" s="36"/>
    </row>
    <row r="2892" spans="4:48">
      <c r="D2892" s="31"/>
      <c r="E2892" s="31"/>
      <c r="F2892" s="31"/>
      <c r="G2892" s="31"/>
      <c r="H2892" s="32"/>
      <c r="J2892" s="33"/>
      <c r="K2892" s="33"/>
      <c r="L2892" s="33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5"/>
      <c r="AS2892" s="35"/>
      <c r="AT2892" s="35"/>
      <c r="AU2892" s="31"/>
      <c r="AV2892" s="36"/>
    </row>
    <row r="2893" spans="4:48">
      <c r="D2893" s="31"/>
      <c r="E2893" s="31"/>
      <c r="F2893" s="31"/>
      <c r="G2893" s="31"/>
      <c r="H2893" s="32"/>
      <c r="J2893" s="33"/>
      <c r="K2893" s="33"/>
      <c r="L2893" s="33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5"/>
      <c r="AS2893" s="35"/>
      <c r="AT2893" s="35"/>
      <c r="AU2893" s="31"/>
      <c r="AV2893" s="36"/>
    </row>
    <row r="2894" spans="4:48">
      <c r="D2894" s="31"/>
      <c r="E2894" s="31"/>
      <c r="F2894" s="31"/>
      <c r="G2894" s="31"/>
      <c r="H2894" s="32"/>
      <c r="J2894" s="33"/>
      <c r="K2894" s="33"/>
      <c r="L2894" s="33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5"/>
      <c r="AS2894" s="35"/>
      <c r="AT2894" s="35"/>
      <c r="AU2894" s="31"/>
      <c r="AV2894" s="36"/>
    </row>
    <row r="2895" spans="4:48">
      <c r="D2895" s="31"/>
      <c r="E2895" s="31"/>
      <c r="F2895" s="31"/>
      <c r="G2895" s="31"/>
      <c r="H2895" s="32"/>
      <c r="J2895" s="33"/>
      <c r="K2895" s="33"/>
      <c r="L2895" s="33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5"/>
      <c r="AS2895" s="35"/>
      <c r="AT2895" s="35"/>
      <c r="AU2895" s="31"/>
      <c r="AV2895" s="36"/>
    </row>
    <row r="2896" spans="4:48">
      <c r="D2896" s="31"/>
      <c r="E2896" s="31"/>
      <c r="F2896" s="31"/>
      <c r="G2896" s="31"/>
      <c r="H2896" s="32"/>
      <c r="J2896" s="33"/>
      <c r="K2896" s="33"/>
      <c r="L2896" s="33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5"/>
      <c r="AS2896" s="35"/>
      <c r="AT2896" s="35"/>
      <c r="AU2896" s="31"/>
      <c r="AV2896" s="36"/>
    </row>
    <row r="2897" spans="4:48">
      <c r="D2897" s="31"/>
      <c r="E2897" s="31"/>
      <c r="F2897" s="31"/>
      <c r="G2897" s="31"/>
      <c r="H2897" s="32"/>
      <c r="J2897" s="33"/>
      <c r="K2897" s="33"/>
      <c r="L2897" s="33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5"/>
      <c r="AS2897" s="35"/>
      <c r="AT2897" s="35"/>
      <c r="AU2897" s="31"/>
      <c r="AV2897" s="36"/>
    </row>
    <row r="2898" spans="4:48">
      <c r="D2898" s="31"/>
      <c r="E2898" s="31"/>
      <c r="F2898" s="31"/>
      <c r="G2898" s="31"/>
      <c r="H2898" s="32"/>
      <c r="J2898" s="33"/>
      <c r="K2898" s="33"/>
      <c r="L2898" s="33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5"/>
      <c r="AS2898" s="35"/>
      <c r="AT2898" s="35"/>
      <c r="AU2898" s="31"/>
      <c r="AV2898" s="36"/>
    </row>
    <row r="2899" spans="4:48">
      <c r="D2899" s="31"/>
      <c r="E2899" s="31"/>
      <c r="F2899" s="31"/>
      <c r="G2899" s="31"/>
      <c r="H2899" s="32"/>
      <c r="J2899" s="33"/>
      <c r="K2899" s="33"/>
      <c r="L2899" s="33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5"/>
      <c r="AS2899" s="35"/>
      <c r="AT2899" s="35"/>
      <c r="AU2899" s="31"/>
      <c r="AV2899" s="36"/>
    </row>
    <row r="2900" spans="4:48">
      <c r="D2900" s="31"/>
      <c r="E2900" s="31"/>
      <c r="F2900" s="31"/>
      <c r="G2900" s="31"/>
      <c r="H2900" s="32"/>
      <c r="J2900" s="33"/>
      <c r="K2900" s="33"/>
      <c r="L2900" s="33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5"/>
      <c r="AS2900" s="35"/>
      <c r="AT2900" s="35"/>
      <c r="AU2900" s="31"/>
      <c r="AV2900" s="36"/>
    </row>
    <row r="2901" spans="4:48">
      <c r="D2901" s="31"/>
      <c r="E2901" s="31"/>
      <c r="F2901" s="31"/>
      <c r="G2901" s="31"/>
      <c r="H2901" s="32"/>
      <c r="J2901" s="33"/>
      <c r="K2901" s="33"/>
      <c r="L2901" s="33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5"/>
      <c r="AS2901" s="35"/>
      <c r="AT2901" s="35"/>
      <c r="AU2901" s="31"/>
      <c r="AV2901" s="36"/>
    </row>
    <row r="2902" spans="4:48">
      <c r="D2902" s="31"/>
      <c r="E2902" s="31"/>
      <c r="F2902" s="31"/>
      <c r="G2902" s="31"/>
      <c r="H2902" s="32"/>
      <c r="J2902" s="33"/>
      <c r="K2902" s="33"/>
      <c r="L2902" s="33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5"/>
      <c r="AS2902" s="35"/>
      <c r="AT2902" s="35"/>
      <c r="AU2902" s="31"/>
      <c r="AV2902" s="36"/>
    </row>
    <row r="2903" spans="4:48">
      <c r="D2903" s="31"/>
      <c r="E2903" s="31"/>
      <c r="F2903" s="31"/>
      <c r="G2903" s="31"/>
      <c r="H2903" s="32"/>
      <c r="J2903" s="33"/>
      <c r="K2903" s="33"/>
      <c r="L2903" s="33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5"/>
      <c r="AS2903" s="35"/>
      <c r="AT2903" s="35"/>
      <c r="AU2903" s="31"/>
      <c r="AV2903" s="36"/>
    </row>
    <row r="2904" spans="4:48">
      <c r="D2904" s="31"/>
      <c r="E2904" s="31"/>
      <c r="F2904" s="31"/>
      <c r="G2904" s="31"/>
      <c r="H2904" s="32"/>
      <c r="J2904" s="33"/>
      <c r="K2904" s="33"/>
      <c r="L2904" s="33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5"/>
      <c r="AS2904" s="35"/>
      <c r="AT2904" s="35"/>
      <c r="AU2904" s="31"/>
      <c r="AV2904" s="36"/>
    </row>
    <row r="2905" spans="4:48">
      <c r="D2905" s="31"/>
      <c r="E2905" s="31"/>
      <c r="F2905" s="31"/>
      <c r="G2905" s="31"/>
      <c r="H2905" s="32"/>
      <c r="J2905" s="33"/>
      <c r="K2905" s="33"/>
      <c r="L2905" s="33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5"/>
      <c r="AS2905" s="35"/>
      <c r="AT2905" s="35"/>
      <c r="AU2905" s="31"/>
      <c r="AV2905" s="36"/>
    </row>
    <row r="2906" spans="4:48">
      <c r="D2906" s="31"/>
      <c r="E2906" s="31"/>
      <c r="F2906" s="31"/>
      <c r="G2906" s="31"/>
      <c r="H2906" s="32"/>
      <c r="J2906" s="33"/>
      <c r="K2906" s="33"/>
      <c r="L2906" s="33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5"/>
      <c r="AS2906" s="35"/>
      <c r="AT2906" s="35"/>
      <c r="AU2906" s="31"/>
      <c r="AV2906" s="36"/>
    </row>
    <row r="2907" spans="4:48">
      <c r="D2907" s="31"/>
      <c r="E2907" s="31"/>
      <c r="F2907" s="31"/>
      <c r="G2907" s="31"/>
      <c r="H2907" s="32"/>
      <c r="J2907" s="33"/>
      <c r="K2907" s="33"/>
      <c r="L2907" s="33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5"/>
      <c r="AS2907" s="35"/>
      <c r="AT2907" s="35"/>
      <c r="AU2907" s="31"/>
      <c r="AV2907" s="36"/>
    </row>
    <row r="2908" spans="4:48">
      <c r="D2908" s="31"/>
      <c r="E2908" s="31"/>
      <c r="F2908" s="31"/>
      <c r="G2908" s="31"/>
      <c r="H2908" s="32"/>
      <c r="J2908" s="33"/>
      <c r="K2908" s="33"/>
      <c r="L2908" s="33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5"/>
      <c r="AS2908" s="35"/>
      <c r="AT2908" s="35"/>
      <c r="AU2908" s="31"/>
      <c r="AV2908" s="36"/>
    </row>
    <row r="2909" spans="4:48">
      <c r="D2909" s="31"/>
      <c r="E2909" s="31"/>
      <c r="F2909" s="31"/>
      <c r="G2909" s="31"/>
      <c r="H2909" s="32"/>
      <c r="J2909" s="33"/>
      <c r="K2909" s="33"/>
      <c r="L2909" s="33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5"/>
      <c r="AS2909" s="35"/>
      <c r="AT2909" s="35"/>
      <c r="AU2909" s="31"/>
      <c r="AV2909" s="36"/>
    </row>
    <row r="2910" spans="4:48">
      <c r="D2910" s="31"/>
      <c r="E2910" s="31"/>
      <c r="F2910" s="31"/>
      <c r="G2910" s="31"/>
      <c r="H2910" s="32"/>
      <c r="J2910" s="33"/>
      <c r="K2910" s="33"/>
      <c r="L2910" s="33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5"/>
      <c r="AS2910" s="35"/>
      <c r="AT2910" s="35"/>
      <c r="AU2910" s="31"/>
      <c r="AV2910" s="36"/>
    </row>
    <row r="2911" spans="4:48">
      <c r="D2911" s="31"/>
      <c r="E2911" s="31"/>
      <c r="F2911" s="31"/>
      <c r="G2911" s="31"/>
      <c r="H2911" s="32"/>
      <c r="J2911" s="33"/>
      <c r="K2911" s="33"/>
      <c r="L2911" s="33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5"/>
      <c r="AS2911" s="35"/>
      <c r="AT2911" s="35"/>
      <c r="AU2911" s="31"/>
      <c r="AV2911" s="36"/>
    </row>
    <row r="2912" spans="4:48">
      <c r="D2912" s="31"/>
      <c r="E2912" s="31"/>
      <c r="F2912" s="31"/>
      <c r="G2912" s="31"/>
      <c r="H2912" s="32"/>
      <c r="J2912" s="33"/>
      <c r="K2912" s="33"/>
      <c r="L2912" s="33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5"/>
      <c r="AS2912" s="35"/>
      <c r="AT2912" s="35"/>
      <c r="AU2912" s="31"/>
      <c r="AV2912" s="36"/>
    </row>
    <row r="2913" spans="4:48">
      <c r="D2913" s="31"/>
      <c r="E2913" s="31"/>
      <c r="F2913" s="31"/>
      <c r="G2913" s="31"/>
      <c r="H2913" s="32"/>
      <c r="J2913" s="33"/>
      <c r="K2913" s="33"/>
      <c r="L2913" s="33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5"/>
      <c r="AS2913" s="35"/>
      <c r="AT2913" s="35"/>
      <c r="AU2913" s="31"/>
      <c r="AV2913" s="36"/>
    </row>
    <row r="2914" spans="4:48">
      <c r="D2914" s="31"/>
      <c r="E2914" s="31"/>
      <c r="F2914" s="31"/>
      <c r="G2914" s="31"/>
      <c r="H2914" s="32"/>
      <c r="J2914" s="33"/>
      <c r="K2914" s="33"/>
      <c r="L2914" s="33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5"/>
      <c r="AS2914" s="35"/>
      <c r="AT2914" s="35"/>
      <c r="AU2914" s="31"/>
      <c r="AV2914" s="36"/>
    </row>
    <row r="2915" spans="4:48">
      <c r="D2915" s="31"/>
      <c r="E2915" s="31"/>
      <c r="F2915" s="31"/>
      <c r="G2915" s="31"/>
      <c r="H2915" s="32"/>
      <c r="J2915" s="33"/>
      <c r="K2915" s="33"/>
      <c r="L2915" s="33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5"/>
      <c r="AS2915" s="35"/>
      <c r="AT2915" s="35"/>
      <c r="AU2915" s="31"/>
      <c r="AV2915" s="36"/>
    </row>
    <row r="2916" spans="4:48">
      <c r="D2916" s="31"/>
      <c r="E2916" s="31"/>
      <c r="F2916" s="31"/>
      <c r="G2916" s="31"/>
      <c r="H2916" s="32"/>
      <c r="J2916" s="33"/>
      <c r="K2916" s="33"/>
      <c r="L2916" s="33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5"/>
      <c r="AS2916" s="35"/>
      <c r="AT2916" s="35"/>
      <c r="AU2916" s="31"/>
      <c r="AV2916" s="36"/>
    </row>
    <row r="2917" spans="4:48">
      <c r="D2917" s="31"/>
      <c r="E2917" s="31"/>
      <c r="F2917" s="31"/>
      <c r="G2917" s="31"/>
      <c r="H2917" s="32"/>
      <c r="J2917" s="33"/>
      <c r="K2917" s="33"/>
      <c r="L2917" s="33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5"/>
      <c r="AS2917" s="35"/>
      <c r="AT2917" s="35"/>
      <c r="AU2917" s="31"/>
      <c r="AV2917" s="36"/>
    </row>
    <row r="2918" spans="4:48">
      <c r="D2918" s="31"/>
      <c r="E2918" s="31"/>
      <c r="F2918" s="31"/>
      <c r="G2918" s="31"/>
      <c r="H2918" s="32"/>
      <c r="J2918" s="33"/>
      <c r="K2918" s="33"/>
      <c r="L2918" s="33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5"/>
      <c r="AS2918" s="35"/>
      <c r="AT2918" s="35"/>
      <c r="AU2918" s="31"/>
      <c r="AV2918" s="36"/>
    </row>
    <row r="2919" spans="4:48">
      <c r="D2919" s="31"/>
      <c r="E2919" s="31"/>
      <c r="F2919" s="31"/>
      <c r="G2919" s="31"/>
      <c r="H2919" s="32"/>
      <c r="J2919" s="33"/>
      <c r="K2919" s="33"/>
      <c r="L2919" s="33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5"/>
      <c r="AS2919" s="35"/>
      <c r="AT2919" s="35"/>
      <c r="AU2919" s="31"/>
      <c r="AV2919" s="36"/>
    </row>
    <row r="2920" spans="4:48">
      <c r="D2920" s="31"/>
      <c r="E2920" s="31"/>
      <c r="F2920" s="31"/>
      <c r="G2920" s="31"/>
      <c r="H2920" s="32"/>
      <c r="J2920" s="33"/>
      <c r="K2920" s="33"/>
      <c r="L2920" s="33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5"/>
      <c r="AS2920" s="35"/>
      <c r="AT2920" s="35"/>
      <c r="AU2920" s="31"/>
      <c r="AV2920" s="36"/>
    </row>
    <row r="2921" spans="4:48">
      <c r="D2921" s="31"/>
      <c r="E2921" s="31"/>
      <c r="F2921" s="31"/>
      <c r="G2921" s="31"/>
      <c r="H2921" s="32"/>
      <c r="J2921" s="33"/>
      <c r="K2921" s="33"/>
      <c r="L2921" s="33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5"/>
      <c r="AS2921" s="35"/>
      <c r="AT2921" s="35"/>
      <c r="AU2921" s="31"/>
      <c r="AV2921" s="36"/>
    </row>
    <row r="2922" spans="4:48">
      <c r="D2922" s="31"/>
      <c r="E2922" s="31"/>
      <c r="F2922" s="31"/>
      <c r="G2922" s="31"/>
      <c r="H2922" s="32"/>
      <c r="J2922" s="33"/>
      <c r="K2922" s="33"/>
      <c r="L2922" s="33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5"/>
      <c r="AS2922" s="35"/>
      <c r="AT2922" s="35"/>
      <c r="AU2922" s="31"/>
      <c r="AV2922" s="36"/>
    </row>
    <row r="2923" spans="4:48">
      <c r="D2923" s="31"/>
      <c r="E2923" s="31"/>
      <c r="F2923" s="31"/>
      <c r="G2923" s="31"/>
      <c r="H2923" s="32"/>
      <c r="J2923" s="33"/>
      <c r="K2923" s="33"/>
      <c r="L2923" s="33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5"/>
      <c r="AS2923" s="35"/>
      <c r="AT2923" s="35"/>
      <c r="AU2923" s="31"/>
      <c r="AV2923" s="36"/>
    </row>
    <row r="2924" spans="4:48">
      <c r="D2924" s="31"/>
      <c r="E2924" s="31"/>
      <c r="F2924" s="31"/>
      <c r="G2924" s="31"/>
      <c r="H2924" s="32"/>
      <c r="J2924" s="33"/>
      <c r="K2924" s="33"/>
      <c r="L2924" s="33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5"/>
      <c r="AS2924" s="35"/>
      <c r="AT2924" s="35"/>
      <c r="AU2924" s="31"/>
      <c r="AV2924" s="36"/>
    </row>
    <row r="2925" spans="4:48">
      <c r="D2925" s="31"/>
      <c r="E2925" s="31"/>
      <c r="F2925" s="31"/>
      <c r="G2925" s="31"/>
      <c r="H2925" s="32"/>
      <c r="J2925" s="33"/>
      <c r="K2925" s="33"/>
      <c r="L2925" s="33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5"/>
      <c r="AS2925" s="35"/>
      <c r="AT2925" s="35"/>
      <c r="AU2925" s="31"/>
      <c r="AV2925" s="36"/>
    </row>
    <row r="2926" spans="4:48">
      <c r="D2926" s="31"/>
      <c r="E2926" s="31"/>
      <c r="F2926" s="31"/>
      <c r="G2926" s="31"/>
      <c r="H2926" s="32"/>
      <c r="J2926" s="33"/>
      <c r="K2926" s="33"/>
      <c r="L2926" s="33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5"/>
      <c r="AS2926" s="35"/>
      <c r="AT2926" s="35"/>
      <c r="AU2926" s="31"/>
      <c r="AV2926" s="36"/>
    </row>
    <row r="2927" spans="4:48">
      <c r="D2927" s="31"/>
      <c r="E2927" s="31"/>
      <c r="F2927" s="31"/>
      <c r="G2927" s="31"/>
      <c r="H2927" s="32"/>
      <c r="J2927" s="33"/>
      <c r="K2927" s="33"/>
      <c r="L2927" s="33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5"/>
      <c r="AS2927" s="35"/>
      <c r="AT2927" s="35"/>
      <c r="AU2927" s="31"/>
      <c r="AV2927" s="36"/>
    </row>
    <row r="2928" spans="4:48">
      <c r="D2928" s="31"/>
      <c r="E2928" s="31"/>
      <c r="F2928" s="31"/>
      <c r="G2928" s="31"/>
      <c r="H2928" s="32"/>
      <c r="J2928" s="33"/>
      <c r="K2928" s="33"/>
      <c r="L2928" s="33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5"/>
      <c r="AS2928" s="35"/>
      <c r="AT2928" s="35"/>
      <c r="AU2928" s="31"/>
      <c r="AV2928" s="36"/>
    </row>
    <row r="2929" spans="4:48">
      <c r="D2929" s="31"/>
      <c r="E2929" s="31"/>
      <c r="F2929" s="31"/>
      <c r="G2929" s="31"/>
      <c r="H2929" s="32"/>
      <c r="J2929" s="33"/>
      <c r="K2929" s="33"/>
      <c r="L2929" s="33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5"/>
      <c r="AS2929" s="35"/>
      <c r="AT2929" s="35"/>
      <c r="AU2929" s="31"/>
      <c r="AV2929" s="36"/>
    </row>
    <row r="2930" spans="4:48">
      <c r="D2930" s="31"/>
      <c r="E2930" s="31"/>
      <c r="F2930" s="31"/>
      <c r="G2930" s="31"/>
      <c r="H2930" s="32"/>
      <c r="J2930" s="33"/>
      <c r="K2930" s="33"/>
      <c r="L2930" s="33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5"/>
      <c r="AS2930" s="35"/>
      <c r="AT2930" s="35"/>
      <c r="AU2930" s="31"/>
      <c r="AV2930" s="36"/>
    </row>
    <row r="2931" spans="4:48">
      <c r="D2931" s="31"/>
      <c r="E2931" s="31"/>
      <c r="F2931" s="31"/>
      <c r="G2931" s="31"/>
      <c r="H2931" s="32"/>
      <c r="J2931" s="33"/>
      <c r="K2931" s="33"/>
      <c r="L2931" s="33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5"/>
      <c r="AS2931" s="35"/>
      <c r="AT2931" s="35"/>
      <c r="AU2931" s="31"/>
      <c r="AV2931" s="36"/>
    </row>
    <row r="2932" spans="4:48">
      <c r="D2932" s="31"/>
      <c r="E2932" s="31"/>
      <c r="F2932" s="31"/>
      <c r="G2932" s="31"/>
      <c r="H2932" s="32"/>
      <c r="J2932" s="33"/>
      <c r="K2932" s="33"/>
      <c r="L2932" s="33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5"/>
      <c r="AS2932" s="35"/>
      <c r="AT2932" s="35"/>
      <c r="AU2932" s="31"/>
      <c r="AV2932" s="36"/>
    </row>
    <row r="2933" spans="4:48">
      <c r="D2933" s="31"/>
      <c r="E2933" s="31"/>
      <c r="F2933" s="31"/>
      <c r="G2933" s="31"/>
      <c r="H2933" s="32"/>
      <c r="J2933" s="33"/>
      <c r="K2933" s="33"/>
      <c r="L2933" s="33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5"/>
      <c r="AS2933" s="35"/>
      <c r="AT2933" s="35"/>
      <c r="AU2933" s="31"/>
      <c r="AV2933" s="36"/>
    </row>
    <row r="2934" spans="4:48">
      <c r="D2934" s="31"/>
      <c r="E2934" s="31"/>
      <c r="F2934" s="31"/>
      <c r="G2934" s="31"/>
      <c r="H2934" s="32"/>
      <c r="J2934" s="33"/>
      <c r="K2934" s="33"/>
      <c r="L2934" s="33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5"/>
      <c r="AS2934" s="35"/>
      <c r="AT2934" s="35"/>
      <c r="AU2934" s="31"/>
      <c r="AV2934" s="36"/>
    </row>
    <row r="2935" spans="4:48">
      <c r="D2935" s="31"/>
      <c r="E2935" s="31"/>
      <c r="F2935" s="31"/>
      <c r="G2935" s="31"/>
      <c r="H2935" s="32"/>
      <c r="J2935" s="33"/>
      <c r="K2935" s="33"/>
      <c r="L2935" s="33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5"/>
      <c r="AS2935" s="35"/>
      <c r="AT2935" s="35"/>
      <c r="AU2935" s="31"/>
      <c r="AV2935" s="36"/>
    </row>
    <row r="2936" spans="4:48">
      <c r="D2936" s="31"/>
      <c r="E2936" s="31"/>
      <c r="F2936" s="31"/>
      <c r="G2936" s="31"/>
      <c r="H2936" s="32"/>
      <c r="J2936" s="33"/>
      <c r="K2936" s="33"/>
      <c r="L2936" s="33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5"/>
      <c r="AS2936" s="35"/>
      <c r="AT2936" s="35"/>
      <c r="AU2936" s="31"/>
      <c r="AV2936" s="36"/>
    </row>
    <row r="2937" spans="4:48">
      <c r="D2937" s="31"/>
      <c r="E2937" s="31"/>
      <c r="F2937" s="31"/>
      <c r="G2937" s="31"/>
      <c r="H2937" s="32"/>
      <c r="J2937" s="33"/>
      <c r="K2937" s="33"/>
      <c r="L2937" s="33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5"/>
      <c r="AS2937" s="35"/>
      <c r="AT2937" s="35"/>
      <c r="AU2937" s="31"/>
      <c r="AV2937" s="36"/>
    </row>
    <row r="2938" spans="4:48">
      <c r="D2938" s="31"/>
      <c r="E2938" s="31"/>
      <c r="F2938" s="31"/>
      <c r="G2938" s="31"/>
      <c r="H2938" s="32"/>
      <c r="J2938" s="33"/>
      <c r="K2938" s="33"/>
      <c r="L2938" s="33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5"/>
      <c r="AS2938" s="35"/>
      <c r="AT2938" s="35"/>
      <c r="AU2938" s="31"/>
      <c r="AV2938" s="36"/>
    </row>
    <row r="2939" spans="4:48">
      <c r="D2939" s="31"/>
      <c r="E2939" s="31"/>
      <c r="F2939" s="31"/>
      <c r="G2939" s="31"/>
      <c r="H2939" s="32"/>
      <c r="J2939" s="33"/>
      <c r="K2939" s="33"/>
      <c r="L2939" s="33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5"/>
      <c r="AS2939" s="35"/>
      <c r="AT2939" s="35"/>
      <c r="AU2939" s="31"/>
      <c r="AV2939" s="36"/>
    </row>
    <row r="2940" spans="4:48">
      <c r="D2940" s="31"/>
      <c r="E2940" s="31"/>
      <c r="F2940" s="31"/>
      <c r="G2940" s="31"/>
      <c r="H2940" s="32"/>
      <c r="J2940" s="33"/>
      <c r="K2940" s="33"/>
      <c r="L2940" s="33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5"/>
      <c r="AS2940" s="35"/>
      <c r="AT2940" s="35"/>
      <c r="AU2940" s="31"/>
      <c r="AV2940" s="36"/>
    </row>
    <row r="2941" spans="4:48">
      <c r="D2941" s="31"/>
      <c r="E2941" s="31"/>
      <c r="F2941" s="31"/>
      <c r="G2941" s="31"/>
      <c r="H2941" s="32"/>
      <c r="J2941" s="33"/>
      <c r="K2941" s="33"/>
      <c r="L2941" s="33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5"/>
      <c r="AS2941" s="35"/>
      <c r="AT2941" s="35"/>
      <c r="AU2941" s="31"/>
      <c r="AV2941" s="36"/>
    </row>
    <row r="2942" spans="4:48">
      <c r="D2942" s="31"/>
      <c r="E2942" s="31"/>
      <c r="F2942" s="31"/>
      <c r="G2942" s="31"/>
      <c r="H2942" s="32"/>
      <c r="J2942" s="33"/>
      <c r="K2942" s="33"/>
      <c r="L2942" s="33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5"/>
      <c r="AS2942" s="35"/>
      <c r="AT2942" s="35"/>
      <c r="AU2942" s="31"/>
      <c r="AV2942" s="36"/>
    </row>
    <row r="2943" spans="4:48">
      <c r="D2943" s="31"/>
      <c r="E2943" s="31"/>
      <c r="F2943" s="31"/>
      <c r="G2943" s="31"/>
      <c r="H2943" s="32"/>
      <c r="J2943" s="33"/>
      <c r="K2943" s="33"/>
      <c r="L2943" s="33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5"/>
      <c r="AS2943" s="35"/>
      <c r="AT2943" s="35"/>
      <c r="AU2943" s="31"/>
      <c r="AV2943" s="36"/>
    </row>
    <row r="2944" spans="4:48">
      <c r="D2944" s="31"/>
      <c r="E2944" s="31"/>
      <c r="F2944" s="31"/>
      <c r="G2944" s="31"/>
      <c r="H2944" s="32"/>
      <c r="J2944" s="33"/>
      <c r="K2944" s="33"/>
      <c r="L2944" s="33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5"/>
      <c r="AS2944" s="35"/>
      <c r="AT2944" s="35"/>
      <c r="AU2944" s="31"/>
      <c r="AV2944" s="36"/>
    </row>
    <row r="2945" spans="4:48">
      <c r="D2945" s="31"/>
      <c r="E2945" s="31"/>
      <c r="F2945" s="31"/>
      <c r="G2945" s="31"/>
      <c r="H2945" s="32"/>
      <c r="J2945" s="33"/>
      <c r="K2945" s="33"/>
      <c r="L2945" s="33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5"/>
      <c r="AS2945" s="35"/>
      <c r="AT2945" s="35"/>
      <c r="AU2945" s="31"/>
      <c r="AV2945" s="36"/>
    </row>
    <row r="2946" spans="4:48">
      <c r="D2946" s="31"/>
      <c r="E2946" s="31"/>
      <c r="F2946" s="31"/>
      <c r="G2946" s="31"/>
      <c r="H2946" s="32"/>
      <c r="J2946" s="33"/>
      <c r="K2946" s="33"/>
      <c r="L2946" s="33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5"/>
      <c r="AS2946" s="35"/>
      <c r="AT2946" s="35"/>
      <c r="AU2946" s="31"/>
      <c r="AV2946" s="36"/>
    </row>
    <row r="2947" spans="4:48">
      <c r="D2947" s="31"/>
      <c r="E2947" s="31"/>
      <c r="F2947" s="31"/>
      <c r="G2947" s="31"/>
      <c r="H2947" s="32"/>
      <c r="J2947" s="33"/>
      <c r="K2947" s="33"/>
      <c r="L2947" s="33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5"/>
      <c r="AS2947" s="35"/>
      <c r="AT2947" s="35"/>
      <c r="AU2947" s="31"/>
      <c r="AV2947" s="36"/>
    </row>
    <row r="2948" spans="4:48">
      <c r="D2948" s="31"/>
      <c r="E2948" s="31"/>
      <c r="F2948" s="31"/>
      <c r="G2948" s="31"/>
      <c r="H2948" s="32"/>
      <c r="J2948" s="33"/>
      <c r="K2948" s="33"/>
      <c r="L2948" s="33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5"/>
      <c r="AS2948" s="35"/>
      <c r="AT2948" s="35"/>
      <c r="AU2948" s="31"/>
      <c r="AV2948" s="36"/>
    </row>
    <row r="2949" spans="4:48">
      <c r="D2949" s="31"/>
      <c r="E2949" s="31"/>
      <c r="F2949" s="31"/>
      <c r="G2949" s="31"/>
      <c r="H2949" s="32"/>
      <c r="J2949" s="33"/>
      <c r="K2949" s="33"/>
      <c r="L2949" s="33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5"/>
      <c r="AS2949" s="35"/>
      <c r="AT2949" s="35"/>
      <c r="AU2949" s="31"/>
      <c r="AV2949" s="36"/>
    </row>
    <row r="2950" spans="4:48">
      <c r="D2950" s="31"/>
      <c r="E2950" s="31"/>
      <c r="F2950" s="31"/>
      <c r="G2950" s="31"/>
      <c r="H2950" s="32"/>
      <c r="J2950" s="33"/>
      <c r="K2950" s="33"/>
      <c r="L2950" s="33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5"/>
      <c r="AS2950" s="35"/>
      <c r="AT2950" s="35"/>
      <c r="AU2950" s="31"/>
      <c r="AV2950" s="36"/>
    </row>
    <row r="2951" spans="4:48">
      <c r="D2951" s="31"/>
      <c r="E2951" s="31"/>
      <c r="F2951" s="31"/>
      <c r="G2951" s="31"/>
      <c r="H2951" s="32"/>
      <c r="J2951" s="33"/>
      <c r="K2951" s="33"/>
      <c r="L2951" s="33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5"/>
      <c r="AS2951" s="35"/>
      <c r="AT2951" s="35"/>
      <c r="AU2951" s="31"/>
      <c r="AV2951" s="36"/>
    </row>
    <row r="2952" spans="4:48">
      <c r="D2952" s="31"/>
      <c r="E2952" s="31"/>
      <c r="F2952" s="31"/>
      <c r="G2952" s="31"/>
      <c r="H2952" s="32"/>
      <c r="J2952" s="33"/>
      <c r="K2952" s="33"/>
      <c r="L2952" s="33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5"/>
      <c r="AS2952" s="35"/>
      <c r="AT2952" s="35"/>
      <c r="AU2952" s="31"/>
      <c r="AV2952" s="36"/>
    </row>
    <row r="2953" spans="4:48">
      <c r="D2953" s="31"/>
      <c r="E2953" s="31"/>
      <c r="F2953" s="31"/>
      <c r="G2953" s="31"/>
      <c r="H2953" s="32"/>
      <c r="J2953" s="33"/>
      <c r="K2953" s="33"/>
      <c r="L2953" s="33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5"/>
      <c r="AS2953" s="35"/>
      <c r="AT2953" s="35"/>
      <c r="AU2953" s="31"/>
      <c r="AV2953" s="36"/>
    </row>
    <row r="2954" spans="4:48">
      <c r="D2954" s="31"/>
      <c r="E2954" s="31"/>
      <c r="F2954" s="31"/>
      <c r="G2954" s="31"/>
      <c r="H2954" s="32"/>
      <c r="J2954" s="33"/>
      <c r="K2954" s="33"/>
      <c r="L2954" s="33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5"/>
      <c r="AS2954" s="35"/>
      <c r="AT2954" s="35"/>
      <c r="AU2954" s="31"/>
      <c r="AV2954" s="36"/>
    </row>
    <row r="2955" spans="4:48">
      <c r="D2955" s="31"/>
      <c r="E2955" s="31"/>
      <c r="F2955" s="31"/>
      <c r="G2955" s="31"/>
      <c r="H2955" s="32"/>
      <c r="J2955" s="33"/>
      <c r="K2955" s="33"/>
      <c r="L2955" s="33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5"/>
      <c r="AS2955" s="35"/>
      <c r="AT2955" s="35"/>
      <c r="AU2955" s="31"/>
      <c r="AV2955" s="36"/>
    </row>
    <row r="2956" spans="4:48">
      <c r="D2956" s="31"/>
      <c r="E2956" s="31"/>
      <c r="F2956" s="31"/>
      <c r="G2956" s="31"/>
      <c r="H2956" s="32"/>
      <c r="J2956" s="33"/>
      <c r="K2956" s="33"/>
      <c r="L2956" s="33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5"/>
      <c r="AS2956" s="35"/>
      <c r="AT2956" s="35"/>
      <c r="AU2956" s="31"/>
      <c r="AV2956" s="36"/>
    </row>
    <row r="2957" spans="4:48">
      <c r="D2957" s="31"/>
      <c r="E2957" s="31"/>
      <c r="F2957" s="31"/>
      <c r="G2957" s="31"/>
      <c r="H2957" s="32"/>
      <c r="J2957" s="33"/>
      <c r="K2957" s="33"/>
      <c r="L2957" s="33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5"/>
      <c r="AS2957" s="35"/>
      <c r="AT2957" s="35"/>
      <c r="AU2957" s="31"/>
      <c r="AV2957" s="36"/>
    </row>
    <row r="2958" spans="4:48">
      <c r="D2958" s="31"/>
      <c r="E2958" s="31"/>
      <c r="F2958" s="31"/>
      <c r="G2958" s="31"/>
      <c r="H2958" s="32"/>
      <c r="J2958" s="33"/>
      <c r="K2958" s="33"/>
      <c r="L2958" s="33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5"/>
      <c r="AS2958" s="35"/>
      <c r="AT2958" s="35"/>
      <c r="AU2958" s="31"/>
      <c r="AV2958" s="36"/>
    </row>
    <row r="2959" spans="4:48">
      <c r="D2959" s="31"/>
      <c r="E2959" s="31"/>
      <c r="F2959" s="31"/>
      <c r="G2959" s="31"/>
      <c r="H2959" s="32"/>
      <c r="J2959" s="33"/>
      <c r="K2959" s="33"/>
      <c r="L2959" s="33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5"/>
      <c r="AS2959" s="35"/>
      <c r="AT2959" s="35"/>
      <c r="AU2959" s="31"/>
      <c r="AV2959" s="36"/>
    </row>
    <row r="2960" spans="4:48">
      <c r="D2960" s="31"/>
      <c r="E2960" s="31"/>
      <c r="F2960" s="31"/>
      <c r="G2960" s="31"/>
      <c r="H2960" s="32"/>
      <c r="J2960" s="33"/>
      <c r="K2960" s="33"/>
      <c r="L2960" s="33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5"/>
      <c r="AS2960" s="35"/>
      <c r="AT2960" s="35"/>
      <c r="AU2960" s="31"/>
      <c r="AV2960" s="36"/>
    </row>
    <row r="2961" spans="4:48">
      <c r="D2961" s="31"/>
      <c r="E2961" s="31"/>
      <c r="F2961" s="31"/>
      <c r="G2961" s="31"/>
      <c r="H2961" s="32"/>
      <c r="J2961" s="33"/>
      <c r="K2961" s="33"/>
      <c r="L2961" s="33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5"/>
      <c r="AS2961" s="35"/>
      <c r="AT2961" s="35"/>
      <c r="AU2961" s="31"/>
      <c r="AV2961" s="36"/>
    </row>
    <row r="2962" spans="4:48">
      <c r="D2962" s="31"/>
      <c r="E2962" s="31"/>
      <c r="F2962" s="31"/>
      <c r="G2962" s="31"/>
      <c r="H2962" s="32"/>
      <c r="J2962" s="33"/>
      <c r="K2962" s="33"/>
      <c r="L2962" s="33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5"/>
      <c r="AS2962" s="35"/>
      <c r="AT2962" s="35"/>
      <c r="AU2962" s="31"/>
      <c r="AV2962" s="36"/>
    </row>
    <row r="2963" spans="4:48">
      <c r="D2963" s="31"/>
      <c r="E2963" s="31"/>
      <c r="F2963" s="31"/>
      <c r="G2963" s="31"/>
      <c r="H2963" s="32"/>
      <c r="J2963" s="33"/>
      <c r="K2963" s="33"/>
      <c r="L2963" s="33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5"/>
      <c r="AS2963" s="35"/>
      <c r="AT2963" s="35"/>
      <c r="AU2963" s="31"/>
      <c r="AV2963" s="36"/>
    </row>
    <row r="2964" spans="4:48">
      <c r="D2964" s="31"/>
      <c r="E2964" s="31"/>
      <c r="F2964" s="31"/>
      <c r="G2964" s="31"/>
      <c r="H2964" s="32"/>
      <c r="J2964" s="33"/>
      <c r="K2964" s="33"/>
      <c r="L2964" s="33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5"/>
      <c r="AS2964" s="35"/>
      <c r="AT2964" s="35"/>
      <c r="AU2964" s="31"/>
      <c r="AV2964" s="36"/>
    </row>
    <row r="2965" spans="4:48">
      <c r="D2965" s="31"/>
      <c r="E2965" s="31"/>
      <c r="F2965" s="31"/>
      <c r="G2965" s="31"/>
      <c r="H2965" s="32"/>
      <c r="J2965" s="33"/>
      <c r="K2965" s="33"/>
      <c r="L2965" s="33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5"/>
      <c r="AS2965" s="35"/>
      <c r="AT2965" s="35"/>
      <c r="AU2965" s="31"/>
      <c r="AV2965" s="36"/>
    </row>
    <row r="2966" spans="4:48">
      <c r="D2966" s="31"/>
      <c r="E2966" s="31"/>
      <c r="F2966" s="31"/>
      <c r="G2966" s="31"/>
      <c r="H2966" s="32"/>
      <c r="J2966" s="33"/>
      <c r="K2966" s="33"/>
      <c r="L2966" s="33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5"/>
      <c r="AS2966" s="35"/>
      <c r="AT2966" s="35"/>
      <c r="AU2966" s="31"/>
      <c r="AV2966" s="36"/>
    </row>
    <row r="2967" spans="4:48">
      <c r="D2967" s="31"/>
      <c r="E2967" s="31"/>
      <c r="F2967" s="31"/>
      <c r="G2967" s="31"/>
      <c r="H2967" s="32"/>
      <c r="J2967" s="33"/>
      <c r="K2967" s="33"/>
      <c r="L2967" s="33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5"/>
      <c r="AS2967" s="35"/>
      <c r="AT2967" s="35"/>
      <c r="AU2967" s="31"/>
      <c r="AV2967" s="36"/>
    </row>
    <row r="2968" spans="4:48">
      <c r="D2968" s="31"/>
      <c r="E2968" s="31"/>
      <c r="F2968" s="31"/>
      <c r="G2968" s="31"/>
      <c r="H2968" s="32"/>
      <c r="J2968" s="33"/>
      <c r="K2968" s="33"/>
      <c r="L2968" s="33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5"/>
      <c r="AS2968" s="35"/>
      <c r="AT2968" s="35"/>
      <c r="AU2968" s="31"/>
      <c r="AV2968" s="36"/>
    </row>
    <row r="2969" spans="4:48">
      <c r="D2969" s="31"/>
      <c r="E2969" s="31"/>
      <c r="F2969" s="31"/>
      <c r="G2969" s="31"/>
      <c r="H2969" s="32"/>
      <c r="J2969" s="33"/>
      <c r="K2969" s="33"/>
      <c r="L2969" s="33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5"/>
      <c r="AS2969" s="35"/>
      <c r="AT2969" s="35"/>
      <c r="AU2969" s="31"/>
      <c r="AV2969" s="36"/>
    </row>
    <row r="2970" spans="4:48">
      <c r="D2970" s="31"/>
      <c r="E2970" s="31"/>
      <c r="F2970" s="31"/>
      <c r="G2970" s="31"/>
      <c r="H2970" s="32"/>
      <c r="J2970" s="33"/>
      <c r="K2970" s="33"/>
      <c r="L2970" s="33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5"/>
      <c r="AS2970" s="35"/>
      <c r="AT2970" s="35"/>
      <c r="AU2970" s="31"/>
      <c r="AV2970" s="36"/>
    </row>
    <row r="2971" spans="4:48">
      <c r="D2971" s="31"/>
      <c r="E2971" s="31"/>
      <c r="F2971" s="31"/>
      <c r="G2971" s="31"/>
      <c r="H2971" s="32"/>
      <c r="J2971" s="33"/>
      <c r="K2971" s="33"/>
      <c r="L2971" s="33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5"/>
      <c r="AS2971" s="35"/>
      <c r="AT2971" s="35"/>
      <c r="AU2971" s="31"/>
      <c r="AV2971" s="36"/>
    </row>
    <row r="2972" spans="4:48">
      <c r="D2972" s="31"/>
      <c r="E2972" s="31"/>
      <c r="F2972" s="31"/>
      <c r="G2972" s="31"/>
      <c r="H2972" s="32"/>
      <c r="J2972" s="33"/>
      <c r="K2972" s="33"/>
      <c r="L2972" s="33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5"/>
      <c r="AS2972" s="35"/>
      <c r="AT2972" s="35"/>
      <c r="AU2972" s="31"/>
      <c r="AV2972" s="36"/>
    </row>
    <row r="2973" spans="4:48">
      <c r="D2973" s="31"/>
      <c r="E2973" s="31"/>
      <c r="F2973" s="31"/>
      <c r="G2973" s="31"/>
      <c r="H2973" s="32"/>
      <c r="J2973" s="33"/>
      <c r="K2973" s="33"/>
      <c r="L2973" s="33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5"/>
      <c r="AS2973" s="35"/>
      <c r="AT2973" s="35"/>
      <c r="AU2973" s="31"/>
      <c r="AV2973" s="36"/>
    </row>
    <row r="2974" spans="4:48">
      <c r="D2974" s="31"/>
      <c r="E2974" s="31"/>
      <c r="F2974" s="31"/>
      <c r="G2974" s="31"/>
      <c r="H2974" s="32"/>
      <c r="J2974" s="33"/>
      <c r="K2974" s="33"/>
      <c r="L2974" s="33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5"/>
      <c r="AS2974" s="35"/>
      <c r="AT2974" s="35"/>
      <c r="AU2974" s="31"/>
      <c r="AV2974" s="36"/>
    </row>
    <row r="2975" spans="4:48">
      <c r="D2975" s="31"/>
      <c r="E2975" s="31"/>
      <c r="F2975" s="31"/>
      <c r="G2975" s="31"/>
      <c r="H2975" s="32"/>
      <c r="J2975" s="33"/>
      <c r="K2975" s="33"/>
      <c r="L2975" s="33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5"/>
      <c r="AS2975" s="35"/>
      <c r="AT2975" s="35"/>
      <c r="AU2975" s="31"/>
      <c r="AV2975" s="36"/>
    </row>
    <row r="2976" spans="4:48">
      <c r="D2976" s="31"/>
      <c r="E2976" s="31"/>
      <c r="F2976" s="31"/>
      <c r="G2976" s="31"/>
      <c r="H2976" s="32"/>
      <c r="J2976" s="33"/>
      <c r="K2976" s="33"/>
      <c r="L2976" s="33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5"/>
      <c r="AS2976" s="35"/>
      <c r="AT2976" s="35"/>
      <c r="AU2976" s="31"/>
      <c r="AV2976" s="36"/>
    </row>
    <row r="2977" spans="4:48">
      <c r="D2977" s="31"/>
      <c r="E2977" s="31"/>
      <c r="F2977" s="31"/>
      <c r="G2977" s="31"/>
      <c r="H2977" s="32"/>
      <c r="J2977" s="33"/>
      <c r="K2977" s="33"/>
      <c r="L2977" s="33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5"/>
      <c r="AS2977" s="35"/>
      <c r="AT2977" s="35"/>
      <c r="AU2977" s="31"/>
      <c r="AV2977" s="36"/>
    </row>
    <row r="2978" spans="4:48">
      <c r="D2978" s="31"/>
      <c r="E2978" s="31"/>
      <c r="F2978" s="31"/>
      <c r="G2978" s="31"/>
      <c r="H2978" s="32"/>
      <c r="J2978" s="33"/>
      <c r="K2978" s="33"/>
      <c r="L2978" s="33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5"/>
      <c r="AS2978" s="35"/>
      <c r="AT2978" s="35"/>
      <c r="AU2978" s="31"/>
      <c r="AV2978" s="36"/>
    </row>
    <row r="2979" spans="4:48">
      <c r="D2979" s="31"/>
      <c r="E2979" s="31"/>
      <c r="F2979" s="31"/>
      <c r="G2979" s="31"/>
      <c r="H2979" s="32"/>
      <c r="J2979" s="33"/>
      <c r="K2979" s="33"/>
      <c r="L2979" s="33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5"/>
      <c r="AS2979" s="35"/>
      <c r="AT2979" s="35"/>
      <c r="AU2979" s="31"/>
      <c r="AV2979" s="36"/>
    </row>
    <row r="2980" spans="4:48">
      <c r="D2980" s="31"/>
      <c r="E2980" s="31"/>
      <c r="F2980" s="31"/>
      <c r="G2980" s="31"/>
      <c r="H2980" s="32"/>
      <c r="J2980" s="33"/>
      <c r="K2980" s="33"/>
      <c r="L2980" s="33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5"/>
      <c r="AS2980" s="35"/>
      <c r="AT2980" s="35"/>
      <c r="AU2980" s="31"/>
      <c r="AV2980" s="36"/>
    </row>
    <row r="2981" spans="4:48">
      <c r="D2981" s="31"/>
      <c r="E2981" s="31"/>
      <c r="F2981" s="31"/>
      <c r="G2981" s="31"/>
      <c r="H2981" s="32"/>
      <c r="J2981" s="33"/>
      <c r="K2981" s="33"/>
      <c r="L2981" s="33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5"/>
      <c r="AS2981" s="35"/>
      <c r="AT2981" s="35"/>
      <c r="AU2981" s="31"/>
      <c r="AV2981" s="36"/>
    </row>
    <row r="2982" spans="4:48">
      <c r="D2982" s="31"/>
      <c r="E2982" s="31"/>
      <c r="F2982" s="31"/>
      <c r="G2982" s="31"/>
      <c r="H2982" s="32"/>
      <c r="J2982" s="33"/>
      <c r="K2982" s="33"/>
      <c r="L2982" s="33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5"/>
      <c r="AS2982" s="35"/>
      <c r="AT2982" s="35"/>
      <c r="AU2982" s="31"/>
      <c r="AV2982" s="36"/>
    </row>
    <row r="2983" spans="4:48">
      <c r="D2983" s="31"/>
      <c r="E2983" s="31"/>
      <c r="F2983" s="31"/>
      <c r="G2983" s="31"/>
      <c r="H2983" s="32"/>
      <c r="J2983" s="33"/>
      <c r="K2983" s="33"/>
      <c r="L2983" s="33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5"/>
      <c r="AS2983" s="35"/>
      <c r="AT2983" s="35"/>
      <c r="AU2983" s="31"/>
      <c r="AV2983" s="36"/>
    </row>
    <row r="2984" spans="4:48">
      <c r="D2984" s="31"/>
      <c r="E2984" s="31"/>
      <c r="F2984" s="31"/>
      <c r="G2984" s="31"/>
      <c r="H2984" s="32"/>
      <c r="J2984" s="33"/>
      <c r="K2984" s="33"/>
      <c r="L2984" s="33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5"/>
      <c r="AS2984" s="35"/>
      <c r="AT2984" s="35"/>
      <c r="AU2984" s="31"/>
      <c r="AV2984" s="36"/>
    </row>
    <row r="2985" spans="4:48">
      <c r="D2985" s="31"/>
      <c r="E2985" s="31"/>
      <c r="F2985" s="31"/>
      <c r="G2985" s="31"/>
      <c r="H2985" s="32"/>
      <c r="J2985" s="33"/>
      <c r="K2985" s="33"/>
      <c r="L2985" s="33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5"/>
      <c r="AS2985" s="35"/>
      <c r="AT2985" s="35"/>
      <c r="AU2985" s="31"/>
      <c r="AV2985" s="36"/>
    </row>
    <row r="2986" spans="4:48">
      <c r="D2986" s="31"/>
      <c r="E2986" s="31"/>
      <c r="F2986" s="31"/>
      <c r="G2986" s="31"/>
      <c r="H2986" s="32"/>
      <c r="J2986" s="33"/>
      <c r="K2986" s="33"/>
      <c r="L2986" s="33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5"/>
      <c r="AS2986" s="35"/>
      <c r="AT2986" s="35"/>
      <c r="AU2986" s="31"/>
      <c r="AV2986" s="36"/>
    </row>
    <row r="2987" spans="4:48">
      <c r="D2987" s="31"/>
      <c r="E2987" s="31"/>
      <c r="F2987" s="31"/>
      <c r="G2987" s="31"/>
      <c r="H2987" s="32"/>
      <c r="J2987" s="33"/>
      <c r="K2987" s="33"/>
      <c r="L2987" s="33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5"/>
      <c r="AS2987" s="35"/>
      <c r="AT2987" s="35"/>
      <c r="AU2987" s="31"/>
      <c r="AV2987" s="36"/>
    </row>
    <row r="2988" spans="4:48">
      <c r="D2988" s="31"/>
      <c r="E2988" s="31"/>
      <c r="F2988" s="31"/>
      <c r="G2988" s="31"/>
      <c r="H2988" s="32"/>
      <c r="J2988" s="33"/>
      <c r="K2988" s="33"/>
      <c r="L2988" s="33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5"/>
      <c r="AS2988" s="35"/>
      <c r="AT2988" s="35"/>
      <c r="AU2988" s="31"/>
      <c r="AV2988" s="36"/>
    </row>
    <row r="2989" spans="4:48">
      <c r="D2989" s="31"/>
      <c r="E2989" s="31"/>
      <c r="F2989" s="31"/>
      <c r="G2989" s="31"/>
      <c r="H2989" s="32"/>
      <c r="J2989" s="33"/>
      <c r="K2989" s="33"/>
      <c r="L2989" s="33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5"/>
      <c r="AS2989" s="35"/>
      <c r="AT2989" s="35"/>
      <c r="AU2989" s="31"/>
      <c r="AV2989" s="36"/>
    </row>
    <row r="2990" spans="4:48">
      <c r="D2990" s="31"/>
      <c r="E2990" s="31"/>
      <c r="F2990" s="31"/>
      <c r="G2990" s="31"/>
      <c r="H2990" s="32"/>
      <c r="J2990" s="33"/>
      <c r="K2990" s="33"/>
      <c r="L2990" s="33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5"/>
      <c r="AS2990" s="35"/>
      <c r="AT2990" s="35"/>
      <c r="AU2990" s="31"/>
      <c r="AV2990" s="36"/>
    </row>
    <row r="2991" spans="4:48">
      <c r="D2991" s="31"/>
      <c r="E2991" s="31"/>
      <c r="F2991" s="31"/>
      <c r="G2991" s="31"/>
      <c r="H2991" s="32"/>
      <c r="J2991" s="33"/>
      <c r="K2991" s="33"/>
      <c r="L2991" s="33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5"/>
      <c r="AS2991" s="35"/>
      <c r="AT2991" s="35"/>
      <c r="AU2991" s="31"/>
      <c r="AV2991" s="36"/>
    </row>
    <row r="2992" spans="4:48">
      <c r="D2992" s="31"/>
      <c r="E2992" s="31"/>
      <c r="F2992" s="31"/>
      <c r="G2992" s="31"/>
      <c r="H2992" s="32"/>
      <c r="J2992" s="33"/>
      <c r="K2992" s="33"/>
      <c r="L2992" s="33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5"/>
      <c r="AS2992" s="35"/>
      <c r="AT2992" s="35"/>
      <c r="AU2992" s="31"/>
      <c r="AV2992" s="36"/>
    </row>
    <row r="2993" spans="4:48">
      <c r="D2993" s="31"/>
      <c r="E2993" s="31"/>
      <c r="F2993" s="31"/>
      <c r="G2993" s="31"/>
      <c r="H2993" s="32"/>
      <c r="J2993" s="33"/>
      <c r="K2993" s="33"/>
      <c r="L2993" s="33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5"/>
      <c r="AS2993" s="35"/>
      <c r="AT2993" s="35"/>
      <c r="AU2993" s="31"/>
      <c r="AV2993" s="36"/>
    </row>
    <row r="2994" spans="4:48">
      <c r="D2994" s="31"/>
      <c r="E2994" s="31"/>
      <c r="F2994" s="31"/>
      <c r="G2994" s="31"/>
      <c r="H2994" s="32"/>
      <c r="J2994" s="33"/>
      <c r="K2994" s="33"/>
      <c r="L2994" s="33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5"/>
      <c r="AS2994" s="35"/>
      <c r="AT2994" s="35"/>
      <c r="AU2994" s="31"/>
      <c r="AV2994" s="36"/>
    </row>
    <row r="2995" spans="4:48">
      <c r="D2995" s="31"/>
      <c r="E2995" s="31"/>
      <c r="F2995" s="31"/>
      <c r="G2995" s="31"/>
      <c r="H2995" s="32"/>
      <c r="J2995" s="33"/>
      <c r="K2995" s="33"/>
      <c r="L2995" s="33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5"/>
      <c r="AS2995" s="35"/>
      <c r="AT2995" s="35"/>
      <c r="AU2995" s="31"/>
      <c r="AV2995" s="36"/>
    </row>
    <row r="2996" spans="4:48">
      <c r="D2996" s="31"/>
      <c r="E2996" s="31"/>
      <c r="F2996" s="31"/>
      <c r="G2996" s="31"/>
      <c r="H2996" s="32"/>
      <c r="J2996" s="33"/>
      <c r="K2996" s="33"/>
      <c r="L2996" s="33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5"/>
      <c r="AS2996" s="35"/>
      <c r="AT2996" s="35"/>
      <c r="AU2996" s="31"/>
      <c r="AV2996" s="36"/>
    </row>
    <row r="2997" spans="4:48">
      <c r="D2997" s="31"/>
      <c r="E2997" s="31"/>
      <c r="F2997" s="31"/>
      <c r="G2997" s="31"/>
      <c r="H2997" s="32"/>
      <c r="J2997" s="33"/>
      <c r="K2997" s="33"/>
      <c r="L2997" s="33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5"/>
      <c r="AS2997" s="35"/>
      <c r="AT2997" s="35"/>
      <c r="AU2997" s="31"/>
      <c r="AV2997" s="36"/>
    </row>
    <row r="2998" spans="4:48">
      <c r="D2998" s="31"/>
      <c r="E2998" s="31"/>
      <c r="F2998" s="31"/>
      <c r="G2998" s="31"/>
      <c r="H2998" s="32"/>
      <c r="J2998" s="33"/>
      <c r="K2998" s="33"/>
      <c r="L2998" s="33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5"/>
      <c r="AS2998" s="35"/>
      <c r="AT2998" s="35"/>
      <c r="AU2998" s="31"/>
      <c r="AV2998" s="36"/>
    </row>
    <row r="2999" spans="4:48">
      <c r="D2999" s="31"/>
      <c r="E2999" s="31"/>
      <c r="F2999" s="31"/>
      <c r="G2999" s="31"/>
      <c r="H2999" s="32"/>
      <c r="J2999" s="33"/>
      <c r="K2999" s="33"/>
      <c r="L2999" s="33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5"/>
      <c r="AS2999" s="35"/>
      <c r="AT2999" s="35"/>
      <c r="AU2999" s="31"/>
      <c r="AV2999" s="36"/>
    </row>
    <row r="3000" spans="4:48">
      <c r="D3000" s="31"/>
      <c r="E3000" s="31"/>
      <c r="F3000" s="31"/>
      <c r="G3000" s="31"/>
      <c r="H3000" s="32"/>
      <c r="J3000" s="33"/>
      <c r="K3000" s="33"/>
      <c r="L3000" s="33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5"/>
      <c r="AS3000" s="35"/>
      <c r="AT3000" s="35"/>
      <c r="AU3000" s="31"/>
      <c r="AV3000" s="36"/>
    </row>
    <row r="3001" spans="4:48">
      <c r="D3001" s="31"/>
      <c r="E3001" s="31"/>
      <c r="F3001" s="31"/>
      <c r="G3001" s="31"/>
      <c r="H3001" s="32"/>
      <c r="J3001" s="33"/>
      <c r="K3001" s="33"/>
      <c r="L3001" s="33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5"/>
      <c r="AS3001" s="35"/>
      <c r="AT3001" s="35"/>
      <c r="AU3001" s="31"/>
      <c r="AV3001" s="36"/>
    </row>
    <row r="3002" spans="4:48">
      <c r="D3002" s="31"/>
      <c r="E3002" s="31"/>
      <c r="F3002" s="31"/>
      <c r="G3002" s="31"/>
      <c r="H3002" s="32"/>
      <c r="J3002" s="33"/>
      <c r="K3002" s="33"/>
      <c r="L3002" s="33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5"/>
      <c r="AS3002" s="35"/>
      <c r="AT3002" s="35"/>
      <c r="AU3002" s="31"/>
      <c r="AV3002" s="36"/>
    </row>
    <row r="3003" spans="4:48">
      <c r="D3003" s="31"/>
      <c r="E3003" s="31"/>
      <c r="F3003" s="31"/>
      <c r="G3003" s="31"/>
      <c r="H3003" s="32"/>
      <c r="J3003" s="33"/>
      <c r="K3003" s="33"/>
      <c r="L3003" s="33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5"/>
      <c r="AS3003" s="35"/>
      <c r="AT3003" s="35"/>
      <c r="AU3003" s="31"/>
      <c r="AV3003" s="36"/>
    </row>
    <row r="3004" spans="4:48">
      <c r="D3004" s="31"/>
      <c r="E3004" s="31"/>
      <c r="F3004" s="31"/>
      <c r="G3004" s="31"/>
      <c r="H3004" s="32"/>
      <c r="J3004" s="33"/>
      <c r="K3004" s="33"/>
      <c r="L3004" s="33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5"/>
      <c r="AS3004" s="35"/>
      <c r="AT3004" s="35"/>
      <c r="AU3004" s="31"/>
      <c r="AV3004" s="36"/>
    </row>
    <row r="3005" spans="4:48">
      <c r="D3005" s="31"/>
      <c r="E3005" s="31"/>
      <c r="F3005" s="31"/>
      <c r="G3005" s="31"/>
      <c r="H3005" s="32"/>
      <c r="J3005" s="33"/>
      <c r="K3005" s="33"/>
      <c r="L3005" s="33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5"/>
      <c r="AS3005" s="35"/>
      <c r="AT3005" s="35"/>
      <c r="AU3005" s="31"/>
      <c r="AV3005" s="36"/>
    </row>
    <row r="3006" spans="4:48">
      <c r="D3006" s="31"/>
      <c r="E3006" s="31"/>
      <c r="F3006" s="31"/>
      <c r="G3006" s="31"/>
      <c r="H3006" s="32"/>
      <c r="J3006" s="33"/>
      <c r="K3006" s="33"/>
      <c r="L3006" s="33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5"/>
      <c r="AS3006" s="35"/>
      <c r="AT3006" s="35"/>
      <c r="AU3006" s="31"/>
      <c r="AV3006" s="36"/>
    </row>
    <row r="3007" spans="4:48">
      <c r="D3007" s="31"/>
      <c r="E3007" s="31"/>
      <c r="F3007" s="31"/>
      <c r="G3007" s="31"/>
      <c r="H3007" s="32"/>
      <c r="J3007" s="33"/>
      <c r="K3007" s="33"/>
      <c r="L3007" s="33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5"/>
      <c r="AS3007" s="35"/>
      <c r="AT3007" s="35"/>
      <c r="AU3007" s="31"/>
      <c r="AV3007" s="36"/>
    </row>
    <row r="3008" spans="4:48">
      <c r="D3008" s="31"/>
      <c r="E3008" s="31"/>
      <c r="F3008" s="31"/>
      <c r="G3008" s="31"/>
      <c r="H3008" s="32"/>
      <c r="J3008" s="33"/>
      <c r="K3008" s="33"/>
      <c r="L3008" s="33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5"/>
      <c r="AS3008" s="35"/>
      <c r="AT3008" s="35"/>
      <c r="AU3008" s="31"/>
      <c r="AV3008" s="36"/>
    </row>
    <row r="3009" spans="4:48">
      <c r="D3009" s="31"/>
      <c r="E3009" s="31"/>
      <c r="F3009" s="31"/>
      <c r="G3009" s="31"/>
      <c r="H3009" s="32"/>
      <c r="J3009" s="33"/>
      <c r="K3009" s="33"/>
      <c r="L3009" s="33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5"/>
      <c r="AS3009" s="35"/>
      <c r="AT3009" s="35"/>
      <c r="AU3009" s="31"/>
      <c r="AV3009" s="36"/>
    </row>
    <row r="3010" spans="4:48">
      <c r="D3010" s="31"/>
      <c r="E3010" s="31"/>
      <c r="F3010" s="31"/>
      <c r="G3010" s="31"/>
      <c r="H3010" s="32"/>
      <c r="J3010" s="33"/>
      <c r="K3010" s="33"/>
      <c r="L3010" s="33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5"/>
      <c r="AS3010" s="35"/>
      <c r="AT3010" s="35"/>
      <c r="AU3010" s="31"/>
      <c r="AV3010" s="36"/>
    </row>
    <row r="3011" spans="4:48">
      <c r="D3011" s="31"/>
      <c r="E3011" s="31"/>
      <c r="F3011" s="31"/>
      <c r="G3011" s="31"/>
      <c r="H3011" s="32"/>
      <c r="J3011" s="33"/>
      <c r="K3011" s="33"/>
      <c r="L3011" s="33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5"/>
      <c r="AS3011" s="35"/>
      <c r="AT3011" s="35"/>
      <c r="AU3011" s="31"/>
      <c r="AV3011" s="36"/>
    </row>
    <row r="3012" spans="4:48">
      <c r="D3012" s="31"/>
      <c r="E3012" s="31"/>
      <c r="F3012" s="31"/>
      <c r="G3012" s="31"/>
      <c r="H3012" s="32"/>
      <c r="J3012" s="33"/>
      <c r="K3012" s="33"/>
      <c r="L3012" s="33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5"/>
      <c r="AS3012" s="35"/>
      <c r="AT3012" s="35"/>
      <c r="AU3012" s="31"/>
      <c r="AV3012" s="36"/>
    </row>
    <row r="3013" spans="4:48">
      <c r="D3013" s="31"/>
      <c r="E3013" s="31"/>
      <c r="F3013" s="31"/>
      <c r="G3013" s="31"/>
      <c r="H3013" s="32"/>
      <c r="J3013" s="33"/>
      <c r="K3013" s="33"/>
      <c r="L3013" s="33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5"/>
      <c r="AS3013" s="35"/>
      <c r="AT3013" s="35"/>
      <c r="AU3013" s="31"/>
      <c r="AV3013" s="36"/>
    </row>
    <row r="3014" spans="4:48">
      <c r="D3014" s="31"/>
      <c r="E3014" s="31"/>
      <c r="F3014" s="31"/>
      <c r="G3014" s="31"/>
      <c r="H3014" s="32"/>
      <c r="J3014" s="33"/>
      <c r="K3014" s="33"/>
      <c r="L3014" s="33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5"/>
      <c r="AS3014" s="35"/>
      <c r="AT3014" s="35"/>
      <c r="AU3014" s="31"/>
      <c r="AV3014" s="36"/>
    </row>
    <row r="3015" spans="4:48">
      <c r="D3015" s="31"/>
      <c r="E3015" s="31"/>
      <c r="F3015" s="31"/>
      <c r="G3015" s="31"/>
      <c r="H3015" s="32"/>
      <c r="J3015" s="33"/>
      <c r="K3015" s="33"/>
      <c r="L3015" s="33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5"/>
      <c r="AS3015" s="35"/>
      <c r="AT3015" s="35"/>
      <c r="AU3015" s="31"/>
      <c r="AV3015" s="36"/>
    </row>
    <row r="3016" spans="4:48">
      <c r="D3016" s="31"/>
      <c r="E3016" s="31"/>
      <c r="F3016" s="31"/>
      <c r="G3016" s="31"/>
      <c r="H3016" s="32"/>
      <c r="J3016" s="33"/>
      <c r="K3016" s="33"/>
      <c r="L3016" s="33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5"/>
      <c r="AS3016" s="35"/>
      <c r="AT3016" s="35"/>
      <c r="AU3016" s="31"/>
      <c r="AV3016" s="36"/>
    </row>
    <row r="3017" spans="4:48">
      <c r="D3017" s="31"/>
      <c r="E3017" s="31"/>
      <c r="F3017" s="31"/>
      <c r="G3017" s="31"/>
      <c r="H3017" s="32"/>
      <c r="J3017" s="33"/>
      <c r="K3017" s="33"/>
      <c r="L3017" s="33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5"/>
      <c r="AS3017" s="35"/>
      <c r="AT3017" s="35"/>
      <c r="AU3017" s="31"/>
      <c r="AV3017" s="36"/>
    </row>
    <row r="3018" spans="4:48">
      <c r="D3018" s="31"/>
      <c r="E3018" s="31"/>
      <c r="F3018" s="31"/>
      <c r="G3018" s="31"/>
      <c r="H3018" s="32"/>
      <c r="J3018" s="33"/>
      <c r="K3018" s="33"/>
      <c r="L3018" s="33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5"/>
      <c r="AS3018" s="35"/>
      <c r="AT3018" s="35"/>
      <c r="AU3018" s="31"/>
      <c r="AV3018" s="36"/>
    </row>
    <row r="3019" spans="4:48">
      <c r="D3019" s="31"/>
      <c r="E3019" s="31"/>
      <c r="F3019" s="31"/>
      <c r="G3019" s="31"/>
      <c r="H3019" s="32"/>
      <c r="J3019" s="33"/>
      <c r="K3019" s="33"/>
      <c r="L3019" s="33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5"/>
      <c r="AS3019" s="35"/>
      <c r="AT3019" s="35"/>
      <c r="AU3019" s="31"/>
      <c r="AV3019" s="36"/>
    </row>
    <row r="3020" spans="4:48">
      <c r="D3020" s="31"/>
      <c r="E3020" s="31"/>
      <c r="F3020" s="31"/>
      <c r="G3020" s="31"/>
      <c r="H3020" s="32"/>
      <c r="J3020" s="33"/>
      <c r="K3020" s="33"/>
      <c r="L3020" s="33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5"/>
      <c r="AS3020" s="35"/>
      <c r="AT3020" s="35"/>
      <c r="AU3020" s="31"/>
      <c r="AV3020" s="36"/>
    </row>
    <row r="3021" spans="4:48">
      <c r="D3021" s="31"/>
      <c r="E3021" s="31"/>
      <c r="F3021" s="31"/>
      <c r="G3021" s="31"/>
      <c r="H3021" s="32"/>
      <c r="J3021" s="33"/>
      <c r="K3021" s="33"/>
      <c r="L3021" s="33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5"/>
      <c r="AS3021" s="35"/>
      <c r="AT3021" s="35"/>
      <c r="AU3021" s="31"/>
      <c r="AV3021" s="36"/>
    </row>
    <row r="3022" spans="4:48">
      <c r="D3022" s="31"/>
      <c r="E3022" s="31"/>
      <c r="F3022" s="31"/>
      <c r="G3022" s="31"/>
      <c r="H3022" s="32"/>
      <c r="J3022" s="33"/>
      <c r="K3022" s="33"/>
      <c r="L3022" s="33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5"/>
      <c r="AS3022" s="35"/>
      <c r="AT3022" s="35"/>
      <c r="AU3022" s="31"/>
      <c r="AV3022" s="36"/>
    </row>
    <row r="3023" spans="4:48">
      <c r="D3023" s="31"/>
      <c r="E3023" s="31"/>
      <c r="F3023" s="31"/>
      <c r="G3023" s="31"/>
      <c r="H3023" s="32"/>
      <c r="J3023" s="33"/>
      <c r="K3023" s="33"/>
      <c r="L3023" s="33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5"/>
      <c r="AS3023" s="35"/>
      <c r="AT3023" s="35"/>
      <c r="AU3023" s="31"/>
      <c r="AV3023" s="36"/>
    </row>
    <row r="3024" spans="4:48">
      <c r="D3024" s="31"/>
      <c r="E3024" s="31"/>
      <c r="F3024" s="31"/>
      <c r="G3024" s="31"/>
      <c r="H3024" s="32"/>
      <c r="J3024" s="33"/>
      <c r="K3024" s="33"/>
      <c r="L3024" s="33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5"/>
      <c r="AS3024" s="35"/>
      <c r="AT3024" s="35"/>
      <c r="AU3024" s="31"/>
      <c r="AV3024" s="36"/>
    </row>
    <row r="3025" spans="4:48">
      <c r="D3025" s="31"/>
      <c r="E3025" s="31"/>
      <c r="F3025" s="31"/>
      <c r="G3025" s="31"/>
      <c r="H3025" s="32"/>
      <c r="J3025" s="33"/>
      <c r="K3025" s="33"/>
      <c r="L3025" s="33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5"/>
      <c r="AS3025" s="35"/>
      <c r="AT3025" s="35"/>
      <c r="AU3025" s="31"/>
      <c r="AV3025" s="36"/>
    </row>
    <row r="3026" spans="4:48">
      <c r="D3026" s="31"/>
      <c r="E3026" s="31"/>
      <c r="F3026" s="31"/>
      <c r="G3026" s="31"/>
      <c r="H3026" s="32"/>
      <c r="J3026" s="33"/>
      <c r="K3026" s="33"/>
      <c r="L3026" s="33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5"/>
      <c r="AS3026" s="35"/>
      <c r="AT3026" s="35"/>
      <c r="AU3026" s="31"/>
      <c r="AV3026" s="36"/>
    </row>
    <row r="3027" spans="4:48">
      <c r="D3027" s="31"/>
      <c r="E3027" s="31"/>
      <c r="F3027" s="31"/>
      <c r="G3027" s="31"/>
      <c r="H3027" s="32"/>
      <c r="J3027" s="33"/>
      <c r="K3027" s="33"/>
      <c r="L3027" s="33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5"/>
      <c r="AS3027" s="35"/>
      <c r="AT3027" s="35"/>
      <c r="AU3027" s="31"/>
      <c r="AV3027" s="36"/>
    </row>
    <row r="3028" spans="4:48">
      <c r="D3028" s="31"/>
      <c r="E3028" s="31"/>
      <c r="F3028" s="31"/>
      <c r="G3028" s="31"/>
      <c r="H3028" s="32"/>
      <c r="J3028" s="33"/>
      <c r="K3028" s="33"/>
      <c r="L3028" s="33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5"/>
      <c r="AS3028" s="35"/>
      <c r="AT3028" s="35"/>
      <c r="AU3028" s="31"/>
      <c r="AV3028" s="36"/>
    </row>
    <row r="3029" spans="4:48">
      <c r="D3029" s="31"/>
      <c r="E3029" s="31"/>
      <c r="F3029" s="31"/>
      <c r="G3029" s="31"/>
      <c r="H3029" s="32"/>
      <c r="J3029" s="33"/>
      <c r="K3029" s="33"/>
      <c r="L3029" s="33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5"/>
      <c r="AS3029" s="35"/>
      <c r="AT3029" s="35"/>
      <c r="AU3029" s="31"/>
      <c r="AV3029" s="36"/>
    </row>
    <row r="3030" spans="4:48">
      <c r="D3030" s="31"/>
      <c r="E3030" s="31"/>
      <c r="F3030" s="31"/>
      <c r="G3030" s="31"/>
      <c r="H3030" s="32"/>
      <c r="J3030" s="33"/>
      <c r="K3030" s="33"/>
      <c r="L3030" s="33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5"/>
      <c r="AS3030" s="35"/>
      <c r="AT3030" s="35"/>
      <c r="AU3030" s="31"/>
      <c r="AV3030" s="36"/>
    </row>
    <row r="3031" spans="4:48">
      <c r="D3031" s="31"/>
      <c r="E3031" s="31"/>
      <c r="F3031" s="31"/>
      <c r="G3031" s="31"/>
      <c r="H3031" s="32"/>
      <c r="J3031" s="33"/>
      <c r="K3031" s="33"/>
      <c r="L3031" s="33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5"/>
      <c r="AS3031" s="35"/>
      <c r="AT3031" s="35"/>
      <c r="AU3031" s="31"/>
      <c r="AV3031" s="36"/>
    </row>
    <row r="3032" spans="4:48">
      <c r="D3032" s="31"/>
      <c r="E3032" s="31"/>
      <c r="F3032" s="31"/>
      <c r="G3032" s="31"/>
      <c r="H3032" s="32"/>
      <c r="J3032" s="33"/>
      <c r="K3032" s="33"/>
      <c r="L3032" s="33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5"/>
      <c r="AS3032" s="35"/>
      <c r="AT3032" s="35"/>
      <c r="AU3032" s="31"/>
      <c r="AV3032" s="36"/>
    </row>
    <row r="3033" spans="4:48">
      <c r="D3033" s="31"/>
      <c r="E3033" s="31"/>
      <c r="F3033" s="31"/>
      <c r="G3033" s="31"/>
      <c r="H3033" s="32"/>
      <c r="J3033" s="33"/>
      <c r="K3033" s="33"/>
      <c r="L3033" s="33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5"/>
      <c r="AS3033" s="35"/>
      <c r="AT3033" s="35"/>
      <c r="AU3033" s="31"/>
      <c r="AV3033" s="36"/>
    </row>
    <row r="3034" spans="4:48">
      <c r="D3034" s="31"/>
      <c r="E3034" s="31"/>
      <c r="F3034" s="31"/>
      <c r="G3034" s="31"/>
      <c r="H3034" s="32"/>
      <c r="J3034" s="33"/>
      <c r="K3034" s="33"/>
      <c r="L3034" s="33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5"/>
      <c r="AS3034" s="35"/>
      <c r="AT3034" s="35"/>
      <c r="AU3034" s="31"/>
      <c r="AV3034" s="36"/>
    </row>
    <row r="3035" spans="4:48">
      <c r="D3035" s="31"/>
      <c r="E3035" s="31"/>
      <c r="F3035" s="31"/>
      <c r="G3035" s="31"/>
      <c r="H3035" s="32"/>
      <c r="J3035" s="33"/>
      <c r="K3035" s="33"/>
      <c r="L3035" s="33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5"/>
      <c r="AS3035" s="35"/>
      <c r="AT3035" s="35"/>
      <c r="AU3035" s="31"/>
      <c r="AV3035" s="36"/>
    </row>
    <row r="3036" spans="4:48">
      <c r="D3036" s="31"/>
      <c r="E3036" s="31"/>
      <c r="F3036" s="31"/>
      <c r="G3036" s="31"/>
      <c r="H3036" s="32"/>
      <c r="J3036" s="33"/>
      <c r="K3036" s="33"/>
      <c r="L3036" s="33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5"/>
      <c r="AS3036" s="35"/>
      <c r="AT3036" s="35"/>
      <c r="AU3036" s="31"/>
      <c r="AV3036" s="36"/>
    </row>
    <row r="3037" spans="4:48">
      <c r="D3037" s="31"/>
      <c r="E3037" s="31"/>
      <c r="F3037" s="31"/>
      <c r="G3037" s="31"/>
      <c r="H3037" s="32"/>
      <c r="J3037" s="33"/>
      <c r="K3037" s="33"/>
      <c r="L3037" s="33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5"/>
      <c r="AS3037" s="35"/>
      <c r="AT3037" s="35"/>
      <c r="AU3037" s="31"/>
      <c r="AV3037" s="36"/>
    </row>
    <row r="3038" spans="4:48">
      <c r="D3038" s="31"/>
      <c r="E3038" s="31"/>
      <c r="F3038" s="31"/>
      <c r="G3038" s="31"/>
      <c r="H3038" s="32"/>
      <c r="J3038" s="33"/>
      <c r="K3038" s="33"/>
      <c r="L3038" s="33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5"/>
      <c r="AS3038" s="35"/>
      <c r="AT3038" s="35"/>
      <c r="AU3038" s="31"/>
      <c r="AV3038" s="36"/>
    </row>
    <row r="3039" spans="4:48">
      <c r="D3039" s="31"/>
      <c r="E3039" s="31"/>
      <c r="F3039" s="31"/>
      <c r="G3039" s="31"/>
      <c r="H3039" s="32"/>
      <c r="J3039" s="33"/>
      <c r="K3039" s="33"/>
      <c r="L3039" s="33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5"/>
      <c r="AS3039" s="35"/>
      <c r="AT3039" s="35"/>
      <c r="AU3039" s="31"/>
      <c r="AV3039" s="36"/>
    </row>
    <row r="3040" spans="4:48">
      <c r="D3040" s="31"/>
      <c r="E3040" s="31"/>
      <c r="F3040" s="31"/>
      <c r="G3040" s="31"/>
      <c r="H3040" s="32"/>
      <c r="J3040" s="33"/>
      <c r="K3040" s="33"/>
      <c r="L3040" s="33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5"/>
      <c r="AS3040" s="35"/>
      <c r="AT3040" s="35"/>
      <c r="AU3040" s="31"/>
      <c r="AV3040" s="36"/>
    </row>
    <row r="3041" spans="4:48">
      <c r="D3041" s="31"/>
      <c r="E3041" s="31"/>
      <c r="F3041" s="31"/>
      <c r="G3041" s="31"/>
      <c r="H3041" s="32"/>
      <c r="J3041" s="33"/>
      <c r="K3041" s="33"/>
      <c r="L3041" s="33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5"/>
      <c r="AS3041" s="35"/>
      <c r="AT3041" s="35"/>
      <c r="AU3041" s="31"/>
      <c r="AV3041" s="36"/>
    </row>
    <row r="3042" spans="4:48">
      <c r="D3042" s="31"/>
      <c r="E3042" s="31"/>
      <c r="F3042" s="31"/>
      <c r="G3042" s="31"/>
      <c r="H3042" s="32"/>
      <c r="J3042" s="33"/>
      <c r="K3042" s="33"/>
      <c r="L3042" s="33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5"/>
      <c r="AS3042" s="35"/>
      <c r="AT3042" s="35"/>
      <c r="AU3042" s="31"/>
      <c r="AV3042" s="36"/>
    </row>
    <row r="3043" spans="4:48">
      <c r="D3043" s="31"/>
      <c r="E3043" s="31"/>
      <c r="F3043" s="31"/>
      <c r="G3043" s="31"/>
      <c r="H3043" s="32"/>
      <c r="J3043" s="33"/>
      <c r="K3043" s="33"/>
      <c r="L3043" s="33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5"/>
      <c r="AS3043" s="35"/>
      <c r="AT3043" s="35"/>
      <c r="AU3043" s="31"/>
      <c r="AV3043" s="36"/>
    </row>
    <row r="3044" spans="4:48">
      <c r="D3044" s="31"/>
      <c r="E3044" s="31"/>
      <c r="F3044" s="31"/>
      <c r="G3044" s="31"/>
      <c r="H3044" s="32"/>
      <c r="J3044" s="33"/>
      <c r="K3044" s="33"/>
      <c r="L3044" s="33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5"/>
      <c r="AS3044" s="35"/>
      <c r="AT3044" s="35"/>
      <c r="AU3044" s="31"/>
      <c r="AV3044" s="36"/>
    </row>
    <row r="3045" spans="4:48">
      <c r="D3045" s="31"/>
      <c r="E3045" s="31"/>
      <c r="F3045" s="31"/>
      <c r="G3045" s="31"/>
      <c r="H3045" s="32"/>
      <c r="J3045" s="33"/>
      <c r="K3045" s="33"/>
      <c r="L3045" s="33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5"/>
      <c r="AS3045" s="35"/>
      <c r="AT3045" s="35"/>
      <c r="AU3045" s="31"/>
      <c r="AV3045" s="36"/>
    </row>
    <row r="3046" spans="4:48">
      <c r="D3046" s="31"/>
      <c r="E3046" s="31"/>
      <c r="F3046" s="31"/>
      <c r="G3046" s="31"/>
      <c r="H3046" s="32"/>
      <c r="J3046" s="33"/>
      <c r="K3046" s="33"/>
      <c r="L3046" s="33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5"/>
      <c r="AS3046" s="35"/>
      <c r="AT3046" s="35"/>
      <c r="AU3046" s="31"/>
      <c r="AV3046" s="36"/>
    </row>
    <row r="3047" spans="4:48">
      <c r="D3047" s="31"/>
      <c r="E3047" s="31"/>
      <c r="F3047" s="31"/>
      <c r="G3047" s="31"/>
      <c r="H3047" s="32"/>
      <c r="J3047" s="33"/>
      <c r="K3047" s="33"/>
      <c r="L3047" s="33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5"/>
      <c r="AS3047" s="35"/>
      <c r="AT3047" s="35"/>
      <c r="AU3047" s="31"/>
      <c r="AV3047" s="36"/>
    </row>
    <row r="3048" spans="4:48">
      <c r="D3048" s="31"/>
      <c r="E3048" s="31"/>
      <c r="F3048" s="31"/>
      <c r="G3048" s="31"/>
      <c r="H3048" s="32"/>
      <c r="J3048" s="33"/>
      <c r="K3048" s="33"/>
      <c r="L3048" s="33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5"/>
      <c r="AS3048" s="35"/>
      <c r="AT3048" s="35"/>
      <c r="AU3048" s="31"/>
      <c r="AV3048" s="36"/>
    </row>
    <row r="3049" spans="4:48">
      <c r="D3049" s="31"/>
      <c r="E3049" s="31"/>
      <c r="F3049" s="31"/>
      <c r="G3049" s="31"/>
      <c r="H3049" s="32"/>
      <c r="J3049" s="33"/>
      <c r="K3049" s="33"/>
      <c r="L3049" s="33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5"/>
      <c r="AS3049" s="35"/>
      <c r="AT3049" s="35"/>
      <c r="AU3049" s="31"/>
      <c r="AV3049" s="36"/>
    </row>
    <row r="3050" spans="4:48">
      <c r="D3050" s="31"/>
      <c r="E3050" s="31"/>
      <c r="F3050" s="31"/>
      <c r="G3050" s="31"/>
      <c r="H3050" s="32"/>
      <c r="J3050" s="33"/>
      <c r="K3050" s="33"/>
      <c r="L3050" s="33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5"/>
      <c r="AS3050" s="35"/>
      <c r="AT3050" s="35"/>
      <c r="AU3050" s="31"/>
      <c r="AV3050" s="36"/>
    </row>
    <row r="3051" spans="4:48">
      <c r="D3051" s="31"/>
      <c r="E3051" s="31"/>
      <c r="F3051" s="31"/>
      <c r="G3051" s="31"/>
      <c r="H3051" s="32"/>
      <c r="J3051" s="33"/>
      <c r="K3051" s="33"/>
      <c r="L3051" s="33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5"/>
      <c r="AS3051" s="35"/>
      <c r="AT3051" s="35"/>
      <c r="AU3051" s="31"/>
      <c r="AV3051" s="36"/>
    </row>
    <row r="3052" spans="4:48">
      <c r="D3052" s="31"/>
      <c r="E3052" s="31"/>
      <c r="F3052" s="31"/>
      <c r="G3052" s="31"/>
      <c r="H3052" s="32"/>
      <c r="J3052" s="33"/>
      <c r="K3052" s="33"/>
      <c r="L3052" s="33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5"/>
      <c r="AS3052" s="35"/>
      <c r="AT3052" s="35"/>
      <c r="AU3052" s="31"/>
      <c r="AV3052" s="36"/>
    </row>
    <row r="3053" spans="4:48">
      <c r="D3053" s="31"/>
      <c r="E3053" s="31"/>
      <c r="F3053" s="31"/>
      <c r="G3053" s="31"/>
      <c r="H3053" s="32"/>
      <c r="J3053" s="33"/>
      <c r="K3053" s="33"/>
      <c r="L3053" s="33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5"/>
      <c r="AS3053" s="35"/>
      <c r="AT3053" s="35"/>
      <c r="AU3053" s="31"/>
      <c r="AV3053" s="36"/>
    </row>
    <row r="3054" spans="4:48">
      <c r="D3054" s="31"/>
      <c r="E3054" s="31"/>
      <c r="F3054" s="31"/>
      <c r="G3054" s="31"/>
      <c r="H3054" s="32"/>
      <c r="J3054" s="33"/>
      <c r="K3054" s="33"/>
      <c r="L3054" s="33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5"/>
      <c r="AS3054" s="35"/>
      <c r="AT3054" s="35"/>
      <c r="AU3054" s="31"/>
      <c r="AV3054" s="36"/>
    </row>
    <row r="3055" spans="4:48">
      <c r="D3055" s="31"/>
      <c r="E3055" s="31"/>
      <c r="F3055" s="31"/>
      <c r="G3055" s="31"/>
      <c r="H3055" s="32"/>
      <c r="J3055" s="33"/>
      <c r="K3055" s="33"/>
      <c r="L3055" s="33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5"/>
      <c r="AS3055" s="35"/>
      <c r="AT3055" s="35"/>
      <c r="AU3055" s="31"/>
      <c r="AV3055" s="36"/>
    </row>
    <row r="3056" spans="4:48">
      <c r="D3056" s="31"/>
      <c r="E3056" s="31"/>
      <c r="F3056" s="31"/>
      <c r="G3056" s="31"/>
      <c r="H3056" s="32"/>
      <c r="J3056" s="33"/>
      <c r="K3056" s="33"/>
      <c r="L3056" s="33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5"/>
      <c r="AS3056" s="35"/>
      <c r="AT3056" s="35"/>
      <c r="AU3056" s="31"/>
      <c r="AV3056" s="36"/>
    </row>
    <row r="3057" spans="4:48">
      <c r="D3057" s="31"/>
      <c r="E3057" s="31"/>
      <c r="F3057" s="31"/>
      <c r="G3057" s="31"/>
      <c r="H3057" s="32"/>
      <c r="J3057" s="33"/>
      <c r="K3057" s="33"/>
      <c r="L3057" s="33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5"/>
      <c r="AS3057" s="35"/>
      <c r="AT3057" s="35"/>
      <c r="AU3057" s="31"/>
      <c r="AV3057" s="36"/>
    </row>
    <row r="3058" spans="4:48">
      <c r="D3058" s="31"/>
      <c r="E3058" s="31"/>
      <c r="F3058" s="31"/>
      <c r="G3058" s="31"/>
      <c r="H3058" s="32"/>
      <c r="J3058" s="33"/>
      <c r="K3058" s="33"/>
      <c r="L3058" s="33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5"/>
      <c r="AS3058" s="35"/>
      <c r="AT3058" s="35"/>
      <c r="AU3058" s="31"/>
      <c r="AV3058" s="36"/>
    </row>
    <row r="3059" spans="4:48">
      <c r="D3059" s="31"/>
      <c r="E3059" s="31"/>
      <c r="F3059" s="31"/>
      <c r="G3059" s="31"/>
      <c r="H3059" s="32"/>
      <c r="J3059" s="33"/>
      <c r="K3059" s="33"/>
      <c r="L3059" s="33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5"/>
      <c r="AS3059" s="35"/>
      <c r="AT3059" s="35"/>
      <c r="AU3059" s="31"/>
      <c r="AV3059" s="36"/>
    </row>
    <row r="3060" spans="4:48">
      <c r="D3060" s="31"/>
      <c r="E3060" s="31"/>
      <c r="F3060" s="31"/>
      <c r="G3060" s="31"/>
      <c r="H3060" s="32"/>
      <c r="J3060" s="33"/>
      <c r="K3060" s="33"/>
      <c r="L3060" s="33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5"/>
      <c r="AS3060" s="35"/>
      <c r="AT3060" s="35"/>
      <c r="AU3060" s="31"/>
      <c r="AV3060" s="36"/>
    </row>
    <row r="3061" spans="4:48">
      <c r="D3061" s="31"/>
      <c r="E3061" s="31"/>
      <c r="F3061" s="31"/>
      <c r="G3061" s="31"/>
      <c r="H3061" s="32"/>
      <c r="J3061" s="33"/>
      <c r="K3061" s="33"/>
      <c r="L3061" s="33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5"/>
      <c r="AS3061" s="35"/>
      <c r="AT3061" s="35"/>
      <c r="AU3061" s="31"/>
      <c r="AV3061" s="36"/>
    </row>
    <row r="3062" spans="4:48">
      <c r="D3062" s="31"/>
      <c r="E3062" s="31"/>
      <c r="F3062" s="31"/>
      <c r="G3062" s="31"/>
      <c r="H3062" s="32"/>
      <c r="J3062" s="33"/>
      <c r="K3062" s="33"/>
      <c r="L3062" s="33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5"/>
      <c r="AS3062" s="35"/>
      <c r="AT3062" s="35"/>
      <c r="AU3062" s="31"/>
      <c r="AV3062" s="36"/>
    </row>
    <row r="3063" spans="4:48">
      <c r="D3063" s="31"/>
      <c r="E3063" s="31"/>
      <c r="F3063" s="31"/>
      <c r="G3063" s="31"/>
      <c r="H3063" s="32"/>
      <c r="J3063" s="33"/>
      <c r="K3063" s="33"/>
      <c r="L3063" s="33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5"/>
      <c r="AS3063" s="35"/>
      <c r="AT3063" s="35"/>
      <c r="AU3063" s="31"/>
      <c r="AV3063" s="36"/>
    </row>
    <row r="3064" spans="4:48">
      <c r="D3064" s="31"/>
      <c r="E3064" s="31"/>
      <c r="F3064" s="31"/>
      <c r="G3064" s="31"/>
      <c r="H3064" s="32"/>
      <c r="J3064" s="33"/>
      <c r="K3064" s="33"/>
      <c r="L3064" s="33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5"/>
      <c r="AS3064" s="35"/>
      <c r="AT3064" s="35"/>
      <c r="AU3064" s="31"/>
      <c r="AV3064" s="36"/>
    </row>
    <row r="3065" spans="4:48">
      <c r="D3065" s="31"/>
      <c r="E3065" s="31"/>
      <c r="F3065" s="31"/>
      <c r="G3065" s="31"/>
      <c r="H3065" s="32"/>
      <c r="J3065" s="33"/>
      <c r="K3065" s="33"/>
      <c r="L3065" s="33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5"/>
      <c r="AS3065" s="35"/>
      <c r="AT3065" s="35"/>
      <c r="AU3065" s="31"/>
      <c r="AV3065" s="36"/>
    </row>
    <row r="3066" spans="4:48">
      <c r="D3066" s="31"/>
      <c r="E3066" s="31"/>
      <c r="F3066" s="31"/>
      <c r="G3066" s="31"/>
      <c r="H3066" s="32"/>
      <c r="J3066" s="33"/>
      <c r="K3066" s="33"/>
      <c r="L3066" s="33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5"/>
      <c r="AS3066" s="35"/>
      <c r="AT3066" s="35"/>
      <c r="AU3066" s="31"/>
      <c r="AV3066" s="36"/>
    </row>
    <row r="3067" spans="4:48">
      <c r="D3067" s="31"/>
      <c r="E3067" s="31"/>
      <c r="F3067" s="31"/>
      <c r="G3067" s="31"/>
      <c r="H3067" s="32"/>
      <c r="J3067" s="33"/>
      <c r="K3067" s="33"/>
      <c r="L3067" s="33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5"/>
      <c r="AS3067" s="35"/>
      <c r="AT3067" s="35"/>
      <c r="AU3067" s="31"/>
      <c r="AV3067" s="36"/>
    </row>
    <row r="3068" spans="4:48">
      <c r="D3068" s="31"/>
      <c r="E3068" s="31"/>
      <c r="F3068" s="31"/>
      <c r="G3068" s="31"/>
      <c r="H3068" s="32"/>
      <c r="J3068" s="33"/>
      <c r="K3068" s="33"/>
      <c r="L3068" s="33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5"/>
      <c r="AS3068" s="35"/>
      <c r="AT3068" s="35"/>
      <c r="AU3068" s="31"/>
      <c r="AV3068" s="36"/>
    </row>
    <row r="3069" spans="4:48">
      <c r="D3069" s="31"/>
      <c r="E3069" s="31"/>
      <c r="F3069" s="31"/>
      <c r="G3069" s="31"/>
      <c r="H3069" s="32"/>
      <c r="J3069" s="33"/>
      <c r="K3069" s="33"/>
      <c r="L3069" s="33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5"/>
      <c r="AS3069" s="35"/>
      <c r="AT3069" s="35"/>
      <c r="AU3069" s="31"/>
      <c r="AV3069" s="36"/>
    </row>
    <row r="3070" spans="4:48">
      <c r="D3070" s="31"/>
      <c r="E3070" s="31"/>
      <c r="F3070" s="31"/>
      <c r="G3070" s="31"/>
      <c r="H3070" s="32"/>
      <c r="J3070" s="33"/>
      <c r="K3070" s="33"/>
      <c r="L3070" s="33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5"/>
      <c r="AS3070" s="35"/>
      <c r="AT3070" s="35"/>
      <c r="AU3070" s="31"/>
      <c r="AV3070" s="36"/>
    </row>
    <row r="3071" spans="4:48">
      <c r="D3071" s="31"/>
      <c r="E3071" s="31"/>
      <c r="F3071" s="31"/>
      <c r="G3071" s="31"/>
      <c r="H3071" s="32"/>
      <c r="J3071" s="33"/>
      <c r="K3071" s="33"/>
      <c r="L3071" s="33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5"/>
      <c r="AS3071" s="35"/>
      <c r="AT3071" s="35"/>
      <c r="AU3071" s="31"/>
      <c r="AV3071" s="36"/>
    </row>
    <row r="3072" spans="4:48">
      <c r="D3072" s="31"/>
      <c r="E3072" s="31"/>
      <c r="F3072" s="31"/>
      <c r="G3072" s="31"/>
      <c r="H3072" s="32"/>
      <c r="J3072" s="33"/>
      <c r="K3072" s="33"/>
      <c r="L3072" s="33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5"/>
      <c r="AS3072" s="35"/>
      <c r="AT3072" s="35"/>
      <c r="AU3072" s="31"/>
      <c r="AV3072" s="36"/>
    </row>
    <row r="3073" spans="4:48">
      <c r="D3073" s="31"/>
      <c r="E3073" s="31"/>
      <c r="F3073" s="31"/>
      <c r="G3073" s="31"/>
      <c r="H3073" s="32"/>
      <c r="J3073" s="33"/>
      <c r="K3073" s="33"/>
      <c r="L3073" s="33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5"/>
      <c r="AS3073" s="35"/>
      <c r="AT3073" s="35"/>
      <c r="AU3073" s="31"/>
      <c r="AV3073" s="36"/>
    </row>
    <row r="3074" spans="4:48">
      <c r="D3074" s="31"/>
      <c r="E3074" s="31"/>
      <c r="F3074" s="31"/>
      <c r="G3074" s="31"/>
      <c r="H3074" s="32"/>
      <c r="J3074" s="33"/>
      <c r="K3074" s="33"/>
      <c r="L3074" s="33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5"/>
      <c r="AS3074" s="35"/>
      <c r="AT3074" s="35"/>
      <c r="AU3074" s="31"/>
      <c r="AV3074" s="36"/>
    </row>
    <row r="3075" spans="4:48">
      <c r="D3075" s="31"/>
      <c r="E3075" s="31"/>
      <c r="F3075" s="31"/>
      <c r="G3075" s="31"/>
      <c r="H3075" s="32"/>
      <c r="J3075" s="33"/>
      <c r="K3075" s="33"/>
      <c r="L3075" s="33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5"/>
      <c r="AS3075" s="35"/>
      <c r="AT3075" s="35"/>
      <c r="AU3075" s="31"/>
      <c r="AV3075" s="36"/>
    </row>
    <row r="3076" spans="4:48">
      <c r="D3076" s="31"/>
      <c r="E3076" s="31"/>
      <c r="F3076" s="31"/>
      <c r="G3076" s="31"/>
      <c r="H3076" s="32"/>
      <c r="J3076" s="33"/>
      <c r="K3076" s="33"/>
      <c r="L3076" s="33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5"/>
      <c r="AS3076" s="35"/>
      <c r="AT3076" s="35"/>
      <c r="AU3076" s="31"/>
      <c r="AV3076" s="36"/>
    </row>
    <row r="3077" spans="4:48">
      <c r="D3077" s="31"/>
      <c r="E3077" s="31"/>
      <c r="F3077" s="31"/>
      <c r="G3077" s="31"/>
      <c r="H3077" s="32"/>
      <c r="J3077" s="33"/>
      <c r="K3077" s="33"/>
      <c r="L3077" s="33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5"/>
      <c r="AS3077" s="35"/>
      <c r="AT3077" s="35"/>
      <c r="AU3077" s="31"/>
      <c r="AV3077" s="36"/>
    </row>
    <row r="3078" spans="4:48">
      <c r="D3078" s="31"/>
      <c r="E3078" s="31"/>
      <c r="F3078" s="31"/>
      <c r="G3078" s="31"/>
      <c r="H3078" s="32"/>
      <c r="J3078" s="33"/>
      <c r="K3078" s="33"/>
      <c r="L3078" s="33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5"/>
      <c r="AS3078" s="35"/>
      <c r="AT3078" s="35"/>
      <c r="AU3078" s="31"/>
      <c r="AV3078" s="36"/>
    </row>
    <row r="3079" spans="4:48">
      <c r="D3079" s="31"/>
      <c r="E3079" s="31"/>
      <c r="F3079" s="31"/>
      <c r="G3079" s="31"/>
      <c r="H3079" s="32"/>
      <c r="J3079" s="33"/>
      <c r="K3079" s="33"/>
      <c r="L3079" s="33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5"/>
      <c r="AS3079" s="35"/>
      <c r="AT3079" s="35"/>
      <c r="AU3079" s="31"/>
      <c r="AV3079" s="36"/>
    </row>
    <row r="3080" spans="4:48">
      <c r="D3080" s="31"/>
      <c r="E3080" s="31"/>
      <c r="F3080" s="31"/>
      <c r="G3080" s="31"/>
      <c r="H3080" s="32"/>
      <c r="J3080" s="33"/>
      <c r="K3080" s="33"/>
      <c r="L3080" s="33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5"/>
      <c r="AS3080" s="35"/>
      <c r="AT3080" s="35"/>
      <c r="AU3080" s="31"/>
      <c r="AV3080" s="36"/>
    </row>
    <row r="3081" spans="4:48">
      <c r="D3081" s="31"/>
      <c r="E3081" s="31"/>
      <c r="F3081" s="31"/>
      <c r="G3081" s="31"/>
      <c r="H3081" s="32"/>
      <c r="J3081" s="33"/>
      <c r="K3081" s="33"/>
      <c r="L3081" s="33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5"/>
      <c r="AS3081" s="35"/>
      <c r="AT3081" s="35"/>
      <c r="AU3081" s="31"/>
      <c r="AV3081" s="36"/>
    </row>
    <row r="3082" spans="4:48">
      <c r="D3082" s="31"/>
      <c r="E3082" s="31"/>
      <c r="F3082" s="31"/>
      <c r="G3082" s="31"/>
      <c r="H3082" s="32"/>
      <c r="J3082" s="33"/>
      <c r="K3082" s="33"/>
      <c r="L3082" s="33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5"/>
      <c r="AS3082" s="35"/>
      <c r="AT3082" s="35"/>
      <c r="AU3082" s="31"/>
      <c r="AV3082" s="36"/>
    </row>
    <row r="3083" spans="4:48">
      <c r="D3083" s="31"/>
      <c r="E3083" s="31"/>
      <c r="F3083" s="31"/>
      <c r="G3083" s="31"/>
      <c r="H3083" s="32"/>
      <c r="J3083" s="33"/>
      <c r="K3083" s="33"/>
      <c r="L3083" s="33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5"/>
      <c r="AS3083" s="35"/>
      <c r="AT3083" s="35"/>
      <c r="AU3083" s="31"/>
      <c r="AV3083" s="36"/>
    </row>
    <row r="3084" spans="4:48">
      <c r="D3084" s="31"/>
      <c r="E3084" s="31"/>
      <c r="F3084" s="31"/>
      <c r="G3084" s="31"/>
      <c r="H3084" s="32"/>
      <c r="J3084" s="33"/>
      <c r="K3084" s="33"/>
      <c r="L3084" s="33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5"/>
      <c r="AS3084" s="35"/>
      <c r="AT3084" s="35"/>
      <c r="AU3084" s="31"/>
      <c r="AV3084" s="36"/>
    </row>
    <row r="3085" spans="4:48">
      <c r="D3085" s="31"/>
      <c r="E3085" s="31"/>
      <c r="F3085" s="31"/>
      <c r="G3085" s="31"/>
      <c r="H3085" s="32"/>
      <c r="J3085" s="33"/>
      <c r="K3085" s="33"/>
      <c r="L3085" s="33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5"/>
      <c r="AS3085" s="35"/>
      <c r="AT3085" s="35"/>
      <c r="AU3085" s="31"/>
      <c r="AV3085" s="36"/>
    </row>
    <row r="3086" spans="4:48">
      <c r="D3086" s="31"/>
      <c r="E3086" s="31"/>
      <c r="F3086" s="31"/>
      <c r="G3086" s="31"/>
      <c r="H3086" s="32"/>
      <c r="J3086" s="33"/>
      <c r="K3086" s="33"/>
      <c r="L3086" s="33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5"/>
      <c r="AS3086" s="35"/>
      <c r="AT3086" s="35"/>
      <c r="AU3086" s="31"/>
      <c r="AV3086" s="36"/>
    </row>
    <row r="3087" spans="4:48">
      <c r="D3087" s="31"/>
      <c r="E3087" s="31"/>
      <c r="F3087" s="31"/>
      <c r="G3087" s="31"/>
      <c r="H3087" s="32"/>
      <c r="J3087" s="33"/>
      <c r="K3087" s="33"/>
      <c r="L3087" s="33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5"/>
      <c r="AS3087" s="35"/>
      <c r="AT3087" s="35"/>
      <c r="AU3087" s="31"/>
      <c r="AV3087" s="36"/>
    </row>
    <row r="3088" spans="4:48">
      <c r="D3088" s="31"/>
      <c r="E3088" s="31"/>
      <c r="F3088" s="31"/>
      <c r="G3088" s="31"/>
      <c r="H3088" s="32"/>
      <c r="J3088" s="33"/>
      <c r="K3088" s="33"/>
      <c r="L3088" s="33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5"/>
      <c r="AS3088" s="35"/>
      <c r="AT3088" s="35"/>
      <c r="AU3088" s="31"/>
      <c r="AV3088" s="36"/>
    </row>
    <row r="3089" spans="4:48">
      <c r="D3089" s="31"/>
      <c r="E3089" s="31"/>
      <c r="F3089" s="31"/>
      <c r="G3089" s="31"/>
      <c r="H3089" s="32"/>
      <c r="J3089" s="33"/>
      <c r="K3089" s="33"/>
      <c r="L3089" s="33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5"/>
      <c r="AS3089" s="35"/>
      <c r="AT3089" s="35"/>
      <c r="AU3089" s="31"/>
      <c r="AV3089" s="36"/>
    </row>
    <row r="3090" spans="4:48">
      <c r="D3090" s="31"/>
      <c r="E3090" s="31"/>
      <c r="F3090" s="31"/>
      <c r="G3090" s="31"/>
      <c r="H3090" s="32"/>
      <c r="J3090" s="33"/>
      <c r="K3090" s="33"/>
      <c r="L3090" s="33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5"/>
      <c r="AS3090" s="35"/>
      <c r="AT3090" s="35"/>
      <c r="AU3090" s="31"/>
      <c r="AV3090" s="36"/>
    </row>
    <row r="3091" spans="4:48">
      <c r="D3091" s="31"/>
      <c r="E3091" s="31"/>
      <c r="F3091" s="31"/>
      <c r="G3091" s="31"/>
      <c r="H3091" s="32"/>
      <c r="J3091" s="33"/>
      <c r="K3091" s="33"/>
      <c r="L3091" s="33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5"/>
      <c r="AS3091" s="35"/>
      <c r="AT3091" s="35"/>
      <c r="AU3091" s="31"/>
      <c r="AV3091" s="36"/>
    </row>
    <row r="3092" spans="4:48">
      <c r="D3092" s="31"/>
      <c r="E3092" s="31"/>
      <c r="F3092" s="31"/>
      <c r="G3092" s="31"/>
      <c r="H3092" s="32"/>
      <c r="J3092" s="33"/>
      <c r="K3092" s="33"/>
      <c r="L3092" s="33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5"/>
      <c r="AS3092" s="35"/>
      <c r="AT3092" s="35"/>
      <c r="AU3092" s="31"/>
      <c r="AV3092" s="36"/>
    </row>
    <row r="3093" spans="4:48">
      <c r="D3093" s="31"/>
      <c r="E3093" s="31"/>
      <c r="F3093" s="31"/>
      <c r="G3093" s="31"/>
      <c r="H3093" s="32"/>
      <c r="J3093" s="33"/>
      <c r="K3093" s="33"/>
      <c r="L3093" s="33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5"/>
      <c r="AS3093" s="35"/>
      <c r="AT3093" s="35"/>
      <c r="AU3093" s="31"/>
      <c r="AV3093" s="36"/>
    </row>
    <row r="3094" spans="4:48">
      <c r="D3094" s="31"/>
      <c r="E3094" s="31"/>
      <c r="F3094" s="31"/>
      <c r="G3094" s="31"/>
      <c r="H3094" s="32"/>
      <c r="J3094" s="33"/>
      <c r="K3094" s="33"/>
      <c r="L3094" s="33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5"/>
      <c r="AS3094" s="35"/>
      <c r="AT3094" s="35"/>
      <c r="AU3094" s="31"/>
      <c r="AV3094" s="36"/>
    </row>
    <row r="3095" spans="4:48">
      <c r="D3095" s="31"/>
      <c r="E3095" s="31"/>
      <c r="F3095" s="31"/>
      <c r="G3095" s="31"/>
      <c r="H3095" s="32"/>
      <c r="J3095" s="33"/>
      <c r="K3095" s="33"/>
      <c r="L3095" s="33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5"/>
      <c r="AS3095" s="35"/>
      <c r="AT3095" s="35"/>
      <c r="AU3095" s="31"/>
      <c r="AV3095" s="36"/>
    </row>
    <row r="3096" spans="4:48">
      <c r="D3096" s="31"/>
      <c r="E3096" s="31"/>
      <c r="F3096" s="31"/>
      <c r="G3096" s="31"/>
      <c r="H3096" s="32"/>
      <c r="J3096" s="33"/>
      <c r="K3096" s="33"/>
      <c r="L3096" s="33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5"/>
      <c r="AS3096" s="35"/>
      <c r="AT3096" s="35"/>
      <c r="AU3096" s="31"/>
      <c r="AV3096" s="36"/>
    </row>
    <row r="3097" spans="4:48">
      <c r="D3097" s="31"/>
      <c r="E3097" s="31"/>
      <c r="F3097" s="31"/>
      <c r="G3097" s="31"/>
      <c r="H3097" s="32"/>
      <c r="J3097" s="33"/>
      <c r="K3097" s="33"/>
      <c r="L3097" s="33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5"/>
      <c r="AS3097" s="35"/>
      <c r="AT3097" s="35"/>
      <c r="AU3097" s="31"/>
      <c r="AV3097" s="36"/>
    </row>
    <row r="3098" spans="4:48">
      <c r="D3098" s="31"/>
      <c r="E3098" s="31"/>
      <c r="F3098" s="31"/>
      <c r="G3098" s="31"/>
      <c r="H3098" s="32"/>
      <c r="J3098" s="33"/>
      <c r="K3098" s="33"/>
      <c r="L3098" s="33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5"/>
      <c r="AS3098" s="35"/>
      <c r="AT3098" s="35"/>
      <c r="AU3098" s="31"/>
      <c r="AV3098" s="36"/>
    </row>
    <row r="3099" spans="4:48">
      <c r="D3099" s="31"/>
      <c r="E3099" s="31"/>
      <c r="F3099" s="31"/>
      <c r="G3099" s="31"/>
      <c r="H3099" s="32"/>
      <c r="J3099" s="33"/>
      <c r="K3099" s="33"/>
      <c r="L3099" s="33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5"/>
      <c r="AS3099" s="35"/>
      <c r="AT3099" s="35"/>
      <c r="AU3099" s="31"/>
      <c r="AV3099" s="36"/>
    </row>
    <row r="3100" spans="4:48">
      <c r="D3100" s="31"/>
      <c r="E3100" s="31"/>
      <c r="F3100" s="31"/>
      <c r="G3100" s="31"/>
      <c r="H3100" s="32"/>
      <c r="J3100" s="33"/>
      <c r="K3100" s="33"/>
      <c r="L3100" s="33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5"/>
      <c r="AS3100" s="35"/>
      <c r="AT3100" s="35"/>
      <c r="AU3100" s="31"/>
      <c r="AV3100" s="36"/>
    </row>
    <row r="3101" spans="4:48">
      <c r="D3101" s="31"/>
      <c r="E3101" s="31"/>
      <c r="F3101" s="31"/>
      <c r="G3101" s="31"/>
      <c r="H3101" s="32"/>
      <c r="J3101" s="33"/>
      <c r="K3101" s="33"/>
      <c r="L3101" s="33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5"/>
      <c r="AS3101" s="35"/>
      <c r="AT3101" s="35"/>
      <c r="AU3101" s="31"/>
      <c r="AV3101" s="36"/>
    </row>
    <row r="3102" spans="4:48">
      <c r="D3102" s="31"/>
      <c r="E3102" s="31"/>
      <c r="F3102" s="31"/>
      <c r="G3102" s="31"/>
      <c r="H3102" s="32"/>
      <c r="J3102" s="33"/>
      <c r="K3102" s="33"/>
      <c r="L3102" s="33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5"/>
      <c r="AS3102" s="35"/>
      <c r="AT3102" s="35"/>
      <c r="AU3102" s="31"/>
      <c r="AV3102" s="36"/>
    </row>
    <row r="3103" spans="4:48">
      <c r="D3103" s="31"/>
      <c r="E3103" s="31"/>
      <c r="F3103" s="31"/>
      <c r="G3103" s="31"/>
      <c r="H3103" s="32"/>
      <c r="J3103" s="33"/>
      <c r="K3103" s="33"/>
      <c r="L3103" s="33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5"/>
      <c r="AS3103" s="35"/>
      <c r="AT3103" s="35"/>
      <c r="AU3103" s="31"/>
      <c r="AV3103" s="36"/>
    </row>
    <row r="3104" spans="4:48">
      <c r="D3104" s="31"/>
      <c r="E3104" s="31"/>
      <c r="F3104" s="31"/>
      <c r="G3104" s="31"/>
      <c r="H3104" s="32"/>
      <c r="J3104" s="33"/>
      <c r="K3104" s="33"/>
      <c r="L3104" s="33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5"/>
      <c r="AS3104" s="35"/>
      <c r="AT3104" s="35"/>
      <c r="AU3104" s="31"/>
      <c r="AV3104" s="36"/>
    </row>
    <row r="3105" spans="4:48">
      <c r="D3105" s="31"/>
      <c r="E3105" s="31"/>
      <c r="F3105" s="31"/>
      <c r="G3105" s="31"/>
      <c r="H3105" s="32"/>
      <c r="J3105" s="33"/>
      <c r="K3105" s="33"/>
      <c r="L3105" s="33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5"/>
      <c r="AS3105" s="35"/>
      <c r="AT3105" s="35"/>
      <c r="AU3105" s="31"/>
      <c r="AV3105" s="36"/>
    </row>
    <row r="3106" spans="4:48">
      <c r="D3106" s="31"/>
      <c r="E3106" s="31"/>
      <c r="F3106" s="31"/>
      <c r="G3106" s="31"/>
      <c r="H3106" s="32"/>
      <c r="J3106" s="33"/>
      <c r="K3106" s="33"/>
      <c r="L3106" s="33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5"/>
      <c r="AS3106" s="35"/>
      <c r="AT3106" s="35"/>
      <c r="AU3106" s="31"/>
      <c r="AV3106" s="36"/>
    </row>
    <row r="3107" spans="4:48">
      <c r="D3107" s="31"/>
      <c r="E3107" s="31"/>
      <c r="F3107" s="31"/>
      <c r="G3107" s="31"/>
      <c r="H3107" s="32"/>
      <c r="J3107" s="33"/>
      <c r="K3107" s="33"/>
      <c r="L3107" s="33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5"/>
      <c r="AS3107" s="35"/>
      <c r="AT3107" s="35"/>
      <c r="AU3107" s="31"/>
      <c r="AV3107" s="36"/>
    </row>
    <row r="3108" spans="4:48">
      <c r="D3108" s="31"/>
      <c r="E3108" s="31"/>
      <c r="F3108" s="31"/>
      <c r="G3108" s="31"/>
      <c r="H3108" s="32"/>
      <c r="J3108" s="33"/>
      <c r="K3108" s="33"/>
      <c r="L3108" s="33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5"/>
      <c r="AS3108" s="35"/>
      <c r="AT3108" s="35"/>
      <c r="AU3108" s="31"/>
      <c r="AV3108" s="36"/>
    </row>
    <row r="3109" spans="4:48">
      <c r="D3109" s="31"/>
      <c r="E3109" s="31"/>
      <c r="F3109" s="31"/>
      <c r="G3109" s="31"/>
      <c r="H3109" s="32"/>
      <c r="J3109" s="33"/>
      <c r="K3109" s="33"/>
      <c r="L3109" s="33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5"/>
      <c r="AS3109" s="35"/>
      <c r="AT3109" s="35"/>
      <c r="AU3109" s="31"/>
      <c r="AV3109" s="36"/>
    </row>
    <row r="3110" spans="4:48">
      <c r="D3110" s="31"/>
      <c r="E3110" s="31"/>
      <c r="F3110" s="31"/>
      <c r="G3110" s="31"/>
      <c r="H3110" s="32"/>
      <c r="J3110" s="33"/>
      <c r="K3110" s="33"/>
      <c r="L3110" s="33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5"/>
      <c r="AS3110" s="35"/>
      <c r="AT3110" s="35"/>
      <c r="AU3110" s="31"/>
      <c r="AV3110" s="36"/>
    </row>
    <row r="3111" spans="4:48">
      <c r="D3111" s="31"/>
      <c r="E3111" s="31"/>
      <c r="F3111" s="31"/>
      <c r="G3111" s="31"/>
      <c r="H3111" s="32"/>
      <c r="J3111" s="33"/>
      <c r="K3111" s="33"/>
      <c r="L3111" s="33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5"/>
      <c r="AS3111" s="35"/>
      <c r="AT3111" s="35"/>
      <c r="AU3111" s="31"/>
      <c r="AV3111" s="36"/>
    </row>
    <row r="3112" spans="4:48">
      <c r="D3112" s="31"/>
      <c r="E3112" s="31"/>
      <c r="F3112" s="31"/>
      <c r="G3112" s="31"/>
      <c r="H3112" s="32"/>
      <c r="J3112" s="33"/>
      <c r="K3112" s="33"/>
      <c r="L3112" s="33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5"/>
      <c r="AS3112" s="35"/>
      <c r="AT3112" s="35"/>
      <c r="AU3112" s="31"/>
      <c r="AV3112" s="36"/>
    </row>
    <row r="3113" spans="4:48">
      <c r="D3113" s="31"/>
      <c r="E3113" s="31"/>
      <c r="F3113" s="31"/>
      <c r="G3113" s="31"/>
      <c r="H3113" s="32"/>
      <c r="J3113" s="33"/>
      <c r="K3113" s="33"/>
      <c r="L3113" s="33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5"/>
      <c r="AS3113" s="35"/>
      <c r="AT3113" s="35"/>
      <c r="AU3113" s="31"/>
      <c r="AV3113" s="36"/>
    </row>
    <row r="3114" spans="4:48">
      <c r="D3114" s="31"/>
      <c r="E3114" s="31"/>
      <c r="F3114" s="31"/>
      <c r="G3114" s="31"/>
      <c r="H3114" s="32"/>
      <c r="J3114" s="33"/>
      <c r="K3114" s="33"/>
      <c r="L3114" s="33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5"/>
      <c r="AS3114" s="35"/>
      <c r="AT3114" s="35"/>
      <c r="AU3114" s="31"/>
      <c r="AV3114" s="36"/>
    </row>
    <row r="3115" spans="4:48">
      <c r="D3115" s="31"/>
      <c r="E3115" s="31"/>
      <c r="F3115" s="31"/>
      <c r="G3115" s="31"/>
      <c r="H3115" s="32"/>
      <c r="J3115" s="33"/>
      <c r="K3115" s="33"/>
      <c r="L3115" s="33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5"/>
      <c r="AS3115" s="35"/>
      <c r="AT3115" s="35"/>
      <c r="AU3115" s="31"/>
      <c r="AV3115" s="36"/>
    </row>
    <row r="3116" spans="4:48">
      <c r="D3116" s="31"/>
      <c r="E3116" s="31"/>
      <c r="F3116" s="31"/>
      <c r="G3116" s="31"/>
      <c r="H3116" s="32"/>
      <c r="J3116" s="33"/>
      <c r="K3116" s="33"/>
      <c r="L3116" s="33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5"/>
      <c r="AS3116" s="35"/>
      <c r="AT3116" s="35"/>
      <c r="AU3116" s="31"/>
      <c r="AV3116" s="36"/>
    </row>
    <row r="3117" spans="4:48">
      <c r="D3117" s="31"/>
      <c r="E3117" s="31"/>
      <c r="F3117" s="31"/>
      <c r="G3117" s="31"/>
      <c r="H3117" s="32"/>
      <c r="J3117" s="33"/>
      <c r="K3117" s="33"/>
      <c r="L3117" s="33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5"/>
      <c r="AS3117" s="35"/>
      <c r="AT3117" s="35"/>
      <c r="AU3117" s="31"/>
      <c r="AV3117" s="36"/>
    </row>
    <row r="3118" spans="4:48">
      <c r="D3118" s="31"/>
      <c r="E3118" s="31"/>
      <c r="F3118" s="31"/>
      <c r="G3118" s="31"/>
      <c r="H3118" s="32"/>
      <c r="J3118" s="33"/>
      <c r="K3118" s="33"/>
      <c r="L3118" s="33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5"/>
      <c r="AS3118" s="35"/>
      <c r="AT3118" s="35"/>
      <c r="AU3118" s="31"/>
      <c r="AV3118" s="36"/>
    </row>
    <row r="3119" spans="4:48">
      <c r="D3119" s="31"/>
      <c r="E3119" s="31"/>
      <c r="F3119" s="31"/>
      <c r="G3119" s="31"/>
      <c r="H3119" s="32"/>
      <c r="J3119" s="33"/>
      <c r="K3119" s="33"/>
      <c r="L3119" s="33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5"/>
      <c r="AS3119" s="35"/>
      <c r="AT3119" s="35"/>
      <c r="AU3119" s="31"/>
      <c r="AV3119" s="36"/>
    </row>
    <row r="3120" spans="4:48">
      <c r="D3120" s="31"/>
      <c r="E3120" s="31"/>
      <c r="F3120" s="31"/>
      <c r="G3120" s="31"/>
      <c r="H3120" s="32"/>
      <c r="J3120" s="33"/>
      <c r="K3120" s="33"/>
      <c r="L3120" s="33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5"/>
      <c r="AS3120" s="35"/>
      <c r="AT3120" s="35"/>
      <c r="AU3120" s="31"/>
      <c r="AV3120" s="36"/>
    </row>
    <row r="3121" spans="4:48">
      <c r="D3121" s="31"/>
      <c r="E3121" s="31"/>
      <c r="F3121" s="31"/>
      <c r="G3121" s="31"/>
      <c r="H3121" s="32"/>
      <c r="J3121" s="33"/>
      <c r="K3121" s="33"/>
      <c r="L3121" s="33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5"/>
      <c r="AS3121" s="35"/>
      <c r="AT3121" s="35"/>
      <c r="AU3121" s="31"/>
      <c r="AV3121" s="36"/>
    </row>
    <row r="3122" spans="4:48">
      <c r="D3122" s="31"/>
      <c r="E3122" s="31"/>
      <c r="F3122" s="31"/>
      <c r="G3122" s="31"/>
      <c r="H3122" s="32"/>
      <c r="J3122" s="33"/>
      <c r="K3122" s="33"/>
      <c r="L3122" s="33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5"/>
      <c r="AS3122" s="35"/>
      <c r="AT3122" s="35"/>
      <c r="AU3122" s="31"/>
      <c r="AV3122" s="36"/>
    </row>
    <row r="3123" spans="4:48">
      <c r="D3123" s="31"/>
      <c r="E3123" s="31"/>
      <c r="F3123" s="31"/>
      <c r="G3123" s="31"/>
      <c r="H3123" s="32"/>
      <c r="J3123" s="33"/>
      <c r="K3123" s="33"/>
      <c r="L3123" s="33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5"/>
      <c r="AS3123" s="35"/>
      <c r="AT3123" s="35"/>
      <c r="AU3123" s="31"/>
      <c r="AV3123" s="36"/>
    </row>
    <row r="3124" spans="4:48">
      <c r="D3124" s="31"/>
      <c r="E3124" s="31"/>
      <c r="F3124" s="31"/>
      <c r="G3124" s="31"/>
      <c r="H3124" s="32"/>
      <c r="J3124" s="33"/>
      <c r="K3124" s="33"/>
      <c r="L3124" s="33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5"/>
      <c r="AS3124" s="35"/>
      <c r="AT3124" s="35"/>
      <c r="AU3124" s="31"/>
      <c r="AV3124" s="36"/>
    </row>
    <row r="3125" spans="4:48">
      <c r="D3125" s="31"/>
      <c r="E3125" s="31"/>
      <c r="F3125" s="31"/>
      <c r="G3125" s="31"/>
      <c r="H3125" s="32"/>
      <c r="J3125" s="33"/>
      <c r="K3125" s="33"/>
      <c r="L3125" s="33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5"/>
      <c r="AS3125" s="35"/>
      <c r="AT3125" s="35"/>
      <c r="AU3125" s="31"/>
      <c r="AV3125" s="36"/>
    </row>
    <row r="3126" spans="4:48">
      <c r="D3126" s="31"/>
      <c r="E3126" s="31"/>
      <c r="F3126" s="31"/>
      <c r="G3126" s="31"/>
      <c r="H3126" s="32"/>
      <c r="J3126" s="33"/>
      <c r="K3126" s="33"/>
      <c r="L3126" s="33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5"/>
      <c r="AS3126" s="35"/>
      <c r="AT3126" s="35"/>
      <c r="AU3126" s="31"/>
      <c r="AV3126" s="36"/>
    </row>
    <row r="3127" spans="4:48">
      <c r="D3127" s="31"/>
      <c r="E3127" s="31"/>
      <c r="F3127" s="31"/>
      <c r="G3127" s="31"/>
      <c r="H3127" s="32"/>
      <c r="J3127" s="33"/>
      <c r="K3127" s="33"/>
      <c r="L3127" s="33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5"/>
      <c r="AS3127" s="35"/>
      <c r="AT3127" s="35"/>
      <c r="AU3127" s="31"/>
      <c r="AV3127" s="36"/>
    </row>
    <row r="3128" spans="4:48">
      <c r="D3128" s="31"/>
      <c r="E3128" s="31"/>
      <c r="F3128" s="31"/>
      <c r="G3128" s="31"/>
      <c r="H3128" s="32"/>
      <c r="J3128" s="33"/>
      <c r="K3128" s="33"/>
      <c r="L3128" s="33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5"/>
      <c r="AS3128" s="35"/>
      <c r="AT3128" s="35"/>
      <c r="AU3128" s="31"/>
      <c r="AV3128" s="36"/>
    </row>
    <row r="3129" spans="4:48">
      <c r="D3129" s="31"/>
      <c r="E3129" s="31"/>
      <c r="F3129" s="31"/>
      <c r="G3129" s="31"/>
      <c r="H3129" s="32"/>
      <c r="J3129" s="33"/>
      <c r="K3129" s="33"/>
      <c r="L3129" s="33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5"/>
      <c r="AS3129" s="35"/>
      <c r="AT3129" s="35"/>
      <c r="AU3129" s="31"/>
      <c r="AV3129" s="36"/>
    </row>
    <row r="3130" spans="4:48">
      <c r="D3130" s="31"/>
      <c r="E3130" s="31"/>
      <c r="F3130" s="31"/>
      <c r="G3130" s="31"/>
      <c r="H3130" s="32"/>
      <c r="J3130" s="33"/>
      <c r="K3130" s="33"/>
      <c r="L3130" s="33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5"/>
      <c r="AS3130" s="35"/>
      <c r="AT3130" s="35"/>
      <c r="AU3130" s="31"/>
      <c r="AV3130" s="36"/>
    </row>
    <row r="3131" spans="4:48">
      <c r="D3131" s="31"/>
      <c r="E3131" s="31"/>
      <c r="F3131" s="31"/>
      <c r="G3131" s="31"/>
      <c r="H3131" s="32"/>
      <c r="J3131" s="33"/>
      <c r="K3131" s="33"/>
      <c r="L3131" s="33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5"/>
      <c r="AS3131" s="35"/>
      <c r="AT3131" s="35"/>
      <c r="AU3131" s="31"/>
      <c r="AV3131" s="36"/>
    </row>
    <row r="3132" spans="4:48">
      <c r="D3132" s="31"/>
      <c r="E3132" s="31"/>
      <c r="F3132" s="31"/>
      <c r="G3132" s="31"/>
      <c r="H3132" s="32"/>
      <c r="J3132" s="33"/>
      <c r="K3132" s="33"/>
      <c r="L3132" s="33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5"/>
      <c r="AS3132" s="35"/>
      <c r="AT3132" s="35"/>
      <c r="AU3132" s="31"/>
      <c r="AV3132" s="36"/>
    </row>
    <row r="3133" spans="4:48">
      <c r="D3133" s="31"/>
      <c r="E3133" s="31"/>
      <c r="F3133" s="31"/>
      <c r="G3133" s="31"/>
      <c r="H3133" s="32"/>
      <c r="J3133" s="33"/>
      <c r="K3133" s="33"/>
      <c r="L3133" s="33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5"/>
      <c r="AS3133" s="35"/>
      <c r="AT3133" s="35"/>
      <c r="AU3133" s="31"/>
      <c r="AV3133" s="36"/>
    </row>
    <row r="3134" spans="4:48">
      <c r="D3134" s="31"/>
      <c r="E3134" s="31"/>
      <c r="F3134" s="31"/>
      <c r="G3134" s="31"/>
      <c r="H3134" s="32"/>
      <c r="J3134" s="33"/>
      <c r="K3134" s="33"/>
      <c r="L3134" s="33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5"/>
      <c r="AS3134" s="35"/>
      <c r="AT3134" s="35"/>
      <c r="AU3134" s="31"/>
      <c r="AV3134" s="36"/>
    </row>
    <row r="3135" spans="4:48">
      <c r="D3135" s="31"/>
      <c r="E3135" s="31"/>
      <c r="F3135" s="31"/>
      <c r="G3135" s="31"/>
      <c r="H3135" s="32"/>
      <c r="J3135" s="33"/>
      <c r="K3135" s="33"/>
      <c r="L3135" s="33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5"/>
      <c r="AS3135" s="35"/>
      <c r="AT3135" s="35"/>
      <c r="AU3135" s="31"/>
      <c r="AV3135" s="36"/>
    </row>
    <row r="3136" spans="4:48">
      <c r="D3136" s="31"/>
      <c r="E3136" s="31"/>
      <c r="F3136" s="31"/>
      <c r="G3136" s="31"/>
      <c r="H3136" s="32"/>
      <c r="J3136" s="33"/>
      <c r="K3136" s="33"/>
      <c r="L3136" s="33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5"/>
      <c r="AS3136" s="35"/>
      <c r="AT3136" s="35"/>
      <c r="AU3136" s="31"/>
      <c r="AV3136" s="36"/>
    </row>
    <row r="3137" spans="4:48">
      <c r="D3137" s="31"/>
      <c r="E3137" s="31"/>
      <c r="F3137" s="31"/>
      <c r="G3137" s="31"/>
      <c r="H3137" s="32"/>
      <c r="J3137" s="33"/>
      <c r="K3137" s="33"/>
      <c r="L3137" s="33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5"/>
      <c r="AS3137" s="35"/>
      <c r="AT3137" s="35"/>
      <c r="AU3137" s="31"/>
      <c r="AV3137" s="36"/>
    </row>
    <row r="3138" spans="4:48">
      <c r="D3138" s="31"/>
      <c r="E3138" s="31"/>
      <c r="F3138" s="31"/>
      <c r="G3138" s="31"/>
      <c r="H3138" s="32"/>
      <c r="J3138" s="33"/>
      <c r="K3138" s="33"/>
      <c r="L3138" s="33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5"/>
      <c r="AS3138" s="35"/>
      <c r="AT3138" s="35"/>
      <c r="AU3138" s="31"/>
      <c r="AV3138" s="36"/>
    </row>
    <row r="3139" spans="4:48"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4:48"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4:48"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4:48"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4:48"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4:48"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4:48"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4:48"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4:48"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4:48"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4:48"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4:48"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4:48"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4:48"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4:48"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4:48"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4:48"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4:48"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4:48"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4:48"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4:48"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4:48"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4:48"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4:48"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4:48"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4:48"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4:48"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4:48"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4:48"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4:48"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4:48"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4:48"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4:48"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4:48"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4:48"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4:48"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4:48"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4:48"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4:48"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4:48"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2172" operator="lessThan">
      <formula>20</formula>
    </cfRule>
    <cfRule type="cellIs" dxfId="1" priority="32171" operator="greaterThan">
      <formula>120</formula>
    </cfRule>
    <cfRule type="containsText" dxfId="2" priority="32170" operator="between" text="库存为">
      <formula>NOT(ISERROR(SEARCH("库存为",AU2)))</formula>
    </cfRule>
  </conditionalFormatting>
  <conditionalFormatting sqref="AU6">
    <cfRule type="cellIs" dxfId="0" priority="1881" operator="lessThan">
      <formula>20</formula>
    </cfRule>
    <cfRule type="cellIs" dxfId="1" priority="1254" operator="greaterThan">
      <formula>120</formula>
    </cfRule>
    <cfRule type="containsText" dxfId="2" priority="627" operator="between" text="库存为">
      <formula>NOT(ISERROR(SEARCH("库存为",AU6)))</formula>
    </cfRule>
  </conditionalFormatting>
  <conditionalFormatting sqref="AU7">
    <cfRule type="cellIs" dxfId="0" priority="1880" operator="lessThan">
      <formula>20</formula>
    </cfRule>
    <cfRule type="cellIs" dxfId="1" priority="1253" operator="greaterThan">
      <formula>120</formula>
    </cfRule>
    <cfRule type="containsText" dxfId="2" priority="626" operator="between" text="库存为">
      <formula>NOT(ISERROR(SEARCH("库存为",AU7)))</formula>
    </cfRule>
  </conditionalFormatting>
  <conditionalFormatting sqref="AU8">
    <cfRule type="cellIs" dxfId="0" priority="1879" operator="lessThan">
      <formula>20</formula>
    </cfRule>
    <cfRule type="cellIs" dxfId="1" priority="1252" operator="greaterThan">
      <formula>120</formula>
    </cfRule>
    <cfRule type="containsText" dxfId="2" priority="625" operator="between" text="库存为">
      <formula>NOT(ISERROR(SEARCH("库存为",AU8)))</formula>
    </cfRule>
  </conditionalFormatting>
  <conditionalFormatting sqref="AU9">
    <cfRule type="cellIs" dxfId="0" priority="1878" operator="lessThan">
      <formula>20</formula>
    </cfRule>
    <cfRule type="cellIs" dxfId="1" priority="1251" operator="greaterThan">
      <formula>120</formula>
    </cfRule>
    <cfRule type="containsText" dxfId="2" priority="624" operator="between" text="库存为">
      <formula>NOT(ISERROR(SEARCH("库存为",AU9)))</formula>
    </cfRule>
  </conditionalFormatting>
  <conditionalFormatting sqref="AU10">
    <cfRule type="cellIs" dxfId="0" priority="1877" operator="lessThan">
      <formula>20</formula>
    </cfRule>
    <cfRule type="cellIs" dxfId="1" priority="1250" operator="greaterThan">
      <formula>120</formula>
    </cfRule>
    <cfRule type="containsText" dxfId="2" priority="623" operator="between" text="库存为">
      <formula>NOT(ISERROR(SEARCH("库存为",AU10)))</formula>
    </cfRule>
  </conditionalFormatting>
  <conditionalFormatting sqref="AU11">
    <cfRule type="cellIs" dxfId="0" priority="1876" operator="lessThan">
      <formula>20</formula>
    </cfRule>
    <cfRule type="cellIs" dxfId="1" priority="1249" operator="greaterThan">
      <formula>120</formula>
    </cfRule>
    <cfRule type="containsText" dxfId="2" priority="622" operator="between" text="库存为">
      <formula>NOT(ISERROR(SEARCH("库存为",AU11)))</formula>
    </cfRule>
  </conditionalFormatting>
  <conditionalFormatting sqref="AU12">
    <cfRule type="cellIs" dxfId="0" priority="1875" operator="lessThan">
      <formula>20</formula>
    </cfRule>
    <cfRule type="cellIs" dxfId="1" priority="1248" operator="greaterThan">
      <formula>120</formula>
    </cfRule>
    <cfRule type="containsText" dxfId="2" priority="621" operator="between" text="库存为">
      <formula>NOT(ISERROR(SEARCH("库存为",AU12)))</formula>
    </cfRule>
  </conditionalFormatting>
  <conditionalFormatting sqref="AU13">
    <cfRule type="cellIs" dxfId="0" priority="1874" operator="lessThan">
      <formula>20</formula>
    </cfRule>
    <cfRule type="cellIs" dxfId="1" priority="1247" operator="greaterThan">
      <formula>120</formula>
    </cfRule>
    <cfRule type="containsText" dxfId="2" priority="620" operator="between" text="库存为">
      <formula>NOT(ISERROR(SEARCH("库存为",AU13)))</formula>
    </cfRule>
  </conditionalFormatting>
  <conditionalFormatting sqref="AU14">
    <cfRule type="cellIs" dxfId="0" priority="1873" operator="lessThan">
      <formula>20</formula>
    </cfRule>
    <cfRule type="cellIs" dxfId="1" priority="1246" operator="greaterThan">
      <formula>120</formula>
    </cfRule>
    <cfRule type="containsText" dxfId="2" priority="619" operator="between" text="库存为">
      <formula>NOT(ISERROR(SEARCH("库存为",AU14)))</formula>
    </cfRule>
  </conditionalFormatting>
  <conditionalFormatting sqref="AU15">
    <cfRule type="cellIs" dxfId="0" priority="1872" operator="lessThan">
      <formula>20</formula>
    </cfRule>
    <cfRule type="cellIs" dxfId="1" priority="1245" operator="greaterThan">
      <formula>120</formula>
    </cfRule>
    <cfRule type="containsText" dxfId="2" priority="618" operator="between" text="库存为">
      <formula>NOT(ISERROR(SEARCH("库存为",AU15)))</formula>
    </cfRule>
  </conditionalFormatting>
  <conditionalFormatting sqref="AU16">
    <cfRule type="cellIs" dxfId="0" priority="1871" operator="lessThan">
      <formula>20</formula>
    </cfRule>
    <cfRule type="cellIs" dxfId="1" priority="1244" operator="greaterThan">
      <formula>120</formula>
    </cfRule>
    <cfRule type="containsText" dxfId="2" priority="617" operator="between" text="库存为">
      <formula>NOT(ISERROR(SEARCH("库存为",AU16)))</formula>
    </cfRule>
  </conditionalFormatting>
  <conditionalFormatting sqref="AU17">
    <cfRule type="cellIs" dxfId="0" priority="1870" operator="lessThan">
      <formula>20</formula>
    </cfRule>
    <cfRule type="cellIs" dxfId="1" priority="1243" operator="greaterThan">
      <formula>120</formula>
    </cfRule>
    <cfRule type="containsText" dxfId="2" priority="616" operator="between" text="库存为">
      <formula>NOT(ISERROR(SEARCH("库存为",AU17)))</formula>
    </cfRule>
  </conditionalFormatting>
  <conditionalFormatting sqref="AU18">
    <cfRule type="cellIs" dxfId="0" priority="1869" operator="lessThan">
      <formula>20</formula>
    </cfRule>
    <cfRule type="cellIs" dxfId="1" priority="1242" operator="greaterThan">
      <formula>120</formula>
    </cfRule>
    <cfRule type="containsText" dxfId="2" priority="615" operator="between" text="库存为">
      <formula>NOT(ISERROR(SEARCH("库存为",AU18)))</formula>
    </cfRule>
  </conditionalFormatting>
  <conditionalFormatting sqref="AU19">
    <cfRule type="cellIs" dxfId="0" priority="1868" operator="lessThan">
      <formula>20</formula>
    </cfRule>
    <cfRule type="cellIs" dxfId="1" priority="1241" operator="greaterThan">
      <formula>120</formula>
    </cfRule>
    <cfRule type="containsText" dxfId="2" priority="614" operator="between" text="库存为">
      <formula>NOT(ISERROR(SEARCH("库存为",AU19)))</formula>
    </cfRule>
  </conditionalFormatting>
  <conditionalFormatting sqref="AU20">
    <cfRule type="cellIs" dxfId="0" priority="1867" operator="lessThan">
      <formula>20</formula>
    </cfRule>
    <cfRule type="cellIs" dxfId="1" priority="1240" operator="greaterThan">
      <formula>120</formula>
    </cfRule>
    <cfRule type="containsText" dxfId="2" priority="613" operator="between" text="库存为">
      <formula>NOT(ISERROR(SEARCH("库存为",AU20)))</formula>
    </cfRule>
  </conditionalFormatting>
  <conditionalFormatting sqref="AU21">
    <cfRule type="cellIs" dxfId="0" priority="1866" operator="lessThan">
      <formula>20</formula>
    </cfRule>
    <cfRule type="cellIs" dxfId="1" priority="1239" operator="greaterThan">
      <formula>120</formula>
    </cfRule>
    <cfRule type="containsText" dxfId="2" priority="612" operator="between" text="库存为">
      <formula>NOT(ISERROR(SEARCH("库存为",AU21)))</formula>
    </cfRule>
  </conditionalFormatting>
  <conditionalFormatting sqref="AU22">
    <cfRule type="cellIs" dxfId="0" priority="1865" operator="lessThan">
      <formula>20</formula>
    </cfRule>
    <cfRule type="cellIs" dxfId="1" priority="1238" operator="greaterThan">
      <formula>120</formula>
    </cfRule>
    <cfRule type="containsText" dxfId="2" priority="611" operator="between" text="库存为">
      <formula>NOT(ISERROR(SEARCH("库存为",AU22)))</formula>
    </cfRule>
  </conditionalFormatting>
  <conditionalFormatting sqref="AU23">
    <cfRule type="cellIs" dxfId="0" priority="1864" operator="lessThan">
      <formula>20</formula>
    </cfRule>
    <cfRule type="cellIs" dxfId="1" priority="1237" operator="greaterThan">
      <formula>120</formula>
    </cfRule>
    <cfRule type="containsText" dxfId="2" priority="610" operator="between" text="库存为">
      <formula>NOT(ISERROR(SEARCH("库存为",AU23)))</formula>
    </cfRule>
  </conditionalFormatting>
  <conditionalFormatting sqref="AU24">
    <cfRule type="cellIs" dxfId="0" priority="1863" operator="lessThan">
      <formula>20</formula>
    </cfRule>
    <cfRule type="cellIs" dxfId="1" priority="1236" operator="greaterThan">
      <formula>120</formula>
    </cfRule>
    <cfRule type="containsText" dxfId="2" priority="609" operator="between" text="库存为">
      <formula>NOT(ISERROR(SEARCH("库存为",AU24)))</formula>
    </cfRule>
  </conditionalFormatting>
  <conditionalFormatting sqref="AU25">
    <cfRule type="cellIs" dxfId="0" priority="1862" operator="lessThan">
      <formula>20</formula>
    </cfRule>
    <cfRule type="cellIs" dxfId="1" priority="1235" operator="greaterThan">
      <formula>120</formula>
    </cfRule>
    <cfRule type="containsText" dxfId="2" priority="608" operator="between" text="库存为">
      <formula>NOT(ISERROR(SEARCH("库存为",AU25)))</formula>
    </cfRule>
  </conditionalFormatting>
  <conditionalFormatting sqref="AU26">
    <cfRule type="cellIs" dxfId="0" priority="1861" operator="lessThan">
      <formula>20</formula>
    </cfRule>
    <cfRule type="cellIs" dxfId="1" priority="1234" operator="greaterThan">
      <formula>120</formula>
    </cfRule>
    <cfRule type="containsText" dxfId="2" priority="607" operator="between" text="库存为">
      <formula>NOT(ISERROR(SEARCH("库存为",AU26)))</formula>
    </cfRule>
  </conditionalFormatting>
  <conditionalFormatting sqref="AU27">
    <cfRule type="cellIs" dxfId="0" priority="1860" operator="lessThan">
      <formula>20</formula>
    </cfRule>
    <cfRule type="cellIs" dxfId="1" priority="1233" operator="greaterThan">
      <formula>120</formula>
    </cfRule>
    <cfRule type="containsText" dxfId="2" priority="606" operator="between" text="库存为">
      <formula>NOT(ISERROR(SEARCH("库存为",AU27)))</formula>
    </cfRule>
  </conditionalFormatting>
  <conditionalFormatting sqref="AU28">
    <cfRule type="cellIs" dxfId="0" priority="1859" operator="lessThan">
      <formula>20</formula>
    </cfRule>
    <cfRule type="cellIs" dxfId="1" priority="1232" operator="greaterThan">
      <formula>120</formula>
    </cfRule>
    <cfRule type="containsText" dxfId="2" priority="605" operator="between" text="库存为">
      <formula>NOT(ISERROR(SEARCH("库存为",AU28)))</formula>
    </cfRule>
  </conditionalFormatting>
  <conditionalFormatting sqref="AU29">
    <cfRule type="cellIs" dxfId="0" priority="1858" operator="lessThan">
      <formula>20</formula>
    </cfRule>
    <cfRule type="cellIs" dxfId="1" priority="1231" operator="greaterThan">
      <formula>120</formula>
    </cfRule>
    <cfRule type="containsText" dxfId="2" priority="604" operator="between" text="库存为">
      <formula>NOT(ISERROR(SEARCH("库存为",AU29)))</formula>
    </cfRule>
  </conditionalFormatting>
  <conditionalFormatting sqref="AU30">
    <cfRule type="cellIs" dxfId="0" priority="1857" operator="lessThan">
      <formula>20</formula>
    </cfRule>
    <cfRule type="cellIs" dxfId="1" priority="1230" operator="greaterThan">
      <formula>120</formula>
    </cfRule>
    <cfRule type="containsText" dxfId="2" priority="603" operator="between" text="库存为">
      <formula>NOT(ISERROR(SEARCH("库存为",AU30)))</formula>
    </cfRule>
  </conditionalFormatting>
  <conditionalFormatting sqref="AU31">
    <cfRule type="cellIs" dxfId="0" priority="1856" operator="lessThan">
      <formula>20</formula>
    </cfRule>
    <cfRule type="cellIs" dxfId="1" priority="1229" operator="greaterThan">
      <formula>120</formula>
    </cfRule>
    <cfRule type="containsText" dxfId="2" priority="602" operator="between" text="库存为">
      <formula>NOT(ISERROR(SEARCH("库存为",AU31)))</formula>
    </cfRule>
  </conditionalFormatting>
  <conditionalFormatting sqref="AU32">
    <cfRule type="cellIs" dxfId="0" priority="1855" operator="lessThan">
      <formula>20</formula>
    </cfRule>
    <cfRule type="cellIs" dxfId="1" priority="1228" operator="greaterThan">
      <formula>120</formula>
    </cfRule>
    <cfRule type="containsText" dxfId="2" priority="601" operator="between" text="库存为">
      <formula>NOT(ISERROR(SEARCH("库存为",AU32)))</formula>
    </cfRule>
  </conditionalFormatting>
  <conditionalFormatting sqref="AU33">
    <cfRule type="cellIs" dxfId="0" priority="1854" operator="lessThan">
      <formula>20</formula>
    </cfRule>
    <cfRule type="cellIs" dxfId="1" priority="1227" operator="greaterThan">
      <formula>120</formula>
    </cfRule>
    <cfRule type="containsText" dxfId="2" priority="600" operator="between" text="库存为">
      <formula>NOT(ISERROR(SEARCH("库存为",AU33)))</formula>
    </cfRule>
  </conditionalFormatting>
  <conditionalFormatting sqref="AU34">
    <cfRule type="cellIs" dxfId="0" priority="1853" operator="lessThan">
      <formula>20</formula>
    </cfRule>
    <cfRule type="cellIs" dxfId="1" priority="1226" operator="greaterThan">
      <formula>120</formula>
    </cfRule>
    <cfRule type="containsText" dxfId="2" priority="599" operator="between" text="库存为">
      <formula>NOT(ISERROR(SEARCH("库存为",AU34)))</formula>
    </cfRule>
  </conditionalFormatting>
  <conditionalFormatting sqref="AU35">
    <cfRule type="cellIs" dxfId="0" priority="1852" operator="lessThan">
      <formula>20</formula>
    </cfRule>
    <cfRule type="cellIs" dxfId="1" priority="1225" operator="greaterThan">
      <formula>120</formula>
    </cfRule>
    <cfRule type="containsText" dxfId="2" priority="598" operator="between" text="库存为">
      <formula>NOT(ISERROR(SEARCH("库存为",AU35)))</formula>
    </cfRule>
  </conditionalFormatting>
  <conditionalFormatting sqref="AU36">
    <cfRule type="cellIs" dxfId="0" priority="1851" operator="lessThan">
      <formula>20</formula>
    </cfRule>
    <cfRule type="cellIs" dxfId="1" priority="1224" operator="greaterThan">
      <formula>120</formula>
    </cfRule>
    <cfRule type="containsText" dxfId="2" priority="597" operator="between" text="库存为">
      <formula>NOT(ISERROR(SEARCH("库存为",AU36)))</formula>
    </cfRule>
  </conditionalFormatting>
  <conditionalFormatting sqref="AU37">
    <cfRule type="cellIs" dxfId="0" priority="1850" operator="lessThan">
      <formula>20</formula>
    </cfRule>
    <cfRule type="cellIs" dxfId="1" priority="1223" operator="greaterThan">
      <formula>120</formula>
    </cfRule>
    <cfRule type="containsText" dxfId="2" priority="596" operator="between" text="库存为">
      <formula>NOT(ISERROR(SEARCH("库存为",AU37)))</formula>
    </cfRule>
  </conditionalFormatting>
  <conditionalFormatting sqref="AU38">
    <cfRule type="cellIs" dxfId="0" priority="1849" operator="lessThan">
      <formula>20</formula>
    </cfRule>
    <cfRule type="cellIs" dxfId="1" priority="1222" operator="greaterThan">
      <formula>120</formula>
    </cfRule>
    <cfRule type="containsText" dxfId="2" priority="595" operator="between" text="库存为">
      <formula>NOT(ISERROR(SEARCH("库存为",AU38)))</formula>
    </cfRule>
  </conditionalFormatting>
  <conditionalFormatting sqref="AU39">
    <cfRule type="cellIs" dxfId="0" priority="1848" operator="lessThan">
      <formula>20</formula>
    </cfRule>
    <cfRule type="cellIs" dxfId="1" priority="1221" operator="greaterThan">
      <formula>120</formula>
    </cfRule>
    <cfRule type="containsText" dxfId="2" priority="594" operator="between" text="库存为">
      <formula>NOT(ISERROR(SEARCH("库存为",AU39)))</formula>
    </cfRule>
  </conditionalFormatting>
  <conditionalFormatting sqref="AU40">
    <cfRule type="cellIs" dxfId="0" priority="1847" operator="lessThan">
      <formula>20</formula>
    </cfRule>
    <cfRule type="cellIs" dxfId="1" priority="1220" operator="greaterThan">
      <formula>120</formula>
    </cfRule>
    <cfRule type="containsText" dxfId="2" priority="593" operator="between" text="库存为">
      <formula>NOT(ISERROR(SEARCH("库存为",AU40)))</formula>
    </cfRule>
  </conditionalFormatting>
  <conditionalFormatting sqref="AU41">
    <cfRule type="cellIs" dxfId="0" priority="1846" operator="lessThan">
      <formula>20</formula>
    </cfRule>
    <cfRule type="cellIs" dxfId="1" priority="1219" operator="greaterThan">
      <formula>120</formula>
    </cfRule>
    <cfRule type="containsText" dxfId="2" priority="592" operator="between" text="库存为">
      <formula>NOT(ISERROR(SEARCH("库存为",AU41)))</formula>
    </cfRule>
  </conditionalFormatting>
  <conditionalFormatting sqref="AU42">
    <cfRule type="cellIs" dxfId="0" priority="1845" operator="lessThan">
      <formula>20</formula>
    </cfRule>
    <cfRule type="cellIs" dxfId="1" priority="1218" operator="greaterThan">
      <formula>120</formula>
    </cfRule>
    <cfRule type="containsText" dxfId="2" priority="591" operator="between" text="库存为">
      <formula>NOT(ISERROR(SEARCH("库存为",AU42)))</formula>
    </cfRule>
  </conditionalFormatting>
  <conditionalFormatting sqref="AU43">
    <cfRule type="cellIs" dxfId="0" priority="1844" operator="lessThan">
      <formula>20</formula>
    </cfRule>
    <cfRule type="cellIs" dxfId="1" priority="1217" operator="greaterThan">
      <formula>120</formula>
    </cfRule>
    <cfRule type="containsText" dxfId="2" priority="590" operator="between" text="库存为">
      <formula>NOT(ISERROR(SEARCH("库存为",AU43)))</formula>
    </cfRule>
  </conditionalFormatting>
  <conditionalFormatting sqref="AU44">
    <cfRule type="cellIs" dxfId="0" priority="1843" operator="lessThan">
      <formula>20</formula>
    </cfRule>
    <cfRule type="cellIs" dxfId="1" priority="1216" operator="greaterThan">
      <formula>120</formula>
    </cfRule>
    <cfRule type="containsText" dxfId="2" priority="589" operator="between" text="库存为">
      <formula>NOT(ISERROR(SEARCH("库存为",AU44)))</formula>
    </cfRule>
  </conditionalFormatting>
  <conditionalFormatting sqref="AU45">
    <cfRule type="cellIs" dxfId="0" priority="1842" operator="lessThan">
      <formula>20</formula>
    </cfRule>
    <cfRule type="cellIs" dxfId="1" priority="1215" operator="greaterThan">
      <formula>120</formula>
    </cfRule>
    <cfRule type="containsText" dxfId="2" priority="588" operator="between" text="库存为">
      <formula>NOT(ISERROR(SEARCH("库存为",AU45)))</formula>
    </cfRule>
  </conditionalFormatting>
  <conditionalFormatting sqref="AU46">
    <cfRule type="cellIs" dxfId="0" priority="1841" operator="lessThan">
      <formula>20</formula>
    </cfRule>
    <cfRule type="cellIs" dxfId="1" priority="1214" operator="greaterThan">
      <formula>120</formula>
    </cfRule>
    <cfRule type="containsText" dxfId="2" priority="587" operator="between" text="库存为">
      <formula>NOT(ISERROR(SEARCH("库存为",AU46)))</formula>
    </cfRule>
  </conditionalFormatting>
  <conditionalFormatting sqref="AU47">
    <cfRule type="cellIs" dxfId="0" priority="1840" operator="lessThan">
      <formula>20</formula>
    </cfRule>
    <cfRule type="cellIs" dxfId="1" priority="1213" operator="greaterThan">
      <formula>120</formula>
    </cfRule>
    <cfRule type="containsText" dxfId="2" priority="586" operator="between" text="库存为">
      <formula>NOT(ISERROR(SEARCH("库存为",AU47)))</formula>
    </cfRule>
  </conditionalFormatting>
  <conditionalFormatting sqref="AU48">
    <cfRule type="cellIs" dxfId="0" priority="1839" operator="lessThan">
      <formula>20</formula>
    </cfRule>
    <cfRule type="cellIs" dxfId="1" priority="1212" operator="greaterThan">
      <formula>120</formula>
    </cfRule>
    <cfRule type="containsText" dxfId="2" priority="585" operator="between" text="库存为">
      <formula>NOT(ISERROR(SEARCH("库存为",AU48)))</formula>
    </cfRule>
  </conditionalFormatting>
  <conditionalFormatting sqref="AU49">
    <cfRule type="cellIs" dxfId="0" priority="1838" operator="lessThan">
      <formula>20</formula>
    </cfRule>
    <cfRule type="cellIs" dxfId="1" priority="1211" operator="greaterThan">
      <formula>120</formula>
    </cfRule>
    <cfRule type="containsText" dxfId="2" priority="584" operator="between" text="库存为">
      <formula>NOT(ISERROR(SEARCH("库存为",AU49)))</formula>
    </cfRule>
  </conditionalFormatting>
  <conditionalFormatting sqref="AU50">
    <cfRule type="cellIs" dxfId="0" priority="1837" operator="lessThan">
      <formula>20</formula>
    </cfRule>
    <cfRule type="cellIs" dxfId="1" priority="1210" operator="greaterThan">
      <formula>120</formula>
    </cfRule>
    <cfRule type="containsText" dxfId="2" priority="583" operator="between" text="库存为">
      <formula>NOT(ISERROR(SEARCH("库存为",AU50)))</formula>
    </cfRule>
  </conditionalFormatting>
  <conditionalFormatting sqref="AU51">
    <cfRule type="cellIs" dxfId="0" priority="1836" operator="lessThan">
      <formula>20</formula>
    </cfRule>
    <cfRule type="cellIs" dxfId="1" priority="1209" operator="greaterThan">
      <formula>120</formula>
    </cfRule>
    <cfRule type="containsText" dxfId="2" priority="582" operator="between" text="库存为">
      <formula>NOT(ISERROR(SEARCH("库存为",AU51)))</formula>
    </cfRule>
  </conditionalFormatting>
  <conditionalFormatting sqref="AU52">
    <cfRule type="cellIs" dxfId="0" priority="1835" operator="lessThan">
      <formula>20</formula>
    </cfRule>
    <cfRule type="cellIs" dxfId="1" priority="1208" operator="greaterThan">
      <formula>120</formula>
    </cfRule>
    <cfRule type="containsText" dxfId="2" priority="581" operator="between" text="库存为">
      <formula>NOT(ISERROR(SEARCH("库存为",AU52)))</formula>
    </cfRule>
  </conditionalFormatting>
  <conditionalFormatting sqref="AU53">
    <cfRule type="cellIs" dxfId="0" priority="1834" operator="lessThan">
      <formula>20</formula>
    </cfRule>
    <cfRule type="cellIs" dxfId="1" priority="1207" operator="greaterThan">
      <formula>120</formula>
    </cfRule>
    <cfRule type="containsText" dxfId="2" priority="580" operator="between" text="库存为">
      <formula>NOT(ISERROR(SEARCH("库存为",AU53)))</formula>
    </cfRule>
  </conditionalFormatting>
  <conditionalFormatting sqref="AU54">
    <cfRule type="cellIs" dxfId="0" priority="1833" operator="lessThan">
      <formula>20</formula>
    </cfRule>
    <cfRule type="cellIs" dxfId="1" priority="1206" operator="greaterThan">
      <formula>120</formula>
    </cfRule>
    <cfRule type="containsText" dxfId="2" priority="579" operator="between" text="库存为">
      <formula>NOT(ISERROR(SEARCH("库存为",AU54)))</formula>
    </cfRule>
  </conditionalFormatting>
  <conditionalFormatting sqref="AU55">
    <cfRule type="cellIs" dxfId="0" priority="1832" operator="lessThan">
      <formula>20</formula>
    </cfRule>
    <cfRule type="cellIs" dxfId="1" priority="1205" operator="greaterThan">
      <formula>120</formula>
    </cfRule>
    <cfRule type="containsText" dxfId="2" priority="578" operator="between" text="库存为">
      <formula>NOT(ISERROR(SEARCH("库存为",AU55)))</formula>
    </cfRule>
  </conditionalFormatting>
  <conditionalFormatting sqref="AU56">
    <cfRule type="cellIs" dxfId="0" priority="1831" operator="lessThan">
      <formula>20</formula>
    </cfRule>
    <cfRule type="cellIs" dxfId="1" priority="1204" operator="greaterThan">
      <formula>120</formula>
    </cfRule>
    <cfRule type="containsText" dxfId="2" priority="577" operator="between" text="库存为">
      <formula>NOT(ISERROR(SEARCH("库存为",AU56)))</formula>
    </cfRule>
  </conditionalFormatting>
  <conditionalFormatting sqref="AU57">
    <cfRule type="cellIs" dxfId="0" priority="1830" operator="lessThan">
      <formula>20</formula>
    </cfRule>
    <cfRule type="cellIs" dxfId="1" priority="1203" operator="greaterThan">
      <formula>120</formula>
    </cfRule>
    <cfRule type="containsText" dxfId="2" priority="576" operator="between" text="库存为">
      <formula>NOT(ISERROR(SEARCH("库存为",AU57)))</formula>
    </cfRule>
  </conditionalFormatting>
  <conditionalFormatting sqref="AU58">
    <cfRule type="cellIs" dxfId="0" priority="1829" operator="lessThan">
      <formula>20</formula>
    </cfRule>
    <cfRule type="cellIs" dxfId="1" priority="1202" operator="greaterThan">
      <formula>120</formula>
    </cfRule>
    <cfRule type="containsText" dxfId="2" priority="575" operator="between" text="库存为">
      <formula>NOT(ISERROR(SEARCH("库存为",AU58)))</formula>
    </cfRule>
  </conditionalFormatting>
  <conditionalFormatting sqref="AU59">
    <cfRule type="cellIs" dxfId="0" priority="1828" operator="lessThan">
      <formula>20</formula>
    </cfRule>
    <cfRule type="cellIs" dxfId="1" priority="1201" operator="greaterThan">
      <formula>120</formula>
    </cfRule>
    <cfRule type="containsText" dxfId="2" priority="574" operator="between" text="库存为">
      <formula>NOT(ISERROR(SEARCH("库存为",AU59)))</formula>
    </cfRule>
  </conditionalFormatting>
  <conditionalFormatting sqref="AU60">
    <cfRule type="cellIs" dxfId="0" priority="1827" operator="lessThan">
      <formula>20</formula>
    </cfRule>
    <cfRule type="cellIs" dxfId="1" priority="1200" operator="greaterThan">
      <formula>120</formula>
    </cfRule>
    <cfRule type="containsText" dxfId="2" priority="573" operator="between" text="库存为">
      <formula>NOT(ISERROR(SEARCH("库存为",AU60)))</formula>
    </cfRule>
  </conditionalFormatting>
  <conditionalFormatting sqref="AU61">
    <cfRule type="cellIs" dxfId="0" priority="1826" operator="lessThan">
      <formula>20</formula>
    </cfRule>
    <cfRule type="cellIs" dxfId="1" priority="1199" operator="greaterThan">
      <formula>120</formula>
    </cfRule>
    <cfRule type="containsText" dxfId="2" priority="572" operator="between" text="库存为">
      <formula>NOT(ISERROR(SEARCH("库存为",AU61)))</formula>
    </cfRule>
  </conditionalFormatting>
  <conditionalFormatting sqref="AU62">
    <cfRule type="cellIs" dxfId="0" priority="1825" operator="lessThan">
      <formula>20</formula>
    </cfRule>
    <cfRule type="cellIs" dxfId="1" priority="1198" operator="greaterThan">
      <formula>120</formula>
    </cfRule>
    <cfRule type="containsText" dxfId="2" priority="571" operator="between" text="库存为">
      <formula>NOT(ISERROR(SEARCH("库存为",AU62)))</formula>
    </cfRule>
  </conditionalFormatting>
  <conditionalFormatting sqref="AU63">
    <cfRule type="cellIs" dxfId="0" priority="1824" operator="lessThan">
      <formula>20</formula>
    </cfRule>
    <cfRule type="cellIs" dxfId="1" priority="1197" operator="greaterThan">
      <formula>120</formula>
    </cfRule>
    <cfRule type="containsText" dxfId="2" priority="570" operator="between" text="库存为">
      <formula>NOT(ISERROR(SEARCH("库存为",AU63)))</formula>
    </cfRule>
  </conditionalFormatting>
  <conditionalFormatting sqref="AU64">
    <cfRule type="cellIs" dxfId="0" priority="1823" operator="lessThan">
      <formula>20</formula>
    </cfRule>
    <cfRule type="cellIs" dxfId="1" priority="1196" operator="greaterThan">
      <formula>120</formula>
    </cfRule>
    <cfRule type="containsText" dxfId="2" priority="569" operator="between" text="库存为">
      <formula>NOT(ISERROR(SEARCH("库存为",AU64)))</formula>
    </cfRule>
  </conditionalFormatting>
  <conditionalFormatting sqref="AU65">
    <cfRule type="cellIs" dxfId="0" priority="1822" operator="lessThan">
      <formula>20</formula>
    </cfRule>
    <cfRule type="cellIs" dxfId="1" priority="1195" operator="greaterThan">
      <formula>120</formula>
    </cfRule>
    <cfRule type="containsText" dxfId="2" priority="568" operator="between" text="库存为">
      <formula>NOT(ISERROR(SEARCH("库存为",AU65)))</formula>
    </cfRule>
  </conditionalFormatting>
  <conditionalFormatting sqref="AU66">
    <cfRule type="cellIs" dxfId="0" priority="1821" operator="lessThan">
      <formula>20</formula>
    </cfRule>
    <cfRule type="cellIs" dxfId="1" priority="1194" operator="greaterThan">
      <formula>120</formula>
    </cfRule>
    <cfRule type="containsText" dxfId="2" priority="567" operator="between" text="库存为">
      <formula>NOT(ISERROR(SEARCH("库存为",AU66)))</formula>
    </cfRule>
  </conditionalFormatting>
  <conditionalFormatting sqref="AU67">
    <cfRule type="cellIs" dxfId="0" priority="1820" operator="lessThan">
      <formula>20</formula>
    </cfRule>
    <cfRule type="cellIs" dxfId="1" priority="1193" operator="greaterThan">
      <formula>120</formula>
    </cfRule>
    <cfRule type="containsText" dxfId="2" priority="566" operator="between" text="库存为">
      <formula>NOT(ISERROR(SEARCH("库存为",AU67)))</formula>
    </cfRule>
  </conditionalFormatting>
  <conditionalFormatting sqref="AU68">
    <cfRule type="cellIs" dxfId="0" priority="1819" operator="lessThan">
      <formula>20</formula>
    </cfRule>
    <cfRule type="cellIs" dxfId="1" priority="1192" operator="greaterThan">
      <formula>120</formula>
    </cfRule>
    <cfRule type="containsText" dxfId="2" priority="565" operator="between" text="库存为">
      <formula>NOT(ISERROR(SEARCH("库存为",AU68)))</formula>
    </cfRule>
  </conditionalFormatting>
  <conditionalFormatting sqref="AU69">
    <cfRule type="cellIs" dxfId="0" priority="1818" operator="lessThan">
      <formula>20</formula>
    </cfRule>
    <cfRule type="cellIs" dxfId="1" priority="1191" operator="greaterThan">
      <formula>120</formula>
    </cfRule>
    <cfRule type="containsText" dxfId="2" priority="564" operator="between" text="库存为">
      <formula>NOT(ISERROR(SEARCH("库存为",AU69)))</formula>
    </cfRule>
  </conditionalFormatting>
  <conditionalFormatting sqref="AU70">
    <cfRule type="cellIs" dxfId="0" priority="1817" operator="lessThan">
      <formula>20</formula>
    </cfRule>
    <cfRule type="cellIs" dxfId="1" priority="1190" operator="greaterThan">
      <formula>120</formula>
    </cfRule>
    <cfRule type="containsText" dxfId="2" priority="563" operator="between" text="库存为">
      <formula>NOT(ISERROR(SEARCH("库存为",AU70)))</formula>
    </cfRule>
  </conditionalFormatting>
  <conditionalFormatting sqref="AU71">
    <cfRule type="cellIs" dxfId="0" priority="1816" operator="lessThan">
      <formula>20</formula>
    </cfRule>
    <cfRule type="cellIs" dxfId="1" priority="1189" operator="greaterThan">
      <formula>120</formula>
    </cfRule>
    <cfRule type="containsText" dxfId="2" priority="562" operator="between" text="库存为">
      <formula>NOT(ISERROR(SEARCH("库存为",AU71)))</formula>
    </cfRule>
  </conditionalFormatting>
  <conditionalFormatting sqref="AU72">
    <cfRule type="cellIs" dxfId="0" priority="1815" operator="lessThan">
      <formula>20</formula>
    </cfRule>
    <cfRule type="cellIs" dxfId="1" priority="1188" operator="greaterThan">
      <formula>120</formula>
    </cfRule>
    <cfRule type="containsText" dxfId="2" priority="561" operator="between" text="库存为">
      <formula>NOT(ISERROR(SEARCH("库存为",AU72)))</formula>
    </cfRule>
  </conditionalFormatting>
  <conditionalFormatting sqref="AU73">
    <cfRule type="cellIs" dxfId="0" priority="1814" operator="lessThan">
      <formula>20</formula>
    </cfRule>
    <cfRule type="cellIs" dxfId="1" priority="1187" operator="greaterThan">
      <formula>120</formula>
    </cfRule>
    <cfRule type="containsText" dxfId="2" priority="560" operator="between" text="库存为">
      <formula>NOT(ISERROR(SEARCH("库存为",AU73)))</formula>
    </cfRule>
  </conditionalFormatting>
  <conditionalFormatting sqref="AU74">
    <cfRule type="cellIs" dxfId="0" priority="1813" operator="lessThan">
      <formula>20</formula>
    </cfRule>
    <cfRule type="cellIs" dxfId="1" priority="1186" operator="greaterThan">
      <formula>120</formula>
    </cfRule>
    <cfRule type="containsText" dxfId="2" priority="559" operator="between" text="库存为">
      <formula>NOT(ISERROR(SEARCH("库存为",AU74)))</formula>
    </cfRule>
  </conditionalFormatting>
  <conditionalFormatting sqref="AU75">
    <cfRule type="cellIs" dxfId="0" priority="1812" operator="lessThan">
      <formula>20</formula>
    </cfRule>
    <cfRule type="cellIs" dxfId="1" priority="1185" operator="greaterThan">
      <formula>120</formula>
    </cfRule>
    <cfRule type="containsText" dxfId="2" priority="558" operator="between" text="库存为">
      <formula>NOT(ISERROR(SEARCH("库存为",AU75)))</formula>
    </cfRule>
  </conditionalFormatting>
  <conditionalFormatting sqref="AU76">
    <cfRule type="cellIs" dxfId="0" priority="1811" operator="lessThan">
      <formula>20</formula>
    </cfRule>
    <cfRule type="cellIs" dxfId="1" priority="1184" operator="greaterThan">
      <formula>120</formula>
    </cfRule>
    <cfRule type="containsText" dxfId="2" priority="557" operator="between" text="库存为">
      <formula>NOT(ISERROR(SEARCH("库存为",AU76)))</formula>
    </cfRule>
  </conditionalFormatting>
  <conditionalFormatting sqref="AU77">
    <cfRule type="cellIs" dxfId="0" priority="1810" operator="lessThan">
      <formula>20</formula>
    </cfRule>
    <cfRule type="cellIs" dxfId="1" priority="1183" operator="greaterThan">
      <formula>120</formula>
    </cfRule>
    <cfRule type="containsText" dxfId="2" priority="556" operator="between" text="库存为">
      <formula>NOT(ISERROR(SEARCH("库存为",AU77)))</formula>
    </cfRule>
  </conditionalFormatting>
  <conditionalFormatting sqref="AU78">
    <cfRule type="cellIs" dxfId="0" priority="1809" operator="lessThan">
      <formula>20</formula>
    </cfRule>
    <cfRule type="cellIs" dxfId="1" priority="1182" operator="greaterThan">
      <formula>120</formula>
    </cfRule>
    <cfRule type="containsText" dxfId="2" priority="555" operator="between" text="库存为">
      <formula>NOT(ISERROR(SEARCH("库存为",AU78)))</formula>
    </cfRule>
  </conditionalFormatting>
  <conditionalFormatting sqref="AU79">
    <cfRule type="cellIs" dxfId="0" priority="1808" operator="lessThan">
      <formula>20</formula>
    </cfRule>
    <cfRule type="cellIs" dxfId="1" priority="1181" operator="greaterThan">
      <formula>120</formula>
    </cfRule>
    <cfRule type="containsText" dxfId="2" priority="554" operator="between" text="库存为">
      <formula>NOT(ISERROR(SEARCH("库存为",AU79)))</formula>
    </cfRule>
  </conditionalFormatting>
  <conditionalFormatting sqref="AU80">
    <cfRule type="cellIs" dxfId="0" priority="1807" operator="lessThan">
      <formula>20</formula>
    </cfRule>
    <cfRule type="cellIs" dxfId="1" priority="1180" operator="greaterThan">
      <formula>120</formula>
    </cfRule>
    <cfRule type="containsText" dxfId="2" priority="553" operator="between" text="库存为">
      <formula>NOT(ISERROR(SEARCH("库存为",AU80)))</formula>
    </cfRule>
  </conditionalFormatting>
  <conditionalFormatting sqref="AU81">
    <cfRule type="cellIs" dxfId="0" priority="1806" operator="lessThan">
      <formula>20</formula>
    </cfRule>
    <cfRule type="cellIs" dxfId="1" priority="1179" operator="greaterThan">
      <formula>120</formula>
    </cfRule>
    <cfRule type="containsText" dxfId="2" priority="552" operator="between" text="库存为">
      <formula>NOT(ISERROR(SEARCH("库存为",AU81)))</formula>
    </cfRule>
  </conditionalFormatting>
  <conditionalFormatting sqref="AU82">
    <cfRule type="cellIs" dxfId="0" priority="1805" operator="lessThan">
      <formula>20</formula>
    </cfRule>
    <cfRule type="cellIs" dxfId="1" priority="1178" operator="greaterThan">
      <formula>120</formula>
    </cfRule>
    <cfRule type="containsText" dxfId="2" priority="551" operator="between" text="库存为">
      <formula>NOT(ISERROR(SEARCH("库存为",AU82)))</formula>
    </cfRule>
  </conditionalFormatting>
  <conditionalFormatting sqref="AU83">
    <cfRule type="cellIs" dxfId="0" priority="1804" operator="lessThan">
      <formula>20</formula>
    </cfRule>
    <cfRule type="cellIs" dxfId="1" priority="1177" operator="greaterThan">
      <formula>120</formula>
    </cfRule>
    <cfRule type="containsText" dxfId="2" priority="550" operator="between" text="库存为">
      <formula>NOT(ISERROR(SEARCH("库存为",AU83)))</formula>
    </cfRule>
  </conditionalFormatting>
  <conditionalFormatting sqref="AU84">
    <cfRule type="cellIs" dxfId="0" priority="1803" operator="lessThan">
      <formula>20</formula>
    </cfRule>
    <cfRule type="cellIs" dxfId="1" priority="1176" operator="greaterThan">
      <formula>120</formula>
    </cfRule>
    <cfRule type="containsText" dxfId="2" priority="549" operator="between" text="库存为">
      <formula>NOT(ISERROR(SEARCH("库存为",AU84)))</formula>
    </cfRule>
  </conditionalFormatting>
  <conditionalFormatting sqref="AU85">
    <cfRule type="cellIs" dxfId="0" priority="1802" operator="lessThan">
      <formula>20</formula>
    </cfRule>
    <cfRule type="cellIs" dxfId="1" priority="1175" operator="greaterThan">
      <formula>120</formula>
    </cfRule>
    <cfRule type="containsText" dxfId="2" priority="548" operator="between" text="库存为">
      <formula>NOT(ISERROR(SEARCH("库存为",AU85)))</formula>
    </cfRule>
  </conditionalFormatting>
  <conditionalFormatting sqref="AU86">
    <cfRule type="cellIs" dxfId="0" priority="1801" operator="lessThan">
      <formula>20</formula>
    </cfRule>
    <cfRule type="cellIs" dxfId="1" priority="1174" operator="greaterThan">
      <formula>120</formula>
    </cfRule>
    <cfRule type="containsText" dxfId="2" priority="547" operator="between" text="库存为">
      <formula>NOT(ISERROR(SEARCH("库存为",AU86)))</formula>
    </cfRule>
  </conditionalFormatting>
  <conditionalFormatting sqref="AU87">
    <cfRule type="cellIs" dxfId="0" priority="1800" operator="lessThan">
      <formula>20</formula>
    </cfRule>
    <cfRule type="cellIs" dxfId="1" priority="1173" operator="greaterThan">
      <formula>120</formula>
    </cfRule>
    <cfRule type="containsText" dxfId="2" priority="546" operator="between" text="库存为">
      <formula>NOT(ISERROR(SEARCH("库存为",AU87)))</formula>
    </cfRule>
  </conditionalFormatting>
  <conditionalFormatting sqref="AU88">
    <cfRule type="cellIs" dxfId="0" priority="1799" operator="lessThan">
      <formula>20</formula>
    </cfRule>
    <cfRule type="cellIs" dxfId="1" priority="1172" operator="greaterThan">
      <formula>120</formula>
    </cfRule>
    <cfRule type="containsText" dxfId="2" priority="545" operator="between" text="库存为">
      <formula>NOT(ISERROR(SEARCH("库存为",AU88)))</formula>
    </cfRule>
  </conditionalFormatting>
  <conditionalFormatting sqref="AU89">
    <cfRule type="cellIs" dxfId="0" priority="1798" operator="lessThan">
      <formula>20</formula>
    </cfRule>
    <cfRule type="cellIs" dxfId="1" priority="1171" operator="greaterThan">
      <formula>120</formula>
    </cfRule>
    <cfRule type="containsText" dxfId="2" priority="544" operator="between" text="库存为">
      <formula>NOT(ISERROR(SEARCH("库存为",AU89)))</formula>
    </cfRule>
  </conditionalFormatting>
  <conditionalFormatting sqref="AU90">
    <cfRule type="cellIs" dxfId="0" priority="1797" operator="lessThan">
      <formula>20</formula>
    </cfRule>
    <cfRule type="cellIs" dxfId="1" priority="1170" operator="greaterThan">
      <formula>120</formula>
    </cfRule>
    <cfRule type="containsText" dxfId="2" priority="543" operator="between" text="库存为">
      <formula>NOT(ISERROR(SEARCH("库存为",AU90)))</formula>
    </cfRule>
  </conditionalFormatting>
  <conditionalFormatting sqref="AU91">
    <cfRule type="cellIs" dxfId="0" priority="1796" operator="lessThan">
      <formula>20</formula>
    </cfRule>
    <cfRule type="cellIs" dxfId="1" priority="1169" operator="greaterThan">
      <formula>120</formula>
    </cfRule>
    <cfRule type="containsText" dxfId="2" priority="542" operator="between" text="库存为">
      <formula>NOT(ISERROR(SEARCH("库存为",AU91)))</formula>
    </cfRule>
  </conditionalFormatting>
  <conditionalFormatting sqref="AU92">
    <cfRule type="cellIs" dxfId="0" priority="1795" operator="lessThan">
      <formula>20</formula>
    </cfRule>
    <cfRule type="cellIs" dxfId="1" priority="1168" operator="greaterThan">
      <formula>120</formula>
    </cfRule>
    <cfRule type="containsText" dxfId="2" priority="541" operator="between" text="库存为">
      <formula>NOT(ISERROR(SEARCH("库存为",AU92)))</formula>
    </cfRule>
  </conditionalFormatting>
  <conditionalFormatting sqref="AU93">
    <cfRule type="cellIs" dxfId="0" priority="1794" operator="lessThan">
      <formula>20</formula>
    </cfRule>
    <cfRule type="cellIs" dxfId="1" priority="1167" operator="greaterThan">
      <formula>120</formula>
    </cfRule>
    <cfRule type="containsText" dxfId="2" priority="540" operator="between" text="库存为">
      <formula>NOT(ISERROR(SEARCH("库存为",AU93)))</formula>
    </cfRule>
  </conditionalFormatting>
  <conditionalFormatting sqref="AU94">
    <cfRule type="cellIs" dxfId="0" priority="1793" operator="lessThan">
      <formula>20</formula>
    </cfRule>
    <cfRule type="cellIs" dxfId="1" priority="1166" operator="greaterThan">
      <formula>120</formula>
    </cfRule>
    <cfRule type="containsText" dxfId="2" priority="539" operator="between" text="库存为">
      <formula>NOT(ISERROR(SEARCH("库存为",AU94)))</formula>
    </cfRule>
  </conditionalFormatting>
  <conditionalFormatting sqref="AU95">
    <cfRule type="cellIs" dxfId="0" priority="1792" operator="lessThan">
      <formula>20</formula>
    </cfRule>
    <cfRule type="cellIs" dxfId="1" priority="1165" operator="greaterThan">
      <formula>120</formula>
    </cfRule>
    <cfRule type="containsText" dxfId="2" priority="538" operator="between" text="库存为">
      <formula>NOT(ISERROR(SEARCH("库存为",AU95)))</formula>
    </cfRule>
  </conditionalFormatting>
  <conditionalFormatting sqref="AU96">
    <cfRule type="cellIs" dxfId="0" priority="1791" operator="lessThan">
      <formula>20</formula>
    </cfRule>
    <cfRule type="cellIs" dxfId="1" priority="1164" operator="greaterThan">
      <formula>120</formula>
    </cfRule>
    <cfRule type="containsText" dxfId="2" priority="537" operator="between" text="库存为">
      <formula>NOT(ISERROR(SEARCH("库存为",AU96)))</formula>
    </cfRule>
  </conditionalFormatting>
  <conditionalFormatting sqref="AU97">
    <cfRule type="cellIs" dxfId="0" priority="1790" operator="lessThan">
      <formula>20</formula>
    </cfRule>
    <cfRule type="cellIs" dxfId="1" priority="1163" operator="greaterThan">
      <formula>120</formula>
    </cfRule>
    <cfRule type="containsText" dxfId="2" priority="536" operator="between" text="库存为">
      <formula>NOT(ISERROR(SEARCH("库存为",AU97)))</formula>
    </cfRule>
  </conditionalFormatting>
  <conditionalFormatting sqref="AU98">
    <cfRule type="cellIs" dxfId="0" priority="1789" operator="lessThan">
      <formula>20</formula>
    </cfRule>
    <cfRule type="cellIs" dxfId="1" priority="1162" operator="greaterThan">
      <formula>120</formula>
    </cfRule>
    <cfRule type="containsText" dxfId="2" priority="535" operator="between" text="库存为">
      <formula>NOT(ISERROR(SEARCH("库存为",AU98)))</formula>
    </cfRule>
  </conditionalFormatting>
  <conditionalFormatting sqref="AU99">
    <cfRule type="cellIs" dxfId="0" priority="1788" operator="lessThan">
      <formula>20</formula>
    </cfRule>
    <cfRule type="cellIs" dxfId="1" priority="1161" operator="greaterThan">
      <formula>120</formula>
    </cfRule>
    <cfRule type="containsText" dxfId="2" priority="534" operator="between" text="库存为">
      <formula>NOT(ISERROR(SEARCH("库存为",AU99)))</formula>
    </cfRule>
  </conditionalFormatting>
  <conditionalFormatting sqref="AU100">
    <cfRule type="cellIs" dxfId="0" priority="1787" operator="lessThan">
      <formula>20</formula>
    </cfRule>
    <cfRule type="cellIs" dxfId="1" priority="1160" operator="greaterThan">
      <formula>120</formula>
    </cfRule>
    <cfRule type="containsText" dxfId="2" priority="533" operator="between" text="库存为">
      <formula>NOT(ISERROR(SEARCH("库存为",AU100)))</formula>
    </cfRule>
  </conditionalFormatting>
  <conditionalFormatting sqref="AU101">
    <cfRule type="cellIs" dxfId="0" priority="1786" operator="lessThan">
      <formula>20</formula>
    </cfRule>
    <cfRule type="cellIs" dxfId="1" priority="1159" operator="greaterThan">
      <formula>120</formula>
    </cfRule>
    <cfRule type="containsText" dxfId="2" priority="532" operator="between" text="库存为">
      <formula>NOT(ISERROR(SEARCH("库存为",AU101)))</formula>
    </cfRule>
  </conditionalFormatting>
  <conditionalFormatting sqref="AU102">
    <cfRule type="cellIs" dxfId="0" priority="1785" operator="lessThan">
      <formula>20</formula>
    </cfRule>
    <cfRule type="cellIs" dxfId="1" priority="1158" operator="greaterThan">
      <formula>120</formula>
    </cfRule>
    <cfRule type="containsText" dxfId="2" priority="531" operator="between" text="库存为">
      <formula>NOT(ISERROR(SEARCH("库存为",AU102)))</formula>
    </cfRule>
  </conditionalFormatting>
  <conditionalFormatting sqref="AU103">
    <cfRule type="cellIs" dxfId="0" priority="1784" operator="lessThan">
      <formula>20</formula>
    </cfRule>
    <cfRule type="cellIs" dxfId="1" priority="1157" operator="greaterThan">
      <formula>120</formula>
    </cfRule>
    <cfRule type="containsText" dxfId="2" priority="530" operator="between" text="库存为">
      <formula>NOT(ISERROR(SEARCH("库存为",AU103)))</formula>
    </cfRule>
  </conditionalFormatting>
  <conditionalFormatting sqref="AU104">
    <cfRule type="cellIs" dxfId="0" priority="1783" operator="lessThan">
      <formula>20</formula>
    </cfRule>
    <cfRule type="cellIs" dxfId="1" priority="1156" operator="greaterThan">
      <formula>120</formula>
    </cfRule>
    <cfRule type="containsText" dxfId="2" priority="529" operator="between" text="库存为">
      <formula>NOT(ISERROR(SEARCH("库存为",AU104)))</formula>
    </cfRule>
  </conditionalFormatting>
  <conditionalFormatting sqref="AU105">
    <cfRule type="cellIs" dxfId="0" priority="1782" operator="lessThan">
      <formula>20</formula>
    </cfRule>
    <cfRule type="cellIs" dxfId="1" priority="1155" operator="greaterThan">
      <formula>120</formula>
    </cfRule>
    <cfRule type="containsText" dxfId="2" priority="528" operator="between" text="库存为">
      <formula>NOT(ISERROR(SEARCH("库存为",AU105)))</formula>
    </cfRule>
  </conditionalFormatting>
  <conditionalFormatting sqref="AU106">
    <cfRule type="cellIs" dxfId="0" priority="1781" operator="lessThan">
      <formula>20</formula>
    </cfRule>
    <cfRule type="cellIs" dxfId="1" priority="1154" operator="greaterThan">
      <formula>120</formula>
    </cfRule>
    <cfRule type="containsText" dxfId="2" priority="527" operator="between" text="库存为">
      <formula>NOT(ISERROR(SEARCH("库存为",AU106)))</formula>
    </cfRule>
  </conditionalFormatting>
  <conditionalFormatting sqref="AU107">
    <cfRule type="cellIs" dxfId="0" priority="1780" operator="lessThan">
      <formula>20</formula>
    </cfRule>
    <cfRule type="cellIs" dxfId="1" priority="1153" operator="greaterThan">
      <formula>120</formula>
    </cfRule>
    <cfRule type="containsText" dxfId="2" priority="526" operator="between" text="库存为">
      <formula>NOT(ISERROR(SEARCH("库存为",AU107)))</formula>
    </cfRule>
  </conditionalFormatting>
  <conditionalFormatting sqref="AU108">
    <cfRule type="cellIs" dxfId="0" priority="1779" operator="lessThan">
      <formula>20</formula>
    </cfRule>
    <cfRule type="cellIs" dxfId="1" priority="1152" operator="greaterThan">
      <formula>120</formula>
    </cfRule>
    <cfRule type="containsText" dxfId="2" priority="525" operator="between" text="库存为">
      <formula>NOT(ISERROR(SEARCH("库存为",AU108)))</formula>
    </cfRule>
  </conditionalFormatting>
  <conditionalFormatting sqref="AU109">
    <cfRule type="cellIs" dxfId="0" priority="1778" operator="lessThan">
      <formula>20</formula>
    </cfRule>
    <cfRule type="cellIs" dxfId="1" priority="1151" operator="greaterThan">
      <formula>120</formula>
    </cfRule>
    <cfRule type="containsText" dxfId="2" priority="524" operator="between" text="库存为">
      <formula>NOT(ISERROR(SEARCH("库存为",AU109)))</formula>
    </cfRule>
  </conditionalFormatting>
  <conditionalFormatting sqref="AU110">
    <cfRule type="cellIs" dxfId="0" priority="1777" operator="lessThan">
      <formula>20</formula>
    </cfRule>
    <cfRule type="cellIs" dxfId="1" priority="1150" operator="greaterThan">
      <formula>120</formula>
    </cfRule>
    <cfRule type="containsText" dxfId="2" priority="523" operator="between" text="库存为">
      <formula>NOT(ISERROR(SEARCH("库存为",AU110)))</formula>
    </cfRule>
  </conditionalFormatting>
  <conditionalFormatting sqref="AU111">
    <cfRule type="cellIs" dxfId="0" priority="1776" operator="lessThan">
      <formula>20</formula>
    </cfRule>
    <cfRule type="cellIs" dxfId="1" priority="1149" operator="greaterThan">
      <formula>120</formula>
    </cfRule>
    <cfRule type="containsText" dxfId="2" priority="522" operator="between" text="库存为">
      <formula>NOT(ISERROR(SEARCH("库存为",AU111)))</formula>
    </cfRule>
  </conditionalFormatting>
  <conditionalFormatting sqref="AU112">
    <cfRule type="cellIs" dxfId="0" priority="1775" operator="lessThan">
      <formula>20</formula>
    </cfRule>
    <cfRule type="cellIs" dxfId="1" priority="1148" operator="greaterThan">
      <formula>120</formula>
    </cfRule>
    <cfRule type="containsText" dxfId="2" priority="521" operator="between" text="库存为">
      <formula>NOT(ISERROR(SEARCH("库存为",AU112)))</formula>
    </cfRule>
  </conditionalFormatting>
  <conditionalFormatting sqref="AU113">
    <cfRule type="cellIs" dxfId="0" priority="1774" operator="lessThan">
      <formula>20</formula>
    </cfRule>
    <cfRule type="cellIs" dxfId="1" priority="1147" operator="greaterThan">
      <formula>120</formula>
    </cfRule>
    <cfRule type="containsText" dxfId="2" priority="520" operator="between" text="库存为">
      <formula>NOT(ISERROR(SEARCH("库存为",AU113)))</formula>
    </cfRule>
  </conditionalFormatting>
  <conditionalFormatting sqref="AU114">
    <cfRule type="cellIs" dxfId="0" priority="1773" operator="lessThan">
      <formula>20</formula>
    </cfRule>
    <cfRule type="cellIs" dxfId="1" priority="1146" operator="greaterThan">
      <formula>120</formula>
    </cfRule>
    <cfRule type="containsText" dxfId="2" priority="519" operator="between" text="库存为">
      <formula>NOT(ISERROR(SEARCH("库存为",AU114)))</formula>
    </cfRule>
  </conditionalFormatting>
  <conditionalFormatting sqref="AU115">
    <cfRule type="cellIs" dxfId="0" priority="1772" operator="lessThan">
      <formula>20</formula>
    </cfRule>
    <cfRule type="cellIs" dxfId="1" priority="1145" operator="greaterThan">
      <formula>120</formula>
    </cfRule>
    <cfRule type="containsText" dxfId="2" priority="518" operator="between" text="库存为">
      <formula>NOT(ISERROR(SEARCH("库存为",AU115)))</formula>
    </cfRule>
  </conditionalFormatting>
  <conditionalFormatting sqref="AU116">
    <cfRule type="cellIs" dxfId="0" priority="1771" operator="lessThan">
      <formula>20</formula>
    </cfRule>
    <cfRule type="cellIs" dxfId="1" priority="1144" operator="greaterThan">
      <formula>120</formula>
    </cfRule>
    <cfRule type="containsText" dxfId="2" priority="517" operator="between" text="库存为">
      <formula>NOT(ISERROR(SEARCH("库存为",AU116)))</formula>
    </cfRule>
  </conditionalFormatting>
  <conditionalFormatting sqref="AU117">
    <cfRule type="cellIs" dxfId="0" priority="1770" operator="lessThan">
      <formula>20</formula>
    </cfRule>
    <cfRule type="cellIs" dxfId="1" priority="1143" operator="greaterThan">
      <formula>120</formula>
    </cfRule>
    <cfRule type="containsText" dxfId="2" priority="516" operator="between" text="库存为">
      <formula>NOT(ISERROR(SEARCH("库存为",AU117)))</formula>
    </cfRule>
  </conditionalFormatting>
  <conditionalFormatting sqref="AU118">
    <cfRule type="cellIs" dxfId="0" priority="1769" operator="lessThan">
      <formula>20</formula>
    </cfRule>
    <cfRule type="cellIs" dxfId="1" priority="1142" operator="greaterThan">
      <formula>120</formula>
    </cfRule>
    <cfRule type="containsText" dxfId="2" priority="515" operator="between" text="库存为">
      <formula>NOT(ISERROR(SEARCH("库存为",AU118)))</formula>
    </cfRule>
  </conditionalFormatting>
  <conditionalFormatting sqref="AU119">
    <cfRule type="cellIs" dxfId="0" priority="1768" operator="lessThan">
      <formula>20</formula>
    </cfRule>
    <cfRule type="cellIs" dxfId="1" priority="1141" operator="greaterThan">
      <formula>120</formula>
    </cfRule>
    <cfRule type="containsText" dxfId="2" priority="514" operator="between" text="库存为">
      <formula>NOT(ISERROR(SEARCH("库存为",AU119)))</formula>
    </cfRule>
  </conditionalFormatting>
  <conditionalFormatting sqref="AU120">
    <cfRule type="cellIs" dxfId="0" priority="1767" operator="lessThan">
      <formula>20</formula>
    </cfRule>
    <cfRule type="cellIs" dxfId="1" priority="1140" operator="greaterThan">
      <formula>120</formula>
    </cfRule>
    <cfRule type="containsText" dxfId="2" priority="513" operator="between" text="库存为">
      <formula>NOT(ISERROR(SEARCH("库存为",AU120)))</formula>
    </cfRule>
  </conditionalFormatting>
  <conditionalFormatting sqref="AU121">
    <cfRule type="cellIs" dxfId="0" priority="1766" operator="lessThan">
      <formula>20</formula>
    </cfRule>
    <cfRule type="cellIs" dxfId="1" priority="1139" operator="greaterThan">
      <formula>120</formula>
    </cfRule>
    <cfRule type="containsText" dxfId="2" priority="512" operator="between" text="库存为">
      <formula>NOT(ISERROR(SEARCH("库存为",AU121)))</formula>
    </cfRule>
  </conditionalFormatting>
  <conditionalFormatting sqref="AU122">
    <cfRule type="cellIs" dxfId="0" priority="1765" operator="lessThan">
      <formula>20</formula>
    </cfRule>
    <cfRule type="cellIs" dxfId="1" priority="1138" operator="greaterThan">
      <formula>120</formula>
    </cfRule>
    <cfRule type="containsText" dxfId="2" priority="511" operator="between" text="库存为">
      <formula>NOT(ISERROR(SEARCH("库存为",AU122)))</formula>
    </cfRule>
  </conditionalFormatting>
  <conditionalFormatting sqref="AU123">
    <cfRule type="cellIs" dxfId="0" priority="1764" operator="lessThan">
      <formula>20</formula>
    </cfRule>
    <cfRule type="cellIs" dxfId="1" priority="1137" operator="greaterThan">
      <formula>120</formula>
    </cfRule>
    <cfRule type="containsText" dxfId="2" priority="510" operator="between" text="库存为">
      <formula>NOT(ISERROR(SEARCH("库存为",AU123)))</formula>
    </cfRule>
  </conditionalFormatting>
  <conditionalFormatting sqref="AU124">
    <cfRule type="cellIs" dxfId="0" priority="1763" operator="lessThan">
      <formula>20</formula>
    </cfRule>
    <cfRule type="cellIs" dxfId="1" priority="1136" operator="greaterThan">
      <formula>120</formula>
    </cfRule>
    <cfRule type="containsText" dxfId="2" priority="509" operator="between" text="库存为">
      <formula>NOT(ISERROR(SEARCH("库存为",AU124)))</formula>
    </cfRule>
  </conditionalFormatting>
  <conditionalFormatting sqref="AU125">
    <cfRule type="cellIs" dxfId="0" priority="1762" operator="lessThan">
      <formula>20</formula>
    </cfRule>
    <cfRule type="cellIs" dxfId="1" priority="1135" operator="greaterThan">
      <formula>120</formula>
    </cfRule>
    <cfRule type="containsText" dxfId="2" priority="508" operator="between" text="库存为">
      <formula>NOT(ISERROR(SEARCH("库存为",AU125)))</formula>
    </cfRule>
  </conditionalFormatting>
  <conditionalFormatting sqref="AU126">
    <cfRule type="cellIs" dxfId="0" priority="1761" operator="lessThan">
      <formula>20</formula>
    </cfRule>
    <cfRule type="cellIs" dxfId="1" priority="1134" operator="greaterThan">
      <formula>120</formula>
    </cfRule>
    <cfRule type="containsText" dxfId="2" priority="507" operator="between" text="库存为">
      <formula>NOT(ISERROR(SEARCH("库存为",AU126)))</formula>
    </cfRule>
  </conditionalFormatting>
  <conditionalFormatting sqref="AU127">
    <cfRule type="cellIs" dxfId="0" priority="1760" operator="lessThan">
      <formula>20</formula>
    </cfRule>
    <cfRule type="cellIs" dxfId="1" priority="1133" operator="greaterThan">
      <formula>120</formula>
    </cfRule>
    <cfRule type="containsText" dxfId="2" priority="506" operator="between" text="库存为">
      <formula>NOT(ISERROR(SEARCH("库存为",AU127)))</formula>
    </cfRule>
  </conditionalFormatting>
  <conditionalFormatting sqref="AU128">
    <cfRule type="cellIs" dxfId="0" priority="1759" operator="lessThan">
      <formula>20</formula>
    </cfRule>
    <cfRule type="cellIs" dxfId="1" priority="1132" operator="greaterThan">
      <formula>120</formula>
    </cfRule>
    <cfRule type="containsText" dxfId="2" priority="505" operator="between" text="库存为">
      <formula>NOT(ISERROR(SEARCH("库存为",AU128)))</formula>
    </cfRule>
  </conditionalFormatting>
  <conditionalFormatting sqref="AU129">
    <cfRule type="cellIs" dxfId="0" priority="1758" operator="lessThan">
      <formula>20</formula>
    </cfRule>
    <cfRule type="cellIs" dxfId="1" priority="1131" operator="greaterThan">
      <formula>120</formula>
    </cfRule>
    <cfRule type="containsText" dxfId="2" priority="504" operator="between" text="库存为">
      <formula>NOT(ISERROR(SEARCH("库存为",AU129)))</formula>
    </cfRule>
  </conditionalFormatting>
  <conditionalFormatting sqref="AU130">
    <cfRule type="cellIs" dxfId="0" priority="1757" operator="lessThan">
      <formula>20</formula>
    </cfRule>
    <cfRule type="cellIs" dxfId="1" priority="1130" operator="greaterThan">
      <formula>120</formula>
    </cfRule>
    <cfRule type="containsText" dxfId="2" priority="503" operator="between" text="库存为">
      <formula>NOT(ISERROR(SEARCH("库存为",AU130)))</formula>
    </cfRule>
  </conditionalFormatting>
  <conditionalFormatting sqref="AU131">
    <cfRule type="cellIs" dxfId="0" priority="1756" operator="lessThan">
      <formula>20</formula>
    </cfRule>
    <cfRule type="cellIs" dxfId="1" priority="1129" operator="greaterThan">
      <formula>120</formula>
    </cfRule>
    <cfRule type="containsText" dxfId="2" priority="502" operator="between" text="库存为">
      <formula>NOT(ISERROR(SEARCH("库存为",AU131)))</formula>
    </cfRule>
  </conditionalFormatting>
  <conditionalFormatting sqref="AU132">
    <cfRule type="cellIs" dxfId="0" priority="1755" operator="lessThan">
      <formula>20</formula>
    </cfRule>
    <cfRule type="cellIs" dxfId="1" priority="1128" operator="greaterThan">
      <formula>120</formula>
    </cfRule>
    <cfRule type="containsText" dxfId="2" priority="501" operator="between" text="库存为">
      <formula>NOT(ISERROR(SEARCH("库存为",AU132)))</formula>
    </cfRule>
  </conditionalFormatting>
  <conditionalFormatting sqref="AU133">
    <cfRule type="cellIs" dxfId="0" priority="1754" operator="lessThan">
      <formula>20</formula>
    </cfRule>
    <cfRule type="cellIs" dxfId="1" priority="1127" operator="greaterThan">
      <formula>120</formula>
    </cfRule>
    <cfRule type="containsText" dxfId="2" priority="500" operator="between" text="库存为">
      <formula>NOT(ISERROR(SEARCH("库存为",AU133)))</formula>
    </cfRule>
  </conditionalFormatting>
  <conditionalFormatting sqref="AU134">
    <cfRule type="cellIs" dxfId="0" priority="1753" operator="lessThan">
      <formula>20</formula>
    </cfRule>
    <cfRule type="cellIs" dxfId="1" priority="1126" operator="greaterThan">
      <formula>120</formula>
    </cfRule>
    <cfRule type="containsText" dxfId="2" priority="499" operator="between" text="库存为">
      <formula>NOT(ISERROR(SEARCH("库存为",AU134)))</formula>
    </cfRule>
  </conditionalFormatting>
  <conditionalFormatting sqref="AU135">
    <cfRule type="cellIs" dxfId="0" priority="1752" operator="lessThan">
      <formula>20</formula>
    </cfRule>
    <cfRule type="cellIs" dxfId="1" priority="1125" operator="greaterThan">
      <formula>120</formula>
    </cfRule>
    <cfRule type="containsText" dxfId="2" priority="498" operator="between" text="库存为">
      <formula>NOT(ISERROR(SEARCH("库存为",AU135)))</formula>
    </cfRule>
  </conditionalFormatting>
  <conditionalFormatting sqref="AU136">
    <cfRule type="cellIs" dxfId="0" priority="1751" operator="lessThan">
      <formula>20</formula>
    </cfRule>
    <cfRule type="cellIs" dxfId="1" priority="1124" operator="greaterThan">
      <formula>120</formula>
    </cfRule>
    <cfRule type="containsText" dxfId="2" priority="497" operator="between" text="库存为">
      <formula>NOT(ISERROR(SEARCH("库存为",AU136)))</formula>
    </cfRule>
  </conditionalFormatting>
  <conditionalFormatting sqref="AU137">
    <cfRule type="cellIs" dxfId="0" priority="1750" operator="lessThan">
      <formula>20</formula>
    </cfRule>
    <cfRule type="cellIs" dxfId="1" priority="1123" operator="greaterThan">
      <formula>120</formula>
    </cfRule>
    <cfRule type="containsText" dxfId="2" priority="496" operator="between" text="库存为">
      <formula>NOT(ISERROR(SEARCH("库存为",AU137)))</formula>
    </cfRule>
  </conditionalFormatting>
  <conditionalFormatting sqref="AU138">
    <cfRule type="cellIs" dxfId="0" priority="1749" operator="lessThan">
      <formula>20</formula>
    </cfRule>
    <cfRule type="cellIs" dxfId="1" priority="1122" operator="greaterThan">
      <formula>120</formula>
    </cfRule>
    <cfRule type="containsText" dxfId="2" priority="495" operator="between" text="库存为">
      <formula>NOT(ISERROR(SEARCH("库存为",AU138)))</formula>
    </cfRule>
  </conditionalFormatting>
  <conditionalFormatting sqref="AU139">
    <cfRule type="cellIs" dxfId="0" priority="1748" operator="lessThan">
      <formula>20</formula>
    </cfRule>
    <cfRule type="cellIs" dxfId="1" priority="1121" operator="greaterThan">
      <formula>120</formula>
    </cfRule>
    <cfRule type="containsText" dxfId="2" priority="494" operator="between" text="库存为">
      <formula>NOT(ISERROR(SEARCH("库存为",AU139)))</formula>
    </cfRule>
  </conditionalFormatting>
  <conditionalFormatting sqref="AU140">
    <cfRule type="cellIs" dxfId="0" priority="1747" operator="lessThan">
      <formula>20</formula>
    </cfRule>
    <cfRule type="cellIs" dxfId="1" priority="1120" operator="greaterThan">
      <formula>120</formula>
    </cfRule>
    <cfRule type="containsText" dxfId="2" priority="493" operator="between" text="库存为">
      <formula>NOT(ISERROR(SEARCH("库存为",AU140)))</formula>
    </cfRule>
  </conditionalFormatting>
  <conditionalFormatting sqref="AU141">
    <cfRule type="cellIs" dxfId="0" priority="1746" operator="lessThan">
      <formula>20</formula>
    </cfRule>
    <cfRule type="cellIs" dxfId="1" priority="1119" operator="greaterThan">
      <formula>120</formula>
    </cfRule>
    <cfRule type="containsText" dxfId="2" priority="492" operator="between" text="库存为">
      <formula>NOT(ISERROR(SEARCH("库存为",AU141)))</formula>
    </cfRule>
  </conditionalFormatting>
  <conditionalFormatting sqref="AU142">
    <cfRule type="cellIs" dxfId="0" priority="1745" operator="lessThan">
      <formula>20</formula>
    </cfRule>
    <cfRule type="cellIs" dxfId="1" priority="1118" operator="greaterThan">
      <formula>120</formula>
    </cfRule>
    <cfRule type="containsText" dxfId="2" priority="491" operator="between" text="库存为">
      <formula>NOT(ISERROR(SEARCH("库存为",AU142)))</formula>
    </cfRule>
  </conditionalFormatting>
  <conditionalFormatting sqref="AU143">
    <cfRule type="cellIs" dxfId="0" priority="1744" operator="lessThan">
      <formula>20</formula>
    </cfRule>
    <cfRule type="cellIs" dxfId="1" priority="1117" operator="greaterThan">
      <formula>120</formula>
    </cfRule>
    <cfRule type="containsText" dxfId="2" priority="490" operator="between" text="库存为">
      <formula>NOT(ISERROR(SEARCH("库存为",AU143)))</formula>
    </cfRule>
  </conditionalFormatting>
  <conditionalFormatting sqref="AU144">
    <cfRule type="cellIs" dxfId="0" priority="1743" operator="lessThan">
      <formula>20</formula>
    </cfRule>
    <cfRule type="cellIs" dxfId="1" priority="1116" operator="greaterThan">
      <formula>120</formula>
    </cfRule>
    <cfRule type="containsText" dxfId="2" priority="489" operator="between" text="库存为">
      <formula>NOT(ISERROR(SEARCH("库存为",AU144)))</formula>
    </cfRule>
  </conditionalFormatting>
  <conditionalFormatting sqref="AU145">
    <cfRule type="cellIs" dxfId="0" priority="1742" operator="lessThan">
      <formula>20</formula>
    </cfRule>
    <cfRule type="cellIs" dxfId="1" priority="1115" operator="greaterThan">
      <formula>120</formula>
    </cfRule>
    <cfRule type="containsText" dxfId="2" priority="488" operator="between" text="库存为">
      <formula>NOT(ISERROR(SEARCH("库存为",AU145)))</formula>
    </cfRule>
  </conditionalFormatting>
  <conditionalFormatting sqref="AU146">
    <cfRule type="cellIs" dxfId="0" priority="1741" operator="lessThan">
      <formula>20</formula>
    </cfRule>
    <cfRule type="cellIs" dxfId="1" priority="1114" operator="greaterThan">
      <formula>120</formula>
    </cfRule>
    <cfRule type="containsText" dxfId="2" priority="487" operator="between" text="库存为">
      <formula>NOT(ISERROR(SEARCH("库存为",AU146)))</formula>
    </cfRule>
  </conditionalFormatting>
  <conditionalFormatting sqref="AU147">
    <cfRule type="cellIs" dxfId="0" priority="1740" operator="lessThan">
      <formula>20</formula>
    </cfRule>
    <cfRule type="cellIs" dxfId="1" priority="1113" operator="greaterThan">
      <formula>120</formula>
    </cfRule>
    <cfRule type="containsText" dxfId="2" priority="486" operator="between" text="库存为">
      <formula>NOT(ISERROR(SEARCH("库存为",AU147)))</formula>
    </cfRule>
  </conditionalFormatting>
  <conditionalFormatting sqref="AU148">
    <cfRule type="cellIs" dxfId="0" priority="1739" operator="lessThan">
      <formula>20</formula>
    </cfRule>
    <cfRule type="cellIs" dxfId="1" priority="1112" operator="greaterThan">
      <formula>120</formula>
    </cfRule>
    <cfRule type="containsText" dxfId="2" priority="485" operator="between" text="库存为">
      <formula>NOT(ISERROR(SEARCH("库存为",AU148)))</formula>
    </cfRule>
  </conditionalFormatting>
  <conditionalFormatting sqref="AU149">
    <cfRule type="cellIs" dxfId="0" priority="1738" operator="lessThan">
      <formula>20</formula>
    </cfRule>
    <cfRule type="cellIs" dxfId="1" priority="1111" operator="greaterThan">
      <formula>120</formula>
    </cfRule>
    <cfRule type="containsText" dxfId="2" priority="484" operator="between" text="库存为">
      <formula>NOT(ISERROR(SEARCH("库存为",AU149)))</formula>
    </cfRule>
  </conditionalFormatting>
  <conditionalFormatting sqref="AU150">
    <cfRule type="cellIs" dxfId="0" priority="1737" operator="lessThan">
      <formula>20</formula>
    </cfRule>
    <cfRule type="cellIs" dxfId="1" priority="1110" operator="greaterThan">
      <formula>120</formula>
    </cfRule>
    <cfRule type="containsText" dxfId="2" priority="483" operator="between" text="库存为">
      <formula>NOT(ISERROR(SEARCH("库存为",AU150)))</formula>
    </cfRule>
  </conditionalFormatting>
  <conditionalFormatting sqref="AU151">
    <cfRule type="cellIs" dxfId="0" priority="1736" operator="lessThan">
      <formula>20</formula>
    </cfRule>
    <cfRule type="cellIs" dxfId="1" priority="1109" operator="greaterThan">
      <formula>120</formula>
    </cfRule>
    <cfRule type="containsText" dxfId="2" priority="482" operator="between" text="库存为">
      <formula>NOT(ISERROR(SEARCH("库存为",AU151)))</formula>
    </cfRule>
  </conditionalFormatting>
  <conditionalFormatting sqref="AU152">
    <cfRule type="cellIs" dxfId="0" priority="1735" operator="lessThan">
      <formula>20</formula>
    </cfRule>
    <cfRule type="cellIs" dxfId="1" priority="1108" operator="greaterThan">
      <formula>120</formula>
    </cfRule>
    <cfRule type="containsText" dxfId="2" priority="481" operator="between" text="库存为">
      <formula>NOT(ISERROR(SEARCH("库存为",AU152)))</formula>
    </cfRule>
  </conditionalFormatting>
  <conditionalFormatting sqref="AU153">
    <cfRule type="cellIs" dxfId="0" priority="1734" operator="lessThan">
      <formula>20</formula>
    </cfRule>
    <cfRule type="cellIs" dxfId="1" priority="1107" operator="greaterThan">
      <formula>120</formula>
    </cfRule>
    <cfRule type="containsText" dxfId="2" priority="480" operator="between" text="库存为">
      <formula>NOT(ISERROR(SEARCH("库存为",AU153)))</formula>
    </cfRule>
  </conditionalFormatting>
  <conditionalFormatting sqref="AU154">
    <cfRule type="cellIs" dxfId="0" priority="1733" operator="lessThan">
      <formula>20</formula>
    </cfRule>
    <cfRule type="cellIs" dxfId="1" priority="1106" operator="greaterThan">
      <formula>120</formula>
    </cfRule>
    <cfRule type="containsText" dxfId="2" priority="479" operator="between" text="库存为">
      <formula>NOT(ISERROR(SEARCH("库存为",AU154)))</formula>
    </cfRule>
  </conditionalFormatting>
  <conditionalFormatting sqref="AU155">
    <cfRule type="cellIs" dxfId="0" priority="1732" operator="lessThan">
      <formula>20</formula>
    </cfRule>
    <cfRule type="cellIs" dxfId="1" priority="1105" operator="greaterThan">
      <formula>120</formula>
    </cfRule>
    <cfRule type="containsText" dxfId="2" priority="478" operator="between" text="库存为">
      <formula>NOT(ISERROR(SEARCH("库存为",AU155)))</formula>
    </cfRule>
  </conditionalFormatting>
  <conditionalFormatting sqref="AU156">
    <cfRule type="cellIs" dxfId="0" priority="1731" operator="lessThan">
      <formula>20</formula>
    </cfRule>
    <cfRule type="cellIs" dxfId="1" priority="1104" operator="greaterThan">
      <formula>120</formula>
    </cfRule>
    <cfRule type="containsText" dxfId="2" priority="477" operator="between" text="库存为">
      <formula>NOT(ISERROR(SEARCH("库存为",AU156)))</formula>
    </cfRule>
  </conditionalFormatting>
  <conditionalFormatting sqref="AU157">
    <cfRule type="cellIs" dxfId="0" priority="1730" operator="lessThan">
      <formula>20</formula>
    </cfRule>
    <cfRule type="cellIs" dxfId="1" priority="1103" operator="greaterThan">
      <formula>120</formula>
    </cfRule>
    <cfRule type="containsText" dxfId="2" priority="476" operator="between" text="库存为">
      <formula>NOT(ISERROR(SEARCH("库存为",AU157)))</formula>
    </cfRule>
  </conditionalFormatting>
  <conditionalFormatting sqref="AU158">
    <cfRule type="cellIs" dxfId="0" priority="1729" operator="lessThan">
      <formula>20</formula>
    </cfRule>
    <cfRule type="cellIs" dxfId="1" priority="1102" operator="greaterThan">
      <formula>120</formula>
    </cfRule>
    <cfRule type="containsText" dxfId="2" priority="475" operator="between" text="库存为">
      <formula>NOT(ISERROR(SEARCH("库存为",AU158)))</formula>
    </cfRule>
  </conditionalFormatting>
  <conditionalFormatting sqref="AU159">
    <cfRule type="cellIs" dxfId="0" priority="1728" operator="lessThan">
      <formula>20</formula>
    </cfRule>
    <cfRule type="cellIs" dxfId="1" priority="1101" operator="greaterThan">
      <formula>120</formula>
    </cfRule>
    <cfRule type="containsText" dxfId="2" priority="474" operator="between" text="库存为">
      <formula>NOT(ISERROR(SEARCH("库存为",AU159)))</formula>
    </cfRule>
  </conditionalFormatting>
  <conditionalFormatting sqref="AU160">
    <cfRule type="cellIs" dxfId="0" priority="1727" operator="lessThan">
      <formula>20</formula>
    </cfRule>
    <cfRule type="cellIs" dxfId="1" priority="1100" operator="greaterThan">
      <formula>120</formula>
    </cfRule>
    <cfRule type="containsText" dxfId="2" priority="473" operator="between" text="库存为">
      <formula>NOT(ISERROR(SEARCH("库存为",AU160)))</formula>
    </cfRule>
  </conditionalFormatting>
  <conditionalFormatting sqref="AU161">
    <cfRule type="cellIs" dxfId="0" priority="1726" operator="lessThan">
      <formula>20</formula>
    </cfRule>
    <cfRule type="cellIs" dxfId="1" priority="1099" operator="greaterThan">
      <formula>120</formula>
    </cfRule>
    <cfRule type="containsText" dxfId="2" priority="472" operator="between" text="库存为">
      <formula>NOT(ISERROR(SEARCH("库存为",AU161)))</formula>
    </cfRule>
  </conditionalFormatting>
  <conditionalFormatting sqref="AU162">
    <cfRule type="cellIs" dxfId="0" priority="1725" operator="lessThan">
      <formula>20</formula>
    </cfRule>
    <cfRule type="cellIs" dxfId="1" priority="1098" operator="greaterThan">
      <formula>120</formula>
    </cfRule>
    <cfRule type="containsText" dxfId="2" priority="471" operator="between" text="库存为">
      <formula>NOT(ISERROR(SEARCH("库存为",AU162)))</formula>
    </cfRule>
  </conditionalFormatting>
  <conditionalFormatting sqref="AU163">
    <cfRule type="cellIs" dxfId="0" priority="1724" operator="lessThan">
      <formula>20</formula>
    </cfRule>
    <cfRule type="cellIs" dxfId="1" priority="1097" operator="greaterThan">
      <formula>120</formula>
    </cfRule>
    <cfRule type="containsText" dxfId="2" priority="470" operator="between" text="库存为">
      <formula>NOT(ISERROR(SEARCH("库存为",AU163)))</formula>
    </cfRule>
  </conditionalFormatting>
  <conditionalFormatting sqref="AU164">
    <cfRule type="cellIs" dxfId="0" priority="1723" operator="lessThan">
      <formula>20</formula>
    </cfRule>
    <cfRule type="cellIs" dxfId="1" priority="1096" operator="greaterThan">
      <formula>120</formula>
    </cfRule>
    <cfRule type="containsText" dxfId="2" priority="469" operator="between" text="库存为">
      <formula>NOT(ISERROR(SEARCH("库存为",AU164)))</formula>
    </cfRule>
  </conditionalFormatting>
  <conditionalFormatting sqref="AU165">
    <cfRule type="cellIs" dxfId="0" priority="1722" operator="lessThan">
      <formula>20</formula>
    </cfRule>
    <cfRule type="cellIs" dxfId="1" priority="1095" operator="greaterThan">
      <formula>120</formula>
    </cfRule>
    <cfRule type="containsText" dxfId="2" priority="468" operator="between" text="库存为">
      <formula>NOT(ISERROR(SEARCH("库存为",AU165)))</formula>
    </cfRule>
  </conditionalFormatting>
  <conditionalFormatting sqref="AU166">
    <cfRule type="cellIs" dxfId="0" priority="1721" operator="lessThan">
      <formula>20</formula>
    </cfRule>
    <cfRule type="cellIs" dxfId="1" priority="1094" operator="greaterThan">
      <formula>120</formula>
    </cfRule>
    <cfRule type="containsText" dxfId="2" priority="467" operator="between" text="库存为">
      <formula>NOT(ISERROR(SEARCH("库存为",AU166)))</formula>
    </cfRule>
  </conditionalFormatting>
  <conditionalFormatting sqref="AU167">
    <cfRule type="cellIs" dxfId="0" priority="1720" operator="lessThan">
      <formula>20</formula>
    </cfRule>
    <cfRule type="cellIs" dxfId="1" priority="1093" operator="greaterThan">
      <formula>120</formula>
    </cfRule>
    <cfRule type="containsText" dxfId="2" priority="466" operator="between" text="库存为">
      <formula>NOT(ISERROR(SEARCH("库存为",AU167)))</formula>
    </cfRule>
  </conditionalFormatting>
  <conditionalFormatting sqref="AU168">
    <cfRule type="cellIs" dxfId="0" priority="1719" operator="lessThan">
      <formula>20</formula>
    </cfRule>
    <cfRule type="cellIs" dxfId="1" priority="1092" operator="greaterThan">
      <formula>120</formula>
    </cfRule>
    <cfRule type="containsText" dxfId="2" priority="465" operator="between" text="库存为">
      <formula>NOT(ISERROR(SEARCH("库存为",AU168)))</formula>
    </cfRule>
  </conditionalFormatting>
  <conditionalFormatting sqref="AU169">
    <cfRule type="cellIs" dxfId="0" priority="1718" operator="lessThan">
      <formula>20</formula>
    </cfRule>
    <cfRule type="cellIs" dxfId="1" priority="1091" operator="greaterThan">
      <formula>120</formula>
    </cfRule>
    <cfRule type="containsText" dxfId="2" priority="464" operator="between" text="库存为">
      <formula>NOT(ISERROR(SEARCH("库存为",AU169)))</formula>
    </cfRule>
  </conditionalFormatting>
  <conditionalFormatting sqref="AU170">
    <cfRule type="cellIs" dxfId="0" priority="1717" operator="lessThan">
      <formula>20</formula>
    </cfRule>
    <cfRule type="cellIs" dxfId="1" priority="1090" operator="greaterThan">
      <formula>120</formula>
    </cfRule>
    <cfRule type="containsText" dxfId="2" priority="463" operator="between" text="库存为">
      <formula>NOT(ISERROR(SEARCH("库存为",AU170)))</formula>
    </cfRule>
  </conditionalFormatting>
  <conditionalFormatting sqref="AU171">
    <cfRule type="cellIs" dxfId="0" priority="1716" operator="lessThan">
      <formula>20</formula>
    </cfRule>
    <cfRule type="cellIs" dxfId="1" priority="1089" operator="greaterThan">
      <formula>120</formula>
    </cfRule>
    <cfRule type="containsText" dxfId="2" priority="462" operator="between" text="库存为">
      <formula>NOT(ISERROR(SEARCH("库存为",AU171)))</formula>
    </cfRule>
  </conditionalFormatting>
  <conditionalFormatting sqref="AU172">
    <cfRule type="cellIs" dxfId="0" priority="1715" operator="lessThan">
      <formula>20</formula>
    </cfRule>
    <cfRule type="cellIs" dxfId="1" priority="1088" operator="greaterThan">
      <formula>120</formula>
    </cfRule>
    <cfRule type="containsText" dxfId="2" priority="461" operator="between" text="库存为">
      <formula>NOT(ISERROR(SEARCH("库存为",AU172)))</formula>
    </cfRule>
  </conditionalFormatting>
  <conditionalFormatting sqref="AU173">
    <cfRule type="cellIs" dxfId="0" priority="1714" operator="lessThan">
      <formula>20</formula>
    </cfRule>
    <cfRule type="cellIs" dxfId="1" priority="1087" operator="greaterThan">
      <formula>120</formula>
    </cfRule>
    <cfRule type="containsText" dxfId="2" priority="460" operator="between" text="库存为">
      <formula>NOT(ISERROR(SEARCH("库存为",AU173)))</formula>
    </cfRule>
  </conditionalFormatting>
  <conditionalFormatting sqref="AU174">
    <cfRule type="cellIs" dxfId="0" priority="1713" operator="lessThan">
      <formula>20</formula>
    </cfRule>
    <cfRule type="cellIs" dxfId="1" priority="1086" operator="greaterThan">
      <formula>120</formula>
    </cfRule>
    <cfRule type="containsText" dxfId="2" priority="459" operator="between" text="库存为">
      <formula>NOT(ISERROR(SEARCH("库存为",AU174)))</formula>
    </cfRule>
  </conditionalFormatting>
  <conditionalFormatting sqref="AU175">
    <cfRule type="cellIs" dxfId="0" priority="1712" operator="lessThan">
      <formula>20</formula>
    </cfRule>
    <cfRule type="cellIs" dxfId="1" priority="1085" operator="greaterThan">
      <formula>120</formula>
    </cfRule>
    <cfRule type="containsText" dxfId="2" priority="458" operator="between" text="库存为">
      <formula>NOT(ISERROR(SEARCH("库存为",AU175)))</formula>
    </cfRule>
  </conditionalFormatting>
  <conditionalFormatting sqref="AU176">
    <cfRule type="cellIs" dxfId="0" priority="1711" operator="lessThan">
      <formula>20</formula>
    </cfRule>
    <cfRule type="cellIs" dxfId="1" priority="1084" operator="greaterThan">
      <formula>120</formula>
    </cfRule>
    <cfRule type="containsText" dxfId="2" priority="457" operator="between" text="库存为">
      <formula>NOT(ISERROR(SEARCH("库存为",AU176)))</formula>
    </cfRule>
  </conditionalFormatting>
  <conditionalFormatting sqref="AU177">
    <cfRule type="cellIs" dxfId="0" priority="1710" operator="lessThan">
      <formula>20</formula>
    </cfRule>
    <cfRule type="cellIs" dxfId="1" priority="1083" operator="greaterThan">
      <formula>120</formula>
    </cfRule>
    <cfRule type="containsText" dxfId="2" priority="456" operator="between" text="库存为">
      <formula>NOT(ISERROR(SEARCH("库存为",AU177)))</formula>
    </cfRule>
  </conditionalFormatting>
  <conditionalFormatting sqref="AU178">
    <cfRule type="cellIs" dxfId="0" priority="1709" operator="lessThan">
      <formula>20</formula>
    </cfRule>
    <cfRule type="cellIs" dxfId="1" priority="1082" operator="greaterThan">
      <formula>120</formula>
    </cfRule>
    <cfRule type="containsText" dxfId="2" priority="455" operator="between" text="库存为">
      <formula>NOT(ISERROR(SEARCH("库存为",AU178)))</formula>
    </cfRule>
  </conditionalFormatting>
  <conditionalFormatting sqref="AU179">
    <cfRule type="cellIs" dxfId="0" priority="1708" operator="lessThan">
      <formula>20</formula>
    </cfRule>
    <cfRule type="cellIs" dxfId="1" priority="1081" operator="greaterThan">
      <formula>120</formula>
    </cfRule>
    <cfRule type="containsText" dxfId="2" priority="454" operator="between" text="库存为">
      <formula>NOT(ISERROR(SEARCH("库存为",AU179)))</formula>
    </cfRule>
  </conditionalFormatting>
  <conditionalFormatting sqref="AU180">
    <cfRule type="cellIs" dxfId="0" priority="1707" operator="lessThan">
      <formula>20</formula>
    </cfRule>
    <cfRule type="cellIs" dxfId="1" priority="1080" operator="greaterThan">
      <formula>120</formula>
    </cfRule>
    <cfRule type="containsText" dxfId="2" priority="453" operator="between" text="库存为">
      <formula>NOT(ISERROR(SEARCH("库存为",AU180)))</formula>
    </cfRule>
  </conditionalFormatting>
  <conditionalFormatting sqref="AU181">
    <cfRule type="cellIs" dxfId="0" priority="1706" operator="lessThan">
      <formula>20</formula>
    </cfRule>
    <cfRule type="cellIs" dxfId="1" priority="1079" operator="greaterThan">
      <formula>120</formula>
    </cfRule>
    <cfRule type="containsText" dxfId="2" priority="452" operator="between" text="库存为">
      <formula>NOT(ISERROR(SEARCH("库存为",AU181)))</formula>
    </cfRule>
  </conditionalFormatting>
  <conditionalFormatting sqref="AU182">
    <cfRule type="cellIs" dxfId="0" priority="1705" operator="lessThan">
      <formula>20</formula>
    </cfRule>
    <cfRule type="cellIs" dxfId="1" priority="1078" operator="greaterThan">
      <formula>120</formula>
    </cfRule>
    <cfRule type="containsText" dxfId="2" priority="451" operator="between" text="库存为">
      <formula>NOT(ISERROR(SEARCH("库存为",AU182)))</formula>
    </cfRule>
  </conditionalFormatting>
  <conditionalFormatting sqref="AU183">
    <cfRule type="cellIs" dxfId="0" priority="1704" operator="lessThan">
      <formula>20</formula>
    </cfRule>
    <cfRule type="cellIs" dxfId="1" priority="1077" operator="greaterThan">
      <formula>120</formula>
    </cfRule>
    <cfRule type="containsText" dxfId="2" priority="450" operator="between" text="库存为">
      <formula>NOT(ISERROR(SEARCH("库存为",AU183)))</formula>
    </cfRule>
  </conditionalFormatting>
  <conditionalFormatting sqref="AU184">
    <cfRule type="cellIs" dxfId="0" priority="1703" operator="lessThan">
      <formula>20</formula>
    </cfRule>
    <cfRule type="cellIs" dxfId="1" priority="1076" operator="greaterThan">
      <formula>120</formula>
    </cfRule>
    <cfRule type="containsText" dxfId="2" priority="449" operator="between" text="库存为">
      <formula>NOT(ISERROR(SEARCH("库存为",AU184)))</formula>
    </cfRule>
  </conditionalFormatting>
  <conditionalFormatting sqref="AU185">
    <cfRule type="cellIs" dxfId="0" priority="1702" operator="lessThan">
      <formula>20</formula>
    </cfRule>
    <cfRule type="cellIs" dxfId="1" priority="1075" operator="greaterThan">
      <formula>120</formula>
    </cfRule>
    <cfRule type="containsText" dxfId="2" priority="448" operator="between" text="库存为">
      <formula>NOT(ISERROR(SEARCH("库存为",AU185)))</formula>
    </cfRule>
  </conditionalFormatting>
  <conditionalFormatting sqref="AU186">
    <cfRule type="cellIs" dxfId="0" priority="1701" operator="lessThan">
      <formula>20</formula>
    </cfRule>
    <cfRule type="cellIs" dxfId="1" priority="1074" operator="greaterThan">
      <formula>120</formula>
    </cfRule>
    <cfRule type="containsText" dxfId="2" priority="447" operator="between" text="库存为">
      <formula>NOT(ISERROR(SEARCH("库存为",AU186)))</formula>
    </cfRule>
  </conditionalFormatting>
  <conditionalFormatting sqref="AU187">
    <cfRule type="cellIs" dxfId="0" priority="1700" operator="lessThan">
      <formula>20</formula>
    </cfRule>
    <cfRule type="cellIs" dxfId="1" priority="1073" operator="greaterThan">
      <formula>120</formula>
    </cfRule>
    <cfRule type="containsText" dxfId="2" priority="446" operator="between" text="库存为">
      <formula>NOT(ISERROR(SEARCH("库存为",AU187)))</formula>
    </cfRule>
  </conditionalFormatting>
  <conditionalFormatting sqref="AU188">
    <cfRule type="cellIs" dxfId="0" priority="1699" operator="lessThan">
      <formula>20</formula>
    </cfRule>
    <cfRule type="cellIs" dxfId="1" priority="1072" operator="greaterThan">
      <formula>120</formula>
    </cfRule>
    <cfRule type="containsText" dxfId="2" priority="445" operator="between" text="库存为">
      <formula>NOT(ISERROR(SEARCH("库存为",AU188)))</formula>
    </cfRule>
  </conditionalFormatting>
  <conditionalFormatting sqref="AU189">
    <cfRule type="cellIs" dxfId="0" priority="1698" operator="lessThan">
      <formula>20</formula>
    </cfRule>
    <cfRule type="cellIs" dxfId="1" priority="1071" operator="greaterThan">
      <formula>120</formula>
    </cfRule>
    <cfRule type="containsText" dxfId="2" priority="444" operator="between" text="库存为">
      <formula>NOT(ISERROR(SEARCH("库存为",AU189)))</formula>
    </cfRule>
  </conditionalFormatting>
  <conditionalFormatting sqref="AU190">
    <cfRule type="cellIs" dxfId="0" priority="1697" operator="lessThan">
      <formula>20</formula>
    </cfRule>
    <cfRule type="cellIs" dxfId="1" priority="1070" operator="greaterThan">
      <formula>120</formula>
    </cfRule>
    <cfRule type="containsText" dxfId="2" priority="443" operator="between" text="库存为">
      <formula>NOT(ISERROR(SEARCH("库存为",AU190)))</formula>
    </cfRule>
  </conditionalFormatting>
  <conditionalFormatting sqref="AU191">
    <cfRule type="cellIs" dxfId="0" priority="1696" operator="lessThan">
      <formula>20</formula>
    </cfRule>
    <cfRule type="cellIs" dxfId="1" priority="1069" operator="greaterThan">
      <formula>120</formula>
    </cfRule>
    <cfRule type="containsText" dxfId="2" priority="442" operator="between" text="库存为">
      <formula>NOT(ISERROR(SEARCH("库存为",AU191)))</formula>
    </cfRule>
  </conditionalFormatting>
  <conditionalFormatting sqref="AU192">
    <cfRule type="cellIs" dxfId="0" priority="1695" operator="lessThan">
      <formula>20</formula>
    </cfRule>
    <cfRule type="cellIs" dxfId="1" priority="1068" operator="greaterThan">
      <formula>120</formula>
    </cfRule>
    <cfRule type="containsText" dxfId="2" priority="441" operator="between" text="库存为">
      <formula>NOT(ISERROR(SEARCH("库存为",AU192)))</formula>
    </cfRule>
  </conditionalFormatting>
  <conditionalFormatting sqref="AU193">
    <cfRule type="cellIs" dxfId="0" priority="1694" operator="lessThan">
      <formula>20</formula>
    </cfRule>
    <cfRule type="cellIs" dxfId="1" priority="1067" operator="greaterThan">
      <formula>120</formula>
    </cfRule>
    <cfRule type="containsText" dxfId="2" priority="440" operator="between" text="库存为">
      <formula>NOT(ISERROR(SEARCH("库存为",AU193)))</formula>
    </cfRule>
  </conditionalFormatting>
  <conditionalFormatting sqref="AU194">
    <cfRule type="cellIs" dxfId="0" priority="1693" operator="lessThan">
      <formula>20</formula>
    </cfRule>
    <cfRule type="cellIs" dxfId="1" priority="1066" operator="greaterThan">
      <formula>120</formula>
    </cfRule>
    <cfRule type="containsText" dxfId="2" priority="439" operator="between" text="库存为">
      <formula>NOT(ISERROR(SEARCH("库存为",AU194)))</formula>
    </cfRule>
  </conditionalFormatting>
  <conditionalFormatting sqref="AU195">
    <cfRule type="cellIs" dxfId="0" priority="1692" operator="lessThan">
      <formula>20</formula>
    </cfRule>
    <cfRule type="cellIs" dxfId="1" priority="1065" operator="greaterThan">
      <formula>120</formula>
    </cfRule>
    <cfRule type="containsText" dxfId="2" priority="438" operator="between" text="库存为">
      <formula>NOT(ISERROR(SEARCH("库存为",AU195)))</formula>
    </cfRule>
  </conditionalFormatting>
  <conditionalFormatting sqref="AU196">
    <cfRule type="cellIs" dxfId="0" priority="1691" operator="lessThan">
      <formula>20</formula>
    </cfRule>
    <cfRule type="cellIs" dxfId="1" priority="1064" operator="greaterThan">
      <formula>120</formula>
    </cfRule>
    <cfRule type="containsText" dxfId="2" priority="437" operator="between" text="库存为">
      <formula>NOT(ISERROR(SEARCH("库存为",AU196)))</formula>
    </cfRule>
  </conditionalFormatting>
  <conditionalFormatting sqref="AU197">
    <cfRule type="cellIs" dxfId="0" priority="1690" operator="lessThan">
      <formula>20</formula>
    </cfRule>
    <cfRule type="cellIs" dxfId="1" priority="1063" operator="greaterThan">
      <formula>120</formula>
    </cfRule>
    <cfRule type="containsText" dxfId="2" priority="436" operator="between" text="库存为">
      <formula>NOT(ISERROR(SEARCH("库存为",AU197)))</formula>
    </cfRule>
  </conditionalFormatting>
  <conditionalFormatting sqref="AU198">
    <cfRule type="cellIs" dxfId="0" priority="1689" operator="lessThan">
      <formula>20</formula>
    </cfRule>
    <cfRule type="cellIs" dxfId="1" priority="1062" operator="greaterThan">
      <formula>120</formula>
    </cfRule>
    <cfRule type="containsText" dxfId="2" priority="435" operator="between" text="库存为">
      <formula>NOT(ISERROR(SEARCH("库存为",AU198)))</formula>
    </cfRule>
  </conditionalFormatting>
  <conditionalFormatting sqref="AU199">
    <cfRule type="cellIs" dxfId="0" priority="1688" operator="lessThan">
      <formula>20</formula>
    </cfRule>
    <cfRule type="cellIs" dxfId="1" priority="1061" operator="greaterThan">
      <formula>120</formula>
    </cfRule>
    <cfRule type="containsText" dxfId="2" priority="434" operator="between" text="库存为">
      <formula>NOT(ISERROR(SEARCH("库存为",AU199)))</formula>
    </cfRule>
  </conditionalFormatting>
  <conditionalFormatting sqref="AU200">
    <cfRule type="cellIs" dxfId="0" priority="1687" operator="lessThan">
      <formula>20</formula>
    </cfRule>
    <cfRule type="cellIs" dxfId="1" priority="1060" operator="greaterThan">
      <formula>120</formula>
    </cfRule>
    <cfRule type="containsText" dxfId="2" priority="433" operator="between" text="库存为">
      <formula>NOT(ISERROR(SEARCH("库存为",AU200)))</formula>
    </cfRule>
  </conditionalFormatting>
  <conditionalFormatting sqref="AU201">
    <cfRule type="cellIs" dxfId="0" priority="1686" operator="lessThan">
      <formula>20</formula>
    </cfRule>
    <cfRule type="cellIs" dxfId="1" priority="1059" operator="greaterThan">
      <formula>120</formula>
    </cfRule>
    <cfRule type="containsText" dxfId="2" priority="432" operator="between" text="库存为">
      <formula>NOT(ISERROR(SEARCH("库存为",AU201)))</formula>
    </cfRule>
  </conditionalFormatting>
  <conditionalFormatting sqref="AU202">
    <cfRule type="cellIs" dxfId="0" priority="1685" operator="lessThan">
      <formula>20</formula>
    </cfRule>
    <cfRule type="cellIs" dxfId="1" priority="1058" operator="greaterThan">
      <formula>120</formula>
    </cfRule>
    <cfRule type="containsText" dxfId="2" priority="431" operator="between" text="库存为">
      <formula>NOT(ISERROR(SEARCH("库存为",AU202)))</formula>
    </cfRule>
  </conditionalFormatting>
  <conditionalFormatting sqref="AU203">
    <cfRule type="cellIs" dxfId="0" priority="1684" operator="lessThan">
      <formula>20</formula>
    </cfRule>
    <cfRule type="cellIs" dxfId="1" priority="1057" operator="greaterThan">
      <formula>120</formula>
    </cfRule>
    <cfRule type="containsText" dxfId="2" priority="430" operator="between" text="库存为">
      <formula>NOT(ISERROR(SEARCH("库存为",AU203)))</formula>
    </cfRule>
  </conditionalFormatting>
  <conditionalFormatting sqref="AU204">
    <cfRule type="cellIs" dxfId="0" priority="1683" operator="lessThan">
      <formula>20</formula>
    </cfRule>
    <cfRule type="cellIs" dxfId="1" priority="1056" operator="greaterThan">
      <formula>120</formula>
    </cfRule>
    <cfRule type="containsText" dxfId="2" priority="429" operator="between" text="库存为">
      <formula>NOT(ISERROR(SEARCH("库存为",AU204)))</formula>
    </cfRule>
  </conditionalFormatting>
  <conditionalFormatting sqref="AU205">
    <cfRule type="cellIs" dxfId="0" priority="1682" operator="lessThan">
      <formula>20</formula>
    </cfRule>
    <cfRule type="cellIs" dxfId="1" priority="1055" operator="greaterThan">
      <formula>120</formula>
    </cfRule>
    <cfRule type="containsText" dxfId="2" priority="428" operator="between" text="库存为">
      <formula>NOT(ISERROR(SEARCH("库存为",AU205)))</formula>
    </cfRule>
  </conditionalFormatting>
  <conditionalFormatting sqref="AU206">
    <cfRule type="cellIs" dxfId="0" priority="1681" operator="lessThan">
      <formula>20</formula>
    </cfRule>
    <cfRule type="cellIs" dxfId="1" priority="1054" operator="greaterThan">
      <formula>120</formula>
    </cfRule>
    <cfRule type="containsText" dxfId="2" priority="427" operator="between" text="库存为">
      <formula>NOT(ISERROR(SEARCH("库存为",AU206)))</formula>
    </cfRule>
  </conditionalFormatting>
  <conditionalFormatting sqref="AU207">
    <cfRule type="cellIs" dxfId="0" priority="1680" operator="lessThan">
      <formula>20</formula>
    </cfRule>
    <cfRule type="cellIs" dxfId="1" priority="1053" operator="greaterThan">
      <formula>120</formula>
    </cfRule>
    <cfRule type="containsText" dxfId="2" priority="426" operator="between" text="库存为">
      <formula>NOT(ISERROR(SEARCH("库存为",AU207)))</formula>
    </cfRule>
  </conditionalFormatting>
  <conditionalFormatting sqref="AU208">
    <cfRule type="cellIs" dxfId="0" priority="1679" operator="lessThan">
      <formula>20</formula>
    </cfRule>
    <cfRule type="cellIs" dxfId="1" priority="1052" operator="greaterThan">
      <formula>120</formula>
    </cfRule>
    <cfRule type="containsText" dxfId="2" priority="425" operator="between" text="库存为">
      <formula>NOT(ISERROR(SEARCH("库存为",AU208)))</formula>
    </cfRule>
  </conditionalFormatting>
  <conditionalFormatting sqref="AU209">
    <cfRule type="cellIs" dxfId="0" priority="1678" operator="lessThan">
      <formula>20</formula>
    </cfRule>
    <cfRule type="cellIs" dxfId="1" priority="1051" operator="greaterThan">
      <formula>120</formula>
    </cfRule>
    <cfRule type="containsText" dxfId="2" priority="424" operator="between" text="库存为">
      <formula>NOT(ISERROR(SEARCH("库存为",AU209)))</formula>
    </cfRule>
  </conditionalFormatting>
  <conditionalFormatting sqref="AU210">
    <cfRule type="cellIs" dxfId="0" priority="1677" operator="lessThan">
      <formula>20</formula>
    </cfRule>
    <cfRule type="cellIs" dxfId="1" priority="1050" operator="greaterThan">
      <formula>120</formula>
    </cfRule>
    <cfRule type="containsText" dxfId="2" priority="423" operator="between" text="库存为">
      <formula>NOT(ISERROR(SEARCH("库存为",AU210)))</formula>
    </cfRule>
  </conditionalFormatting>
  <conditionalFormatting sqref="AU211">
    <cfRule type="cellIs" dxfId="0" priority="1676" operator="lessThan">
      <formula>20</formula>
    </cfRule>
    <cfRule type="cellIs" dxfId="1" priority="1049" operator="greaterThan">
      <formula>120</formula>
    </cfRule>
    <cfRule type="containsText" dxfId="2" priority="422" operator="between" text="库存为">
      <formula>NOT(ISERROR(SEARCH("库存为",AU211)))</formula>
    </cfRule>
  </conditionalFormatting>
  <conditionalFormatting sqref="AU212">
    <cfRule type="cellIs" dxfId="0" priority="1675" operator="lessThan">
      <formula>20</formula>
    </cfRule>
    <cfRule type="cellIs" dxfId="1" priority="1048" operator="greaterThan">
      <formula>120</formula>
    </cfRule>
    <cfRule type="containsText" dxfId="2" priority="421" operator="between" text="库存为">
      <formula>NOT(ISERROR(SEARCH("库存为",AU212)))</formula>
    </cfRule>
  </conditionalFormatting>
  <conditionalFormatting sqref="AU213">
    <cfRule type="cellIs" dxfId="0" priority="1674" operator="lessThan">
      <formula>20</formula>
    </cfRule>
    <cfRule type="cellIs" dxfId="1" priority="1047" operator="greaterThan">
      <formula>120</formula>
    </cfRule>
    <cfRule type="containsText" dxfId="2" priority="420" operator="between" text="库存为">
      <formula>NOT(ISERROR(SEARCH("库存为",AU213)))</formula>
    </cfRule>
  </conditionalFormatting>
  <conditionalFormatting sqref="AU214">
    <cfRule type="cellIs" dxfId="0" priority="1673" operator="lessThan">
      <formula>20</formula>
    </cfRule>
    <cfRule type="cellIs" dxfId="1" priority="1046" operator="greaterThan">
      <formula>120</formula>
    </cfRule>
    <cfRule type="containsText" dxfId="2" priority="419" operator="between" text="库存为">
      <formula>NOT(ISERROR(SEARCH("库存为",AU214)))</formula>
    </cfRule>
  </conditionalFormatting>
  <conditionalFormatting sqref="AU215">
    <cfRule type="cellIs" dxfId="0" priority="1672" operator="lessThan">
      <formula>20</formula>
    </cfRule>
    <cfRule type="cellIs" dxfId="1" priority="1045" operator="greaterThan">
      <formula>120</formula>
    </cfRule>
    <cfRule type="containsText" dxfId="2" priority="418" operator="between" text="库存为">
      <formula>NOT(ISERROR(SEARCH("库存为",AU215)))</formula>
    </cfRule>
  </conditionalFormatting>
  <conditionalFormatting sqref="AU216">
    <cfRule type="cellIs" dxfId="0" priority="1671" operator="lessThan">
      <formula>20</formula>
    </cfRule>
    <cfRule type="cellIs" dxfId="1" priority="1044" operator="greaterThan">
      <formula>120</formula>
    </cfRule>
    <cfRule type="containsText" dxfId="2" priority="417" operator="between" text="库存为">
      <formula>NOT(ISERROR(SEARCH("库存为",AU216)))</formula>
    </cfRule>
  </conditionalFormatting>
  <conditionalFormatting sqref="AU217">
    <cfRule type="cellIs" dxfId="0" priority="1670" operator="lessThan">
      <formula>20</formula>
    </cfRule>
    <cfRule type="cellIs" dxfId="1" priority="1043" operator="greaterThan">
      <formula>120</formula>
    </cfRule>
    <cfRule type="containsText" dxfId="2" priority="416" operator="between" text="库存为">
      <formula>NOT(ISERROR(SEARCH("库存为",AU217)))</formula>
    </cfRule>
  </conditionalFormatting>
  <conditionalFormatting sqref="AU218">
    <cfRule type="cellIs" dxfId="0" priority="1669" operator="lessThan">
      <formula>20</formula>
    </cfRule>
    <cfRule type="cellIs" dxfId="1" priority="1042" operator="greaterThan">
      <formula>120</formula>
    </cfRule>
    <cfRule type="containsText" dxfId="2" priority="415" operator="between" text="库存为">
      <formula>NOT(ISERROR(SEARCH("库存为",AU218)))</formula>
    </cfRule>
  </conditionalFormatting>
  <conditionalFormatting sqref="AU219">
    <cfRule type="cellIs" dxfId="0" priority="1668" operator="lessThan">
      <formula>20</formula>
    </cfRule>
    <cfRule type="cellIs" dxfId="1" priority="1041" operator="greaterThan">
      <formula>120</formula>
    </cfRule>
    <cfRule type="containsText" dxfId="2" priority="414" operator="between" text="库存为">
      <formula>NOT(ISERROR(SEARCH("库存为",AU219)))</formula>
    </cfRule>
  </conditionalFormatting>
  <conditionalFormatting sqref="AU220">
    <cfRule type="cellIs" dxfId="0" priority="1667" operator="lessThan">
      <formula>20</formula>
    </cfRule>
    <cfRule type="cellIs" dxfId="1" priority="1040" operator="greaterThan">
      <formula>120</formula>
    </cfRule>
    <cfRule type="containsText" dxfId="2" priority="413" operator="between" text="库存为">
      <formula>NOT(ISERROR(SEARCH("库存为",AU220)))</formula>
    </cfRule>
  </conditionalFormatting>
  <conditionalFormatting sqref="AU221">
    <cfRule type="cellIs" dxfId="0" priority="1666" operator="lessThan">
      <formula>20</formula>
    </cfRule>
    <cfRule type="cellIs" dxfId="1" priority="1039" operator="greaterThan">
      <formula>120</formula>
    </cfRule>
    <cfRule type="containsText" dxfId="2" priority="412" operator="between" text="库存为">
      <formula>NOT(ISERROR(SEARCH("库存为",AU221)))</formula>
    </cfRule>
  </conditionalFormatting>
  <conditionalFormatting sqref="AU222">
    <cfRule type="cellIs" dxfId="0" priority="1665" operator="lessThan">
      <formula>20</formula>
    </cfRule>
    <cfRule type="cellIs" dxfId="1" priority="1038" operator="greaterThan">
      <formula>120</formula>
    </cfRule>
    <cfRule type="containsText" dxfId="2" priority="411" operator="between" text="库存为">
      <formula>NOT(ISERROR(SEARCH("库存为",AU222)))</formula>
    </cfRule>
  </conditionalFormatting>
  <conditionalFormatting sqref="AU223">
    <cfRule type="cellIs" dxfId="0" priority="1664" operator="lessThan">
      <formula>20</formula>
    </cfRule>
    <cfRule type="cellIs" dxfId="1" priority="1037" operator="greaterThan">
      <formula>120</formula>
    </cfRule>
    <cfRule type="containsText" dxfId="2" priority="410" operator="between" text="库存为">
      <formula>NOT(ISERROR(SEARCH("库存为",AU223)))</formula>
    </cfRule>
  </conditionalFormatting>
  <conditionalFormatting sqref="AU224">
    <cfRule type="cellIs" dxfId="0" priority="1663" operator="lessThan">
      <formula>20</formula>
    </cfRule>
    <cfRule type="cellIs" dxfId="1" priority="1036" operator="greaterThan">
      <formula>120</formula>
    </cfRule>
    <cfRule type="containsText" dxfId="2" priority="409" operator="between" text="库存为">
      <formula>NOT(ISERROR(SEARCH("库存为",AU224)))</formula>
    </cfRule>
  </conditionalFormatting>
  <conditionalFormatting sqref="AU225">
    <cfRule type="cellIs" dxfId="0" priority="1662" operator="lessThan">
      <formula>20</formula>
    </cfRule>
    <cfRule type="cellIs" dxfId="1" priority="1035" operator="greaterThan">
      <formula>120</formula>
    </cfRule>
    <cfRule type="containsText" dxfId="2" priority="408" operator="between" text="库存为">
      <formula>NOT(ISERROR(SEARCH("库存为",AU225)))</formula>
    </cfRule>
  </conditionalFormatting>
  <conditionalFormatting sqref="AU226">
    <cfRule type="cellIs" dxfId="0" priority="1661" operator="lessThan">
      <formula>20</formula>
    </cfRule>
    <cfRule type="cellIs" dxfId="1" priority="1034" operator="greaterThan">
      <formula>120</formula>
    </cfRule>
    <cfRule type="containsText" dxfId="2" priority="407" operator="between" text="库存为">
      <formula>NOT(ISERROR(SEARCH("库存为",AU226)))</formula>
    </cfRule>
  </conditionalFormatting>
  <conditionalFormatting sqref="AU227">
    <cfRule type="cellIs" dxfId="0" priority="1660" operator="lessThan">
      <formula>20</formula>
    </cfRule>
    <cfRule type="cellIs" dxfId="1" priority="1033" operator="greaterThan">
      <formula>120</formula>
    </cfRule>
    <cfRule type="containsText" dxfId="2" priority="406" operator="between" text="库存为">
      <formula>NOT(ISERROR(SEARCH("库存为",AU227)))</formula>
    </cfRule>
  </conditionalFormatting>
  <conditionalFormatting sqref="AU228">
    <cfRule type="cellIs" dxfId="0" priority="1659" operator="lessThan">
      <formula>20</formula>
    </cfRule>
    <cfRule type="cellIs" dxfId="1" priority="1032" operator="greaterThan">
      <formula>120</formula>
    </cfRule>
    <cfRule type="containsText" dxfId="2" priority="405" operator="between" text="库存为">
      <formula>NOT(ISERROR(SEARCH("库存为",AU228)))</formula>
    </cfRule>
  </conditionalFormatting>
  <conditionalFormatting sqref="AU229">
    <cfRule type="cellIs" dxfId="0" priority="1658" operator="lessThan">
      <formula>20</formula>
    </cfRule>
    <cfRule type="cellIs" dxfId="1" priority="1031" operator="greaterThan">
      <formula>120</formula>
    </cfRule>
    <cfRule type="containsText" dxfId="2" priority="404" operator="between" text="库存为">
      <formula>NOT(ISERROR(SEARCH("库存为",AU229)))</formula>
    </cfRule>
  </conditionalFormatting>
  <conditionalFormatting sqref="AU230">
    <cfRule type="cellIs" dxfId="0" priority="1657" operator="lessThan">
      <formula>20</formula>
    </cfRule>
    <cfRule type="cellIs" dxfId="1" priority="1030" operator="greaterThan">
      <formula>120</formula>
    </cfRule>
    <cfRule type="containsText" dxfId="2" priority="403" operator="between" text="库存为">
      <formula>NOT(ISERROR(SEARCH("库存为",AU230)))</formula>
    </cfRule>
  </conditionalFormatting>
  <conditionalFormatting sqref="AU231">
    <cfRule type="cellIs" dxfId="0" priority="1656" operator="lessThan">
      <formula>20</formula>
    </cfRule>
    <cfRule type="cellIs" dxfId="1" priority="1029" operator="greaterThan">
      <formula>120</formula>
    </cfRule>
    <cfRule type="containsText" dxfId="2" priority="402" operator="between" text="库存为">
      <formula>NOT(ISERROR(SEARCH("库存为",AU231)))</formula>
    </cfRule>
  </conditionalFormatting>
  <conditionalFormatting sqref="AU232">
    <cfRule type="cellIs" dxfId="0" priority="1655" operator="lessThan">
      <formula>20</formula>
    </cfRule>
    <cfRule type="cellIs" dxfId="1" priority="1028" operator="greaterThan">
      <formula>120</formula>
    </cfRule>
    <cfRule type="containsText" dxfId="2" priority="401" operator="between" text="库存为">
      <formula>NOT(ISERROR(SEARCH("库存为",AU232)))</formula>
    </cfRule>
  </conditionalFormatting>
  <conditionalFormatting sqref="AU233">
    <cfRule type="cellIs" dxfId="0" priority="1654" operator="lessThan">
      <formula>20</formula>
    </cfRule>
    <cfRule type="cellIs" dxfId="1" priority="1027" operator="greaterThan">
      <formula>120</formula>
    </cfRule>
    <cfRule type="containsText" dxfId="2" priority="400" operator="between" text="库存为">
      <formula>NOT(ISERROR(SEARCH("库存为",AU233)))</formula>
    </cfRule>
  </conditionalFormatting>
  <conditionalFormatting sqref="AU234">
    <cfRule type="cellIs" dxfId="0" priority="1653" operator="lessThan">
      <formula>20</formula>
    </cfRule>
    <cfRule type="cellIs" dxfId="1" priority="1026" operator="greaterThan">
      <formula>120</formula>
    </cfRule>
    <cfRule type="containsText" dxfId="2" priority="399" operator="between" text="库存为">
      <formula>NOT(ISERROR(SEARCH("库存为",AU234)))</formula>
    </cfRule>
  </conditionalFormatting>
  <conditionalFormatting sqref="AU235">
    <cfRule type="cellIs" dxfId="0" priority="1652" operator="lessThan">
      <formula>20</formula>
    </cfRule>
    <cfRule type="cellIs" dxfId="1" priority="1025" operator="greaterThan">
      <formula>120</formula>
    </cfRule>
    <cfRule type="containsText" dxfId="2" priority="398" operator="between" text="库存为">
      <formula>NOT(ISERROR(SEARCH("库存为",AU235)))</formula>
    </cfRule>
  </conditionalFormatting>
  <conditionalFormatting sqref="AU236">
    <cfRule type="cellIs" dxfId="0" priority="1651" operator="lessThan">
      <formula>20</formula>
    </cfRule>
    <cfRule type="cellIs" dxfId="1" priority="1024" operator="greaterThan">
      <formula>120</formula>
    </cfRule>
    <cfRule type="containsText" dxfId="2" priority="397" operator="between" text="库存为">
      <formula>NOT(ISERROR(SEARCH("库存为",AU236)))</formula>
    </cfRule>
  </conditionalFormatting>
  <conditionalFormatting sqref="AU237">
    <cfRule type="cellIs" dxfId="0" priority="1650" operator="lessThan">
      <formula>20</formula>
    </cfRule>
    <cfRule type="cellIs" dxfId="1" priority="1023" operator="greaterThan">
      <formula>120</formula>
    </cfRule>
    <cfRule type="containsText" dxfId="2" priority="396" operator="between" text="库存为">
      <formula>NOT(ISERROR(SEARCH("库存为",AU237)))</formula>
    </cfRule>
  </conditionalFormatting>
  <conditionalFormatting sqref="AU238">
    <cfRule type="cellIs" dxfId="0" priority="1649" operator="lessThan">
      <formula>20</formula>
    </cfRule>
    <cfRule type="cellIs" dxfId="1" priority="1022" operator="greaterThan">
      <formula>120</formula>
    </cfRule>
    <cfRule type="containsText" dxfId="2" priority="395" operator="between" text="库存为">
      <formula>NOT(ISERROR(SEARCH("库存为",AU238)))</formula>
    </cfRule>
  </conditionalFormatting>
  <conditionalFormatting sqref="AU239">
    <cfRule type="cellIs" dxfId="0" priority="1648" operator="lessThan">
      <formula>20</formula>
    </cfRule>
    <cfRule type="cellIs" dxfId="1" priority="1021" operator="greaterThan">
      <formula>120</formula>
    </cfRule>
    <cfRule type="containsText" dxfId="2" priority="394" operator="between" text="库存为">
      <formula>NOT(ISERROR(SEARCH("库存为",AU239)))</formula>
    </cfRule>
  </conditionalFormatting>
  <conditionalFormatting sqref="AU240">
    <cfRule type="cellIs" dxfId="0" priority="1647" operator="lessThan">
      <formula>20</formula>
    </cfRule>
    <cfRule type="cellIs" dxfId="1" priority="1020" operator="greaterThan">
      <formula>120</formula>
    </cfRule>
    <cfRule type="containsText" dxfId="2" priority="393" operator="between" text="库存为">
      <formula>NOT(ISERROR(SEARCH("库存为",AU240)))</formula>
    </cfRule>
  </conditionalFormatting>
  <conditionalFormatting sqref="AU241">
    <cfRule type="cellIs" dxfId="0" priority="1646" operator="lessThan">
      <formula>20</formula>
    </cfRule>
    <cfRule type="cellIs" dxfId="1" priority="1019" operator="greaterThan">
      <formula>120</formula>
    </cfRule>
    <cfRule type="containsText" dxfId="2" priority="392" operator="between" text="库存为">
      <formula>NOT(ISERROR(SEARCH("库存为",AU241)))</formula>
    </cfRule>
  </conditionalFormatting>
  <conditionalFormatting sqref="AU242">
    <cfRule type="cellIs" dxfId="0" priority="1645" operator="lessThan">
      <formula>20</formula>
    </cfRule>
    <cfRule type="cellIs" dxfId="1" priority="1018" operator="greaterThan">
      <formula>120</formula>
    </cfRule>
    <cfRule type="containsText" dxfId="2" priority="391" operator="between" text="库存为">
      <formula>NOT(ISERROR(SEARCH("库存为",AU242)))</formula>
    </cfRule>
  </conditionalFormatting>
  <conditionalFormatting sqref="AU243">
    <cfRule type="cellIs" dxfId="0" priority="1644" operator="lessThan">
      <formula>20</formula>
    </cfRule>
    <cfRule type="cellIs" dxfId="1" priority="1017" operator="greaterThan">
      <formula>120</formula>
    </cfRule>
    <cfRule type="containsText" dxfId="2" priority="390" operator="between" text="库存为">
      <formula>NOT(ISERROR(SEARCH("库存为",AU243)))</formula>
    </cfRule>
  </conditionalFormatting>
  <conditionalFormatting sqref="AU244">
    <cfRule type="cellIs" dxfId="0" priority="1643" operator="lessThan">
      <formula>20</formula>
    </cfRule>
    <cfRule type="cellIs" dxfId="1" priority="1016" operator="greaterThan">
      <formula>120</formula>
    </cfRule>
    <cfRule type="containsText" dxfId="2" priority="389" operator="between" text="库存为">
      <formula>NOT(ISERROR(SEARCH("库存为",AU244)))</formula>
    </cfRule>
  </conditionalFormatting>
  <conditionalFormatting sqref="AU245">
    <cfRule type="cellIs" dxfId="0" priority="1642" operator="lessThan">
      <formula>20</formula>
    </cfRule>
    <cfRule type="cellIs" dxfId="1" priority="1015" operator="greaterThan">
      <formula>120</formula>
    </cfRule>
    <cfRule type="containsText" dxfId="2" priority="388" operator="between" text="库存为">
      <formula>NOT(ISERROR(SEARCH("库存为",AU245)))</formula>
    </cfRule>
  </conditionalFormatting>
  <conditionalFormatting sqref="AU246">
    <cfRule type="cellIs" dxfId="0" priority="1641" operator="lessThan">
      <formula>20</formula>
    </cfRule>
    <cfRule type="cellIs" dxfId="1" priority="1014" operator="greaterThan">
      <formula>120</formula>
    </cfRule>
    <cfRule type="containsText" dxfId="2" priority="387" operator="between" text="库存为">
      <formula>NOT(ISERROR(SEARCH("库存为",AU246)))</formula>
    </cfRule>
  </conditionalFormatting>
  <conditionalFormatting sqref="AU247">
    <cfRule type="cellIs" dxfId="0" priority="1640" operator="lessThan">
      <formula>20</formula>
    </cfRule>
    <cfRule type="cellIs" dxfId="1" priority="1013" operator="greaterThan">
      <formula>120</formula>
    </cfRule>
    <cfRule type="containsText" dxfId="2" priority="386" operator="between" text="库存为">
      <formula>NOT(ISERROR(SEARCH("库存为",AU247)))</formula>
    </cfRule>
  </conditionalFormatting>
  <conditionalFormatting sqref="AU248">
    <cfRule type="cellIs" dxfId="0" priority="1639" operator="lessThan">
      <formula>20</formula>
    </cfRule>
    <cfRule type="cellIs" dxfId="1" priority="1012" operator="greaterThan">
      <formula>120</formula>
    </cfRule>
    <cfRule type="containsText" dxfId="2" priority="385" operator="between" text="库存为">
      <formula>NOT(ISERROR(SEARCH("库存为",AU248)))</formula>
    </cfRule>
  </conditionalFormatting>
  <conditionalFormatting sqref="AU249">
    <cfRule type="cellIs" dxfId="0" priority="1638" operator="lessThan">
      <formula>20</formula>
    </cfRule>
    <cfRule type="cellIs" dxfId="1" priority="1011" operator="greaterThan">
      <formula>120</formula>
    </cfRule>
    <cfRule type="containsText" dxfId="2" priority="384" operator="between" text="库存为">
      <formula>NOT(ISERROR(SEARCH("库存为",AU249)))</formula>
    </cfRule>
  </conditionalFormatting>
  <conditionalFormatting sqref="AU250">
    <cfRule type="cellIs" dxfId="0" priority="1637" operator="lessThan">
      <formula>20</formula>
    </cfRule>
    <cfRule type="cellIs" dxfId="1" priority="1010" operator="greaterThan">
      <formula>120</formula>
    </cfRule>
    <cfRule type="containsText" dxfId="2" priority="383" operator="between" text="库存为">
      <formula>NOT(ISERROR(SEARCH("库存为",AU250)))</formula>
    </cfRule>
  </conditionalFormatting>
  <conditionalFormatting sqref="AU251">
    <cfRule type="cellIs" dxfId="0" priority="1636" operator="lessThan">
      <formula>20</formula>
    </cfRule>
    <cfRule type="cellIs" dxfId="1" priority="1009" operator="greaterThan">
      <formula>120</formula>
    </cfRule>
    <cfRule type="containsText" dxfId="2" priority="382" operator="between" text="库存为">
      <formula>NOT(ISERROR(SEARCH("库存为",AU251)))</formula>
    </cfRule>
  </conditionalFormatting>
  <conditionalFormatting sqref="AU252">
    <cfRule type="cellIs" dxfId="0" priority="1635" operator="lessThan">
      <formula>20</formula>
    </cfRule>
    <cfRule type="cellIs" dxfId="1" priority="1008" operator="greaterThan">
      <formula>120</formula>
    </cfRule>
    <cfRule type="containsText" dxfId="2" priority="381" operator="between" text="库存为">
      <formula>NOT(ISERROR(SEARCH("库存为",AU252)))</formula>
    </cfRule>
  </conditionalFormatting>
  <conditionalFormatting sqref="AU253">
    <cfRule type="cellIs" dxfId="0" priority="1634" operator="lessThan">
      <formula>20</formula>
    </cfRule>
    <cfRule type="cellIs" dxfId="1" priority="1007" operator="greaterThan">
      <formula>120</formula>
    </cfRule>
    <cfRule type="containsText" dxfId="2" priority="380" operator="between" text="库存为">
      <formula>NOT(ISERROR(SEARCH("库存为",AU253)))</formula>
    </cfRule>
  </conditionalFormatting>
  <conditionalFormatting sqref="AU254">
    <cfRule type="cellIs" dxfId="0" priority="1633" operator="lessThan">
      <formula>20</formula>
    </cfRule>
    <cfRule type="cellIs" dxfId="1" priority="1006" operator="greaterThan">
      <formula>120</formula>
    </cfRule>
    <cfRule type="containsText" dxfId="2" priority="379" operator="between" text="库存为">
      <formula>NOT(ISERROR(SEARCH("库存为",AU254)))</formula>
    </cfRule>
  </conditionalFormatting>
  <conditionalFormatting sqref="AU255">
    <cfRule type="cellIs" dxfId="0" priority="1632" operator="lessThan">
      <formula>20</formula>
    </cfRule>
    <cfRule type="cellIs" dxfId="1" priority="1005" operator="greaterThan">
      <formula>120</formula>
    </cfRule>
    <cfRule type="containsText" dxfId="2" priority="378" operator="between" text="库存为">
      <formula>NOT(ISERROR(SEARCH("库存为",AU255)))</formula>
    </cfRule>
  </conditionalFormatting>
  <conditionalFormatting sqref="AU256">
    <cfRule type="cellIs" dxfId="0" priority="1631" operator="lessThan">
      <formula>20</formula>
    </cfRule>
    <cfRule type="cellIs" dxfId="1" priority="1004" operator="greaterThan">
      <formula>120</formula>
    </cfRule>
    <cfRule type="containsText" dxfId="2" priority="377" operator="between" text="库存为">
      <formula>NOT(ISERROR(SEARCH("库存为",AU256)))</formula>
    </cfRule>
  </conditionalFormatting>
  <conditionalFormatting sqref="AU257">
    <cfRule type="cellIs" dxfId="0" priority="1630" operator="lessThan">
      <formula>20</formula>
    </cfRule>
    <cfRule type="cellIs" dxfId="1" priority="1003" operator="greaterThan">
      <formula>120</formula>
    </cfRule>
    <cfRule type="containsText" dxfId="2" priority="376" operator="between" text="库存为">
      <formula>NOT(ISERROR(SEARCH("库存为",AU257)))</formula>
    </cfRule>
  </conditionalFormatting>
  <conditionalFormatting sqref="AU258">
    <cfRule type="cellIs" dxfId="0" priority="1629" operator="lessThan">
      <formula>20</formula>
    </cfRule>
    <cfRule type="cellIs" dxfId="1" priority="1002" operator="greaterThan">
      <formula>120</formula>
    </cfRule>
    <cfRule type="containsText" dxfId="2" priority="375" operator="between" text="库存为">
      <formula>NOT(ISERROR(SEARCH("库存为",AU258)))</formula>
    </cfRule>
  </conditionalFormatting>
  <conditionalFormatting sqref="AU259">
    <cfRule type="cellIs" dxfId="0" priority="1628" operator="lessThan">
      <formula>20</formula>
    </cfRule>
    <cfRule type="cellIs" dxfId="1" priority="1001" operator="greaterThan">
      <formula>120</formula>
    </cfRule>
    <cfRule type="containsText" dxfId="2" priority="374" operator="between" text="库存为">
      <formula>NOT(ISERROR(SEARCH("库存为",AU259)))</formula>
    </cfRule>
  </conditionalFormatting>
  <conditionalFormatting sqref="AU260">
    <cfRule type="cellIs" dxfId="0" priority="1627" operator="lessThan">
      <formula>20</formula>
    </cfRule>
    <cfRule type="cellIs" dxfId="1" priority="1000" operator="greaterThan">
      <formula>120</formula>
    </cfRule>
    <cfRule type="containsText" dxfId="2" priority="373" operator="between" text="库存为">
      <formula>NOT(ISERROR(SEARCH("库存为",AU260)))</formula>
    </cfRule>
  </conditionalFormatting>
  <conditionalFormatting sqref="AU261">
    <cfRule type="cellIs" dxfId="0" priority="1626" operator="lessThan">
      <formula>20</formula>
    </cfRule>
    <cfRule type="cellIs" dxfId="1" priority="999" operator="greaterThan">
      <formula>120</formula>
    </cfRule>
    <cfRule type="containsText" dxfId="2" priority="372" operator="between" text="库存为">
      <formula>NOT(ISERROR(SEARCH("库存为",AU261)))</formula>
    </cfRule>
  </conditionalFormatting>
  <conditionalFormatting sqref="AU262">
    <cfRule type="cellIs" dxfId="0" priority="1625" operator="lessThan">
      <formula>20</formula>
    </cfRule>
    <cfRule type="cellIs" dxfId="1" priority="998" operator="greaterThan">
      <formula>120</formula>
    </cfRule>
    <cfRule type="containsText" dxfId="2" priority="371" operator="between" text="库存为">
      <formula>NOT(ISERROR(SEARCH("库存为",AU262)))</formula>
    </cfRule>
  </conditionalFormatting>
  <conditionalFormatting sqref="AU263">
    <cfRule type="cellIs" dxfId="0" priority="1624" operator="lessThan">
      <formula>20</formula>
    </cfRule>
    <cfRule type="cellIs" dxfId="1" priority="997" operator="greaterThan">
      <formula>120</formula>
    </cfRule>
    <cfRule type="containsText" dxfId="2" priority="370" operator="between" text="库存为">
      <formula>NOT(ISERROR(SEARCH("库存为",AU263)))</formula>
    </cfRule>
  </conditionalFormatting>
  <conditionalFormatting sqref="AU264">
    <cfRule type="cellIs" dxfId="0" priority="1623" operator="lessThan">
      <formula>20</formula>
    </cfRule>
    <cfRule type="cellIs" dxfId="1" priority="996" operator="greaterThan">
      <formula>120</formula>
    </cfRule>
    <cfRule type="containsText" dxfId="2" priority="369" operator="between" text="库存为">
      <formula>NOT(ISERROR(SEARCH("库存为",AU264)))</formula>
    </cfRule>
  </conditionalFormatting>
  <conditionalFormatting sqref="AU265">
    <cfRule type="cellIs" dxfId="0" priority="1622" operator="lessThan">
      <formula>20</formula>
    </cfRule>
    <cfRule type="cellIs" dxfId="1" priority="995" operator="greaterThan">
      <formula>120</formula>
    </cfRule>
    <cfRule type="containsText" dxfId="2" priority="368" operator="between" text="库存为">
      <formula>NOT(ISERROR(SEARCH("库存为",AU265)))</formula>
    </cfRule>
  </conditionalFormatting>
  <conditionalFormatting sqref="AU266">
    <cfRule type="cellIs" dxfId="0" priority="1621" operator="lessThan">
      <formula>20</formula>
    </cfRule>
    <cfRule type="cellIs" dxfId="1" priority="994" operator="greaterThan">
      <formula>120</formula>
    </cfRule>
    <cfRule type="containsText" dxfId="2" priority="367" operator="between" text="库存为">
      <formula>NOT(ISERROR(SEARCH("库存为",AU266)))</formula>
    </cfRule>
  </conditionalFormatting>
  <conditionalFormatting sqref="AU267">
    <cfRule type="cellIs" dxfId="0" priority="1620" operator="lessThan">
      <formula>20</formula>
    </cfRule>
    <cfRule type="cellIs" dxfId="1" priority="993" operator="greaterThan">
      <formula>120</formula>
    </cfRule>
    <cfRule type="containsText" dxfId="2" priority="366" operator="between" text="库存为">
      <formula>NOT(ISERROR(SEARCH("库存为",AU267)))</formula>
    </cfRule>
  </conditionalFormatting>
  <conditionalFormatting sqref="AU268">
    <cfRule type="cellIs" dxfId="0" priority="1619" operator="lessThan">
      <formula>20</formula>
    </cfRule>
    <cfRule type="cellIs" dxfId="1" priority="992" operator="greaterThan">
      <formula>120</formula>
    </cfRule>
    <cfRule type="containsText" dxfId="2" priority="365" operator="between" text="库存为">
      <formula>NOT(ISERROR(SEARCH("库存为",AU268)))</formula>
    </cfRule>
  </conditionalFormatting>
  <conditionalFormatting sqref="AU269">
    <cfRule type="cellIs" dxfId="0" priority="1618" operator="lessThan">
      <formula>20</formula>
    </cfRule>
    <cfRule type="cellIs" dxfId="1" priority="991" operator="greaterThan">
      <formula>120</formula>
    </cfRule>
    <cfRule type="containsText" dxfId="2" priority="364" operator="between" text="库存为">
      <formula>NOT(ISERROR(SEARCH("库存为",AU269)))</formula>
    </cfRule>
  </conditionalFormatting>
  <conditionalFormatting sqref="AU270">
    <cfRule type="cellIs" dxfId="0" priority="1617" operator="lessThan">
      <formula>20</formula>
    </cfRule>
    <cfRule type="cellIs" dxfId="1" priority="990" operator="greaterThan">
      <formula>120</formula>
    </cfRule>
    <cfRule type="containsText" dxfId="2" priority="363" operator="between" text="库存为">
      <formula>NOT(ISERROR(SEARCH("库存为",AU270)))</formula>
    </cfRule>
  </conditionalFormatting>
  <conditionalFormatting sqref="AU271">
    <cfRule type="cellIs" dxfId="0" priority="1616" operator="lessThan">
      <formula>20</formula>
    </cfRule>
    <cfRule type="cellIs" dxfId="1" priority="989" operator="greaterThan">
      <formula>120</formula>
    </cfRule>
    <cfRule type="containsText" dxfId="2" priority="362" operator="between" text="库存为">
      <formula>NOT(ISERROR(SEARCH("库存为",AU271)))</formula>
    </cfRule>
  </conditionalFormatting>
  <conditionalFormatting sqref="AU272">
    <cfRule type="cellIs" dxfId="0" priority="1615" operator="lessThan">
      <formula>20</formula>
    </cfRule>
    <cfRule type="cellIs" dxfId="1" priority="988" operator="greaterThan">
      <formula>120</formula>
    </cfRule>
    <cfRule type="containsText" dxfId="2" priority="361" operator="between" text="库存为">
      <formula>NOT(ISERROR(SEARCH("库存为",AU272)))</formula>
    </cfRule>
  </conditionalFormatting>
  <conditionalFormatting sqref="AU273">
    <cfRule type="cellIs" dxfId="0" priority="1614" operator="lessThan">
      <formula>20</formula>
    </cfRule>
    <cfRule type="cellIs" dxfId="1" priority="987" operator="greaterThan">
      <formula>120</formula>
    </cfRule>
    <cfRule type="containsText" dxfId="2" priority="360" operator="between" text="库存为">
      <formula>NOT(ISERROR(SEARCH("库存为",AU273)))</formula>
    </cfRule>
  </conditionalFormatting>
  <conditionalFormatting sqref="AU274">
    <cfRule type="cellIs" dxfId="0" priority="1613" operator="lessThan">
      <formula>20</formula>
    </cfRule>
    <cfRule type="cellIs" dxfId="1" priority="986" operator="greaterThan">
      <formula>120</formula>
    </cfRule>
    <cfRule type="containsText" dxfId="2" priority="359" operator="between" text="库存为">
      <formula>NOT(ISERROR(SEARCH("库存为",AU274)))</formula>
    </cfRule>
  </conditionalFormatting>
  <conditionalFormatting sqref="AU275">
    <cfRule type="cellIs" dxfId="0" priority="1612" operator="lessThan">
      <formula>20</formula>
    </cfRule>
    <cfRule type="cellIs" dxfId="1" priority="985" operator="greaterThan">
      <formula>120</formula>
    </cfRule>
    <cfRule type="containsText" dxfId="2" priority="358" operator="between" text="库存为">
      <formula>NOT(ISERROR(SEARCH("库存为",AU275)))</formula>
    </cfRule>
  </conditionalFormatting>
  <conditionalFormatting sqref="AU276">
    <cfRule type="cellIs" dxfId="0" priority="1611" operator="lessThan">
      <formula>20</formula>
    </cfRule>
    <cfRule type="cellIs" dxfId="1" priority="984" operator="greaterThan">
      <formula>120</formula>
    </cfRule>
    <cfRule type="containsText" dxfId="2" priority="357" operator="between" text="库存为">
      <formula>NOT(ISERROR(SEARCH("库存为",AU276)))</formula>
    </cfRule>
  </conditionalFormatting>
  <conditionalFormatting sqref="AU277">
    <cfRule type="cellIs" dxfId="0" priority="1610" operator="lessThan">
      <formula>20</formula>
    </cfRule>
    <cfRule type="cellIs" dxfId="1" priority="983" operator="greaterThan">
      <formula>120</formula>
    </cfRule>
    <cfRule type="containsText" dxfId="2" priority="356" operator="between" text="库存为">
      <formula>NOT(ISERROR(SEARCH("库存为",AU277)))</formula>
    </cfRule>
  </conditionalFormatting>
  <conditionalFormatting sqref="AU278">
    <cfRule type="cellIs" dxfId="0" priority="1609" operator="lessThan">
      <formula>20</formula>
    </cfRule>
    <cfRule type="cellIs" dxfId="1" priority="982" operator="greaterThan">
      <formula>120</formula>
    </cfRule>
    <cfRule type="containsText" dxfId="2" priority="355" operator="between" text="库存为">
      <formula>NOT(ISERROR(SEARCH("库存为",AU278)))</formula>
    </cfRule>
  </conditionalFormatting>
  <conditionalFormatting sqref="AU279">
    <cfRule type="cellIs" dxfId="0" priority="1608" operator="lessThan">
      <formula>20</formula>
    </cfRule>
    <cfRule type="cellIs" dxfId="1" priority="981" operator="greaterThan">
      <formula>120</formula>
    </cfRule>
    <cfRule type="containsText" dxfId="2" priority="354" operator="between" text="库存为">
      <formula>NOT(ISERROR(SEARCH("库存为",AU279)))</formula>
    </cfRule>
  </conditionalFormatting>
  <conditionalFormatting sqref="AU280">
    <cfRule type="cellIs" dxfId="0" priority="1607" operator="lessThan">
      <formula>20</formula>
    </cfRule>
    <cfRule type="cellIs" dxfId="1" priority="980" operator="greaterThan">
      <formula>120</formula>
    </cfRule>
    <cfRule type="containsText" dxfId="2" priority="353" operator="between" text="库存为">
      <formula>NOT(ISERROR(SEARCH("库存为",AU280)))</formula>
    </cfRule>
  </conditionalFormatting>
  <conditionalFormatting sqref="AU281">
    <cfRule type="cellIs" dxfId="0" priority="1606" operator="lessThan">
      <formula>20</formula>
    </cfRule>
    <cfRule type="cellIs" dxfId="1" priority="979" operator="greaterThan">
      <formula>120</formula>
    </cfRule>
    <cfRule type="containsText" dxfId="2" priority="352" operator="between" text="库存为">
      <formula>NOT(ISERROR(SEARCH("库存为",AU281)))</formula>
    </cfRule>
  </conditionalFormatting>
  <conditionalFormatting sqref="AU282">
    <cfRule type="cellIs" dxfId="0" priority="1605" operator="lessThan">
      <formula>20</formula>
    </cfRule>
    <cfRule type="cellIs" dxfId="1" priority="978" operator="greaterThan">
      <formula>120</formula>
    </cfRule>
    <cfRule type="containsText" dxfId="2" priority="351" operator="between" text="库存为">
      <formula>NOT(ISERROR(SEARCH("库存为",AU282)))</formula>
    </cfRule>
  </conditionalFormatting>
  <conditionalFormatting sqref="AU283">
    <cfRule type="cellIs" dxfId="0" priority="1604" operator="lessThan">
      <formula>20</formula>
    </cfRule>
    <cfRule type="cellIs" dxfId="1" priority="977" operator="greaterThan">
      <formula>120</formula>
    </cfRule>
    <cfRule type="containsText" dxfId="2" priority="350" operator="between" text="库存为">
      <formula>NOT(ISERROR(SEARCH("库存为",AU283)))</formula>
    </cfRule>
  </conditionalFormatting>
  <conditionalFormatting sqref="AU284">
    <cfRule type="cellIs" dxfId="0" priority="1603" operator="lessThan">
      <formula>20</formula>
    </cfRule>
    <cfRule type="cellIs" dxfId="1" priority="976" operator="greaterThan">
      <formula>120</formula>
    </cfRule>
    <cfRule type="containsText" dxfId="2" priority="349" operator="between" text="库存为">
      <formula>NOT(ISERROR(SEARCH("库存为",AU284)))</formula>
    </cfRule>
  </conditionalFormatting>
  <conditionalFormatting sqref="AU285">
    <cfRule type="cellIs" dxfId="0" priority="1602" operator="lessThan">
      <formula>20</formula>
    </cfRule>
    <cfRule type="cellIs" dxfId="1" priority="975" operator="greaterThan">
      <formula>120</formula>
    </cfRule>
    <cfRule type="containsText" dxfId="2" priority="348" operator="between" text="库存为">
      <formula>NOT(ISERROR(SEARCH("库存为",AU285)))</formula>
    </cfRule>
  </conditionalFormatting>
  <conditionalFormatting sqref="AU286">
    <cfRule type="cellIs" dxfId="0" priority="1601" operator="lessThan">
      <formula>20</formula>
    </cfRule>
    <cfRule type="cellIs" dxfId="1" priority="974" operator="greaterThan">
      <formula>120</formula>
    </cfRule>
    <cfRule type="containsText" dxfId="2" priority="347" operator="between" text="库存为">
      <formula>NOT(ISERROR(SEARCH("库存为",AU286)))</formula>
    </cfRule>
  </conditionalFormatting>
  <conditionalFormatting sqref="AU287">
    <cfRule type="cellIs" dxfId="0" priority="1600" operator="lessThan">
      <formula>20</formula>
    </cfRule>
    <cfRule type="cellIs" dxfId="1" priority="973" operator="greaterThan">
      <formula>120</formula>
    </cfRule>
    <cfRule type="containsText" dxfId="2" priority="346" operator="between" text="库存为">
      <formula>NOT(ISERROR(SEARCH("库存为",AU287)))</formula>
    </cfRule>
  </conditionalFormatting>
  <conditionalFormatting sqref="AU288">
    <cfRule type="cellIs" dxfId="0" priority="1599" operator="lessThan">
      <formula>20</formula>
    </cfRule>
    <cfRule type="cellIs" dxfId="1" priority="972" operator="greaterThan">
      <formula>120</formula>
    </cfRule>
    <cfRule type="containsText" dxfId="2" priority="345" operator="between" text="库存为">
      <formula>NOT(ISERROR(SEARCH("库存为",AU288)))</formula>
    </cfRule>
  </conditionalFormatting>
  <conditionalFormatting sqref="AU289">
    <cfRule type="cellIs" dxfId="0" priority="1598" operator="lessThan">
      <formula>20</formula>
    </cfRule>
    <cfRule type="cellIs" dxfId="1" priority="971" operator="greaterThan">
      <formula>120</formula>
    </cfRule>
    <cfRule type="containsText" dxfId="2" priority="344" operator="between" text="库存为">
      <formula>NOT(ISERROR(SEARCH("库存为",AU289)))</formula>
    </cfRule>
  </conditionalFormatting>
  <conditionalFormatting sqref="AU290">
    <cfRule type="cellIs" dxfId="0" priority="1597" operator="lessThan">
      <formula>20</formula>
    </cfRule>
    <cfRule type="cellIs" dxfId="1" priority="970" operator="greaterThan">
      <formula>120</formula>
    </cfRule>
    <cfRule type="containsText" dxfId="2" priority="343" operator="between" text="库存为">
      <formula>NOT(ISERROR(SEARCH("库存为",AU290)))</formula>
    </cfRule>
  </conditionalFormatting>
  <conditionalFormatting sqref="AU291">
    <cfRule type="cellIs" dxfId="0" priority="1596" operator="lessThan">
      <formula>20</formula>
    </cfRule>
    <cfRule type="cellIs" dxfId="1" priority="969" operator="greaterThan">
      <formula>120</formula>
    </cfRule>
    <cfRule type="containsText" dxfId="2" priority="342" operator="between" text="库存为">
      <formula>NOT(ISERROR(SEARCH("库存为",AU291)))</formula>
    </cfRule>
  </conditionalFormatting>
  <conditionalFormatting sqref="AU292">
    <cfRule type="cellIs" dxfId="0" priority="1595" operator="lessThan">
      <formula>20</formula>
    </cfRule>
    <cfRule type="cellIs" dxfId="1" priority="968" operator="greaterThan">
      <formula>120</formula>
    </cfRule>
    <cfRule type="containsText" dxfId="2" priority="341" operator="between" text="库存为">
      <formula>NOT(ISERROR(SEARCH("库存为",AU292)))</formula>
    </cfRule>
  </conditionalFormatting>
  <conditionalFormatting sqref="AU293">
    <cfRule type="cellIs" dxfId="0" priority="1594" operator="lessThan">
      <formula>20</formula>
    </cfRule>
    <cfRule type="cellIs" dxfId="1" priority="967" operator="greaterThan">
      <formula>120</formula>
    </cfRule>
    <cfRule type="containsText" dxfId="2" priority="340" operator="between" text="库存为">
      <formula>NOT(ISERROR(SEARCH("库存为",AU293)))</formula>
    </cfRule>
  </conditionalFormatting>
  <conditionalFormatting sqref="AU294">
    <cfRule type="cellIs" dxfId="0" priority="1593" operator="lessThan">
      <formula>20</formula>
    </cfRule>
    <cfRule type="cellIs" dxfId="1" priority="966" operator="greaterThan">
      <formula>120</formula>
    </cfRule>
    <cfRule type="containsText" dxfId="2" priority="339" operator="between" text="库存为">
      <formula>NOT(ISERROR(SEARCH("库存为",AU294)))</formula>
    </cfRule>
  </conditionalFormatting>
  <conditionalFormatting sqref="AU295">
    <cfRule type="cellIs" dxfId="0" priority="1592" operator="lessThan">
      <formula>20</formula>
    </cfRule>
    <cfRule type="cellIs" dxfId="1" priority="965" operator="greaterThan">
      <formula>120</formula>
    </cfRule>
    <cfRule type="containsText" dxfId="2" priority="338" operator="between" text="库存为">
      <formula>NOT(ISERROR(SEARCH("库存为",AU295)))</formula>
    </cfRule>
  </conditionalFormatting>
  <conditionalFormatting sqref="AU296">
    <cfRule type="cellIs" dxfId="0" priority="1591" operator="lessThan">
      <formula>20</formula>
    </cfRule>
    <cfRule type="cellIs" dxfId="1" priority="964" operator="greaterThan">
      <formula>120</formula>
    </cfRule>
    <cfRule type="containsText" dxfId="2" priority="337" operator="between" text="库存为">
      <formula>NOT(ISERROR(SEARCH("库存为",AU296)))</formula>
    </cfRule>
  </conditionalFormatting>
  <conditionalFormatting sqref="AU297">
    <cfRule type="cellIs" dxfId="0" priority="1590" operator="lessThan">
      <formula>20</formula>
    </cfRule>
    <cfRule type="cellIs" dxfId="1" priority="963" operator="greaterThan">
      <formula>120</formula>
    </cfRule>
    <cfRule type="containsText" dxfId="2" priority="336" operator="between" text="库存为">
      <formula>NOT(ISERROR(SEARCH("库存为",AU297)))</formula>
    </cfRule>
  </conditionalFormatting>
  <conditionalFormatting sqref="AU298">
    <cfRule type="cellIs" dxfId="0" priority="1589" operator="lessThan">
      <formula>20</formula>
    </cfRule>
    <cfRule type="cellIs" dxfId="1" priority="962" operator="greaterThan">
      <formula>120</formula>
    </cfRule>
    <cfRule type="containsText" dxfId="2" priority="335" operator="between" text="库存为">
      <formula>NOT(ISERROR(SEARCH("库存为",AU298)))</formula>
    </cfRule>
  </conditionalFormatting>
  <conditionalFormatting sqref="AU299">
    <cfRule type="cellIs" dxfId="0" priority="1588" operator="lessThan">
      <formula>20</formula>
    </cfRule>
    <cfRule type="cellIs" dxfId="1" priority="961" operator="greaterThan">
      <formula>120</formula>
    </cfRule>
    <cfRule type="containsText" dxfId="2" priority="334" operator="between" text="库存为">
      <formula>NOT(ISERROR(SEARCH("库存为",AU299)))</formula>
    </cfRule>
  </conditionalFormatting>
  <conditionalFormatting sqref="AU300">
    <cfRule type="cellIs" dxfId="0" priority="1587" operator="lessThan">
      <formula>20</formula>
    </cfRule>
    <cfRule type="cellIs" dxfId="1" priority="960" operator="greaterThan">
      <formula>120</formula>
    </cfRule>
    <cfRule type="containsText" dxfId="2" priority="333" operator="between" text="库存为">
      <formula>NOT(ISERROR(SEARCH("库存为",AU300)))</formula>
    </cfRule>
  </conditionalFormatting>
  <conditionalFormatting sqref="AU301">
    <cfRule type="cellIs" dxfId="0" priority="1586" operator="lessThan">
      <formula>20</formula>
    </cfRule>
    <cfRule type="cellIs" dxfId="1" priority="959" operator="greaterThan">
      <formula>120</formula>
    </cfRule>
    <cfRule type="containsText" dxfId="2" priority="332" operator="between" text="库存为">
      <formula>NOT(ISERROR(SEARCH("库存为",AU301)))</formula>
    </cfRule>
  </conditionalFormatting>
  <conditionalFormatting sqref="AU302">
    <cfRule type="cellIs" dxfId="0" priority="1585" operator="lessThan">
      <formula>20</formula>
    </cfRule>
    <cfRule type="cellIs" dxfId="1" priority="958" operator="greaterThan">
      <formula>120</formula>
    </cfRule>
    <cfRule type="containsText" dxfId="2" priority="331" operator="between" text="库存为">
      <formula>NOT(ISERROR(SEARCH("库存为",AU302)))</formula>
    </cfRule>
  </conditionalFormatting>
  <conditionalFormatting sqref="AU303">
    <cfRule type="cellIs" dxfId="0" priority="1584" operator="lessThan">
      <formula>20</formula>
    </cfRule>
    <cfRule type="cellIs" dxfId="1" priority="957" operator="greaterThan">
      <formula>120</formula>
    </cfRule>
    <cfRule type="containsText" dxfId="2" priority="330" operator="between" text="库存为">
      <formula>NOT(ISERROR(SEARCH("库存为",AU303)))</formula>
    </cfRule>
  </conditionalFormatting>
  <conditionalFormatting sqref="AU304">
    <cfRule type="cellIs" dxfId="0" priority="1583" operator="lessThan">
      <formula>20</formula>
    </cfRule>
    <cfRule type="cellIs" dxfId="1" priority="956" operator="greaterThan">
      <formula>120</formula>
    </cfRule>
    <cfRule type="containsText" dxfId="2" priority="329" operator="between" text="库存为">
      <formula>NOT(ISERROR(SEARCH("库存为",AU304)))</formula>
    </cfRule>
  </conditionalFormatting>
  <conditionalFormatting sqref="AU305">
    <cfRule type="cellIs" dxfId="0" priority="1582" operator="lessThan">
      <formula>20</formula>
    </cfRule>
    <cfRule type="cellIs" dxfId="1" priority="955" operator="greaterThan">
      <formula>120</formula>
    </cfRule>
    <cfRule type="containsText" dxfId="2" priority="328" operator="between" text="库存为">
      <formula>NOT(ISERROR(SEARCH("库存为",AU305)))</formula>
    </cfRule>
  </conditionalFormatting>
  <conditionalFormatting sqref="AU306">
    <cfRule type="cellIs" dxfId="0" priority="1581" operator="lessThan">
      <formula>20</formula>
    </cfRule>
    <cfRule type="cellIs" dxfId="1" priority="954" operator="greaterThan">
      <formula>120</formula>
    </cfRule>
    <cfRule type="containsText" dxfId="2" priority="327" operator="between" text="库存为">
      <formula>NOT(ISERROR(SEARCH("库存为",AU306)))</formula>
    </cfRule>
  </conditionalFormatting>
  <conditionalFormatting sqref="AU307">
    <cfRule type="cellIs" dxfId="0" priority="1580" operator="lessThan">
      <formula>20</formula>
    </cfRule>
    <cfRule type="cellIs" dxfId="1" priority="953" operator="greaterThan">
      <formula>120</formula>
    </cfRule>
    <cfRule type="containsText" dxfId="2" priority="326" operator="between" text="库存为">
      <formula>NOT(ISERROR(SEARCH("库存为",AU307)))</formula>
    </cfRule>
  </conditionalFormatting>
  <conditionalFormatting sqref="AU308">
    <cfRule type="cellIs" dxfId="0" priority="1579" operator="lessThan">
      <formula>20</formula>
    </cfRule>
    <cfRule type="cellIs" dxfId="1" priority="952" operator="greaterThan">
      <formula>120</formula>
    </cfRule>
    <cfRule type="containsText" dxfId="2" priority="325" operator="between" text="库存为">
      <formula>NOT(ISERROR(SEARCH("库存为",AU308)))</formula>
    </cfRule>
  </conditionalFormatting>
  <conditionalFormatting sqref="AU309">
    <cfRule type="cellIs" dxfId="0" priority="1578" operator="lessThan">
      <formula>20</formula>
    </cfRule>
    <cfRule type="cellIs" dxfId="1" priority="951" operator="greaterThan">
      <formula>120</formula>
    </cfRule>
    <cfRule type="containsText" dxfId="2" priority="324" operator="between" text="库存为">
      <formula>NOT(ISERROR(SEARCH("库存为",AU309)))</formula>
    </cfRule>
  </conditionalFormatting>
  <conditionalFormatting sqref="AU310">
    <cfRule type="cellIs" dxfId="0" priority="1577" operator="lessThan">
      <formula>20</formula>
    </cfRule>
    <cfRule type="cellIs" dxfId="1" priority="950" operator="greaterThan">
      <formula>120</formula>
    </cfRule>
    <cfRule type="containsText" dxfId="2" priority="323" operator="between" text="库存为">
      <formula>NOT(ISERROR(SEARCH("库存为",AU310)))</formula>
    </cfRule>
  </conditionalFormatting>
  <conditionalFormatting sqref="AU311">
    <cfRule type="cellIs" dxfId="0" priority="1576" operator="lessThan">
      <formula>20</formula>
    </cfRule>
    <cfRule type="cellIs" dxfId="1" priority="949" operator="greaterThan">
      <formula>120</formula>
    </cfRule>
    <cfRule type="containsText" dxfId="2" priority="322" operator="between" text="库存为">
      <formula>NOT(ISERROR(SEARCH("库存为",AU311)))</formula>
    </cfRule>
  </conditionalFormatting>
  <conditionalFormatting sqref="AU312">
    <cfRule type="cellIs" dxfId="0" priority="1575" operator="lessThan">
      <formula>20</formula>
    </cfRule>
    <cfRule type="cellIs" dxfId="1" priority="948" operator="greaterThan">
      <formula>120</formula>
    </cfRule>
    <cfRule type="containsText" dxfId="2" priority="321" operator="between" text="库存为">
      <formula>NOT(ISERROR(SEARCH("库存为",AU312)))</formula>
    </cfRule>
  </conditionalFormatting>
  <conditionalFormatting sqref="AU313">
    <cfRule type="cellIs" dxfId="0" priority="1574" operator="lessThan">
      <formula>20</formula>
    </cfRule>
    <cfRule type="cellIs" dxfId="1" priority="947" operator="greaterThan">
      <formula>120</formula>
    </cfRule>
    <cfRule type="containsText" dxfId="2" priority="320" operator="between" text="库存为">
      <formula>NOT(ISERROR(SEARCH("库存为",AU313)))</formula>
    </cfRule>
  </conditionalFormatting>
  <conditionalFormatting sqref="AU314">
    <cfRule type="cellIs" dxfId="0" priority="1573" operator="lessThan">
      <formula>20</formula>
    </cfRule>
    <cfRule type="cellIs" dxfId="1" priority="946" operator="greaterThan">
      <formula>120</formula>
    </cfRule>
    <cfRule type="containsText" dxfId="2" priority="319" operator="between" text="库存为">
      <formula>NOT(ISERROR(SEARCH("库存为",AU314)))</formula>
    </cfRule>
  </conditionalFormatting>
  <conditionalFormatting sqref="AU315">
    <cfRule type="cellIs" dxfId="0" priority="1572" operator="lessThan">
      <formula>20</formula>
    </cfRule>
    <cfRule type="cellIs" dxfId="1" priority="945" operator="greaterThan">
      <formula>120</formula>
    </cfRule>
    <cfRule type="containsText" dxfId="2" priority="318" operator="between" text="库存为">
      <formula>NOT(ISERROR(SEARCH("库存为",AU315)))</formula>
    </cfRule>
  </conditionalFormatting>
  <conditionalFormatting sqref="AU316">
    <cfRule type="cellIs" dxfId="0" priority="1571" operator="lessThan">
      <formula>20</formula>
    </cfRule>
    <cfRule type="cellIs" dxfId="1" priority="944" operator="greaterThan">
      <formula>120</formula>
    </cfRule>
    <cfRule type="containsText" dxfId="2" priority="317" operator="between" text="库存为">
      <formula>NOT(ISERROR(SEARCH("库存为",AU316)))</formula>
    </cfRule>
  </conditionalFormatting>
  <conditionalFormatting sqref="AU317">
    <cfRule type="cellIs" dxfId="0" priority="1570" operator="lessThan">
      <formula>20</formula>
    </cfRule>
    <cfRule type="cellIs" dxfId="1" priority="943" operator="greaterThan">
      <formula>120</formula>
    </cfRule>
    <cfRule type="containsText" dxfId="2" priority="316" operator="between" text="库存为">
      <formula>NOT(ISERROR(SEARCH("库存为",AU317)))</formula>
    </cfRule>
  </conditionalFormatting>
  <conditionalFormatting sqref="AU318">
    <cfRule type="cellIs" dxfId="0" priority="1569" operator="lessThan">
      <formula>20</formula>
    </cfRule>
    <cfRule type="cellIs" dxfId="1" priority="942" operator="greaterThan">
      <formula>120</formula>
    </cfRule>
    <cfRule type="containsText" dxfId="2" priority="315" operator="between" text="库存为">
      <formula>NOT(ISERROR(SEARCH("库存为",AU318)))</formula>
    </cfRule>
  </conditionalFormatting>
  <conditionalFormatting sqref="AU319">
    <cfRule type="cellIs" dxfId="0" priority="1568" operator="lessThan">
      <formula>20</formula>
    </cfRule>
    <cfRule type="cellIs" dxfId="1" priority="941" operator="greaterThan">
      <formula>120</formula>
    </cfRule>
    <cfRule type="containsText" dxfId="2" priority="314" operator="between" text="库存为">
      <formula>NOT(ISERROR(SEARCH("库存为",AU319)))</formula>
    </cfRule>
  </conditionalFormatting>
  <conditionalFormatting sqref="AU320">
    <cfRule type="cellIs" dxfId="0" priority="1567" operator="lessThan">
      <formula>20</formula>
    </cfRule>
    <cfRule type="cellIs" dxfId="1" priority="940" operator="greaterThan">
      <formula>120</formula>
    </cfRule>
    <cfRule type="containsText" dxfId="2" priority="313" operator="between" text="库存为">
      <formula>NOT(ISERROR(SEARCH("库存为",AU320)))</formula>
    </cfRule>
  </conditionalFormatting>
  <conditionalFormatting sqref="AU321">
    <cfRule type="cellIs" dxfId="0" priority="1566" operator="lessThan">
      <formula>20</formula>
    </cfRule>
    <cfRule type="cellIs" dxfId="1" priority="939" operator="greaterThan">
      <formula>120</formula>
    </cfRule>
    <cfRule type="containsText" dxfId="2" priority="312" operator="between" text="库存为">
      <formula>NOT(ISERROR(SEARCH("库存为",AU321)))</formula>
    </cfRule>
  </conditionalFormatting>
  <conditionalFormatting sqref="AU322">
    <cfRule type="cellIs" dxfId="0" priority="1565" operator="lessThan">
      <formula>20</formula>
    </cfRule>
    <cfRule type="cellIs" dxfId="1" priority="938" operator="greaterThan">
      <formula>120</formula>
    </cfRule>
    <cfRule type="containsText" dxfId="2" priority="311" operator="between" text="库存为">
      <formula>NOT(ISERROR(SEARCH("库存为",AU322)))</formula>
    </cfRule>
  </conditionalFormatting>
  <conditionalFormatting sqref="AU323">
    <cfRule type="cellIs" dxfId="0" priority="1564" operator="lessThan">
      <formula>20</formula>
    </cfRule>
    <cfRule type="cellIs" dxfId="1" priority="937" operator="greaterThan">
      <formula>120</formula>
    </cfRule>
    <cfRule type="containsText" dxfId="2" priority="310" operator="between" text="库存为">
      <formula>NOT(ISERROR(SEARCH("库存为",AU323)))</formula>
    </cfRule>
  </conditionalFormatting>
  <conditionalFormatting sqref="AU324">
    <cfRule type="cellIs" dxfId="0" priority="1563" operator="lessThan">
      <formula>20</formula>
    </cfRule>
    <cfRule type="cellIs" dxfId="1" priority="936" operator="greaterThan">
      <formula>120</formula>
    </cfRule>
    <cfRule type="containsText" dxfId="2" priority="309" operator="between" text="库存为">
      <formula>NOT(ISERROR(SEARCH("库存为",AU324)))</formula>
    </cfRule>
  </conditionalFormatting>
  <conditionalFormatting sqref="AU325">
    <cfRule type="cellIs" dxfId="0" priority="1562" operator="lessThan">
      <formula>20</formula>
    </cfRule>
    <cfRule type="cellIs" dxfId="1" priority="935" operator="greaterThan">
      <formula>120</formula>
    </cfRule>
    <cfRule type="containsText" dxfId="2" priority="308" operator="between" text="库存为">
      <formula>NOT(ISERROR(SEARCH("库存为",AU325)))</formula>
    </cfRule>
  </conditionalFormatting>
  <conditionalFormatting sqref="AU326">
    <cfRule type="cellIs" dxfId="0" priority="1561" operator="lessThan">
      <formula>20</formula>
    </cfRule>
    <cfRule type="cellIs" dxfId="1" priority="934" operator="greaterThan">
      <formula>120</formula>
    </cfRule>
    <cfRule type="containsText" dxfId="2" priority="307" operator="between" text="库存为">
      <formula>NOT(ISERROR(SEARCH("库存为",AU326)))</formula>
    </cfRule>
  </conditionalFormatting>
  <conditionalFormatting sqref="AU327">
    <cfRule type="cellIs" dxfId="0" priority="1560" operator="lessThan">
      <formula>20</formula>
    </cfRule>
    <cfRule type="cellIs" dxfId="1" priority="933" operator="greaterThan">
      <formula>120</formula>
    </cfRule>
    <cfRule type="containsText" dxfId="2" priority="306" operator="between" text="库存为">
      <formula>NOT(ISERROR(SEARCH("库存为",AU327)))</formula>
    </cfRule>
  </conditionalFormatting>
  <conditionalFormatting sqref="AU328">
    <cfRule type="cellIs" dxfId="0" priority="1559" operator="lessThan">
      <formula>20</formula>
    </cfRule>
    <cfRule type="cellIs" dxfId="1" priority="932" operator="greaterThan">
      <formula>120</formula>
    </cfRule>
    <cfRule type="containsText" dxfId="2" priority="305" operator="between" text="库存为">
      <formula>NOT(ISERROR(SEARCH("库存为",AU328)))</formula>
    </cfRule>
  </conditionalFormatting>
  <conditionalFormatting sqref="AU329">
    <cfRule type="cellIs" dxfId="0" priority="1558" operator="lessThan">
      <formula>20</formula>
    </cfRule>
    <cfRule type="cellIs" dxfId="1" priority="931" operator="greaterThan">
      <formula>120</formula>
    </cfRule>
    <cfRule type="containsText" dxfId="2" priority="304" operator="between" text="库存为">
      <formula>NOT(ISERROR(SEARCH("库存为",AU329)))</formula>
    </cfRule>
  </conditionalFormatting>
  <conditionalFormatting sqref="AU330">
    <cfRule type="cellIs" dxfId="0" priority="1557" operator="lessThan">
      <formula>20</formula>
    </cfRule>
    <cfRule type="cellIs" dxfId="1" priority="930" operator="greaterThan">
      <formula>120</formula>
    </cfRule>
    <cfRule type="containsText" dxfId="2" priority="303" operator="between" text="库存为">
      <formula>NOT(ISERROR(SEARCH("库存为",AU330)))</formula>
    </cfRule>
  </conditionalFormatting>
  <conditionalFormatting sqref="AU331">
    <cfRule type="cellIs" dxfId="0" priority="1556" operator="lessThan">
      <formula>20</formula>
    </cfRule>
    <cfRule type="cellIs" dxfId="1" priority="929" operator="greaterThan">
      <formula>120</formula>
    </cfRule>
    <cfRule type="containsText" dxfId="2" priority="302" operator="between" text="库存为">
      <formula>NOT(ISERROR(SEARCH("库存为",AU331)))</formula>
    </cfRule>
  </conditionalFormatting>
  <conditionalFormatting sqref="AU332">
    <cfRule type="cellIs" dxfId="0" priority="1555" operator="lessThan">
      <formula>20</formula>
    </cfRule>
    <cfRule type="cellIs" dxfId="1" priority="928" operator="greaterThan">
      <formula>120</formula>
    </cfRule>
    <cfRule type="containsText" dxfId="2" priority="301" operator="between" text="库存为">
      <formula>NOT(ISERROR(SEARCH("库存为",AU332)))</formula>
    </cfRule>
  </conditionalFormatting>
  <conditionalFormatting sqref="AU333">
    <cfRule type="cellIs" dxfId="0" priority="1554" operator="lessThan">
      <formula>20</formula>
    </cfRule>
    <cfRule type="cellIs" dxfId="1" priority="927" operator="greaterThan">
      <formula>120</formula>
    </cfRule>
    <cfRule type="containsText" dxfId="2" priority="300" operator="between" text="库存为">
      <formula>NOT(ISERROR(SEARCH("库存为",AU333)))</formula>
    </cfRule>
  </conditionalFormatting>
  <conditionalFormatting sqref="AU334">
    <cfRule type="cellIs" dxfId="0" priority="1553" operator="lessThan">
      <formula>20</formula>
    </cfRule>
    <cfRule type="cellIs" dxfId="1" priority="926" operator="greaterThan">
      <formula>120</formula>
    </cfRule>
    <cfRule type="containsText" dxfId="2" priority="299" operator="between" text="库存为">
      <formula>NOT(ISERROR(SEARCH("库存为",AU334)))</formula>
    </cfRule>
  </conditionalFormatting>
  <conditionalFormatting sqref="AU335">
    <cfRule type="cellIs" dxfId="0" priority="1552" operator="lessThan">
      <formula>20</formula>
    </cfRule>
    <cfRule type="cellIs" dxfId="1" priority="925" operator="greaterThan">
      <formula>120</formula>
    </cfRule>
    <cfRule type="containsText" dxfId="2" priority="298" operator="between" text="库存为">
      <formula>NOT(ISERROR(SEARCH("库存为",AU335)))</formula>
    </cfRule>
  </conditionalFormatting>
  <conditionalFormatting sqref="AU336">
    <cfRule type="cellIs" dxfId="0" priority="1551" operator="lessThan">
      <formula>20</formula>
    </cfRule>
    <cfRule type="cellIs" dxfId="1" priority="924" operator="greaterThan">
      <formula>120</formula>
    </cfRule>
    <cfRule type="containsText" dxfId="2" priority="297" operator="between" text="库存为">
      <formula>NOT(ISERROR(SEARCH("库存为",AU336)))</formula>
    </cfRule>
  </conditionalFormatting>
  <conditionalFormatting sqref="AU337">
    <cfRule type="cellIs" dxfId="0" priority="1550" operator="lessThan">
      <formula>20</formula>
    </cfRule>
    <cfRule type="cellIs" dxfId="1" priority="923" operator="greaterThan">
      <formula>120</formula>
    </cfRule>
    <cfRule type="containsText" dxfId="2" priority="296" operator="between" text="库存为">
      <formula>NOT(ISERROR(SEARCH("库存为",AU337)))</formula>
    </cfRule>
  </conditionalFormatting>
  <conditionalFormatting sqref="AU338">
    <cfRule type="cellIs" dxfId="0" priority="1549" operator="lessThan">
      <formula>20</formula>
    </cfRule>
    <cfRule type="cellIs" dxfId="1" priority="922" operator="greaterThan">
      <formula>120</formula>
    </cfRule>
    <cfRule type="containsText" dxfId="2" priority="295" operator="between" text="库存为">
      <formula>NOT(ISERROR(SEARCH("库存为",AU338)))</formula>
    </cfRule>
  </conditionalFormatting>
  <conditionalFormatting sqref="AU339">
    <cfRule type="cellIs" dxfId="0" priority="1548" operator="lessThan">
      <formula>20</formula>
    </cfRule>
    <cfRule type="cellIs" dxfId="1" priority="921" operator="greaterThan">
      <formula>120</formula>
    </cfRule>
    <cfRule type="containsText" dxfId="2" priority="294" operator="between" text="库存为">
      <formula>NOT(ISERROR(SEARCH("库存为",AU339)))</formula>
    </cfRule>
  </conditionalFormatting>
  <conditionalFormatting sqref="AU340">
    <cfRule type="cellIs" dxfId="0" priority="1547" operator="lessThan">
      <formula>20</formula>
    </cfRule>
    <cfRule type="cellIs" dxfId="1" priority="920" operator="greaterThan">
      <formula>120</formula>
    </cfRule>
    <cfRule type="containsText" dxfId="2" priority="293" operator="between" text="库存为">
      <formula>NOT(ISERROR(SEARCH("库存为",AU340)))</formula>
    </cfRule>
  </conditionalFormatting>
  <conditionalFormatting sqref="AU341">
    <cfRule type="cellIs" dxfId="0" priority="1546" operator="lessThan">
      <formula>20</formula>
    </cfRule>
    <cfRule type="cellIs" dxfId="1" priority="919" operator="greaterThan">
      <formula>120</formula>
    </cfRule>
    <cfRule type="containsText" dxfId="2" priority="292" operator="between" text="库存为">
      <formula>NOT(ISERROR(SEARCH("库存为",AU341)))</formula>
    </cfRule>
  </conditionalFormatting>
  <conditionalFormatting sqref="AU342">
    <cfRule type="cellIs" dxfId="0" priority="1545" operator="lessThan">
      <formula>20</formula>
    </cfRule>
    <cfRule type="cellIs" dxfId="1" priority="918" operator="greaterThan">
      <formula>120</formula>
    </cfRule>
    <cfRule type="containsText" dxfId="2" priority="291" operator="between" text="库存为">
      <formula>NOT(ISERROR(SEARCH("库存为",AU342)))</formula>
    </cfRule>
  </conditionalFormatting>
  <conditionalFormatting sqref="AU343">
    <cfRule type="cellIs" dxfId="0" priority="1544" operator="lessThan">
      <formula>20</formula>
    </cfRule>
    <cfRule type="cellIs" dxfId="1" priority="917" operator="greaterThan">
      <formula>120</formula>
    </cfRule>
    <cfRule type="containsText" dxfId="2" priority="290" operator="between" text="库存为">
      <formula>NOT(ISERROR(SEARCH("库存为",AU343)))</formula>
    </cfRule>
  </conditionalFormatting>
  <conditionalFormatting sqref="AU344">
    <cfRule type="cellIs" dxfId="0" priority="1543" operator="lessThan">
      <formula>20</formula>
    </cfRule>
    <cfRule type="cellIs" dxfId="1" priority="916" operator="greaterThan">
      <formula>120</formula>
    </cfRule>
    <cfRule type="containsText" dxfId="2" priority="289" operator="between" text="库存为">
      <formula>NOT(ISERROR(SEARCH("库存为",AU344)))</formula>
    </cfRule>
  </conditionalFormatting>
  <conditionalFormatting sqref="AU345">
    <cfRule type="cellIs" dxfId="0" priority="1542" operator="lessThan">
      <formula>20</formula>
    </cfRule>
    <cfRule type="cellIs" dxfId="1" priority="915" operator="greaterThan">
      <formula>120</formula>
    </cfRule>
    <cfRule type="containsText" dxfId="2" priority="288" operator="between" text="库存为">
      <formula>NOT(ISERROR(SEARCH("库存为",AU345)))</formula>
    </cfRule>
  </conditionalFormatting>
  <conditionalFormatting sqref="AU346">
    <cfRule type="cellIs" dxfId="0" priority="1541" operator="lessThan">
      <formula>20</formula>
    </cfRule>
    <cfRule type="cellIs" dxfId="1" priority="914" operator="greaterThan">
      <formula>120</formula>
    </cfRule>
    <cfRule type="containsText" dxfId="2" priority="287" operator="between" text="库存为">
      <formula>NOT(ISERROR(SEARCH("库存为",AU346)))</formula>
    </cfRule>
  </conditionalFormatting>
  <conditionalFormatting sqref="AU347">
    <cfRule type="cellIs" dxfId="0" priority="1540" operator="lessThan">
      <formula>20</formula>
    </cfRule>
    <cfRule type="cellIs" dxfId="1" priority="913" operator="greaterThan">
      <formula>120</formula>
    </cfRule>
    <cfRule type="containsText" dxfId="2" priority="286" operator="between" text="库存为">
      <formula>NOT(ISERROR(SEARCH("库存为",AU347)))</formula>
    </cfRule>
  </conditionalFormatting>
  <conditionalFormatting sqref="AU348">
    <cfRule type="cellIs" dxfId="0" priority="1539" operator="lessThan">
      <formula>20</formula>
    </cfRule>
    <cfRule type="cellIs" dxfId="1" priority="912" operator="greaterThan">
      <formula>120</formula>
    </cfRule>
    <cfRule type="containsText" dxfId="2" priority="285" operator="between" text="库存为">
      <formula>NOT(ISERROR(SEARCH("库存为",AU348)))</formula>
    </cfRule>
  </conditionalFormatting>
  <conditionalFormatting sqref="AU349">
    <cfRule type="cellIs" dxfId="0" priority="1538" operator="lessThan">
      <formula>20</formula>
    </cfRule>
    <cfRule type="cellIs" dxfId="1" priority="911" operator="greaterThan">
      <formula>120</formula>
    </cfRule>
    <cfRule type="containsText" dxfId="2" priority="284" operator="between" text="库存为">
      <formula>NOT(ISERROR(SEARCH("库存为",AU349)))</formula>
    </cfRule>
  </conditionalFormatting>
  <conditionalFormatting sqref="AU350">
    <cfRule type="cellIs" dxfId="0" priority="1537" operator="lessThan">
      <formula>20</formula>
    </cfRule>
    <cfRule type="cellIs" dxfId="1" priority="910" operator="greaterThan">
      <formula>120</formula>
    </cfRule>
    <cfRule type="containsText" dxfId="2" priority="283" operator="between" text="库存为">
      <formula>NOT(ISERROR(SEARCH("库存为",AU350)))</formula>
    </cfRule>
  </conditionalFormatting>
  <conditionalFormatting sqref="AU351">
    <cfRule type="cellIs" dxfId="0" priority="1536" operator="lessThan">
      <formula>20</formula>
    </cfRule>
    <cfRule type="cellIs" dxfId="1" priority="909" operator="greaterThan">
      <formula>120</formula>
    </cfRule>
    <cfRule type="containsText" dxfId="2" priority="282" operator="between" text="库存为">
      <formula>NOT(ISERROR(SEARCH("库存为",AU351)))</formula>
    </cfRule>
  </conditionalFormatting>
  <conditionalFormatting sqref="AU352">
    <cfRule type="cellIs" dxfId="0" priority="1535" operator="lessThan">
      <formula>20</formula>
    </cfRule>
    <cfRule type="cellIs" dxfId="1" priority="908" operator="greaterThan">
      <formula>120</formula>
    </cfRule>
    <cfRule type="containsText" dxfId="2" priority="281" operator="between" text="库存为">
      <formula>NOT(ISERROR(SEARCH("库存为",AU352)))</formula>
    </cfRule>
  </conditionalFormatting>
  <conditionalFormatting sqref="AU353">
    <cfRule type="cellIs" dxfId="0" priority="1534" operator="lessThan">
      <formula>20</formula>
    </cfRule>
    <cfRule type="cellIs" dxfId="1" priority="907" operator="greaterThan">
      <formula>120</formula>
    </cfRule>
    <cfRule type="containsText" dxfId="2" priority="280" operator="between" text="库存为">
      <formula>NOT(ISERROR(SEARCH("库存为",AU353)))</formula>
    </cfRule>
  </conditionalFormatting>
  <conditionalFormatting sqref="AU354">
    <cfRule type="cellIs" dxfId="0" priority="1533" operator="lessThan">
      <formula>20</formula>
    </cfRule>
    <cfRule type="cellIs" dxfId="1" priority="906" operator="greaterThan">
      <formula>120</formula>
    </cfRule>
    <cfRule type="containsText" dxfId="2" priority="279" operator="between" text="库存为">
      <formula>NOT(ISERROR(SEARCH("库存为",AU354)))</formula>
    </cfRule>
  </conditionalFormatting>
  <conditionalFormatting sqref="AU355">
    <cfRule type="cellIs" dxfId="0" priority="1532" operator="lessThan">
      <formula>20</formula>
    </cfRule>
    <cfRule type="cellIs" dxfId="1" priority="905" operator="greaterThan">
      <formula>120</formula>
    </cfRule>
    <cfRule type="containsText" dxfId="2" priority="278" operator="between" text="库存为">
      <formula>NOT(ISERROR(SEARCH("库存为",AU355)))</formula>
    </cfRule>
  </conditionalFormatting>
  <conditionalFormatting sqref="AU356">
    <cfRule type="cellIs" dxfId="0" priority="1531" operator="lessThan">
      <formula>20</formula>
    </cfRule>
    <cfRule type="cellIs" dxfId="1" priority="904" operator="greaterThan">
      <formula>120</formula>
    </cfRule>
    <cfRule type="containsText" dxfId="2" priority="277" operator="between" text="库存为">
      <formula>NOT(ISERROR(SEARCH("库存为",AU356)))</formula>
    </cfRule>
  </conditionalFormatting>
  <conditionalFormatting sqref="AU357">
    <cfRule type="cellIs" dxfId="0" priority="1530" operator="lessThan">
      <formula>20</formula>
    </cfRule>
    <cfRule type="cellIs" dxfId="1" priority="903" operator="greaterThan">
      <formula>120</formula>
    </cfRule>
    <cfRule type="containsText" dxfId="2" priority="276" operator="between" text="库存为">
      <formula>NOT(ISERROR(SEARCH("库存为",AU357)))</formula>
    </cfRule>
  </conditionalFormatting>
  <conditionalFormatting sqref="AU358">
    <cfRule type="cellIs" dxfId="0" priority="1529" operator="lessThan">
      <formula>20</formula>
    </cfRule>
    <cfRule type="cellIs" dxfId="1" priority="902" operator="greaterThan">
      <formula>120</formula>
    </cfRule>
    <cfRule type="containsText" dxfId="2" priority="275" operator="between" text="库存为">
      <formula>NOT(ISERROR(SEARCH("库存为",AU358)))</formula>
    </cfRule>
  </conditionalFormatting>
  <conditionalFormatting sqref="AU359">
    <cfRule type="cellIs" dxfId="0" priority="1528" operator="lessThan">
      <formula>20</formula>
    </cfRule>
    <cfRule type="cellIs" dxfId="1" priority="901" operator="greaterThan">
      <formula>120</formula>
    </cfRule>
    <cfRule type="containsText" dxfId="2" priority="274" operator="between" text="库存为">
      <formula>NOT(ISERROR(SEARCH("库存为",AU359)))</formula>
    </cfRule>
  </conditionalFormatting>
  <conditionalFormatting sqref="AU360">
    <cfRule type="cellIs" dxfId="0" priority="1527" operator="lessThan">
      <formula>20</formula>
    </cfRule>
    <cfRule type="cellIs" dxfId="1" priority="900" operator="greaterThan">
      <formula>120</formula>
    </cfRule>
    <cfRule type="containsText" dxfId="2" priority="273" operator="between" text="库存为">
      <formula>NOT(ISERROR(SEARCH("库存为",AU360)))</formula>
    </cfRule>
  </conditionalFormatting>
  <conditionalFormatting sqref="AU361">
    <cfRule type="cellIs" dxfId="0" priority="1526" operator="lessThan">
      <formula>20</formula>
    </cfRule>
    <cfRule type="cellIs" dxfId="1" priority="899" operator="greaterThan">
      <formula>120</formula>
    </cfRule>
    <cfRule type="containsText" dxfId="2" priority="272" operator="between" text="库存为">
      <formula>NOT(ISERROR(SEARCH("库存为",AU361)))</formula>
    </cfRule>
  </conditionalFormatting>
  <conditionalFormatting sqref="AU362">
    <cfRule type="cellIs" dxfId="0" priority="1525" operator="lessThan">
      <formula>20</formula>
    </cfRule>
    <cfRule type="cellIs" dxfId="1" priority="898" operator="greaterThan">
      <formula>120</formula>
    </cfRule>
    <cfRule type="containsText" dxfId="2" priority="271" operator="between" text="库存为">
      <formula>NOT(ISERROR(SEARCH("库存为",AU362)))</formula>
    </cfRule>
  </conditionalFormatting>
  <conditionalFormatting sqref="AU363">
    <cfRule type="cellIs" dxfId="0" priority="1524" operator="lessThan">
      <formula>20</formula>
    </cfRule>
    <cfRule type="cellIs" dxfId="1" priority="897" operator="greaterThan">
      <formula>120</formula>
    </cfRule>
    <cfRule type="containsText" dxfId="2" priority="270" operator="between" text="库存为">
      <formula>NOT(ISERROR(SEARCH("库存为",AU363)))</formula>
    </cfRule>
  </conditionalFormatting>
  <conditionalFormatting sqref="AU364">
    <cfRule type="cellIs" dxfId="0" priority="1523" operator="lessThan">
      <formula>20</formula>
    </cfRule>
    <cfRule type="cellIs" dxfId="1" priority="896" operator="greaterThan">
      <formula>120</formula>
    </cfRule>
    <cfRule type="containsText" dxfId="2" priority="269" operator="between" text="库存为">
      <formula>NOT(ISERROR(SEARCH("库存为",AU364)))</formula>
    </cfRule>
  </conditionalFormatting>
  <conditionalFormatting sqref="AU365">
    <cfRule type="cellIs" dxfId="0" priority="1522" operator="lessThan">
      <formula>20</formula>
    </cfRule>
    <cfRule type="cellIs" dxfId="1" priority="895" operator="greaterThan">
      <formula>120</formula>
    </cfRule>
    <cfRule type="containsText" dxfId="2" priority="268" operator="between" text="库存为">
      <formula>NOT(ISERROR(SEARCH("库存为",AU365)))</formula>
    </cfRule>
  </conditionalFormatting>
  <conditionalFormatting sqref="AU366">
    <cfRule type="cellIs" dxfId="0" priority="1521" operator="lessThan">
      <formula>20</formula>
    </cfRule>
    <cfRule type="cellIs" dxfId="1" priority="894" operator="greaterThan">
      <formula>120</formula>
    </cfRule>
    <cfRule type="containsText" dxfId="2" priority="267" operator="between" text="库存为">
      <formula>NOT(ISERROR(SEARCH("库存为",AU366)))</formula>
    </cfRule>
  </conditionalFormatting>
  <conditionalFormatting sqref="AU367">
    <cfRule type="cellIs" dxfId="0" priority="1520" operator="lessThan">
      <formula>20</formula>
    </cfRule>
    <cfRule type="cellIs" dxfId="1" priority="893" operator="greaterThan">
      <formula>120</formula>
    </cfRule>
    <cfRule type="containsText" dxfId="2" priority="266" operator="between" text="库存为">
      <formula>NOT(ISERROR(SEARCH("库存为",AU367)))</formula>
    </cfRule>
  </conditionalFormatting>
  <conditionalFormatting sqref="AU368">
    <cfRule type="cellIs" dxfId="0" priority="1519" operator="lessThan">
      <formula>20</formula>
    </cfRule>
    <cfRule type="cellIs" dxfId="1" priority="892" operator="greaterThan">
      <formula>120</formula>
    </cfRule>
    <cfRule type="containsText" dxfId="2" priority="265" operator="between" text="库存为">
      <formula>NOT(ISERROR(SEARCH("库存为",AU368)))</formula>
    </cfRule>
  </conditionalFormatting>
  <conditionalFormatting sqref="AU369">
    <cfRule type="cellIs" dxfId="0" priority="1518" operator="lessThan">
      <formula>20</formula>
    </cfRule>
    <cfRule type="cellIs" dxfId="1" priority="891" operator="greaterThan">
      <formula>120</formula>
    </cfRule>
    <cfRule type="containsText" dxfId="2" priority="264" operator="between" text="库存为">
      <formula>NOT(ISERROR(SEARCH("库存为",AU369)))</formula>
    </cfRule>
  </conditionalFormatting>
  <conditionalFormatting sqref="AU370">
    <cfRule type="cellIs" dxfId="0" priority="1517" operator="lessThan">
      <formula>20</formula>
    </cfRule>
    <cfRule type="cellIs" dxfId="1" priority="890" operator="greaterThan">
      <formula>120</formula>
    </cfRule>
    <cfRule type="containsText" dxfId="2" priority="263" operator="between" text="库存为">
      <formula>NOT(ISERROR(SEARCH("库存为",AU370)))</formula>
    </cfRule>
  </conditionalFormatting>
  <conditionalFormatting sqref="AU371">
    <cfRule type="cellIs" dxfId="0" priority="1516" operator="lessThan">
      <formula>20</formula>
    </cfRule>
    <cfRule type="cellIs" dxfId="1" priority="889" operator="greaterThan">
      <formula>120</formula>
    </cfRule>
    <cfRule type="containsText" dxfId="2" priority="262" operator="between" text="库存为">
      <formula>NOT(ISERROR(SEARCH("库存为",AU371)))</formula>
    </cfRule>
  </conditionalFormatting>
  <conditionalFormatting sqref="AU372">
    <cfRule type="cellIs" dxfId="0" priority="1515" operator="lessThan">
      <formula>20</formula>
    </cfRule>
    <cfRule type="cellIs" dxfId="1" priority="888" operator="greaterThan">
      <formula>120</formula>
    </cfRule>
    <cfRule type="containsText" dxfId="2" priority="261" operator="between" text="库存为">
      <formula>NOT(ISERROR(SEARCH("库存为",AU372)))</formula>
    </cfRule>
  </conditionalFormatting>
  <conditionalFormatting sqref="AU373">
    <cfRule type="cellIs" dxfId="0" priority="1514" operator="lessThan">
      <formula>20</formula>
    </cfRule>
    <cfRule type="cellIs" dxfId="1" priority="887" operator="greaterThan">
      <formula>120</formula>
    </cfRule>
    <cfRule type="containsText" dxfId="2" priority="260" operator="between" text="库存为">
      <formula>NOT(ISERROR(SEARCH("库存为",AU373)))</formula>
    </cfRule>
  </conditionalFormatting>
  <conditionalFormatting sqref="AU374">
    <cfRule type="cellIs" dxfId="0" priority="1513" operator="lessThan">
      <formula>20</formula>
    </cfRule>
    <cfRule type="cellIs" dxfId="1" priority="886" operator="greaterThan">
      <formula>120</formula>
    </cfRule>
    <cfRule type="containsText" dxfId="2" priority="259" operator="between" text="库存为">
      <formula>NOT(ISERROR(SEARCH("库存为",AU374)))</formula>
    </cfRule>
  </conditionalFormatting>
  <conditionalFormatting sqref="AU375">
    <cfRule type="cellIs" dxfId="0" priority="1512" operator="lessThan">
      <formula>20</formula>
    </cfRule>
    <cfRule type="cellIs" dxfId="1" priority="885" operator="greaterThan">
      <formula>120</formula>
    </cfRule>
    <cfRule type="containsText" dxfId="2" priority="258" operator="between" text="库存为">
      <formula>NOT(ISERROR(SEARCH("库存为",AU375)))</formula>
    </cfRule>
  </conditionalFormatting>
  <conditionalFormatting sqref="AU376">
    <cfRule type="cellIs" dxfId="0" priority="1511" operator="lessThan">
      <formula>20</formula>
    </cfRule>
    <cfRule type="cellIs" dxfId="1" priority="884" operator="greaterThan">
      <formula>120</formula>
    </cfRule>
    <cfRule type="containsText" dxfId="2" priority="257" operator="between" text="库存为">
      <formula>NOT(ISERROR(SEARCH("库存为",AU376)))</formula>
    </cfRule>
  </conditionalFormatting>
  <conditionalFormatting sqref="AU377">
    <cfRule type="cellIs" dxfId="0" priority="1510" operator="lessThan">
      <formula>20</formula>
    </cfRule>
    <cfRule type="cellIs" dxfId="1" priority="883" operator="greaterThan">
      <formula>120</formula>
    </cfRule>
    <cfRule type="containsText" dxfId="2" priority="256" operator="between" text="库存为">
      <formula>NOT(ISERROR(SEARCH("库存为",AU377)))</formula>
    </cfRule>
  </conditionalFormatting>
  <conditionalFormatting sqref="AU378">
    <cfRule type="cellIs" dxfId="0" priority="1509" operator="lessThan">
      <formula>20</formula>
    </cfRule>
    <cfRule type="cellIs" dxfId="1" priority="882" operator="greaterThan">
      <formula>120</formula>
    </cfRule>
    <cfRule type="containsText" dxfId="2" priority="255" operator="between" text="库存为">
      <formula>NOT(ISERROR(SEARCH("库存为",AU378)))</formula>
    </cfRule>
  </conditionalFormatting>
  <conditionalFormatting sqref="AU379">
    <cfRule type="cellIs" dxfId="0" priority="1508" operator="lessThan">
      <formula>20</formula>
    </cfRule>
    <cfRule type="cellIs" dxfId="1" priority="881" operator="greaterThan">
      <formula>120</formula>
    </cfRule>
    <cfRule type="containsText" dxfId="2" priority="254" operator="between" text="库存为">
      <formula>NOT(ISERROR(SEARCH("库存为",AU379)))</formula>
    </cfRule>
  </conditionalFormatting>
  <conditionalFormatting sqref="AU380">
    <cfRule type="cellIs" dxfId="0" priority="1507" operator="lessThan">
      <formula>20</formula>
    </cfRule>
    <cfRule type="cellIs" dxfId="1" priority="880" operator="greaterThan">
      <formula>120</formula>
    </cfRule>
    <cfRule type="containsText" dxfId="2" priority="253" operator="between" text="库存为">
      <formula>NOT(ISERROR(SEARCH("库存为",AU380)))</formula>
    </cfRule>
  </conditionalFormatting>
  <conditionalFormatting sqref="AU381">
    <cfRule type="cellIs" dxfId="0" priority="1506" operator="lessThan">
      <formula>20</formula>
    </cfRule>
    <cfRule type="cellIs" dxfId="1" priority="879" operator="greaterThan">
      <formula>120</formula>
    </cfRule>
    <cfRule type="containsText" dxfId="2" priority="252" operator="between" text="库存为">
      <formula>NOT(ISERROR(SEARCH("库存为",AU381)))</formula>
    </cfRule>
  </conditionalFormatting>
  <conditionalFormatting sqref="AU382">
    <cfRule type="cellIs" dxfId="0" priority="1505" operator="lessThan">
      <formula>20</formula>
    </cfRule>
    <cfRule type="cellIs" dxfId="1" priority="878" operator="greaterThan">
      <formula>120</formula>
    </cfRule>
    <cfRule type="containsText" dxfId="2" priority="251" operator="between" text="库存为">
      <formula>NOT(ISERROR(SEARCH("库存为",AU382)))</formula>
    </cfRule>
  </conditionalFormatting>
  <conditionalFormatting sqref="AU383">
    <cfRule type="cellIs" dxfId="0" priority="1504" operator="lessThan">
      <formula>20</formula>
    </cfRule>
    <cfRule type="cellIs" dxfId="1" priority="877" operator="greaterThan">
      <formula>120</formula>
    </cfRule>
    <cfRule type="containsText" dxfId="2" priority="250" operator="between" text="库存为">
      <formula>NOT(ISERROR(SEARCH("库存为",AU383)))</formula>
    </cfRule>
  </conditionalFormatting>
  <conditionalFormatting sqref="AU384">
    <cfRule type="cellIs" dxfId="0" priority="1503" operator="lessThan">
      <formula>20</formula>
    </cfRule>
    <cfRule type="cellIs" dxfId="1" priority="876" operator="greaterThan">
      <formula>120</formula>
    </cfRule>
    <cfRule type="containsText" dxfId="2" priority="249" operator="between" text="库存为">
      <formula>NOT(ISERROR(SEARCH("库存为",AU384)))</formula>
    </cfRule>
  </conditionalFormatting>
  <conditionalFormatting sqref="AU385">
    <cfRule type="cellIs" dxfId="0" priority="1502" operator="lessThan">
      <formula>20</formula>
    </cfRule>
    <cfRule type="cellIs" dxfId="1" priority="875" operator="greaterThan">
      <formula>120</formula>
    </cfRule>
    <cfRule type="containsText" dxfId="2" priority="248" operator="between" text="库存为">
      <formula>NOT(ISERROR(SEARCH("库存为",AU385)))</formula>
    </cfRule>
  </conditionalFormatting>
  <conditionalFormatting sqref="AU386">
    <cfRule type="cellIs" dxfId="0" priority="1501" operator="lessThan">
      <formula>20</formula>
    </cfRule>
    <cfRule type="cellIs" dxfId="1" priority="874" operator="greaterThan">
      <formula>120</formula>
    </cfRule>
    <cfRule type="containsText" dxfId="2" priority="247" operator="between" text="库存为">
      <formula>NOT(ISERROR(SEARCH("库存为",AU386)))</formula>
    </cfRule>
  </conditionalFormatting>
  <conditionalFormatting sqref="AU387">
    <cfRule type="cellIs" dxfId="0" priority="1500" operator="lessThan">
      <formula>20</formula>
    </cfRule>
    <cfRule type="cellIs" dxfId="1" priority="873" operator="greaterThan">
      <formula>120</formula>
    </cfRule>
    <cfRule type="containsText" dxfId="2" priority="246" operator="between" text="库存为">
      <formula>NOT(ISERROR(SEARCH("库存为",AU387)))</formula>
    </cfRule>
  </conditionalFormatting>
  <conditionalFormatting sqref="AU388">
    <cfRule type="cellIs" dxfId="0" priority="1499" operator="lessThan">
      <formula>20</formula>
    </cfRule>
    <cfRule type="cellIs" dxfId="1" priority="872" operator="greaterThan">
      <formula>120</formula>
    </cfRule>
    <cfRule type="containsText" dxfId="2" priority="245" operator="between" text="库存为">
      <formula>NOT(ISERROR(SEARCH("库存为",AU388)))</formula>
    </cfRule>
  </conditionalFormatting>
  <conditionalFormatting sqref="AU389">
    <cfRule type="cellIs" dxfId="0" priority="1498" operator="lessThan">
      <formula>20</formula>
    </cfRule>
    <cfRule type="cellIs" dxfId="1" priority="871" operator="greaterThan">
      <formula>120</formula>
    </cfRule>
    <cfRule type="containsText" dxfId="2" priority="244" operator="between" text="库存为">
      <formula>NOT(ISERROR(SEARCH("库存为",AU389)))</formula>
    </cfRule>
  </conditionalFormatting>
  <conditionalFormatting sqref="AU390">
    <cfRule type="cellIs" dxfId="0" priority="1497" operator="lessThan">
      <formula>20</formula>
    </cfRule>
    <cfRule type="cellIs" dxfId="1" priority="870" operator="greaterThan">
      <formula>120</formula>
    </cfRule>
    <cfRule type="containsText" dxfId="2" priority="243" operator="between" text="库存为">
      <formula>NOT(ISERROR(SEARCH("库存为",AU390)))</formula>
    </cfRule>
  </conditionalFormatting>
  <conditionalFormatting sqref="AU391">
    <cfRule type="cellIs" dxfId="0" priority="1496" operator="lessThan">
      <formula>20</formula>
    </cfRule>
    <cfRule type="cellIs" dxfId="1" priority="869" operator="greaterThan">
      <formula>120</formula>
    </cfRule>
    <cfRule type="containsText" dxfId="2" priority="242" operator="between" text="库存为">
      <formula>NOT(ISERROR(SEARCH("库存为",AU391)))</formula>
    </cfRule>
  </conditionalFormatting>
  <conditionalFormatting sqref="AU392">
    <cfRule type="cellIs" dxfId="0" priority="1495" operator="lessThan">
      <formula>20</formula>
    </cfRule>
    <cfRule type="cellIs" dxfId="1" priority="868" operator="greaterThan">
      <formula>120</formula>
    </cfRule>
    <cfRule type="containsText" dxfId="2" priority="241" operator="between" text="库存为">
      <formula>NOT(ISERROR(SEARCH("库存为",AU392)))</formula>
    </cfRule>
  </conditionalFormatting>
  <conditionalFormatting sqref="AU393">
    <cfRule type="cellIs" dxfId="0" priority="1494" operator="lessThan">
      <formula>20</formula>
    </cfRule>
    <cfRule type="cellIs" dxfId="1" priority="867" operator="greaterThan">
      <formula>120</formula>
    </cfRule>
    <cfRule type="containsText" dxfId="2" priority="240" operator="between" text="库存为">
      <formula>NOT(ISERROR(SEARCH("库存为",AU393)))</formula>
    </cfRule>
  </conditionalFormatting>
  <conditionalFormatting sqref="AU394">
    <cfRule type="cellIs" dxfId="0" priority="1493" operator="lessThan">
      <formula>20</formula>
    </cfRule>
    <cfRule type="cellIs" dxfId="1" priority="866" operator="greaterThan">
      <formula>120</formula>
    </cfRule>
    <cfRule type="containsText" dxfId="2" priority="239" operator="between" text="库存为">
      <formula>NOT(ISERROR(SEARCH("库存为",AU394)))</formula>
    </cfRule>
  </conditionalFormatting>
  <conditionalFormatting sqref="AU395">
    <cfRule type="cellIs" dxfId="0" priority="1492" operator="lessThan">
      <formula>20</formula>
    </cfRule>
    <cfRule type="cellIs" dxfId="1" priority="865" operator="greaterThan">
      <formula>120</formula>
    </cfRule>
    <cfRule type="containsText" dxfId="2" priority="238" operator="between" text="库存为">
      <formula>NOT(ISERROR(SEARCH("库存为",AU395)))</formula>
    </cfRule>
  </conditionalFormatting>
  <conditionalFormatting sqref="AU396">
    <cfRule type="cellIs" dxfId="0" priority="1491" operator="lessThan">
      <formula>20</formula>
    </cfRule>
    <cfRule type="cellIs" dxfId="1" priority="864" operator="greaterThan">
      <formula>120</formula>
    </cfRule>
    <cfRule type="containsText" dxfId="2" priority="237" operator="between" text="库存为">
      <formula>NOT(ISERROR(SEARCH("库存为",AU396)))</formula>
    </cfRule>
  </conditionalFormatting>
  <conditionalFormatting sqref="AU397">
    <cfRule type="cellIs" dxfId="0" priority="1490" operator="lessThan">
      <formula>20</formula>
    </cfRule>
    <cfRule type="cellIs" dxfId="1" priority="863" operator="greaterThan">
      <formula>120</formula>
    </cfRule>
    <cfRule type="containsText" dxfId="2" priority="236" operator="between" text="库存为">
      <formula>NOT(ISERROR(SEARCH("库存为",AU397)))</formula>
    </cfRule>
  </conditionalFormatting>
  <conditionalFormatting sqref="AU398">
    <cfRule type="cellIs" dxfId="0" priority="1489" operator="lessThan">
      <formula>20</formula>
    </cfRule>
    <cfRule type="cellIs" dxfId="1" priority="862" operator="greaterThan">
      <formula>120</formula>
    </cfRule>
    <cfRule type="containsText" dxfId="2" priority="235" operator="between" text="库存为">
      <formula>NOT(ISERROR(SEARCH("库存为",AU398)))</formula>
    </cfRule>
  </conditionalFormatting>
  <conditionalFormatting sqref="AU399">
    <cfRule type="cellIs" dxfId="0" priority="1488" operator="lessThan">
      <formula>20</formula>
    </cfRule>
    <cfRule type="cellIs" dxfId="1" priority="861" operator="greaterThan">
      <formula>120</formula>
    </cfRule>
    <cfRule type="containsText" dxfId="2" priority="234" operator="between" text="库存为">
      <formula>NOT(ISERROR(SEARCH("库存为",AU399)))</formula>
    </cfRule>
  </conditionalFormatting>
  <conditionalFormatting sqref="AU400">
    <cfRule type="cellIs" dxfId="0" priority="1487" operator="lessThan">
      <formula>20</formula>
    </cfRule>
    <cfRule type="cellIs" dxfId="1" priority="860" operator="greaterThan">
      <formula>120</formula>
    </cfRule>
    <cfRule type="containsText" dxfId="2" priority="233" operator="between" text="库存为">
      <formula>NOT(ISERROR(SEARCH("库存为",AU400)))</formula>
    </cfRule>
  </conditionalFormatting>
  <conditionalFormatting sqref="AU401">
    <cfRule type="cellIs" dxfId="0" priority="1486" operator="lessThan">
      <formula>20</formula>
    </cfRule>
    <cfRule type="cellIs" dxfId="1" priority="859" operator="greaterThan">
      <formula>120</formula>
    </cfRule>
    <cfRule type="containsText" dxfId="2" priority="232" operator="between" text="库存为">
      <formula>NOT(ISERROR(SEARCH("库存为",AU401)))</formula>
    </cfRule>
  </conditionalFormatting>
  <conditionalFormatting sqref="AU402">
    <cfRule type="cellIs" dxfId="0" priority="1485" operator="lessThan">
      <formula>20</formula>
    </cfRule>
    <cfRule type="cellIs" dxfId="1" priority="858" operator="greaterThan">
      <formula>120</formula>
    </cfRule>
    <cfRule type="containsText" dxfId="2" priority="231" operator="between" text="库存为">
      <formula>NOT(ISERROR(SEARCH("库存为",AU402)))</formula>
    </cfRule>
  </conditionalFormatting>
  <conditionalFormatting sqref="AU403">
    <cfRule type="cellIs" dxfId="0" priority="1484" operator="lessThan">
      <formula>20</formula>
    </cfRule>
    <cfRule type="cellIs" dxfId="1" priority="857" operator="greaterThan">
      <formula>120</formula>
    </cfRule>
    <cfRule type="containsText" dxfId="2" priority="230" operator="between" text="库存为">
      <formula>NOT(ISERROR(SEARCH("库存为",AU403)))</formula>
    </cfRule>
  </conditionalFormatting>
  <conditionalFormatting sqref="AU404">
    <cfRule type="cellIs" dxfId="0" priority="1483" operator="lessThan">
      <formula>20</formula>
    </cfRule>
    <cfRule type="cellIs" dxfId="1" priority="856" operator="greaterThan">
      <formula>120</formula>
    </cfRule>
    <cfRule type="containsText" dxfId="2" priority="229" operator="between" text="库存为">
      <formula>NOT(ISERROR(SEARCH("库存为",AU404)))</formula>
    </cfRule>
  </conditionalFormatting>
  <conditionalFormatting sqref="AU405">
    <cfRule type="cellIs" dxfId="0" priority="1482" operator="lessThan">
      <formula>20</formula>
    </cfRule>
    <cfRule type="cellIs" dxfId="1" priority="855" operator="greaterThan">
      <formula>120</formula>
    </cfRule>
    <cfRule type="containsText" dxfId="2" priority="228" operator="between" text="库存为">
      <formula>NOT(ISERROR(SEARCH("库存为",AU405)))</formula>
    </cfRule>
  </conditionalFormatting>
  <conditionalFormatting sqref="AU406">
    <cfRule type="cellIs" dxfId="0" priority="1481" operator="lessThan">
      <formula>20</formula>
    </cfRule>
    <cfRule type="cellIs" dxfId="1" priority="854" operator="greaterThan">
      <formula>120</formula>
    </cfRule>
    <cfRule type="containsText" dxfId="2" priority="227" operator="between" text="库存为">
      <formula>NOT(ISERROR(SEARCH("库存为",AU406)))</formula>
    </cfRule>
  </conditionalFormatting>
  <conditionalFormatting sqref="AU407">
    <cfRule type="cellIs" dxfId="0" priority="1480" operator="lessThan">
      <formula>20</formula>
    </cfRule>
    <cfRule type="cellIs" dxfId="1" priority="853" operator="greaterThan">
      <formula>120</formula>
    </cfRule>
    <cfRule type="containsText" dxfId="2" priority="226" operator="between" text="库存为">
      <formula>NOT(ISERROR(SEARCH("库存为",AU407)))</formula>
    </cfRule>
  </conditionalFormatting>
  <conditionalFormatting sqref="AU408">
    <cfRule type="cellIs" dxfId="0" priority="1479" operator="lessThan">
      <formula>20</formula>
    </cfRule>
    <cfRule type="cellIs" dxfId="1" priority="852" operator="greaterThan">
      <formula>120</formula>
    </cfRule>
    <cfRule type="containsText" dxfId="2" priority="225" operator="between" text="库存为">
      <formula>NOT(ISERROR(SEARCH("库存为",AU408)))</formula>
    </cfRule>
  </conditionalFormatting>
  <conditionalFormatting sqref="AU409">
    <cfRule type="cellIs" dxfId="0" priority="1478" operator="lessThan">
      <formula>20</formula>
    </cfRule>
    <cfRule type="cellIs" dxfId="1" priority="851" operator="greaterThan">
      <formula>120</formula>
    </cfRule>
    <cfRule type="containsText" dxfId="2" priority="224" operator="between" text="库存为">
      <formula>NOT(ISERROR(SEARCH("库存为",AU409)))</formula>
    </cfRule>
  </conditionalFormatting>
  <conditionalFormatting sqref="AU410">
    <cfRule type="cellIs" dxfId="0" priority="1477" operator="lessThan">
      <formula>20</formula>
    </cfRule>
    <cfRule type="cellIs" dxfId="1" priority="850" operator="greaterThan">
      <formula>120</formula>
    </cfRule>
    <cfRule type="containsText" dxfId="2" priority="223" operator="between" text="库存为">
      <formula>NOT(ISERROR(SEARCH("库存为",AU410)))</formula>
    </cfRule>
  </conditionalFormatting>
  <conditionalFormatting sqref="AU411">
    <cfRule type="cellIs" dxfId="0" priority="1476" operator="lessThan">
      <formula>20</formula>
    </cfRule>
    <cfRule type="cellIs" dxfId="1" priority="849" operator="greaterThan">
      <formula>120</formula>
    </cfRule>
    <cfRule type="containsText" dxfId="2" priority="222" operator="between" text="库存为">
      <formula>NOT(ISERROR(SEARCH("库存为",AU411)))</formula>
    </cfRule>
  </conditionalFormatting>
  <conditionalFormatting sqref="AU412">
    <cfRule type="cellIs" dxfId="0" priority="1475" operator="lessThan">
      <formula>20</formula>
    </cfRule>
    <cfRule type="cellIs" dxfId="1" priority="848" operator="greaterThan">
      <formula>120</formula>
    </cfRule>
    <cfRule type="containsText" dxfId="2" priority="221" operator="between" text="库存为">
      <formula>NOT(ISERROR(SEARCH("库存为",AU412)))</formula>
    </cfRule>
  </conditionalFormatting>
  <conditionalFormatting sqref="AU413">
    <cfRule type="cellIs" dxfId="0" priority="1474" operator="lessThan">
      <formula>20</formula>
    </cfRule>
    <cfRule type="cellIs" dxfId="1" priority="847" operator="greaterThan">
      <formula>120</formula>
    </cfRule>
    <cfRule type="containsText" dxfId="2" priority="220" operator="between" text="库存为">
      <formula>NOT(ISERROR(SEARCH("库存为",AU413)))</formula>
    </cfRule>
  </conditionalFormatting>
  <conditionalFormatting sqref="AU414">
    <cfRule type="cellIs" dxfId="0" priority="1473" operator="lessThan">
      <formula>20</formula>
    </cfRule>
    <cfRule type="cellIs" dxfId="1" priority="846" operator="greaterThan">
      <formula>120</formula>
    </cfRule>
    <cfRule type="containsText" dxfId="2" priority="219" operator="between" text="库存为">
      <formula>NOT(ISERROR(SEARCH("库存为",AU414)))</formula>
    </cfRule>
  </conditionalFormatting>
  <conditionalFormatting sqref="AU415">
    <cfRule type="cellIs" dxfId="0" priority="1472" operator="lessThan">
      <formula>20</formula>
    </cfRule>
    <cfRule type="cellIs" dxfId="1" priority="845" operator="greaterThan">
      <formula>120</formula>
    </cfRule>
    <cfRule type="containsText" dxfId="2" priority="218" operator="between" text="库存为">
      <formula>NOT(ISERROR(SEARCH("库存为",AU415)))</formula>
    </cfRule>
  </conditionalFormatting>
  <conditionalFormatting sqref="AU416">
    <cfRule type="cellIs" dxfId="0" priority="1471" operator="lessThan">
      <formula>20</formula>
    </cfRule>
    <cfRule type="cellIs" dxfId="1" priority="844" operator="greaterThan">
      <formula>120</formula>
    </cfRule>
    <cfRule type="containsText" dxfId="2" priority="217" operator="between" text="库存为">
      <formula>NOT(ISERROR(SEARCH("库存为",AU416)))</formula>
    </cfRule>
  </conditionalFormatting>
  <conditionalFormatting sqref="AU417">
    <cfRule type="cellIs" dxfId="0" priority="1470" operator="lessThan">
      <formula>20</formula>
    </cfRule>
    <cfRule type="cellIs" dxfId="1" priority="843" operator="greaterThan">
      <formula>120</formula>
    </cfRule>
    <cfRule type="containsText" dxfId="2" priority="216" operator="between" text="库存为">
      <formula>NOT(ISERROR(SEARCH("库存为",AU417)))</formula>
    </cfRule>
  </conditionalFormatting>
  <conditionalFormatting sqref="AU418">
    <cfRule type="cellIs" dxfId="0" priority="1469" operator="lessThan">
      <formula>20</formula>
    </cfRule>
    <cfRule type="cellIs" dxfId="1" priority="842" operator="greaterThan">
      <formula>120</formula>
    </cfRule>
    <cfRule type="containsText" dxfId="2" priority="215" operator="between" text="库存为">
      <formula>NOT(ISERROR(SEARCH("库存为",AU418)))</formula>
    </cfRule>
  </conditionalFormatting>
  <conditionalFormatting sqref="AU419">
    <cfRule type="cellIs" dxfId="0" priority="1468" operator="lessThan">
      <formula>20</formula>
    </cfRule>
    <cfRule type="cellIs" dxfId="1" priority="841" operator="greaterThan">
      <formula>120</formula>
    </cfRule>
    <cfRule type="containsText" dxfId="2" priority="214" operator="between" text="库存为">
      <formula>NOT(ISERROR(SEARCH("库存为",AU419)))</formula>
    </cfRule>
  </conditionalFormatting>
  <conditionalFormatting sqref="AU420">
    <cfRule type="cellIs" dxfId="0" priority="1467" operator="lessThan">
      <formula>20</formula>
    </cfRule>
    <cfRule type="cellIs" dxfId="1" priority="840" operator="greaterThan">
      <formula>120</formula>
    </cfRule>
    <cfRule type="containsText" dxfId="2" priority="213" operator="between" text="库存为">
      <formula>NOT(ISERROR(SEARCH("库存为",AU420)))</formula>
    </cfRule>
  </conditionalFormatting>
  <conditionalFormatting sqref="AU421">
    <cfRule type="cellIs" dxfId="0" priority="1466" operator="lessThan">
      <formula>20</formula>
    </cfRule>
    <cfRule type="cellIs" dxfId="1" priority="839" operator="greaterThan">
      <formula>120</formula>
    </cfRule>
    <cfRule type="containsText" dxfId="2" priority="212" operator="between" text="库存为">
      <formula>NOT(ISERROR(SEARCH("库存为",AU421)))</formula>
    </cfRule>
  </conditionalFormatting>
  <conditionalFormatting sqref="AU422">
    <cfRule type="cellIs" dxfId="0" priority="1465" operator="lessThan">
      <formula>20</formula>
    </cfRule>
    <cfRule type="cellIs" dxfId="1" priority="838" operator="greaterThan">
      <formula>120</formula>
    </cfRule>
    <cfRule type="containsText" dxfId="2" priority="211" operator="between" text="库存为">
      <formula>NOT(ISERROR(SEARCH("库存为",AU422)))</formula>
    </cfRule>
  </conditionalFormatting>
  <conditionalFormatting sqref="AU423">
    <cfRule type="cellIs" dxfId="0" priority="1464" operator="lessThan">
      <formula>20</formula>
    </cfRule>
    <cfRule type="cellIs" dxfId="1" priority="837" operator="greaterThan">
      <formula>120</formula>
    </cfRule>
    <cfRule type="containsText" dxfId="2" priority="210" operator="between" text="库存为">
      <formula>NOT(ISERROR(SEARCH("库存为",AU423)))</formula>
    </cfRule>
  </conditionalFormatting>
  <conditionalFormatting sqref="AU424">
    <cfRule type="cellIs" dxfId="0" priority="1463" operator="lessThan">
      <formula>20</formula>
    </cfRule>
    <cfRule type="cellIs" dxfId="1" priority="836" operator="greaterThan">
      <formula>120</formula>
    </cfRule>
    <cfRule type="containsText" dxfId="2" priority="209" operator="between" text="库存为">
      <formula>NOT(ISERROR(SEARCH("库存为",AU424)))</formula>
    </cfRule>
  </conditionalFormatting>
  <conditionalFormatting sqref="AU425">
    <cfRule type="cellIs" dxfId="0" priority="1462" operator="lessThan">
      <formula>20</formula>
    </cfRule>
    <cfRule type="cellIs" dxfId="1" priority="835" operator="greaterThan">
      <formula>120</formula>
    </cfRule>
    <cfRule type="containsText" dxfId="2" priority="208" operator="between" text="库存为">
      <formula>NOT(ISERROR(SEARCH("库存为",AU425)))</formula>
    </cfRule>
  </conditionalFormatting>
  <conditionalFormatting sqref="AU426">
    <cfRule type="cellIs" dxfId="0" priority="1461" operator="lessThan">
      <formula>20</formula>
    </cfRule>
    <cfRule type="cellIs" dxfId="1" priority="834" operator="greaterThan">
      <formula>120</formula>
    </cfRule>
    <cfRule type="containsText" dxfId="2" priority="207" operator="between" text="库存为">
      <formula>NOT(ISERROR(SEARCH("库存为",AU426)))</formula>
    </cfRule>
  </conditionalFormatting>
  <conditionalFormatting sqref="AU427">
    <cfRule type="cellIs" dxfId="0" priority="1460" operator="lessThan">
      <formula>20</formula>
    </cfRule>
    <cfRule type="cellIs" dxfId="1" priority="833" operator="greaterThan">
      <formula>120</formula>
    </cfRule>
    <cfRule type="containsText" dxfId="2" priority="206" operator="between" text="库存为">
      <formula>NOT(ISERROR(SEARCH("库存为",AU427)))</formula>
    </cfRule>
  </conditionalFormatting>
  <conditionalFormatting sqref="AU428">
    <cfRule type="cellIs" dxfId="0" priority="1459" operator="lessThan">
      <formula>20</formula>
    </cfRule>
    <cfRule type="cellIs" dxfId="1" priority="832" operator="greaterThan">
      <formula>120</formula>
    </cfRule>
    <cfRule type="containsText" dxfId="2" priority="205" operator="between" text="库存为">
      <formula>NOT(ISERROR(SEARCH("库存为",AU428)))</formula>
    </cfRule>
  </conditionalFormatting>
  <conditionalFormatting sqref="AU429">
    <cfRule type="cellIs" dxfId="0" priority="1458" operator="lessThan">
      <formula>20</formula>
    </cfRule>
    <cfRule type="cellIs" dxfId="1" priority="831" operator="greaterThan">
      <formula>120</formula>
    </cfRule>
    <cfRule type="containsText" dxfId="2" priority="204" operator="between" text="库存为">
      <formula>NOT(ISERROR(SEARCH("库存为",AU429)))</formula>
    </cfRule>
  </conditionalFormatting>
  <conditionalFormatting sqref="AU430">
    <cfRule type="cellIs" dxfId="0" priority="1457" operator="lessThan">
      <formula>20</formula>
    </cfRule>
    <cfRule type="cellIs" dxfId="1" priority="830" operator="greaterThan">
      <formula>120</formula>
    </cfRule>
    <cfRule type="containsText" dxfId="2" priority="203" operator="between" text="库存为">
      <formula>NOT(ISERROR(SEARCH("库存为",AU430)))</formula>
    </cfRule>
  </conditionalFormatting>
  <conditionalFormatting sqref="AU431">
    <cfRule type="cellIs" dxfId="0" priority="1456" operator="lessThan">
      <formula>20</formula>
    </cfRule>
    <cfRule type="cellIs" dxfId="1" priority="829" operator="greaterThan">
      <formula>120</formula>
    </cfRule>
    <cfRule type="containsText" dxfId="2" priority="202" operator="between" text="库存为">
      <formula>NOT(ISERROR(SEARCH("库存为",AU431)))</formula>
    </cfRule>
  </conditionalFormatting>
  <conditionalFormatting sqref="AU432">
    <cfRule type="cellIs" dxfId="0" priority="1455" operator="lessThan">
      <formula>20</formula>
    </cfRule>
    <cfRule type="cellIs" dxfId="1" priority="828" operator="greaterThan">
      <formula>120</formula>
    </cfRule>
    <cfRule type="containsText" dxfId="2" priority="201" operator="between" text="库存为">
      <formula>NOT(ISERROR(SEARCH("库存为",AU432)))</formula>
    </cfRule>
  </conditionalFormatting>
  <conditionalFormatting sqref="AU433">
    <cfRule type="cellIs" dxfId="0" priority="1454" operator="lessThan">
      <formula>20</formula>
    </cfRule>
    <cfRule type="cellIs" dxfId="1" priority="827" operator="greaterThan">
      <formula>120</formula>
    </cfRule>
    <cfRule type="containsText" dxfId="2" priority="200" operator="between" text="库存为">
      <formula>NOT(ISERROR(SEARCH("库存为",AU433)))</formula>
    </cfRule>
  </conditionalFormatting>
  <conditionalFormatting sqref="AU434">
    <cfRule type="cellIs" dxfId="0" priority="1453" operator="lessThan">
      <formula>20</formula>
    </cfRule>
    <cfRule type="cellIs" dxfId="1" priority="826" operator="greaterThan">
      <formula>120</formula>
    </cfRule>
    <cfRule type="containsText" dxfId="2" priority="199" operator="between" text="库存为">
      <formula>NOT(ISERROR(SEARCH("库存为",AU434)))</formula>
    </cfRule>
  </conditionalFormatting>
  <conditionalFormatting sqref="AU435">
    <cfRule type="cellIs" dxfId="0" priority="1452" operator="lessThan">
      <formula>20</formula>
    </cfRule>
    <cfRule type="cellIs" dxfId="1" priority="825" operator="greaterThan">
      <formula>120</formula>
    </cfRule>
    <cfRule type="containsText" dxfId="2" priority="198" operator="between" text="库存为">
      <formula>NOT(ISERROR(SEARCH("库存为",AU435)))</formula>
    </cfRule>
  </conditionalFormatting>
  <conditionalFormatting sqref="AU436">
    <cfRule type="cellIs" dxfId="0" priority="1451" operator="lessThan">
      <formula>20</formula>
    </cfRule>
    <cfRule type="cellIs" dxfId="1" priority="824" operator="greaterThan">
      <formula>120</formula>
    </cfRule>
    <cfRule type="containsText" dxfId="2" priority="197" operator="between" text="库存为">
      <formula>NOT(ISERROR(SEARCH("库存为",AU436)))</formula>
    </cfRule>
  </conditionalFormatting>
  <conditionalFormatting sqref="AU437">
    <cfRule type="cellIs" dxfId="0" priority="1450" operator="lessThan">
      <formula>20</formula>
    </cfRule>
    <cfRule type="cellIs" dxfId="1" priority="823" operator="greaterThan">
      <formula>120</formula>
    </cfRule>
    <cfRule type="containsText" dxfId="2" priority="196" operator="between" text="库存为">
      <formula>NOT(ISERROR(SEARCH("库存为",AU437)))</formula>
    </cfRule>
  </conditionalFormatting>
  <conditionalFormatting sqref="AU438">
    <cfRule type="cellIs" dxfId="0" priority="1449" operator="lessThan">
      <formula>20</formula>
    </cfRule>
    <cfRule type="cellIs" dxfId="1" priority="822" operator="greaterThan">
      <formula>120</formula>
    </cfRule>
    <cfRule type="containsText" dxfId="2" priority="195" operator="between" text="库存为">
      <formula>NOT(ISERROR(SEARCH("库存为",AU438)))</formula>
    </cfRule>
  </conditionalFormatting>
  <conditionalFormatting sqref="AU439">
    <cfRule type="cellIs" dxfId="0" priority="1448" operator="lessThan">
      <formula>20</formula>
    </cfRule>
    <cfRule type="cellIs" dxfId="1" priority="821" operator="greaterThan">
      <formula>120</formula>
    </cfRule>
    <cfRule type="containsText" dxfId="2" priority="194" operator="between" text="库存为">
      <formula>NOT(ISERROR(SEARCH("库存为",AU439)))</formula>
    </cfRule>
  </conditionalFormatting>
  <conditionalFormatting sqref="AU440">
    <cfRule type="cellIs" dxfId="0" priority="1447" operator="lessThan">
      <formula>20</formula>
    </cfRule>
    <cfRule type="cellIs" dxfId="1" priority="820" operator="greaterThan">
      <formula>120</formula>
    </cfRule>
    <cfRule type="containsText" dxfId="2" priority="193" operator="between" text="库存为">
      <formula>NOT(ISERROR(SEARCH("库存为",AU440)))</formula>
    </cfRule>
  </conditionalFormatting>
  <conditionalFormatting sqref="AU441">
    <cfRule type="cellIs" dxfId="0" priority="1446" operator="lessThan">
      <formula>20</formula>
    </cfRule>
    <cfRule type="cellIs" dxfId="1" priority="819" operator="greaterThan">
      <formula>120</formula>
    </cfRule>
    <cfRule type="containsText" dxfId="2" priority="192" operator="between" text="库存为">
      <formula>NOT(ISERROR(SEARCH("库存为",AU441)))</formula>
    </cfRule>
  </conditionalFormatting>
  <conditionalFormatting sqref="AU442">
    <cfRule type="cellIs" dxfId="0" priority="1445" operator="lessThan">
      <formula>20</formula>
    </cfRule>
    <cfRule type="cellIs" dxfId="1" priority="818" operator="greaterThan">
      <formula>120</formula>
    </cfRule>
    <cfRule type="containsText" dxfId="2" priority="191" operator="between" text="库存为">
      <formula>NOT(ISERROR(SEARCH("库存为",AU442)))</formula>
    </cfRule>
  </conditionalFormatting>
  <conditionalFormatting sqref="AU443">
    <cfRule type="cellIs" dxfId="0" priority="1444" operator="lessThan">
      <formula>20</formula>
    </cfRule>
    <cfRule type="cellIs" dxfId="1" priority="817" operator="greaterThan">
      <formula>120</formula>
    </cfRule>
    <cfRule type="containsText" dxfId="2" priority="190" operator="between" text="库存为">
      <formula>NOT(ISERROR(SEARCH("库存为",AU443)))</formula>
    </cfRule>
  </conditionalFormatting>
  <conditionalFormatting sqref="AU444">
    <cfRule type="cellIs" dxfId="0" priority="1443" operator="lessThan">
      <formula>20</formula>
    </cfRule>
    <cfRule type="cellIs" dxfId="1" priority="816" operator="greaterThan">
      <formula>120</formula>
    </cfRule>
    <cfRule type="containsText" dxfId="2" priority="189" operator="between" text="库存为">
      <formula>NOT(ISERROR(SEARCH("库存为",AU444)))</formula>
    </cfRule>
  </conditionalFormatting>
  <conditionalFormatting sqref="AU445">
    <cfRule type="cellIs" dxfId="0" priority="1442" operator="lessThan">
      <formula>20</formula>
    </cfRule>
    <cfRule type="cellIs" dxfId="1" priority="815" operator="greaterThan">
      <formula>120</formula>
    </cfRule>
    <cfRule type="containsText" dxfId="2" priority="188" operator="between" text="库存为">
      <formula>NOT(ISERROR(SEARCH("库存为",AU445)))</formula>
    </cfRule>
  </conditionalFormatting>
  <conditionalFormatting sqref="AU446">
    <cfRule type="cellIs" dxfId="0" priority="1441" operator="lessThan">
      <formula>20</formula>
    </cfRule>
    <cfRule type="cellIs" dxfId="1" priority="814" operator="greaterThan">
      <formula>120</formula>
    </cfRule>
    <cfRule type="containsText" dxfId="2" priority="187" operator="between" text="库存为">
      <formula>NOT(ISERROR(SEARCH("库存为",AU446)))</formula>
    </cfRule>
  </conditionalFormatting>
  <conditionalFormatting sqref="AU447">
    <cfRule type="cellIs" dxfId="0" priority="1440" operator="lessThan">
      <formula>20</formula>
    </cfRule>
    <cfRule type="cellIs" dxfId="1" priority="813" operator="greaterThan">
      <formula>120</formula>
    </cfRule>
    <cfRule type="containsText" dxfId="2" priority="186" operator="between" text="库存为">
      <formula>NOT(ISERROR(SEARCH("库存为",AU447)))</formula>
    </cfRule>
  </conditionalFormatting>
  <conditionalFormatting sqref="AU448">
    <cfRule type="cellIs" dxfId="0" priority="1439" operator="lessThan">
      <formula>20</formula>
    </cfRule>
    <cfRule type="cellIs" dxfId="1" priority="812" operator="greaterThan">
      <formula>120</formula>
    </cfRule>
    <cfRule type="containsText" dxfId="2" priority="185" operator="between" text="库存为">
      <formula>NOT(ISERROR(SEARCH("库存为",AU448)))</formula>
    </cfRule>
  </conditionalFormatting>
  <conditionalFormatting sqref="AU449">
    <cfRule type="cellIs" dxfId="0" priority="1438" operator="lessThan">
      <formula>20</formula>
    </cfRule>
    <cfRule type="cellIs" dxfId="1" priority="811" operator="greaterThan">
      <formula>120</formula>
    </cfRule>
    <cfRule type="containsText" dxfId="2" priority="184" operator="between" text="库存为">
      <formula>NOT(ISERROR(SEARCH("库存为",AU449)))</formula>
    </cfRule>
  </conditionalFormatting>
  <conditionalFormatting sqref="AU450">
    <cfRule type="cellIs" dxfId="0" priority="1437" operator="lessThan">
      <formula>20</formula>
    </cfRule>
    <cfRule type="cellIs" dxfId="1" priority="810" operator="greaterThan">
      <formula>120</formula>
    </cfRule>
    <cfRule type="containsText" dxfId="2" priority="183" operator="between" text="库存为">
      <formula>NOT(ISERROR(SEARCH("库存为",AU450)))</formula>
    </cfRule>
  </conditionalFormatting>
  <conditionalFormatting sqref="AU451">
    <cfRule type="cellIs" dxfId="0" priority="1436" operator="lessThan">
      <formula>20</formula>
    </cfRule>
    <cfRule type="cellIs" dxfId="1" priority="809" operator="greaterThan">
      <formula>120</formula>
    </cfRule>
    <cfRule type="containsText" dxfId="2" priority="182" operator="between" text="库存为">
      <formula>NOT(ISERROR(SEARCH("库存为",AU451)))</formula>
    </cfRule>
  </conditionalFormatting>
  <conditionalFormatting sqref="AU452">
    <cfRule type="cellIs" dxfId="0" priority="1435" operator="lessThan">
      <formula>20</formula>
    </cfRule>
    <cfRule type="cellIs" dxfId="1" priority="808" operator="greaterThan">
      <formula>120</formula>
    </cfRule>
    <cfRule type="containsText" dxfId="2" priority="181" operator="between" text="库存为">
      <formula>NOT(ISERROR(SEARCH("库存为",AU452)))</formula>
    </cfRule>
  </conditionalFormatting>
  <conditionalFormatting sqref="AU453">
    <cfRule type="cellIs" dxfId="0" priority="1434" operator="lessThan">
      <formula>20</formula>
    </cfRule>
    <cfRule type="cellIs" dxfId="1" priority="807" operator="greaterThan">
      <formula>120</formula>
    </cfRule>
    <cfRule type="containsText" dxfId="2" priority="180" operator="between" text="库存为">
      <formula>NOT(ISERROR(SEARCH("库存为",AU453)))</formula>
    </cfRule>
  </conditionalFormatting>
  <conditionalFormatting sqref="AU454">
    <cfRule type="cellIs" dxfId="0" priority="1433" operator="lessThan">
      <formula>20</formula>
    </cfRule>
    <cfRule type="cellIs" dxfId="1" priority="806" operator="greaterThan">
      <formula>120</formula>
    </cfRule>
    <cfRule type="containsText" dxfId="2" priority="179" operator="between" text="库存为">
      <formula>NOT(ISERROR(SEARCH("库存为",AU454)))</formula>
    </cfRule>
  </conditionalFormatting>
  <conditionalFormatting sqref="AU455">
    <cfRule type="cellIs" dxfId="0" priority="1432" operator="lessThan">
      <formula>20</formula>
    </cfRule>
    <cfRule type="cellIs" dxfId="1" priority="805" operator="greaterThan">
      <formula>120</formula>
    </cfRule>
    <cfRule type="containsText" dxfId="2" priority="178" operator="between" text="库存为">
      <formula>NOT(ISERROR(SEARCH("库存为",AU455)))</formula>
    </cfRule>
  </conditionalFormatting>
  <conditionalFormatting sqref="AU456">
    <cfRule type="cellIs" dxfId="0" priority="1431" operator="lessThan">
      <formula>20</formula>
    </cfRule>
    <cfRule type="cellIs" dxfId="1" priority="804" operator="greaterThan">
      <formula>120</formula>
    </cfRule>
    <cfRule type="containsText" dxfId="2" priority="177" operator="between" text="库存为">
      <formula>NOT(ISERROR(SEARCH("库存为",AU456)))</formula>
    </cfRule>
  </conditionalFormatting>
  <conditionalFormatting sqref="AU457">
    <cfRule type="cellIs" dxfId="0" priority="1430" operator="lessThan">
      <formula>20</formula>
    </cfRule>
    <cfRule type="cellIs" dxfId="1" priority="803" operator="greaterThan">
      <formula>120</formula>
    </cfRule>
    <cfRule type="containsText" dxfId="2" priority="176" operator="between" text="库存为">
      <formula>NOT(ISERROR(SEARCH("库存为",AU457)))</formula>
    </cfRule>
  </conditionalFormatting>
  <conditionalFormatting sqref="AU458">
    <cfRule type="cellIs" dxfId="0" priority="1429" operator="lessThan">
      <formula>20</formula>
    </cfRule>
    <cfRule type="cellIs" dxfId="1" priority="802" operator="greaterThan">
      <formula>120</formula>
    </cfRule>
    <cfRule type="containsText" dxfId="2" priority="175" operator="between" text="库存为">
      <formula>NOT(ISERROR(SEARCH("库存为",AU458)))</formula>
    </cfRule>
  </conditionalFormatting>
  <conditionalFormatting sqref="AU459">
    <cfRule type="cellIs" dxfId="0" priority="1428" operator="lessThan">
      <formula>20</formula>
    </cfRule>
    <cfRule type="cellIs" dxfId="1" priority="801" operator="greaterThan">
      <formula>120</formula>
    </cfRule>
    <cfRule type="containsText" dxfId="2" priority="174" operator="between" text="库存为">
      <formula>NOT(ISERROR(SEARCH("库存为",AU459)))</formula>
    </cfRule>
  </conditionalFormatting>
  <conditionalFormatting sqref="AU460">
    <cfRule type="cellIs" dxfId="0" priority="1427" operator="lessThan">
      <formula>20</formula>
    </cfRule>
    <cfRule type="cellIs" dxfId="1" priority="800" operator="greaterThan">
      <formula>120</formula>
    </cfRule>
    <cfRule type="containsText" dxfId="2" priority="173" operator="between" text="库存为">
      <formula>NOT(ISERROR(SEARCH("库存为",AU460)))</formula>
    </cfRule>
  </conditionalFormatting>
  <conditionalFormatting sqref="AU461">
    <cfRule type="cellIs" dxfId="0" priority="1426" operator="lessThan">
      <formula>20</formula>
    </cfRule>
    <cfRule type="cellIs" dxfId="1" priority="799" operator="greaterThan">
      <formula>120</formula>
    </cfRule>
    <cfRule type="containsText" dxfId="2" priority="172" operator="between" text="库存为">
      <formula>NOT(ISERROR(SEARCH("库存为",AU461)))</formula>
    </cfRule>
  </conditionalFormatting>
  <conditionalFormatting sqref="AU462">
    <cfRule type="cellIs" dxfId="0" priority="1425" operator="lessThan">
      <formula>20</formula>
    </cfRule>
    <cfRule type="cellIs" dxfId="1" priority="798" operator="greaterThan">
      <formula>120</formula>
    </cfRule>
    <cfRule type="containsText" dxfId="2" priority="171" operator="between" text="库存为">
      <formula>NOT(ISERROR(SEARCH("库存为",AU462)))</formula>
    </cfRule>
  </conditionalFormatting>
  <conditionalFormatting sqref="AU463">
    <cfRule type="cellIs" dxfId="0" priority="1424" operator="lessThan">
      <formula>20</formula>
    </cfRule>
    <cfRule type="cellIs" dxfId="1" priority="797" operator="greaterThan">
      <formula>120</formula>
    </cfRule>
    <cfRule type="containsText" dxfId="2" priority="170" operator="between" text="库存为">
      <formula>NOT(ISERROR(SEARCH("库存为",AU463)))</formula>
    </cfRule>
  </conditionalFormatting>
  <conditionalFormatting sqref="AU464">
    <cfRule type="cellIs" dxfId="0" priority="1423" operator="lessThan">
      <formula>20</formula>
    </cfRule>
    <cfRule type="cellIs" dxfId="1" priority="796" operator="greaterThan">
      <formula>120</formula>
    </cfRule>
    <cfRule type="containsText" dxfId="2" priority="169" operator="between" text="库存为">
      <formula>NOT(ISERROR(SEARCH("库存为",AU464)))</formula>
    </cfRule>
  </conditionalFormatting>
  <conditionalFormatting sqref="AU465">
    <cfRule type="cellIs" dxfId="0" priority="1422" operator="lessThan">
      <formula>20</formula>
    </cfRule>
    <cfRule type="cellIs" dxfId="1" priority="795" operator="greaterThan">
      <formula>120</formula>
    </cfRule>
    <cfRule type="containsText" dxfId="2" priority="168" operator="between" text="库存为">
      <formula>NOT(ISERROR(SEARCH("库存为",AU465)))</formula>
    </cfRule>
  </conditionalFormatting>
  <conditionalFormatting sqref="AU466">
    <cfRule type="cellIs" dxfId="0" priority="1421" operator="lessThan">
      <formula>20</formula>
    </cfRule>
    <cfRule type="cellIs" dxfId="1" priority="794" operator="greaterThan">
      <formula>120</formula>
    </cfRule>
    <cfRule type="containsText" dxfId="2" priority="167" operator="between" text="库存为">
      <formula>NOT(ISERROR(SEARCH("库存为",AU466)))</formula>
    </cfRule>
  </conditionalFormatting>
  <conditionalFormatting sqref="AU467">
    <cfRule type="cellIs" dxfId="0" priority="1420" operator="lessThan">
      <formula>20</formula>
    </cfRule>
    <cfRule type="cellIs" dxfId="1" priority="793" operator="greaterThan">
      <formula>120</formula>
    </cfRule>
    <cfRule type="containsText" dxfId="2" priority="166" operator="between" text="库存为">
      <formula>NOT(ISERROR(SEARCH("库存为",AU467)))</formula>
    </cfRule>
  </conditionalFormatting>
  <conditionalFormatting sqref="AU468">
    <cfRule type="cellIs" dxfId="0" priority="1419" operator="lessThan">
      <formula>20</formula>
    </cfRule>
    <cfRule type="cellIs" dxfId="1" priority="792" operator="greaterThan">
      <formula>120</formula>
    </cfRule>
    <cfRule type="containsText" dxfId="2" priority="165" operator="between" text="库存为">
      <formula>NOT(ISERROR(SEARCH("库存为",AU468)))</formula>
    </cfRule>
  </conditionalFormatting>
  <conditionalFormatting sqref="AU469">
    <cfRule type="cellIs" dxfId="0" priority="1418" operator="lessThan">
      <formula>20</formula>
    </cfRule>
    <cfRule type="cellIs" dxfId="1" priority="791" operator="greaterThan">
      <formula>120</formula>
    </cfRule>
    <cfRule type="containsText" dxfId="2" priority="164" operator="between" text="库存为">
      <formula>NOT(ISERROR(SEARCH("库存为",AU469)))</formula>
    </cfRule>
  </conditionalFormatting>
  <conditionalFormatting sqref="AU470">
    <cfRule type="cellIs" dxfId="0" priority="1417" operator="lessThan">
      <formula>20</formula>
    </cfRule>
    <cfRule type="cellIs" dxfId="1" priority="790" operator="greaterThan">
      <formula>120</formula>
    </cfRule>
    <cfRule type="containsText" dxfId="2" priority="163" operator="between" text="库存为">
      <formula>NOT(ISERROR(SEARCH("库存为",AU470)))</formula>
    </cfRule>
  </conditionalFormatting>
  <conditionalFormatting sqref="AU471">
    <cfRule type="cellIs" dxfId="0" priority="1416" operator="lessThan">
      <formula>20</formula>
    </cfRule>
    <cfRule type="cellIs" dxfId="1" priority="789" operator="greaterThan">
      <formula>120</formula>
    </cfRule>
    <cfRule type="containsText" dxfId="2" priority="162" operator="between" text="库存为">
      <formula>NOT(ISERROR(SEARCH("库存为",AU471)))</formula>
    </cfRule>
  </conditionalFormatting>
  <conditionalFormatting sqref="AU472">
    <cfRule type="cellIs" dxfId="0" priority="1415" operator="lessThan">
      <formula>20</formula>
    </cfRule>
    <cfRule type="cellIs" dxfId="1" priority="788" operator="greaterThan">
      <formula>120</formula>
    </cfRule>
    <cfRule type="containsText" dxfId="2" priority="161" operator="between" text="库存为">
      <formula>NOT(ISERROR(SEARCH("库存为",AU472)))</formula>
    </cfRule>
  </conditionalFormatting>
  <conditionalFormatting sqref="AU473">
    <cfRule type="cellIs" dxfId="0" priority="1414" operator="lessThan">
      <formula>20</formula>
    </cfRule>
    <cfRule type="cellIs" dxfId="1" priority="787" operator="greaterThan">
      <formula>120</formula>
    </cfRule>
    <cfRule type="containsText" dxfId="2" priority="160" operator="between" text="库存为">
      <formula>NOT(ISERROR(SEARCH("库存为",AU473)))</formula>
    </cfRule>
  </conditionalFormatting>
  <conditionalFormatting sqref="AU474">
    <cfRule type="cellIs" dxfId="0" priority="1413" operator="lessThan">
      <formula>20</formula>
    </cfRule>
    <cfRule type="cellIs" dxfId="1" priority="786" operator="greaterThan">
      <formula>120</formula>
    </cfRule>
    <cfRule type="containsText" dxfId="2" priority="159" operator="between" text="库存为">
      <formula>NOT(ISERROR(SEARCH("库存为",AU474)))</formula>
    </cfRule>
  </conditionalFormatting>
  <conditionalFormatting sqref="AU475">
    <cfRule type="cellIs" dxfId="0" priority="1412" operator="lessThan">
      <formula>20</formula>
    </cfRule>
    <cfRule type="cellIs" dxfId="1" priority="785" operator="greaterThan">
      <formula>120</formula>
    </cfRule>
    <cfRule type="containsText" dxfId="2" priority="158" operator="between" text="库存为">
      <formula>NOT(ISERROR(SEARCH("库存为",AU475)))</formula>
    </cfRule>
  </conditionalFormatting>
  <conditionalFormatting sqref="AU476">
    <cfRule type="cellIs" dxfId="0" priority="1411" operator="lessThan">
      <formula>20</formula>
    </cfRule>
    <cfRule type="cellIs" dxfId="1" priority="784" operator="greaterThan">
      <formula>120</formula>
    </cfRule>
    <cfRule type="containsText" dxfId="2" priority="157" operator="between" text="库存为">
      <formula>NOT(ISERROR(SEARCH("库存为",AU476)))</formula>
    </cfRule>
  </conditionalFormatting>
  <conditionalFormatting sqref="AU477">
    <cfRule type="cellIs" dxfId="0" priority="1410" operator="lessThan">
      <formula>20</formula>
    </cfRule>
    <cfRule type="cellIs" dxfId="1" priority="783" operator="greaterThan">
      <formula>120</formula>
    </cfRule>
    <cfRule type="containsText" dxfId="2" priority="156" operator="between" text="库存为">
      <formula>NOT(ISERROR(SEARCH("库存为",AU477)))</formula>
    </cfRule>
  </conditionalFormatting>
  <conditionalFormatting sqref="AU478">
    <cfRule type="cellIs" dxfId="0" priority="1409" operator="lessThan">
      <formula>20</formula>
    </cfRule>
    <cfRule type="cellIs" dxfId="1" priority="782" operator="greaterThan">
      <formula>120</formula>
    </cfRule>
    <cfRule type="containsText" dxfId="2" priority="155" operator="between" text="库存为">
      <formula>NOT(ISERROR(SEARCH("库存为",AU478)))</formula>
    </cfRule>
  </conditionalFormatting>
  <conditionalFormatting sqref="AU479">
    <cfRule type="cellIs" dxfId="0" priority="1408" operator="lessThan">
      <formula>20</formula>
    </cfRule>
    <cfRule type="cellIs" dxfId="1" priority="781" operator="greaterThan">
      <formula>120</formula>
    </cfRule>
    <cfRule type="containsText" dxfId="2" priority="154" operator="between" text="库存为">
      <formula>NOT(ISERROR(SEARCH("库存为",AU479)))</formula>
    </cfRule>
  </conditionalFormatting>
  <conditionalFormatting sqref="AU480">
    <cfRule type="cellIs" dxfId="0" priority="1407" operator="lessThan">
      <formula>20</formula>
    </cfRule>
    <cfRule type="cellIs" dxfId="1" priority="780" operator="greaterThan">
      <formula>120</formula>
    </cfRule>
    <cfRule type="containsText" dxfId="2" priority="153" operator="between" text="库存为">
      <formula>NOT(ISERROR(SEARCH("库存为",AU480)))</formula>
    </cfRule>
  </conditionalFormatting>
  <conditionalFormatting sqref="AU481">
    <cfRule type="cellIs" dxfId="0" priority="1406" operator="lessThan">
      <formula>20</formula>
    </cfRule>
    <cfRule type="cellIs" dxfId="1" priority="779" operator="greaterThan">
      <formula>120</formula>
    </cfRule>
    <cfRule type="containsText" dxfId="2" priority="152" operator="between" text="库存为">
      <formula>NOT(ISERROR(SEARCH("库存为",AU481)))</formula>
    </cfRule>
  </conditionalFormatting>
  <conditionalFormatting sqref="AU482">
    <cfRule type="cellIs" dxfId="0" priority="1405" operator="lessThan">
      <formula>20</formula>
    </cfRule>
    <cfRule type="cellIs" dxfId="1" priority="778" operator="greaterThan">
      <formula>120</formula>
    </cfRule>
    <cfRule type="containsText" dxfId="2" priority="151" operator="between" text="库存为">
      <formula>NOT(ISERROR(SEARCH("库存为",AU482)))</formula>
    </cfRule>
  </conditionalFormatting>
  <conditionalFormatting sqref="AU483">
    <cfRule type="cellIs" dxfId="0" priority="1404" operator="lessThan">
      <formula>20</formula>
    </cfRule>
    <cfRule type="cellIs" dxfId="1" priority="777" operator="greaterThan">
      <formula>120</formula>
    </cfRule>
    <cfRule type="containsText" dxfId="2" priority="150" operator="between" text="库存为">
      <formula>NOT(ISERROR(SEARCH("库存为",AU483)))</formula>
    </cfRule>
  </conditionalFormatting>
  <conditionalFormatting sqref="AU484">
    <cfRule type="cellIs" dxfId="0" priority="1403" operator="lessThan">
      <formula>20</formula>
    </cfRule>
    <cfRule type="cellIs" dxfId="1" priority="776" operator="greaterThan">
      <formula>120</formula>
    </cfRule>
    <cfRule type="containsText" dxfId="2" priority="149" operator="between" text="库存为">
      <formula>NOT(ISERROR(SEARCH("库存为",AU484)))</formula>
    </cfRule>
  </conditionalFormatting>
  <conditionalFormatting sqref="AU485">
    <cfRule type="cellIs" dxfId="0" priority="1402" operator="lessThan">
      <formula>20</formula>
    </cfRule>
    <cfRule type="cellIs" dxfId="1" priority="775" operator="greaterThan">
      <formula>120</formula>
    </cfRule>
    <cfRule type="containsText" dxfId="2" priority="148" operator="between" text="库存为">
      <formula>NOT(ISERROR(SEARCH("库存为",AU485)))</formula>
    </cfRule>
  </conditionalFormatting>
  <conditionalFormatting sqref="AU486">
    <cfRule type="cellIs" dxfId="0" priority="1401" operator="lessThan">
      <formula>20</formula>
    </cfRule>
    <cfRule type="cellIs" dxfId="1" priority="774" operator="greaterThan">
      <formula>120</formula>
    </cfRule>
    <cfRule type="containsText" dxfId="2" priority="147" operator="between" text="库存为">
      <formula>NOT(ISERROR(SEARCH("库存为",AU486)))</formula>
    </cfRule>
  </conditionalFormatting>
  <conditionalFormatting sqref="AU487">
    <cfRule type="cellIs" dxfId="0" priority="1400" operator="lessThan">
      <formula>20</formula>
    </cfRule>
    <cfRule type="cellIs" dxfId="1" priority="773" operator="greaterThan">
      <formula>120</formula>
    </cfRule>
    <cfRule type="containsText" dxfId="2" priority="146" operator="between" text="库存为">
      <formula>NOT(ISERROR(SEARCH("库存为",AU487)))</formula>
    </cfRule>
  </conditionalFormatting>
  <conditionalFormatting sqref="AU488">
    <cfRule type="cellIs" dxfId="0" priority="1399" operator="lessThan">
      <formula>20</formula>
    </cfRule>
    <cfRule type="cellIs" dxfId="1" priority="772" operator="greaterThan">
      <formula>120</formula>
    </cfRule>
    <cfRule type="containsText" dxfId="2" priority="145" operator="between" text="库存为">
      <formula>NOT(ISERROR(SEARCH("库存为",AU488)))</formula>
    </cfRule>
  </conditionalFormatting>
  <conditionalFormatting sqref="AU489">
    <cfRule type="cellIs" dxfId="0" priority="1398" operator="lessThan">
      <formula>20</formula>
    </cfRule>
    <cfRule type="cellIs" dxfId="1" priority="771" operator="greaterThan">
      <formula>120</formula>
    </cfRule>
    <cfRule type="containsText" dxfId="2" priority="144" operator="between" text="库存为">
      <formula>NOT(ISERROR(SEARCH("库存为",AU489)))</formula>
    </cfRule>
  </conditionalFormatting>
  <conditionalFormatting sqref="AU490">
    <cfRule type="cellIs" dxfId="0" priority="1397" operator="lessThan">
      <formula>20</formula>
    </cfRule>
    <cfRule type="cellIs" dxfId="1" priority="770" operator="greaterThan">
      <formula>120</formula>
    </cfRule>
    <cfRule type="containsText" dxfId="2" priority="143" operator="between" text="库存为">
      <formula>NOT(ISERROR(SEARCH("库存为",AU490)))</formula>
    </cfRule>
  </conditionalFormatting>
  <conditionalFormatting sqref="AU491">
    <cfRule type="cellIs" dxfId="0" priority="1396" operator="lessThan">
      <formula>20</formula>
    </cfRule>
    <cfRule type="cellIs" dxfId="1" priority="769" operator="greaterThan">
      <formula>120</formula>
    </cfRule>
    <cfRule type="containsText" dxfId="2" priority="142" operator="between" text="库存为">
      <formula>NOT(ISERROR(SEARCH("库存为",AU491)))</formula>
    </cfRule>
  </conditionalFormatting>
  <conditionalFormatting sqref="AU492">
    <cfRule type="cellIs" dxfId="0" priority="1395" operator="lessThan">
      <formula>20</formula>
    </cfRule>
    <cfRule type="cellIs" dxfId="1" priority="768" operator="greaterThan">
      <formula>120</formula>
    </cfRule>
    <cfRule type="containsText" dxfId="2" priority="141" operator="between" text="库存为">
      <formula>NOT(ISERROR(SEARCH("库存为",AU492)))</formula>
    </cfRule>
  </conditionalFormatting>
  <conditionalFormatting sqref="AU493">
    <cfRule type="cellIs" dxfId="0" priority="1394" operator="lessThan">
      <formula>20</formula>
    </cfRule>
    <cfRule type="cellIs" dxfId="1" priority="767" operator="greaterThan">
      <formula>120</formula>
    </cfRule>
    <cfRule type="containsText" dxfId="2" priority="140" operator="between" text="库存为">
      <formula>NOT(ISERROR(SEARCH("库存为",AU493)))</formula>
    </cfRule>
  </conditionalFormatting>
  <conditionalFormatting sqref="AU494">
    <cfRule type="cellIs" dxfId="0" priority="1393" operator="lessThan">
      <formula>20</formula>
    </cfRule>
    <cfRule type="cellIs" dxfId="1" priority="766" operator="greaterThan">
      <formula>120</formula>
    </cfRule>
    <cfRule type="containsText" dxfId="2" priority="139" operator="between" text="库存为">
      <formula>NOT(ISERROR(SEARCH("库存为",AU494)))</formula>
    </cfRule>
  </conditionalFormatting>
  <conditionalFormatting sqref="AU495">
    <cfRule type="cellIs" dxfId="0" priority="1392" operator="lessThan">
      <formula>20</formula>
    </cfRule>
    <cfRule type="cellIs" dxfId="1" priority="765" operator="greaterThan">
      <formula>120</formula>
    </cfRule>
    <cfRule type="containsText" dxfId="2" priority="138" operator="between" text="库存为">
      <formula>NOT(ISERROR(SEARCH("库存为",AU495)))</formula>
    </cfRule>
  </conditionalFormatting>
  <conditionalFormatting sqref="AU496">
    <cfRule type="cellIs" dxfId="0" priority="1391" operator="lessThan">
      <formula>20</formula>
    </cfRule>
    <cfRule type="cellIs" dxfId="1" priority="764" operator="greaterThan">
      <formula>120</formula>
    </cfRule>
    <cfRule type="containsText" dxfId="2" priority="137" operator="between" text="库存为">
      <formula>NOT(ISERROR(SEARCH("库存为",AU496)))</formula>
    </cfRule>
  </conditionalFormatting>
  <conditionalFormatting sqref="AU497">
    <cfRule type="cellIs" dxfId="0" priority="1390" operator="lessThan">
      <formula>20</formula>
    </cfRule>
    <cfRule type="cellIs" dxfId="1" priority="763" operator="greaterThan">
      <formula>120</formula>
    </cfRule>
    <cfRule type="containsText" dxfId="2" priority="136" operator="between" text="库存为">
      <formula>NOT(ISERROR(SEARCH("库存为",AU497)))</formula>
    </cfRule>
  </conditionalFormatting>
  <conditionalFormatting sqref="AU498">
    <cfRule type="cellIs" dxfId="0" priority="1389" operator="lessThan">
      <formula>20</formula>
    </cfRule>
    <cfRule type="cellIs" dxfId="1" priority="762" operator="greaterThan">
      <formula>120</formula>
    </cfRule>
    <cfRule type="containsText" dxfId="2" priority="135" operator="between" text="库存为">
      <formula>NOT(ISERROR(SEARCH("库存为",AU498)))</formula>
    </cfRule>
  </conditionalFormatting>
  <conditionalFormatting sqref="AU499">
    <cfRule type="cellIs" dxfId="0" priority="1388" operator="lessThan">
      <formula>20</formula>
    </cfRule>
    <cfRule type="cellIs" dxfId="1" priority="761" operator="greaterThan">
      <formula>120</formula>
    </cfRule>
    <cfRule type="containsText" dxfId="2" priority="134" operator="between" text="库存为">
      <formula>NOT(ISERROR(SEARCH("库存为",AU499)))</formula>
    </cfRule>
  </conditionalFormatting>
  <conditionalFormatting sqref="AU500">
    <cfRule type="cellIs" dxfId="0" priority="1387" operator="lessThan">
      <formula>20</formula>
    </cfRule>
    <cfRule type="cellIs" dxfId="1" priority="760" operator="greaterThan">
      <formula>120</formula>
    </cfRule>
    <cfRule type="containsText" dxfId="2" priority="133" operator="between" text="库存为">
      <formula>NOT(ISERROR(SEARCH("库存为",AU500)))</formula>
    </cfRule>
  </conditionalFormatting>
  <conditionalFormatting sqref="AU501">
    <cfRule type="cellIs" dxfId="0" priority="1386" operator="lessThan">
      <formula>20</formula>
    </cfRule>
    <cfRule type="cellIs" dxfId="1" priority="759" operator="greaterThan">
      <formula>120</formula>
    </cfRule>
    <cfRule type="containsText" dxfId="2" priority="132" operator="between" text="库存为">
      <formula>NOT(ISERROR(SEARCH("库存为",AU501)))</formula>
    </cfRule>
  </conditionalFormatting>
  <conditionalFormatting sqref="AU502">
    <cfRule type="cellIs" dxfId="0" priority="1385" operator="lessThan">
      <formula>20</formula>
    </cfRule>
    <cfRule type="cellIs" dxfId="1" priority="758" operator="greaterThan">
      <formula>120</formula>
    </cfRule>
    <cfRule type="containsText" dxfId="2" priority="131" operator="between" text="库存为">
      <formula>NOT(ISERROR(SEARCH("库存为",AU502)))</formula>
    </cfRule>
  </conditionalFormatting>
  <conditionalFormatting sqref="AU503">
    <cfRule type="cellIs" dxfId="0" priority="1384" operator="lessThan">
      <formula>20</formula>
    </cfRule>
    <cfRule type="cellIs" dxfId="1" priority="757" operator="greaterThan">
      <formula>120</formula>
    </cfRule>
    <cfRule type="containsText" dxfId="2" priority="130" operator="between" text="库存为">
      <formula>NOT(ISERROR(SEARCH("库存为",AU503)))</formula>
    </cfRule>
  </conditionalFormatting>
  <conditionalFormatting sqref="AU504">
    <cfRule type="cellIs" dxfId="0" priority="1383" operator="lessThan">
      <formula>20</formula>
    </cfRule>
    <cfRule type="cellIs" dxfId="1" priority="756" operator="greaterThan">
      <formula>120</formula>
    </cfRule>
    <cfRule type="containsText" dxfId="2" priority="129" operator="between" text="库存为">
      <formula>NOT(ISERROR(SEARCH("库存为",AU504)))</formula>
    </cfRule>
  </conditionalFormatting>
  <conditionalFormatting sqref="AU505">
    <cfRule type="cellIs" dxfId="0" priority="1382" operator="lessThan">
      <formula>20</formula>
    </cfRule>
    <cfRule type="cellIs" dxfId="1" priority="755" operator="greaterThan">
      <formula>120</formula>
    </cfRule>
    <cfRule type="containsText" dxfId="2" priority="128" operator="between" text="库存为">
      <formula>NOT(ISERROR(SEARCH("库存为",AU505)))</formula>
    </cfRule>
  </conditionalFormatting>
  <conditionalFormatting sqref="AU506">
    <cfRule type="cellIs" dxfId="0" priority="1381" operator="lessThan">
      <formula>20</formula>
    </cfRule>
    <cfRule type="cellIs" dxfId="1" priority="754" operator="greaterThan">
      <formula>120</formula>
    </cfRule>
    <cfRule type="containsText" dxfId="2" priority="127" operator="between" text="库存为">
      <formula>NOT(ISERROR(SEARCH("库存为",AU506)))</formula>
    </cfRule>
  </conditionalFormatting>
  <conditionalFormatting sqref="AU507">
    <cfRule type="cellIs" dxfId="0" priority="1380" operator="lessThan">
      <formula>20</formula>
    </cfRule>
    <cfRule type="cellIs" dxfId="1" priority="753" operator="greaterThan">
      <formula>120</formula>
    </cfRule>
    <cfRule type="containsText" dxfId="2" priority="126" operator="between" text="库存为">
      <formula>NOT(ISERROR(SEARCH("库存为",AU507)))</formula>
    </cfRule>
  </conditionalFormatting>
  <conditionalFormatting sqref="AU508">
    <cfRule type="cellIs" dxfId="0" priority="1379" operator="lessThan">
      <formula>20</formula>
    </cfRule>
    <cfRule type="cellIs" dxfId="1" priority="752" operator="greaterThan">
      <formula>120</formula>
    </cfRule>
    <cfRule type="containsText" dxfId="2" priority="125" operator="between" text="库存为">
      <formula>NOT(ISERROR(SEARCH("库存为",AU508)))</formula>
    </cfRule>
  </conditionalFormatting>
  <conditionalFormatting sqref="AU509">
    <cfRule type="cellIs" dxfId="0" priority="1378" operator="lessThan">
      <formula>20</formula>
    </cfRule>
    <cfRule type="cellIs" dxfId="1" priority="751" operator="greaterThan">
      <formula>120</formula>
    </cfRule>
    <cfRule type="containsText" dxfId="2" priority="124" operator="between" text="库存为">
      <formula>NOT(ISERROR(SEARCH("库存为",AU509)))</formula>
    </cfRule>
  </conditionalFormatting>
  <conditionalFormatting sqref="AU510">
    <cfRule type="cellIs" dxfId="0" priority="1377" operator="lessThan">
      <formula>20</formula>
    </cfRule>
    <cfRule type="cellIs" dxfId="1" priority="750" operator="greaterThan">
      <formula>120</formula>
    </cfRule>
    <cfRule type="containsText" dxfId="2" priority="123" operator="between" text="库存为">
      <formula>NOT(ISERROR(SEARCH("库存为",AU510)))</formula>
    </cfRule>
  </conditionalFormatting>
  <conditionalFormatting sqref="AU511">
    <cfRule type="cellIs" dxfId="0" priority="1376" operator="lessThan">
      <formula>20</formula>
    </cfRule>
    <cfRule type="cellIs" dxfId="1" priority="749" operator="greaterThan">
      <formula>120</formula>
    </cfRule>
    <cfRule type="containsText" dxfId="2" priority="122" operator="between" text="库存为">
      <formula>NOT(ISERROR(SEARCH("库存为",AU511)))</formula>
    </cfRule>
  </conditionalFormatting>
  <conditionalFormatting sqref="AU512">
    <cfRule type="cellIs" dxfId="0" priority="1375" operator="lessThan">
      <formula>20</formula>
    </cfRule>
    <cfRule type="cellIs" dxfId="1" priority="748" operator="greaterThan">
      <formula>120</formula>
    </cfRule>
    <cfRule type="containsText" dxfId="2" priority="121" operator="between" text="库存为">
      <formula>NOT(ISERROR(SEARCH("库存为",AU512)))</formula>
    </cfRule>
  </conditionalFormatting>
  <conditionalFormatting sqref="AU513">
    <cfRule type="cellIs" dxfId="0" priority="1374" operator="lessThan">
      <formula>20</formula>
    </cfRule>
    <cfRule type="cellIs" dxfId="1" priority="747" operator="greaterThan">
      <formula>120</formula>
    </cfRule>
    <cfRule type="containsText" dxfId="2" priority="120" operator="between" text="库存为">
      <formula>NOT(ISERROR(SEARCH("库存为",AU513)))</formula>
    </cfRule>
  </conditionalFormatting>
  <conditionalFormatting sqref="AU514">
    <cfRule type="cellIs" dxfId="0" priority="1373" operator="lessThan">
      <formula>20</formula>
    </cfRule>
    <cfRule type="cellIs" dxfId="1" priority="746" operator="greaterThan">
      <formula>120</formula>
    </cfRule>
    <cfRule type="containsText" dxfId="2" priority="119" operator="between" text="库存为">
      <formula>NOT(ISERROR(SEARCH("库存为",AU514)))</formula>
    </cfRule>
  </conditionalFormatting>
  <conditionalFormatting sqref="AU515">
    <cfRule type="cellIs" dxfId="0" priority="1372" operator="lessThan">
      <formula>20</formula>
    </cfRule>
    <cfRule type="cellIs" dxfId="1" priority="745" operator="greaterThan">
      <formula>120</formula>
    </cfRule>
    <cfRule type="containsText" dxfId="2" priority="118" operator="between" text="库存为">
      <formula>NOT(ISERROR(SEARCH("库存为",AU515)))</formula>
    </cfRule>
  </conditionalFormatting>
  <conditionalFormatting sqref="AU516">
    <cfRule type="cellIs" dxfId="0" priority="1371" operator="lessThan">
      <formula>20</formula>
    </cfRule>
    <cfRule type="cellIs" dxfId="1" priority="744" operator="greaterThan">
      <formula>120</formula>
    </cfRule>
    <cfRule type="containsText" dxfId="2" priority="117" operator="between" text="库存为">
      <formula>NOT(ISERROR(SEARCH("库存为",AU516)))</formula>
    </cfRule>
  </conditionalFormatting>
  <conditionalFormatting sqref="AU517">
    <cfRule type="cellIs" dxfId="0" priority="1370" operator="lessThan">
      <formula>20</formula>
    </cfRule>
    <cfRule type="cellIs" dxfId="1" priority="743" operator="greaterThan">
      <formula>120</formula>
    </cfRule>
    <cfRule type="containsText" dxfId="2" priority="116" operator="between" text="库存为">
      <formula>NOT(ISERROR(SEARCH("库存为",AU517)))</formula>
    </cfRule>
  </conditionalFormatting>
  <conditionalFormatting sqref="AU518">
    <cfRule type="cellIs" dxfId="0" priority="1369" operator="lessThan">
      <formula>20</formula>
    </cfRule>
    <cfRule type="cellIs" dxfId="1" priority="742" operator="greaterThan">
      <formula>120</formula>
    </cfRule>
    <cfRule type="containsText" dxfId="2" priority="115" operator="between" text="库存为">
      <formula>NOT(ISERROR(SEARCH("库存为",AU518)))</formula>
    </cfRule>
  </conditionalFormatting>
  <conditionalFormatting sqref="AU519">
    <cfRule type="cellIs" dxfId="0" priority="1368" operator="lessThan">
      <formula>20</formula>
    </cfRule>
    <cfRule type="cellIs" dxfId="1" priority="741" operator="greaterThan">
      <formula>120</formula>
    </cfRule>
    <cfRule type="containsText" dxfId="2" priority="114" operator="between" text="库存为">
      <formula>NOT(ISERROR(SEARCH("库存为",AU519)))</formula>
    </cfRule>
  </conditionalFormatting>
  <conditionalFormatting sqref="AU520">
    <cfRule type="cellIs" dxfId="0" priority="1367" operator="lessThan">
      <formula>20</formula>
    </cfRule>
    <cfRule type="cellIs" dxfId="1" priority="740" operator="greaterThan">
      <formula>120</formula>
    </cfRule>
    <cfRule type="containsText" dxfId="2" priority="113" operator="between" text="库存为">
      <formula>NOT(ISERROR(SEARCH("库存为",AU520)))</formula>
    </cfRule>
  </conditionalFormatting>
  <conditionalFormatting sqref="AU521">
    <cfRule type="cellIs" dxfId="0" priority="1366" operator="lessThan">
      <formula>20</formula>
    </cfRule>
    <cfRule type="cellIs" dxfId="1" priority="739" operator="greaterThan">
      <formula>120</formula>
    </cfRule>
    <cfRule type="containsText" dxfId="2" priority="112" operator="between" text="库存为">
      <formula>NOT(ISERROR(SEARCH("库存为",AU521)))</formula>
    </cfRule>
  </conditionalFormatting>
  <conditionalFormatting sqref="AU522">
    <cfRule type="cellIs" dxfId="0" priority="1365" operator="lessThan">
      <formula>20</formula>
    </cfRule>
    <cfRule type="cellIs" dxfId="1" priority="738" operator="greaterThan">
      <formula>120</formula>
    </cfRule>
    <cfRule type="containsText" dxfId="2" priority="111" operator="between" text="库存为">
      <formula>NOT(ISERROR(SEARCH("库存为",AU522)))</formula>
    </cfRule>
  </conditionalFormatting>
  <conditionalFormatting sqref="AU523">
    <cfRule type="cellIs" dxfId="0" priority="1364" operator="lessThan">
      <formula>20</formula>
    </cfRule>
    <cfRule type="cellIs" dxfId="1" priority="737" operator="greaterThan">
      <formula>120</formula>
    </cfRule>
    <cfRule type="containsText" dxfId="2" priority="110" operator="between" text="库存为">
      <formula>NOT(ISERROR(SEARCH("库存为",AU523)))</formula>
    </cfRule>
  </conditionalFormatting>
  <conditionalFormatting sqref="AU524">
    <cfRule type="cellIs" dxfId="0" priority="1363" operator="lessThan">
      <formula>20</formula>
    </cfRule>
    <cfRule type="cellIs" dxfId="1" priority="736" operator="greaterThan">
      <formula>120</formula>
    </cfRule>
    <cfRule type="containsText" dxfId="2" priority="109" operator="between" text="库存为">
      <formula>NOT(ISERROR(SEARCH("库存为",AU524)))</formula>
    </cfRule>
  </conditionalFormatting>
  <conditionalFormatting sqref="AU525">
    <cfRule type="cellIs" dxfId="0" priority="1362" operator="lessThan">
      <formula>20</formula>
    </cfRule>
    <cfRule type="cellIs" dxfId="1" priority="735" operator="greaterThan">
      <formula>120</formula>
    </cfRule>
    <cfRule type="containsText" dxfId="2" priority="108" operator="between" text="库存为">
      <formula>NOT(ISERROR(SEARCH("库存为",AU525)))</formula>
    </cfRule>
  </conditionalFormatting>
  <conditionalFormatting sqref="AU526">
    <cfRule type="cellIs" dxfId="0" priority="1361" operator="lessThan">
      <formula>20</formula>
    </cfRule>
    <cfRule type="cellIs" dxfId="1" priority="734" operator="greaterThan">
      <formula>120</formula>
    </cfRule>
    <cfRule type="containsText" dxfId="2" priority="107" operator="between" text="库存为">
      <formula>NOT(ISERROR(SEARCH("库存为",AU526)))</formula>
    </cfRule>
  </conditionalFormatting>
  <conditionalFormatting sqref="AU527">
    <cfRule type="cellIs" dxfId="0" priority="1360" operator="lessThan">
      <formula>20</formula>
    </cfRule>
    <cfRule type="cellIs" dxfId="1" priority="733" operator="greaterThan">
      <formula>120</formula>
    </cfRule>
    <cfRule type="containsText" dxfId="2" priority="106" operator="between" text="库存为">
      <formula>NOT(ISERROR(SEARCH("库存为",AU527)))</formula>
    </cfRule>
  </conditionalFormatting>
  <conditionalFormatting sqref="AU528">
    <cfRule type="cellIs" dxfId="0" priority="1359" operator="lessThan">
      <formula>20</formula>
    </cfRule>
    <cfRule type="cellIs" dxfId="1" priority="732" operator="greaterThan">
      <formula>120</formula>
    </cfRule>
    <cfRule type="containsText" dxfId="2" priority="105" operator="between" text="库存为">
      <formula>NOT(ISERROR(SEARCH("库存为",AU528)))</formula>
    </cfRule>
  </conditionalFormatting>
  <conditionalFormatting sqref="AU529">
    <cfRule type="cellIs" dxfId="0" priority="1358" operator="lessThan">
      <formula>20</formula>
    </cfRule>
    <cfRule type="cellIs" dxfId="1" priority="731" operator="greaterThan">
      <formula>120</formula>
    </cfRule>
    <cfRule type="containsText" dxfId="2" priority="104" operator="between" text="库存为">
      <formula>NOT(ISERROR(SEARCH("库存为",AU529)))</formula>
    </cfRule>
  </conditionalFormatting>
  <conditionalFormatting sqref="AU530">
    <cfRule type="cellIs" dxfId="0" priority="1357" operator="lessThan">
      <formula>20</formula>
    </cfRule>
    <cfRule type="cellIs" dxfId="1" priority="730" operator="greaterThan">
      <formula>120</formula>
    </cfRule>
    <cfRule type="containsText" dxfId="2" priority="103" operator="between" text="库存为">
      <formula>NOT(ISERROR(SEARCH("库存为",AU530)))</formula>
    </cfRule>
  </conditionalFormatting>
  <conditionalFormatting sqref="AU531">
    <cfRule type="cellIs" dxfId="0" priority="1356" operator="lessThan">
      <formula>20</formula>
    </cfRule>
    <cfRule type="cellIs" dxfId="1" priority="729" operator="greaterThan">
      <formula>120</formula>
    </cfRule>
    <cfRule type="containsText" dxfId="2" priority="102" operator="between" text="库存为">
      <formula>NOT(ISERROR(SEARCH("库存为",AU531)))</formula>
    </cfRule>
  </conditionalFormatting>
  <conditionalFormatting sqref="AU532">
    <cfRule type="cellIs" dxfId="0" priority="1355" operator="lessThan">
      <formula>20</formula>
    </cfRule>
    <cfRule type="cellIs" dxfId="1" priority="728" operator="greaterThan">
      <formula>120</formula>
    </cfRule>
    <cfRule type="containsText" dxfId="2" priority="101" operator="between" text="库存为">
      <formula>NOT(ISERROR(SEARCH("库存为",AU532)))</formula>
    </cfRule>
  </conditionalFormatting>
  <conditionalFormatting sqref="AU533">
    <cfRule type="cellIs" dxfId="0" priority="1354" operator="lessThan">
      <formula>20</formula>
    </cfRule>
    <cfRule type="cellIs" dxfId="1" priority="727" operator="greaterThan">
      <formula>120</formula>
    </cfRule>
    <cfRule type="containsText" dxfId="2" priority="100" operator="between" text="库存为">
      <formula>NOT(ISERROR(SEARCH("库存为",AU533)))</formula>
    </cfRule>
  </conditionalFormatting>
  <conditionalFormatting sqref="AU534">
    <cfRule type="cellIs" dxfId="0" priority="1353" operator="lessThan">
      <formula>20</formula>
    </cfRule>
    <cfRule type="cellIs" dxfId="1" priority="726" operator="greaterThan">
      <formula>120</formula>
    </cfRule>
    <cfRule type="containsText" dxfId="2" priority="99" operator="between" text="库存为">
      <formula>NOT(ISERROR(SEARCH("库存为",AU534)))</formula>
    </cfRule>
  </conditionalFormatting>
  <conditionalFormatting sqref="AU535">
    <cfRule type="cellIs" dxfId="0" priority="1352" operator="lessThan">
      <formula>20</formula>
    </cfRule>
    <cfRule type="cellIs" dxfId="1" priority="725" operator="greaterThan">
      <formula>120</formula>
    </cfRule>
    <cfRule type="containsText" dxfId="2" priority="98" operator="between" text="库存为">
      <formula>NOT(ISERROR(SEARCH("库存为",AU535)))</formula>
    </cfRule>
  </conditionalFormatting>
  <conditionalFormatting sqref="AU536">
    <cfRule type="cellIs" dxfId="0" priority="1351" operator="lessThan">
      <formula>20</formula>
    </cfRule>
    <cfRule type="cellIs" dxfId="1" priority="724" operator="greaterThan">
      <formula>120</formula>
    </cfRule>
    <cfRule type="containsText" dxfId="2" priority="97" operator="between" text="库存为">
      <formula>NOT(ISERROR(SEARCH("库存为",AU536)))</formula>
    </cfRule>
  </conditionalFormatting>
  <conditionalFormatting sqref="AU537">
    <cfRule type="cellIs" dxfId="0" priority="1350" operator="lessThan">
      <formula>20</formula>
    </cfRule>
    <cfRule type="cellIs" dxfId="1" priority="723" operator="greaterThan">
      <formula>120</formula>
    </cfRule>
    <cfRule type="containsText" dxfId="2" priority="96" operator="between" text="库存为">
      <formula>NOT(ISERROR(SEARCH("库存为",AU537)))</formula>
    </cfRule>
  </conditionalFormatting>
  <conditionalFormatting sqref="AU538">
    <cfRule type="cellIs" dxfId="0" priority="1349" operator="lessThan">
      <formula>20</formula>
    </cfRule>
    <cfRule type="cellIs" dxfId="1" priority="722" operator="greaterThan">
      <formula>120</formula>
    </cfRule>
    <cfRule type="containsText" dxfId="2" priority="95" operator="between" text="库存为">
      <formula>NOT(ISERROR(SEARCH("库存为",AU538)))</formula>
    </cfRule>
  </conditionalFormatting>
  <conditionalFormatting sqref="AU539">
    <cfRule type="cellIs" dxfId="0" priority="1348" operator="lessThan">
      <formula>20</formula>
    </cfRule>
    <cfRule type="cellIs" dxfId="1" priority="721" operator="greaterThan">
      <formula>120</formula>
    </cfRule>
    <cfRule type="containsText" dxfId="2" priority="94" operator="between" text="库存为">
      <formula>NOT(ISERROR(SEARCH("库存为",AU539)))</formula>
    </cfRule>
  </conditionalFormatting>
  <conditionalFormatting sqref="AU540">
    <cfRule type="cellIs" dxfId="0" priority="1347" operator="lessThan">
      <formula>20</formula>
    </cfRule>
    <cfRule type="cellIs" dxfId="1" priority="720" operator="greaterThan">
      <formula>120</formula>
    </cfRule>
    <cfRule type="containsText" dxfId="2" priority="93" operator="between" text="库存为">
      <formula>NOT(ISERROR(SEARCH("库存为",AU540)))</formula>
    </cfRule>
  </conditionalFormatting>
  <conditionalFormatting sqref="AU541">
    <cfRule type="cellIs" dxfId="0" priority="1346" operator="lessThan">
      <formula>20</formula>
    </cfRule>
    <cfRule type="cellIs" dxfId="1" priority="719" operator="greaterThan">
      <formula>120</formula>
    </cfRule>
    <cfRule type="containsText" dxfId="2" priority="92" operator="between" text="库存为">
      <formula>NOT(ISERROR(SEARCH("库存为",AU541)))</formula>
    </cfRule>
  </conditionalFormatting>
  <conditionalFormatting sqref="AU542">
    <cfRule type="cellIs" dxfId="0" priority="1345" operator="lessThan">
      <formula>20</formula>
    </cfRule>
    <cfRule type="cellIs" dxfId="1" priority="718" operator="greaterThan">
      <formula>120</formula>
    </cfRule>
    <cfRule type="containsText" dxfId="2" priority="91" operator="between" text="库存为">
      <formula>NOT(ISERROR(SEARCH("库存为",AU542)))</formula>
    </cfRule>
  </conditionalFormatting>
  <conditionalFormatting sqref="AU543">
    <cfRule type="cellIs" dxfId="0" priority="1344" operator="lessThan">
      <formula>20</formula>
    </cfRule>
    <cfRule type="cellIs" dxfId="1" priority="717" operator="greaterThan">
      <formula>120</formula>
    </cfRule>
    <cfRule type="containsText" dxfId="2" priority="90" operator="between" text="库存为">
      <formula>NOT(ISERROR(SEARCH("库存为",AU543)))</formula>
    </cfRule>
  </conditionalFormatting>
  <conditionalFormatting sqref="AU544">
    <cfRule type="cellIs" dxfId="0" priority="1343" operator="lessThan">
      <formula>20</formula>
    </cfRule>
    <cfRule type="cellIs" dxfId="1" priority="716" operator="greaterThan">
      <formula>120</formula>
    </cfRule>
    <cfRule type="containsText" dxfId="2" priority="89" operator="between" text="库存为">
      <formula>NOT(ISERROR(SEARCH("库存为",AU544)))</formula>
    </cfRule>
  </conditionalFormatting>
  <conditionalFormatting sqref="AU545">
    <cfRule type="cellIs" dxfId="0" priority="1342" operator="lessThan">
      <formula>20</formula>
    </cfRule>
    <cfRule type="cellIs" dxfId="1" priority="715" operator="greaterThan">
      <formula>120</formula>
    </cfRule>
    <cfRule type="containsText" dxfId="2" priority="88" operator="between" text="库存为">
      <formula>NOT(ISERROR(SEARCH("库存为",AU545)))</formula>
    </cfRule>
  </conditionalFormatting>
  <conditionalFormatting sqref="AU546">
    <cfRule type="cellIs" dxfId="0" priority="1341" operator="lessThan">
      <formula>20</formula>
    </cfRule>
    <cfRule type="cellIs" dxfId="1" priority="714" operator="greaterThan">
      <formula>120</formula>
    </cfRule>
    <cfRule type="containsText" dxfId="2" priority="87" operator="between" text="库存为">
      <formula>NOT(ISERROR(SEARCH("库存为",AU546)))</formula>
    </cfRule>
  </conditionalFormatting>
  <conditionalFormatting sqref="AU547">
    <cfRule type="cellIs" dxfId="0" priority="1340" operator="lessThan">
      <formula>20</formula>
    </cfRule>
    <cfRule type="cellIs" dxfId="1" priority="713" operator="greaterThan">
      <formula>120</formula>
    </cfRule>
    <cfRule type="containsText" dxfId="2" priority="86" operator="between" text="库存为">
      <formula>NOT(ISERROR(SEARCH("库存为",AU547)))</formula>
    </cfRule>
  </conditionalFormatting>
  <conditionalFormatting sqref="AU548">
    <cfRule type="cellIs" dxfId="0" priority="1339" operator="lessThan">
      <formula>20</formula>
    </cfRule>
    <cfRule type="cellIs" dxfId="1" priority="712" operator="greaterThan">
      <formula>120</formula>
    </cfRule>
    <cfRule type="containsText" dxfId="2" priority="85" operator="between" text="库存为">
      <formula>NOT(ISERROR(SEARCH("库存为",AU548)))</formula>
    </cfRule>
  </conditionalFormatting>
  <conditionalFormatting sqref="AU549">
    <cfRule type="cellIs" dxfId="0" priority="1338" operator="lessThan">
      <formula>20</formula>
    </cfRule>
    <cfRule type="cellIs" dxfId="1" priority="711" operator="greaterThan">
      <formula>120</formula>
    </cfRule>
    <cfRule type="containsText" dxfId="2" priority="84" operator="between" text="库存为">
      <formula>NOT(ISERROR(SEARCH("库存为",AU549)))</formula>
    </cfRule>
  </conditionalFormatting>
  <conditionalFormatting sqref="AU550">
    <cfRule type="cellIs" dxfId="0" priority="1337" operator="lessThan">
      <formula>20</formula>
    </cfRule>
    <cfRule type="cellIs" dxfId="1" priority="710" operator="greaterThan">
      <formula>120</formula>
    </cfRule>
    <cfRule type="containsText" dxfId="2" priority="83" operator="between" text="库存为">
      <formula>NOT(ISERROR(SEARCH("库存为",AU550)))</formula>
    </cfRule>
  </conditionalFormatting>
  <conditionalFormatting sqref="AU551">
    <cfRule type="cellIs" dxfId="0" priority="1336" operator="lessThan">
      <formula>20</formula>
    </cfRule>
    <cfRule type="cellIs" dxfId="1" priority="709" operator="greaterThan">
      <formula>120</formula>
    </cfRule>
    <cfRule type="containsText" dxfId="2" priority="82" operator="between" text="库存为">
      <formula>NOT(ISERROR(SEARCH("库存为",AU551)))</formula>
    </cfRule>
  </conditionalFormatting>
  <conditionalFormatting sqref="AU552">
    <cfRule type="cellIs" dxfId="0" priority="1335" operator="lessThan">
      <formula>20</formula>
    </cfRule>
    <cfRule type="cellIs" dxfId="1" priority="708" operator="greaterThan">
      <formula>120</formula>
    </cfRule>
    <cfRule type="containsText" dxfId="2" priority="81" operator="between" text="库存为">
      <formula>NOT(ISERROR(SEARCH("库存为",AU552)))</formula>
    </cfRule>
  </conditionalFormatting>
  <conditionalFormatting sqref="AU553">
    <cfRule type="cellIs" dxfId="0" priority="1334" operator="lessThan">
      <formula>20</formula>
    </cfRule>
    <cfRule type="cellIs" dxfId="1" priority="707" operator="greaterThan">
      <formula>120</formula>
    </cfRule>
    <cfRule type="containsText" dxfId="2" priority="80" operator="between" text="库存为">
      <formula>NOT(ISERROR(SEARCH("库存为",AU553)))</formula>
    </cfRule>
  </conditionalFormatting>
  <conditionalFormatting sqref="AU554">
    <cfRule type="cellIs" dxfId="0" priority="1333" operator="lessThan">
      <formula>20</formula>
    </cfRule>
    <cfRule type="cellIs" dxfId="1" priority="706" operator="greaterThan">
      <formula>120</formula>
    </cfRule>
    <cfRule type="containsText" dxfId="2" priority="79" operator="between" text="库存为">
      <formula>NOT(ISERROR(SEARCH("库存为",AU554)))</formula>
    </cfRule>
  </conditionalFormatting>
  <conditionalFormatting sqref="AU555">
    <cfRule type="cellIs" dxfId="0" priority="1332" operator="lessThan">
      <formula>20</formula>
    </cfRule>
    <cfRule type="cellIs" dxfId="1" priority="705" operator="greaterThan">
      <formula>120</formula>
    </cfRule>
    <cfRule type="containsText" dxfId="2" priority="78" operator="between" text="库存为">
      <formula>NOT(ISERROR(SEARCH("库存为",AU555)))</formula>
    </cfRule>
  </conditionalFormatting>
  <conditionalFormatting sqref="AU556">
    <cfRule type="cellIs" dxfId="0" priority="1331" operator="lessThan">
      <formula>20</formula>
    </cfRule>
    <cfRule type="cellIs" dxfId="1" priority="704" operator="greaterThan">
      <formula>120</formula>
    </cfRule>
    <cfRule type="containsText" dxfId="2" priority="77" operator="between" text="库存为">
      <formula>NOT(ISERROR(SEARCH("库存为",AU556)))</formula>
    </cfRule>
  </conditionalFormatting>
  <conditionalFormatting sqref="AU557">
    <cfRule type="cellIs" dxfId="0" priority="1330" operator="lessThan">
      <formula>20</formula>
    </cfRule>
    <cfRule type="cellIs" dxfId="1" priority="703" operator="greaterThan">
      <formula>120</formula>
    </cfRule>
    <cfRule type="containsText" dxfId="2" priority="76" operator="between" text="库存为">
      <formula>NOT(ISERROR(SEARCH("库存为",AU557)))</formula>
    </cfRule>
  </conditionalFormatting>
  <conditionalFormatting sqref="AU558">
    <cfRule type="cellIs" dxfId="0" priority="1329" operator="lessThan">
      <formula>20</formula>
    </cfRule>
    <cfRule type="cellIs" dxfId="1" priority="702" operator="greaterThan">
      <formula>120</formula>
    </cfRule>
    <cfRule type="containsText" dxfId="2" priority="75" operator="between" text="库存为">
      <formula>NOT(ISERROR(SEARCH("库存为",AU558)))</formula>
    </cfRule>
  </conditionalFormatting>
  <conditionalFormatting sqref="AU559">
    <cfRule type="cellIs" dxfId="0" priority="1328" operator="lessThan">
      <formula>20</formula>
    </cfRule>
    <cfRule type="cellIs" dxfId="1" priority="701" operator="greaterThan">
      <formula>120</formula>
    </cfRule>
    <cfRule type="containsText" dxfId="2" priority="74" operator="between" text="库存为">
      <formula>NOT(ISERROR(SEARCH("库存为",AU559)))</formula>
    </cfRule>
  </conditionalFormatting>
  <conditionalFormatting sqref="AU560">
    <cfRule type="cellIs" dxfId="0" priority="1327" operator="lessThan">
      <formula>20</formula>
    </cfRule>
    <cfRule type="cellIs" dxfId="1" priority="700" operator="greaterThan">
      <formula>120</formula>
    </cfRule>
    <cfRule type="containsText" dxfId="2" priority="73" operator="between" text="库存为">
      <formula>NOT(ISERROR(SEARCH("库存为",AU560)))</formula>
    </cfRule>
  </conditionalFormatting>
  <conditionalFormatting sqref="AU561">
    <cfRule type="cellIs" dxfId="0" priority="1326" operator="lessThan">
      <formula>20</formula>
    </cfRule>
    <cfRule type="cellIs" dxfId="1" priority="699" operator="greaterThan">
      <formula>120</formula>
    </cfRule>
    <cfRule type="containsText" dxfId="2" priority="72" operator="between" text="库存为">
      <formula>NOT(ISERROR(SEARCH("库存为",AU561)))</formula>
    </cfRule>
  </conditionalFormatting>
  <conditionalFormatting sqref="AU562">
    <cfRule type="cellIs" dxfId="0" priority="1325" operator="lessThan">
      <formula>20</formula>
    </cfRule>
    <cfRule type="cellIs" dxfId="1" priority="698" operator="greaterThan">
      <formula>120</formula>
    </cfRule>
    <cfRule type="containsText" dxfId="2" priority="71" operator="between" text="库存为">
      <formula>NOT(ISERROR(SEARCH("库存为",AU562)))</formula>
    </cfRule>
  </conditionalFormatting>
  <conditionalFormatting sqref="AU563">
    <cfRule type="cellIs" dxfId="0" priority="1324" operator="lessThan">
      <formula>20</formula>
    </cfRule>
    <cfRule type="cellIs" dxfId="1" priority="697" operator="greaterThan">
      <formula>120</formula>
    </cfRule>
    <cfRule type="containsText" dxfId="2" priority="70" operator="between" text="库存为">
      <formula>NOT(ISERROR(SEARCH("库存为",AU563)))</formula>
    </cfRule>
  </conditionalFormatting>
  <conditionalFormatting sqref="AU564">
    <cfRule type="cellIs" dxfId="0" priority="1323" operator="lessThan">
      <formula>20</formula>
    </cfRule>
    <cfRule type="cellIs" dxfId="1" priority="696" operator="greaterThan">
      <formula>120</formula>
    </cfRule>
    <cfRule type="containsText" dxfId="2" priority="69" operator="between" text="库存为">
      <formula>NOT(ISERROR(SEARCH("库存为",AU564)))</formula>
    </cfRule>
  </conditionalFormatting>
  <conditionalFormatting sqref="AU565">
    <cfRule type="cellIs" dxfId="0" priority="1322" operator="lessThan">
      <formula>20</formula>
    </cfRule>
    <cfRule type="cellIs" dxfId="1" priority="695" operator="greaterThan">
      <formula>120</formula>
    </cfRule>
    <cfRule type="containsText" dxfId="2" priority="68" operator="between" text="库存为">
      <formula>NOT(ISERROR(SEARCH("库存为",AU565)))</formula>
    </cfRule>
  </conditionalFormatting>
  <conditionalFormatting sqref="AU566">
    <cfRule type="cellIs" dxfId="0" priority="1321" operator="lessThan">
      <formula>20</formula>
    </cfRule>
    <cfRule type="cellIs" dxfId="1" priority="694" operator="greaterThan">
      <formula>120</formula>
    </cfRule>
    <cfRule type="containsText" dxfId="2" priority="67" operator="between" text="库存为">
      <formula>NOT(ISERROR(SEARCH("库存为",AU566)))</formula>
    </cfRule>
  </conditionalFormatting>
  <conditionalFormatting sqref="AU567">
    <cfRule type="cellIs" dxfId="0" priority="1320" operator="lessThan">
      <formula>20</formula>
    </cfRule>
    <cfRule type="cellIs" dxfId="1" priority="693" operator="greaterThan">
      <formula>120</formula>
    </cfRule>
    <cfRule type="containsText" dxfId="2" priority="66" operator="between" text="库存为">
      <formula>NOT(ISERROR(SEARCH("库存为",AU567)))</formula>
    </cfRule>
  </conditionalFormatting>
  <conditionalFormatting sqref="AU568">
    <cfRule type="cellIs" dxfId="0" priority="1319" operator="lessThan">
      <formula>20</formula>
    </cfRule>
    <cfRule type="cellIs" dxfId="1" priority="692" operator="greaterThan">
      <formula>120</formula>
    </cfRule>
    <cfRule type="containsText" dxfId="2" priority="65" operator="between" text="库存为">
      <formula>NOT(ISERROR(SEARCH("库存为",AU568)))</formula>
    </cfRule>
  </conditionalFormatting>
  <conditionalFormatting sqref="AU569">
    <cfRule type="cellIs" dxfId="0" priority="1318" operator="lessThan">
      <formula>20</formula>
    </cfRule>
    <cfRule type="cellIs" dxfId="1" priority="691" operator="greaterThan">
      <formula>120</formula>
    </cfRule>
    <cfRule type="containsText" dxfId="2" priority="64" operator="between" text="库存为">
      <formula>NOT(ISERROR(SEARCH("库存为",AU569)))</formula>
    </cfRule>
  </conditionalFormatting>
  <conditionalFormatting sqref="AU570">
    <cfRule type="cellIs" dxfId="0" priority="1317" operator="lessThan">
      <formula>20</formula>
    </cfRule>
    <cfRule type="cellIs" dxfId="1" priority="690" operator="greaterThan">
      <formula>120</formula>
    </cfRule>
    <cfRule type="containsText" dxfId="2" priority="63" operator="between" text="库存为">
      <formula>NOT(ISERROR(SEARCH("库存为",AU570)))</formula>
    </cfRule>
  </conditionalFormatting>
  <conditionalFormatting sqref="AU571">
    <cfRule type="cellIs" dxfId="0" priority="1316" operator="lessThan">
      <formula>20</formula>
    </cfRule>
    <cfRule type="cellIs" dxfId="1" priority="689" operator="greaterThan">
      <formula>120</formula>
    </cfRule>
    <cfRule type="containsText" dxfId="2" priority="62" operator="between" text="库存为">
      <formula>NOT(ISERROR(SEARCH("库存为",AU571)))</formula>
    </cfRule>
  </conditionalFormatting>
  <conditionalFormatting sqref="AU572">
    <cfRule type="cellIs" dxfId="0" priority="1315" operator="lessThan">
      <formula>20</formula>
    </cfRule>
    <cfRule type="cellIs" dxfId="1" priority="688" operator="greaterThan">
      <formula>120</formula>
    </cfRule>
    <cfRule type="containsText" dxfId="2" priority="61" operator="between" text="库存为">
      <formula>NOT(ISERROR(SEARCH("库存为",AU572)))</formula>
    </cfRule>
  </conditionalFormatting>
  <conditionalFormatting sqref="AU573">
    <cfRule type="cellIs" dxfId="0" priority="1314" operator="lessThan">
      <formula>20</formula>
    </cfRule>
    <cfRule type="cellIs" dxfId="1" priority="687" operator="greaterThan">
      <formula>120</formula>
    </cfRule>
    <cfRule type="containsText" dxfId="2" priority="60" operator="between" text="库存为">
      <formula>NOT(ISERROR(SEARCH("库存为",AU573)))</formula>
    </cfRule>
  </conditionalFormatting>
  <conditionalFormatting sqref="AU574">
    <cfRule type="cellIs" dxfId="0" priority="1313" operator="lessThan">
      <formula>20</formula>
    </cfRule>
    <cfRule type="cellIs" dxfId="1" priority="686" operator="greaterThan">
      <formula>120</formula>
    </cfRule>
    <cfRule type="containsText" dxfId="2" priority="59" operator="between" text="库存为">
      <formula>NOT(ISERROR(SEARCH("库存为",AU574)))</formula>
    </cfRule>
  </conditionalFormatting>
  <conditionalFormatting sqref="AU575">
    <cfRule type="cellIs" dxfId="0" priority="1312" operator="lessThan">
      <formula>20</formula>
    </cfRule>
    <cfRule type="cellIs" dxfId="1" priority="685" operator="greaterThan">
      <formula>120</formula>
    </cfRule>
    <cfRule type="containsText" dxfId="2" priority="58" operator="between" text="库存为">
      <formula>NOT(ISERROR(SEARCH("库存为",AU575)))</formula>
    </cfRule>
  </conditionalFormatting>
  <conditionalFormatting sqref="AU576">
    <cfRule type="cellIs" dxfId="0" priority="1311" operator="lessThan">
      <formula>20</formula>
    </cfRule>
    <cfRule type="cellIs" dxfId="1" priority="684" operator="greaterThan">
      <formula>120</formula>
    </cfRule>
    <cfRule type="containsText" dxfId="2" priority="57" operator="between" text="库存为">
      <formula>NOT(ISERROR(SEARCH("库存为",AU576)))</formula>
    </cfRule>
  </conditionalFormatting>
  <conditionalFormatting sqref="AU577">
    <cfRule type="cellIs" dxfId="0" priority="1310" operator="lessThan">
      <formula>20</formula>
    </cfRule>
    <cfRule type="cellIs" dxfId="1" priority="683" operator="greaterThan">
      <formula>120</formula>
    </cfRule>
    <cfRule type="containsText" dxfId="2" priority="56" operator="between" text="库存为">
      <formula>NOT(ISERROR(SEARCH("库存为",AU577)))</formula>
    </cfRule>
  </conditionalFormatting>
  <conditionalFormatting sqref="AU578">
    <cfRule type="cellIs" dxfId="0" priority="1309" operator="lessThan">
      <formula>20</formula>
    </cfRule>
    <cfRule type="cellIs" dxfId="1" priority="682" operator="greaterThan">
      <formula>120</formula>
    </cfRule>
    <cfRule type="containsText" dxfId="2" priority="55" operator="between" text="库存为">
      <formula>NOT(ISERROR(SEARCH("库存为",AU578)))</formula>
    </cfRule>
  </conditionalFormatting>
  <conditionalFormatting sqref="AU579">
    <cfRule type="cellIs" dxfId="0" priority="1308" operator="lessThan">
      <formula>20</formula>
    </cfRule>
    <cfRule type="cellIs" dxfId="1" priority="681" operator="greaterThan">
      <formula>120</formula>
    </cfRule>
    <cfRule type="containsText" dxfId="2" priority="54" operator="between" text="库存为">
      <formula>NOT(ISERROR(SEARCH("库存为",AU579)))</formula>
    </cfRule>
  </conditionalFormatting>
  <conditionalFormatting sqref="AU580">
    <cfRule type="cellIs" dxfId="0" priority="1307" operator="lessThan">
      <formula>20</formula>
    </cfRule>
    <cfRule type="cellIs" dxfId="1" priority="680" operator="greaterThan">
      <formula>120</formula>
    </cfRule>
    <cfRule type="containsText" dxfId="2" priority="53" operator="between" text="库存为">
      <formula>NOT(ISERROR(SEARCH("库存为",AU580)))</formula>
    </cfRule>
  </conditionalFormatting>
  <conditionalFormatting sqref="AU581">
    <cfRule type="cellIs" dxfId="0" priority="1306" operator="lessThan">
      <formula>20</formula>
    </cfRule>
    <cfRule type="cellIs" dxfId="1" priority="679" operator="greaterThan">
      <formula>120</formula>
    </cfRule>
    <cfRule type="containsText" dxfId="2" priority="52" operator="between" text="库存为">
      <formula>NOT(ISERROR(SEARCH("库存为",AU581)))</formula>
    </cfRule>
  </conditionalFormatting>
  <conditionalFormatting sqref="AU582">
    <cfRule type="cellIs" dxfId="0" priority="1305" operator="lessThan">
      <formula>20</formula>
    </cfRule>
    <cfRule type="cellIs" dxfId="1" priority="678" operator="greaterThan">
      <formula>120</formula>
    </cfRule>
    <cfRule type="containsText" dxfId="2" priority="51" operator="between" text="库存为">
      <formula>NOT(ISERROR(SEARCH("库存为",AU582)))</formula>
    </cfRule>
  </conditionalFormatting>
  <conditionalFormatting sqref="AU583">
    <cfRule type="cellIs" dxfId="0" priority="1304" operator="lessThan">
      <formula>20</formula>
    </cfRule>
    <cfRule type="cellIs" dxfId="1" priority="677" operator="greaterThan">
      <formula>120</formula>
    </cfRule>
    <cfRule type="containsText" dxfId="2" priority="50" operator="between" text="库存为">
      <formula>NOT(ISERROR(SEARCH("库存为",AU583)))</formula>
    </cfRule>
  </conditionalFormatting>
  <conditionalFormatting sqref="AU584">
    <cfRule type="cellIs" dxfId="0" priority="1303" operator="lessThan">
      <formula>20</formula>
    </cfRule>
    <cfRule type="cellIs" dxfId="1" priority="676" operator="greaterThan">
      <formula>120</formula>
    </cfRule>
    <cfRule type="containsText" dxfId="2" priority="49" operator="between" text="库存为">
      <formula>NOT(ISERROR(SEARCH("库存为",AU584)))</formula>
    </cfRule>
  </conditionalFormatting>
  <conditionalFormatting sqref="AU585">
    <cfRule type="cellIs" dxfId="0" priority="1302" operator="lessThan">
      <formula>20</formula>
    </cfRule>
    <cfRule type="cellIs" dxfId="1" priority="675" operator="greaterThan">
      <formula>120</formula>
    </cfRule>
    <cfRule type="containsText" dxfId="2" priority="48" operator="between" text="库存为">
      <formula>NOT(ISERROR(SEARCH("库存为",AU585)))</formula>
    </cfRule>
  </conditionalFormatting>
  <conditionalFormatting sqref="AU586">
    <cfRule type="cellIs" dxfId="0" priority="1301" operator="lessThan">
      <formula>20</formula>
    </cfRule>
    <cfRule type="cellIs" dxfId="1" priority="674" operator="greaterThan">
      <formula>120</formula>
    </cfRule>
    <cfRule type="containsText" dxfId="2" priority="47" operator="between" text="库存为">
      <formula>NOT(ISERROR(SEARCH("库存为",AU586)))</formula>
    </cfRule>
  </conditionalFormatting>
  <conditionalFormatting sqref="AU587">
    <cfRule type="cellIs" dxfId="0" priority="1300" operator="lessThan">
      <formula>20</formula>
    </cfRule>
    <cfRule type="cellIs" dxfId="1" priority="673" operator="greaterThan">
      <formula>120</formula>
    </cfRule>
    <cfRule type="containsText" dxfId="2" priority="46" operator="between" text="库存为">
      <formula>NOT(ISERROR(SEARCH("库存为",AU587)))</formula>
    </cfRule>
  </conditionalFormatting>
  <conditionalFormatting sqref="AU588">
    <cfRule type="cellIs" dxfId="0" priority="1299" operator="lessThan">
      <formula>20</formula>
    </cfRule>
    <cfRule type="cellIs" dxfId="1" priority="672" operator="greaterThan">
      <formula>120</formula>
    </cfRule>
    <cfRule type="containsText" dxfId="2" priority="45" operator="between" text="库存为">
      <formula>NOT(ISERROR(SEARCH("库存为",AU588)))</formula>
    </cfRule>
  </conditionalFormatting>
  <conditionalFormatting sqref="AU589">
    <cfRule type="cellIs" dxfId="0" priority="1298" operator="lessThan">
      <formula>20</formula>
    </cfRule>
    <cfRule type="cellIs" dxfId="1" priority="671" operator="greaterThan">
      <formula>120</formula>
    </cfRule>
    <cfRule type="containsText" dxfId="2" priority="44" operator="between" text="库存为">
      <formula>NOT(ISERROR(SEARCH("库存为",AU589)))</formula>
    </cfRule>
  </conditionalFormatting>
  <conditionalFormatting sqref="AU590">
    <cfRule type="cellIs" dxfId="0" priority="1297" operator="lessThan">
      <formula>20</formula>
    </cfRule>
    <cfRule type="cellIs" dxfId="1" priority="670" operator="greaterThan">
      <formula>120</formula>
    </cfRule>
    <cfRule type="containsText" dxfId="2" priority="43" operator="between" text="库存为">
      <formula>NOT(ISERROR(SEARCH("库存为",AU590)))</formula>
    </cfRule>
  </conditionalFormatting>
  <conditionalFormatting sqref="AU591">
    <cfRule type="cellIs" dxfId="0" priority="1296" operator="lessThan">
      <formula>20</formula>
    </cfRule>
    <cfRule type="cellIs" dxfId="1" priority="669" operator="greaterThan">
      <formula>120</formula>
    </cfRule>
    <cfRule type="containsText" dxfId="2" priority="42" operator="between" text="库存为">
      <formula>NOT(ISERROR(SEARCH("库存为",AU591)))</formula>
    </cfRule>
  </conditionalFormatting>
  <conditionalFormatting sqref="AU592">
    <cfRule type="cellIs" dxfId="0" priority="1295" operator="lessThan">
      <formula>20</formula>
    </cfRule>
    <cfRule type="cellIs" dxfId="1" priority="668" operator="greaterThan">
      <formula>120</formula>
    </cfRule>
    <cfRule type="containsText" dxfId="2" priority="41" operator="between" text="库存为">
      <formula>NOT(ISERROR(SEARCH("库存为",AU592)))</formula>
    </cfRule>
  </conditionalFormatting>
  <conditionalFormatting sqref="AU593">
    <cfRule type="cellIs" dxfId="0" priority="1294" operator="lessThan">
      <formula>20</formula>
    </cfRule>
    <cfRule type="cellIs" dxfId="1" priority="667" operator="greaterThan">
      <formula>120</formula>
    </cfRule>
    <cfRule type="containsText" dxfId="2" priority="40" operator="between" text="库存为">
      <formula>NOT(ISERROR(SEARCH("库存为",AU593)))</formula>
    </cfRule>
  </conditionalFormatting>
  <conditionalFormatting sqref="AU594">
    <cfRule type="cellIs" dxfId="0" priority="1293" operator="lessThan">
      <formula>20</formula>
    </cfRule>
    <cfRule type="cellIs" dxfId="1" priority="666" operator="greaterThan">
      <formula>120</formula>
    </cfRule>
    <cfRule type="containsText" dxfId="2" priority="39" operator="between" text="库存为">
      <formula>NOT(ISERROR(SEARCH("库存为",AU594)))</formula>
    </cfRule>
  </conditionalFormatting>
  <conditionalFormatting sqref="AU595">
    <cfRule type="cellIs" dxfId="0" priority="1292" operator="lessThan">
      <formula>20</formula>
    </cfRule>
    <cfRule type="cellIs" dxfId="1" priority="665" operator="greaterThan">
      <formula>120</formula>
    </cfRule>
    <cfRule type="containsText" dxfId="2" priority="38" operator="between" text="库存为">
      <formula>NOT(ISERROR(SEARCH("库存为",AU595)))</formula>
    </cfRule>
  </conditionalFormatting>
  <conditionalFormatting sqref="AU596">
    <cfRule type="cellIs" dxfId="0" priority="1291" operator="lessThan">
      <formula>20</formula>
    </cfRule>
    <cfRule type="cellIs" dxfId="1" priority="664" operator="greaterThan">
      <formula>120</formula>
    </cfRule>
    <cfRule type="containsText" dxfId="2" priority="37" operator="between" text="库存为">
      <formula>NOT(ISERROR(SEARCH("库存为",AU596)))</formula>
    </cfRule>
  </conditionalFormatting>
  <conditionalFormatting sqref="AU597">
    <cfRule type="cellIs" dxfId="0" priority="1290" operator="lessThan">
      <formula>20</formula>
    </cfRule>
    <cfRule type="cellIs" dxfId="1" priority="663" operator="greaterThan">
      <formula>120</formula>
    </cfRule>
    <cfRule type="containsText" dxfId="2" priority="36" operator="between" text="库存为">
      <formula>NOT(ISERROR(SEARCH("库存为",AU597)))</formula>
    </cfRule>
  </conditionalFormatting>
  <conditionalFormatting sqref="AU598">
    <cfRule type="cellIs" dxfId="0" priority="1289" operator="lessThan">
      <formula>20</formula>
    </cfRule>
    <cfRule type="cellIs" dxfId="1" priority="662" operator="greaterThan">
      <formula>120</formula>
    </cfRule>
    <cfRule type="containsText" dxfId="2" priority="35" operator="between" text="库存为">
      <formula>NOT(ISERROR(SEARCH("库存为",AU598)))</formula>
    </cfRule>
  </conditionalFormatting>
  <conditionalFormatting sqref="AU599">
    <cfRule type="cellIs" dxfId="0" priority="1288" operator="lessThan">
      <formula>20</formula>
    </cfRule>
    <cfRule type="cellIs" dxfId="1" priority="661" operator="greaterThan">
      <formula>120</formula>
    </cfRule>
    <cfRule type="containsText" dxfId="2" priority="34" operator="between" text="库存为">
      <formula>NOT(ISERROR(SEARCH("库存为",AU599)))</formula>
    </cfRule>
  </conditionalFormatting>
  <conditionalFormatting sqref="AU600">
    <cfRule type="cellIs" dxfId="0" priority="1287" operator="lessThan">
      <formula>20</formula>
    </cfRule>
    <cfRule type="cellIs" dxfId="1" priority="660" operator="greaterThan">
      <formula>120</formula>
    </cfRule>
    <cfRule type="containsText" dxfId="2" priority="33" operator="between" text="库存为">
      <formula>NOT(ISERROR(SEARCH("库存为",AU600)))</formula>
    </cfRule>
  </conditionalFormatting>
  <conditionalFormatting sqref="AU601">
    <cfRule type="cellIs" dxfId="0" priority="1286" operator="lessThan">
      <formula>20</formula>
    </cfRule>
    <cfRule type="cellIs" dxfId="1" priority="659" operator="greaterThan">
      <formula>120</formula>
    </cfRule>
    <cfRule type="containsText" dxfId="2" priority="32" operator="between" text="库存为">
      <formula>NOT(ISERROR(SEARCH("库存为",AU601)))</formula>
    </cfRule>
  </conditionalFormatting>
  <conditionalFormatting sqref="AU602">
    <cfRule type="cellIs" dxfId="0" priority="1285" operator="lessThan">
      <formula>20</formula>
    </cfRule>
    <cfRule type="cellIs" dxfId="1" priority="658" operator="greaterThan">
      <formula>120</formula>
    </cfRule>
    <cfRule type="containsText" dxfId="2" priority="31" operator="between" text="库存为">
      <formula>NOT(ISERROR(SEARCH("库存为",AU602)))</formula>
    </cfRule>
  </conditionalFormatting>
  <conditionalFormatting sqref="AU603">
    <cfRule type="cellIs" dxfId="0" priority="1284" operator="lessThan">
      <formula>20</formula>
    </cfRule>
    <cfRule type="cellIs" dxfId="1" priority="657" operator="greaterThan">
      <formula>120</formula>
    </cfRule>
    <cfRule type="containsText" dxfId="2" priority="30" operator="between" text="库存为">
      <formula>NOT(ISERROR(SEARCH("库存为",AU603)))</formula>
    </cfRule>
  </conditionalFormatting>
  <conditionalFormatting sqref="AU604">
    <cfRule type="cellIs" dxfId="0" priority="1283" operator="lessThan">
      <formula>20</formula>
    </cfRule>
    <cfRule type="cellIs" dxfId="1" priority="656" operator="greaterThan">
      <formula>120</formula>
    </cfRule>
    <cfRule type="containsText" dxfId="2" priority="29" operator="between" text="库存为">
      <formula>NOT(ISERROR(SEARCH("库存为",AU604)))</formula>
    </cfRule>
  </conditionalFormatting>
  <conditionalFormatting sqref="AU605">
    <cfRule type="cellIs" dxfId="0" priority="1282" operator="lessThan">
      <formula>20</formula>
    </cfRule>
    <cfRule type="cellIs" dxfId="1" priority="655" operator="greaterThan">
      <formula>120</formula>
    </cfRule>
    <cfRule type="containsText" dxfId="2" priority="28" operator="between" text="库存为">
      <formula>NOT(ISERROR(SEARCH("库存为",AU605)))</formula>
    </cfRule>
  </conditionalFormatting>
  <conditionalFormatting sqref="AU606">
    <cfRule type="cellIs" dxfId="0" priority="1281" operator="lessThan">
      <formula>20</formula>
    </cfRule>
    <cfRule type="cellIs" dxfId="1" priority="654" operator="greaterThan">
      <formula>120</formula>
    </cfRule>
    <cfRule type="containsText" dxfId="2" priority="27" operator="between" text="库存为">
      <formula>NOT(ISERROR(SEARCH("库存为",AU606)))</formula>
    </cfRule>
  </conditionalFormatting>
  <conditionalFormatting sqref="AU607">
    <cfRule type="cellIs" dxfId="0" priority="1280" operator="lessThan">
      <formula>20</formula>
    </cfRule>
    <cfRule type="cellIs" dxfId="1" priority="653" operator="greaterThan">
      <formula>120</formula>
    </cfRule>
    <cfRule type="containsText" dxfId="2" priority="26" operator="between" text="库存为">
      <formula>NOT(ISERROR(SEARCH("库存为",AU607)))</formula>
    </cfRule>
  </conditionalFormatting>
  <conditionalFormatting sqref="AU608">
    <cfRule type="cellIs" dxfId="0" priority="1279" operator="lessThan">
      <formula>20</formula>
    </cfRule>
    <cfRule type="cellIs" dxfId="1" priority="652" operator="greaterThan">
      <formula>120</formula>
    </cfRule>
    <cfRule type="containsText" dxfId="2" priority="25" operator="between" text="库存为">
      <formula>NOT(ISERROR(SEARCH("库存为",AU608)))</formula>
    </cfRule>
  </conditionalFormatting>
  <conditionalFormatting sqref="AU609">
    <cfRule type="cellIs" dxfId="0" priority="1278" operator="lessThan">
      <formula>20</formula>
    </cfRule>
    <cfRule type="cellIs" dxfId="1" priority="651" operator="greaterThan">
      <formula>120</formula>
    </cfRule>
    <cfRule type="containsText" dxfId="2" priority="24" operator="between" text="库存为">
      <formula>NOT(ISERROR(SEARCH("库存为",AU609)))</formula>
    </cfRule>
  </conditionalFormatting>
  <conditionalFormatting sqref="AU610">
    <cfRule type="cellIs" dxfId="0" priority="1277" operator="lessThan">
      <formula>20</formula>
    </cfRule>
    <cfRule type="cellIs" dxfId="1" priority="650" operator="greaterThan">
      <formula>120</formula>
    </cfRule>
    <cfRule type="containsText" dxfId="2" priority="23" operator="between" text="库存为">
      <formula>NOT(ISERROR(SEARCH("库存为",AU610)))</formula>
    </cfRule>
  </conditionalFormatting>
  <conditionalFormatting sqref="AU611">
    <cfRule type="cellIs" dxfId="0" priority="1276" operator="lessThan">
      <formula>20</formula>
    </cfRule>
    <cfRule type="cellIs" dxfId="1" priority="649" operator="greaterThan">
      <formula>120</formula>
    </cfRule>
    <cfRule type="containsText" dxfId="2" priority="22" operator="between" text="库存为">
      <formula>NOT(ISERROR(SEARCH("库存为",AU611)))</formula>
    </cfRule>
  </conditionalFormatting>
  <conditionalFormatting sqref="AU612">
    <cfRule type="cellIs" dxfId="0" priority="1275" operator="lessThan">
      <formula>20</formula>
    </cfRule>
    <cfRule type="cellIs" dxfId="1" priority="648" operator="greaterThan">
      <formula>120</formula>
    </cfRule>
    <cfRule type="containsText" dxfId="2" priority="21" operator="between" text="库存为">
      <formula>NOT(ISERROR(SEARCH("库存为",AU612)))</formula>
    </cfRule>
  </conditionalFormatting>
  <conditionalFormatting sqref="AU613">
    <cfRule type="cellIs" dxfId="0" priority="1274" operator="lessThan">
      <formula>20</formula>
    </cfRule>
    <cfRule type="cellIs" dxfId="1" priority="647" operator="greaterThan">
      <formula>120</formula>
    </cfRule>
    <cfRule type="containsText" dxfId="2" priority="20" operator="between" text="库存为">
      <formula>NOT(ISERROR(SEARCH("库存为",AU613)))</formula>
    </cfRule>
  </conditionalFormatting>
  <conditionalFormatting sqref="AU614">
    <cfRule type="cellIs" dxfId="0" priority="1273" operator="lessThan">
      <formula>20</formula>
    </cfRule>
    <cfRule type="cellIs" dxfId="1" priority="646" operator="greaterThan">
      <formula>120</formula>
    </cfRule>
    <cfRule type="containsText" dxfId="2" priority="19" operator="between" text="库存为">
      <formula>NOT(ISERROR(SEARCH("库存为",AU614)))</formula>
    </cfRule>
  </conditionalFormatting>
  <conditionalFormatting sqref="AU615">
    <cfRule type="cellIs" dxfId="0" priority="1272" operator="lessThan">
      <formula>20</formula>
    </cfRule>
    <cfRule type="cellIs" dxfId="1" priority="645" operator="greaterThan">
      <formula>120</formula>
    </cfRule>
    <cfRule type="containsText" dxfId="2" priority="18" operator="between" text="库存为">
      <formula>NOT(ISERROR(SEARCH("库存为",AU615)))</formula>
    </cfRule>
  </conditionalFormatting>
  <conditionalFormatting sqref="AU616">
    <cfRule type="cellIs" dxfId="0" priority="1271" operator="lessThan">
      <formula>20</formula>
    </cfRule>
    <cfRule type="cellIs" dxfId="1" priority="644" operator="greaterThan">
      <formula>120</formula>
    </cfRule>
    <cfRule type="containsText" dxfId="2" priority="17" operator="between" text="库存为">
      <formula>NOT(ISERROR(SEARCH("库存为",AU616)))</formula>
    </cfRule>
  </conditionalFormatting>
  <conditionalFormatting sqref="AU617">
    <cfRule type="cellIs" dxfId="0" priority="1270" operator="lessThan">
      <formula>20</formula>
    </cfRule>
    <cfRule type="cellIs" dxfId="1" priority="643" operator="greaterThan">
      <formula>120</formula>
    </cfRule>
    <cfRule type="containsText" dxfId="2" priority="16" operator="between" text="库存为">
      <formula>NOT(ISERROR(SEARCH("库存为",AU617)))</formula>
    </cfRule>
  </conditionalFormatting>
  <conditionalFormatting sqref="AU618">
    <cfRule type="cellIs" dxfId="0" priority="1269" operator="lessThan">
      <formula>20</formula>
    </cfRule>
    <cfRule type="cellIs" dxfId="1" priority="642" operator="greaterThan">
      <formula>120</formula>
    </cfRule>
    <cfRule type="containsText" dxfId="2" priority="15" operator="between" text="库存为">
      <formula>NOT(ISERROR(SEARCH("库存为",AU618)))</formula>
    </cfRule>
  </conditionalFormatting>
  <conditionalFormatting sqref="AU619">
    <cfRule type="cellIs" dxfId="0" priority="1268" operator="lessThan">
      <formula>20</formula>
    </cfRule>
    <cfRule type="cellIs" dxfId="1" priority="641" operator="greaterThan">
      <formula>120</formula>
    </cfRule>
    <cfRule type="containsText" dxfId="2" priority="14" operator="between" text="库存为">
      <formula>NOT(ISERROR(SEARCH("库存为",AU619)))</formula>
    </cfRule>
  </conditionalFormatting>
  <conditionalFormatting sqref="AU620">
    <cfRule type="cellIs" dxfId="0" priority="1267" operator="lessThan">
      <formula>20</formula>
    </cfRule>
    <cfRule type="cellIs" dxfId="1" priority="640" operator="greaterThan">
      <formula>120</formula>
    </cfRule>
    <cfRule type="containsText" dxfId="2" priority="13" operator="between" text="库存为">
      <formula>NOT(ISERROR(SEARCH("库存为",AU620)))</formula>
    </cfRule>
  </conditionalFormatting>
  <conditionalFormatting sqref="AU621">
    <cfRule type="cellIs" dxfId="0" priority="1266" operator="lessThan">
      <formula>20</formula>
    </cfRule>
    <cfRule type="cellIs" dxfId="1" priority="639" operator="greaterThan">
      <formula>120</formula>
    </cfRule>
    <cfRule type="containsText" dxfId="2" priority="12" operator="between" text="库存为">
      <formula>NOT(ISERROR(SEARCH("库存为",AU621)))</formula>
    </cfRule>
  </conditionalFormatting>
  <conditionalFormatting sqref="AU622">
    <cfRule type="cellIs" dxfId="0" priority="1265" operator="lessThan">
      <formula>20</formula>
    </cfRule>
    <cfRule type="cellIs" dxfId="1" priority="638" operator="greaterThan">
      <formula>120</formula>
    </cfRule>
    <cfRule type="containsText" dxfId="2" priority="11" operator="between" text="库存为">
      <formula>NOT(ISERROR(SEARCH("库存为",AU622)))</formula>
    </cfRule>
  </conditionalFormatting>
  <conditionalFormatting sqref="AU623">
    <cfRule type="cellIs" dxfId="0" priority="1264" operator="lessThan">
      <formula>20</formula>
    </cfRule>
    <cfRule type="cellIs" dxfId="1" priority="637" operator="greaterThan">
      <formula>120</formula>
    </cfRule>
    <cfRule type="containsText" dxfId="2" priority="10" operator="between" text="库存为">
      <formula>NOT(ISERROR(SEARCH("库存为",AU623)))</formula>
    </cfRule>
  </conditionalFormatting>
  <conditionalFormatting sqref="AU624">
    <cfRule type="cellIs" dxfId="0" priority="1263" operator="lessThan">
      <formula>20</formula>
    </cfRule>
    <cfRule type="cellIs" dxfId="1" priority="636" operator="greaterThan">
      <formula>120</formula>
    </cfRule>
    <cfRule type="containsText" dxfId="2" priority="9" operator="between" text="库存为">
      <formula>NOT(ISERROR(SEARCH("库存为",AU624)))</formula>
    </cfRule>
  </conditionalFormatting>
  <conditionalFormatting sqref="AU625">
    <cfRule type="cellIs" dxfId="0" priority="1262" operator="lessThan">
      <formula>20</formula>
    </cfRule>
    <cfRule type="cellIs" dxfId="1" priority="635" operator="greaterThan">
      <formula>120</formula>
    </cfRule>
    <cfRule type="containsText" dxfId="2" priority="8" operator="between" text="库存为">
      <formula>NOT(ISERROR(SEARCH("库存为",AU625)))</formula>
    </cfRule>
  </conditionalFormatting>
  <conditionalFormatting sqref="AU626">
    <cfRule type="cellIs" dxfId="0" priority="1261" operator="lessThan">
      <formula>20</formula>
    </cfRule>
    <cfRule type="cellIs" dxfId="1" priority="634" operator="greaterThan">
      <formula>120</formula>
    </cfRule>
    <cfRule type="containsText" dxfId="2" priority="7" operator="between" text="库存为">
      <formula>NOT(ISERROR(SEARCH("库存为",AU626)))</formula>
    </cfRule>
  </conditionalFormatting>
  <conditionalFormatting sqref="AU627">
    <cfRule type="cellIs" dxfId="0" priority="1260" operator="lessThan">
      <formula>20</formula>
    </cfRule>
    <cfRule type="cellIs" dxfId="1" priority="633" operator="greaterThan">
      <formula>120</formula>
    </cfRule>
    <cfRule type="containsText" dxfId="2" priority="6" operator="between" text="库存为">
      <formula>NOT(ISERROR(SEARCH("库存为",AU627)))</formula>
    </cfRule>
  </conditionalFormatting>
  <conditionalFormatting sqref="AU628">
    <cfRule type="cellIs" dxfId="0" priority="1259" operator="lessThan">
      <formula>20</formula>
    </cfRule>
    <cfRule type="cellIs" dxfId="1" priority="632" operator="greaterThan">
      <formula>120</formula>
    </cfRule>
    <cfRule type="containsText" dxfId="2" priority="5" operator="between" text="库存为">
      <formula>NOT(ISERROR(SEARCH("库存为",AU628)))</formula>
    </cfRule>
  </conditionalFormatting>
  <conditionalFormatting sqref="AU629">
    <cfRule type="cellIs" dxfId="0" priority="1258" operator="lessThan">
      <formula>20</formula>
    </cfRule>
    <cfRule type="cellIs" dxfId="1" priority="631" operator="greaterThan">
      <formula>120</formula>
    </cfRule>
    <cfRule type="containsText" dxfId="2" priority="4" operator="between" text="库存为">
      <formula>NOT(ISERROR(SEARCH("库存为",AU629)))</formula>
    </cfRule>
  </conditionalFormatting>
  <conditionalFormatting sqref="AU630">
    <cfRule type="cellIs" dxfId="0" priority="1257" operator="lessThan">
      <formula>20</formula>
    </cfRule>
    <cfRule type="cellIs" dxfId="1" priority="630" operator="greaterThan">
      <formula>120</formula>
    </cfRule>
    <cfRule type="containsText" dxfId="2" priority="3" operator="between" text="库存为">
      <formula>NOT(ISERROR(SEARCH("库存为",AU630)))</formula>
    </cfRule>
  </conditionalFormatting>
  <conditionalFormatting sqref="AU631">
    <cfRule type="cellIs" dxfId="0" priority="1256" operator="lessThan">
      <formula>20</formula>
    </cfRule>
    <cfRule type="cellIs" dxfId="1" priority="629" operator="greaterThan">
      <formula>120</formula>
    </cfRule>
    <cfRule type="containsText" dxfId="2" priority="2" operator="between" text="库存为">
      <formula>NOT(ISERROR(SEARCH("库存为",AU631)))</formula>
    </cfRule>
  </conditionalFormatting>
  <conditionalFormatting sqref="AU632">
    <cfRule type="cellIs" dxfId="0" priority="1255" operator="lessThan">
      <formula>20</formula>
    </cfRule>
    <cfRule type="cellIs" dxfId="1" priority="628" operator="greaterThan">
      <formula>120</formula>
    </cfRule>
    <cfRule type="containsText" dxfId="2" priority="1" operator="between" text="库存为">
      <formula>NOT(ISERROR(SEARCH("库存为",AU632)))</formula>
    </cfRule>
  </conditionalFormatting>
  <conditionalFormatting sqref="AU633">
    <cfRule type="cellIs" dxfId="0" priority="11070" operator="lessThan">
      <formula>20</formula>
    </cfRule>
    <cfRule type="cellIs" dxfId="1" priority="10176" operator="greaterThan">
      <formula>120</formula>
    </cfRule>
    <cfRule type="containsText" dxfId="2" priority="9282" operator="between" text="库存为">
      <formula>NOT(ISERROR(SEARCH("库存为",AU633)))</formula>
    </cfRule>
  </conditionalFormatting>
  <conditionalFormatting sqref="AU634">
    <cfRule type="cellIs" dxfId="0" priority="11069" operator="lessThan">
      <formula>20</formula>
    </cfRule>
    <cfRule type="cellIs" dxfId="1" priority="10175" operator="greaterThan">
      <formula>120</formula>
    </cfRule>
    <cfRule type="containsText" dxfId="2" priority="9281" operator="between" text="库存为">
      <formula>NOT(ISERROR(SEARCH("库存为",AU634)))</formula>
    </cfRule>
  </conditionalFormatting>
  <conditionalFormatting sqref="AU635">
    <cfRule type="cellIs" dxfId="0" priority="11068" operator="lessThan">
      <formula>20</formula>
    </cfRule>
    <cfRule type="cellIs" dxfId="1" priority="10174" operator="greaterThan">
      <formula>120</formula>
    </cfRule>
    <cfRule type="containsText" dxfId="2" priority="9280" operator="between" text="库存为">
      <formula>NOT(ISERROR(SEARCH("库存为",AU635)))</formula>
    </cfRule>
  </conditionalFormatting>
  <conditionalFormatting sqref="AU636">
    <cfRule type="cellIs" dxfId="0" priority="11067" operator="lessThan">
      <formula>20</formula>
    </cfRule>
    <cfRule type="cellIs" dxfId="1" priority="10173" operator="greaterThan">
      <formula>120</formula>
    </cfRule>
    <cfRule type="containsText" dxfId="2" priority="9279" operator="between" text="库存为">
      <formula>NOT(ISERROR(SEARCH("库存为",AU636)))</formula>
    </cfRule>
  </conditionalFormatting>
  <conditionalFormatting sqref="AU637">
    <cfRule type="cellIs" dxfId="0" priority="11066" operator="lessThan">
      <formula>20</formula>
    </cfRule>
    <cfRule type="cellIs" dxfId="1" priority="10172" operator="greaterThan">
      <formula>120</formula>
    </cfRule>
    <cfRule type="containsText" dxfId="2" priority="9278" operator="between" text="库存为">
      <formula>NOT(ISERROR(SEARCH("库存为",AU637)))</formula>
    </cfRule>
  </conditionalFormatting>
  <conditionalFormatting sqref="AU638">
    <cfRule type="cellIs" dxfId="0" priority="11065" operator="lessThan">
      <formula>20</formula>
    </cfRule>
    <cfRule type="cellIs" dxfId="1" priority="10171" operator="greaterThan">
      <formula>120</formula>
    </cfRule>
    <cfRule type="containsText" dxfId="2" priority="9277" operator="between" text="库存为">
      <formula>NOT(ISERROR(SEARCH("库存为",AU638)))</formula>
    </cfRule>
  </conditionalFormatting>
  <conditionalFormatting sqref="AU639">
    <cfRule type="cellIs" dxfId="0" priority="11064" operator="lessThan">
      <formula>20</formula>
    </cfRule>
    <cfRule type="cellIs" dxfId="1" priority="10170" operator="greaterThan">
      <formula>120</formula>
    </cfRule>
    <cfRule type="containsText" dxfId="2" priority="9276" operator="between" text="库存为">
      <formula>NOT(ISERROR(SEARCH("库存为",AU639)))</formula>
    </cfRule>
  </conditionalFormatting>
  <conditionalFormatting sqref="AU640">
    <cfRule type="cellIs" dxfId="0" priority="11063" operator="lessThan">
      <formula>20</formula>
    </cfRule>
    <cfRule type="cellIs" dxfId="1" priority="10169" operator="greaterThan">
      <formula>120</formula>
    </cfRule>
    <cfRule type="containsText" dxfId="2" priority="9275" operator="between" text="库存为">
      <formula>NOT(ISERROR(SEARCH("库存为",AU640)))</formula>
    </cfRule>
  </conditionalFormatting>
  <conditionalFormatting sqref="AU641">
    <cfRule type="cellIs" dxfId="0" priority="11062" operator="lessThan">
      <formula>20</formula>
    </cfRule>
    <cfRule type="cellIs" dxfId="1" priority="10168" operator="greaterThan">
      <formula>120</formula>
    </cfRule>
    <cfRule type="containsText" dxfId="2" priority="9274" operator="between" text="库存为">
      <formula>NOT(ISERROR(SEARCH("库存为",AU641)))</formula>
    </cfRule>
  </conditionalFormatting>
  <conditionalFormatting sqref="AU642">
    <cfRule type="cellIs" dxfId="0" priority="11061" operator="lessThan">
      <formula>20</formula>
    </cfRule>
    <cfRule type="cellIs" dxfId="1" priority="10167" operator="greaterThan">
      <formula>120</formula>
    </cfRule>
    <cfRule type="containsText" dxfId="2" priority="9273" operator="between" text="库存为">
      <formula>NOT(ISERROR(SEARCH("库存为",AU642)))</formula>
    </cfRule>
  </conditionalFormatting>
  <conditionalFormatting sqref="AU643">
    <cfRule type="cellIs" dxfId="0" priority="11060" operator="lessThan">
      <formula>20</formula>
    </cfRule>
    <cfRule type="cellIs" dxfId="1" priority="10166" operator="greaterThan">
      <formula>120</formula>
    </cfRule>
    <cfRule type="containsText" dxfId="2" priority="9272" operator="between" text="库存为">
      <formula>NOT(ISERROR(SEARCH("库存为",AU643)))</formula>
    </cfRule>
  </conditionalFormatting>
  <conditionalFormatting sqref="AU644">
    <cfRule type="cellIs" dxfId="0" priority="11059" operator="lessThan">
      <formula>20</formula>
    </cfRule>
    <cfRule type="cellIs" dxfId="1" priority="10165" operator="greaterThan">
      <formula>120</formula>
    </cfRule>
    <cfRule type="containsText" dxfId="2" priority="9271" operator="between" text="库存为">
      <formula>NOT(ISERROR(SEARCH("库存为",AU644)))</formula>
    </cfRule>
  </conditionalFormatting>
  <conditionalFormatting sqref="AU645">
    <cfRule type="cellIs" dxfId="0" priority="11058" operator="lessThan">
      <formula>20</formula>
    </cfRule>
    <cfRule type="cellIs" dxfId="1" priority="10164" operator="greaterThan">
      <formula>120</formula>
    </cfRule>
    <cfRule type="containsText" dxfId="2" priority="9270" operator="between" text="库存为">
      <formula>NOT(ISERROR(SEARCH("库存为",AU645)))</formula>
    </cfRule>
  </conditionalFormatting>
  <conditionalFormatting sqref="AU646">
    <cfRule type="cellIs" dxfId="0" priority="11057" operator="lessThan">
      <formula>20</formula>
    </cfRule>
    <cfRule type="cellIs" dxfId="1" priority="10163" operator="greaterThan">
      <formula>120</formula>
    </cfRule>
    <cfRule type="containsText" dxfId="2" priority="9269" operator="between" text="库存为">
      <formula>NOT(ISERROR(SEARCH("库存为",AU646)))</formula>
    </cfRule>
  </conditionalFormatting>
  <conditionalFormatting sqref="AU647">
    <cfRule type="cellIs" dxfId="0" priority="11056" operator="lessThan">
      <formula>20</formula>
    </cfRule>
    <cfRule type="cellIs" dxfId="1" priority="10162" operator="greaterThan">
      <formula>120</formula>
    </cfRule>
    <cfRule type="containsText" dxfId="2" priority="9268" operator="between" text="库存为">
      <formula>NOT(ISERROR(SEARCH("库存为",AU647)))</formula>
    </cfRule>
  </conditionalFormatting>
  <conditionalFormatting sqref="AU648">
    <cfRule type="cellIs" dxfId="0" priority="11055" operator="lessThan">
      <formula>20</formula>
    </cfRule>
    <cfRule type="cellIs" dxfId="1" priority="10161" operator="greaterThan">
      <formula>120</formula>
    </cfRule>
    <cfRule type="containsText" dxfId="2" priority="9267" operator="between" text="库存为">
      <formula>NOT(ISERROR(SEARCH("库存为",AU648)))</formula>
    </cfRule>
  </conditionalFormatting>
  <conditionalFormatting sqref="AU649">
    <cfRule type="cellIs" dxfId="0" priority="11054" operator="lessThan">
      <formula>20</formula>
    </cfRule>
    <cfRule type="cellIs" dxfId="1" priority="10160" operator="greaterThan">
      <formula>120</formula>
    </cfRule>
    <cfRule type="containsText" dxfId="2" priority="9266" operator="between" text="库存为">
      <formula>NOT(ISERROR(SEARCH("库存为",AU649)))</formula>
    </cfRule>
  </conditionalFormatting>
  <conditionalFormatting sqref="AU650">
    <cfRule type="cellIs" dxfId="0" priority="11053" operator="lessThan">
      <formula>20</formula>
    </cfRule>
    <cfRule type="cellIs" dxfId="1" priority="10159" operator="greaterThan">
      <formula>120</formula>
    </cfRule>
    <cfRule type="containsText" dxfId="2" priority="9265" operator="between" text="库存为">
      <formula>NOT(ISERROR(SEARCH("库存为",AU650)))</formula>
    </cfRule>
  </conditionalFormatting>
  <conditionalFormatting sqref="AU651">
    <cfRule type="cellIs" dxfId="0" priority="11052" operator="lessThan">
      <formula>20</formula>
    </cfRule>
    <cfRule type="cellIs" dxfId="1" priority="10158" operator="greaterThan">
      <formula>120</formula>
    </cfRule>
    <cfRule type="containsText" dxfId="2" priority="9264" operator="between" text="库存为">
      <formula>NOT(ISERROR(SEARCH("库存为",AU651)))</formula>
    </cfRule>
  </conditionalFormatting>
  <conditionalFormatting sqref="AU652">
    <cfRule type="cellIs" dxfId="0" priority="11051" operator="lessThan">
      <formula>20</formula>
    </cfRule>
    <cfRule type="cellIs" dxfId="1" priority="10157" operator="greaterThan">
      <formula>120</formula>
    </cfRule>
    <cfRule type="containsText" dxfId="2" priority="9263" operator="between" text="库存为">
      <formula>NOT(ISERROR(SEARCH("库存为",AU652)))</formula>
    </cfRule>
  </conditionalFormatting>
  <conditionalFormatting sqref="AU653">
    <cfRule type="cellIs" dxfId="0" priority="11050" operator="lessThan">
      <formula>20</formula>
    </cfRule>
    <cfRule type="cellIs" dxfId="1" priority="10156" operator="greaterThan">
      <formula>120</formula>
    </cfRule>
    <cfRule type="containsText" dxfId="2" priority="9262" operator="between" text="库存为">
      <formula>NOT(ISERROR(SEARCH("库存为",AU653)))</formula>
    </cfRule>
  </conditionalFormatting>
  <conditionalFormatting sqref="AU654">
    <cfRule type="cellIs" dxfId="0" priority="11049" operator="lessThan">
      <formula>20</formula>
    </cfRule>
    <cfRule type="cellIs" dxfId="1" priority="10155" operator="greaterThan">
      <formula>120</formula>
    </cfRule>
    <cfRule type="containsText" dxfId="2" priority="9261" operator="between" text="库存为">
      <formula>NOT(ISERROR(SEARCH("库存为",AU654)))</formula>
    </cfRule>
  </conditionalFormatting>
  <conditionalFormatting sqref="AU655">
    <cfRule type="cellIs" dxfId="0" priority="11048" operator="lessThan">
      <formula>20</formula>
    </cfRule>
    <cfRule type="cellIs" dxfId="1" priority="10154" operator="greaterThan">
      <formula>120</formula>
    </cfRule>
    <cfRule type="containsText" dxfId="2" priority="9260" operator="between" text="库存为">
      <formula>NOT(ISERROR(SEARCH("库存为",AU655)))</formula>
    </cfRule>
  </conditionalFormatting>
  <conditionalFormatting sqref="AU656">
    <cfRule type="cellIs" dxfId="0" priority="11047" operator="lessThan">
      <formula>20</formula>
    </cfRule>
    <cfRule type="cellIs" dxfId="1" priority="10153" operator="greaterThan">
      <formula>120</formula>
    </cfRule>
    <cfRule type="containsText" dxfId="2" priority="9259" operator="between" text="库存为">
      <formula>NOT(ISERROR(SEARCH("库存为",AU656)))</formula>
    </cfRule>
  </conditionalFormatting>
  <conditionalFormatting sqref="AU657">
    <cfRule type="cellIs" dxfId="0" priority="11046" operator="lessThan">
      <formula>20</formula>
    </cfRule>
    <cfRule type="cellIs" dxfId="1" priority="10152" operator="greaterThan">
      <formula>120</formula>
    </cfRule>
    <cfRule type="containsText" dxfId="2" priority="9258" operator="between" text="库存为">
      <formula>NOT(ISERROR(SEARCH("库存为",AU657)))</formula>
    </cfRule>
  </conditionalFormatting>
  <conditionalFormatting sqref="AU658">
    <cfRule type="cellIs" dxfId="0" priority="11045" operator="lessThan">
      <formula>20</formula>
    </cfRule>
    <cfRule type="cellIs" dxfId="1" priority="10151" operator="greaterThan">
      <formula>120</formula>
    </cfRule>
    <cfRule type="containsText" dxfId="2" priority="9257" operator="between" text="库存为">
      <formula>NOT(ISERROR(SEARCH("库存为",AU658)))</formula>
    </cfRule>
  </conditionalFormatting>
  <conditionalFormatting sqref="AU659">
    <cfRule type="cellIs" dxfId="0" priority="11044" operator="lessThan">
      <formula>20</formula>
    </cfRule>
    <cfRule type="cellIs" dxfId="1" priority="10150" operator="greaterThan">
      <formula>120</formula>
    </cfRule>
    <cfRule type="containsText" dxfId="2" priority="9256" operator="between" text="库存为">
      <formula>NOT(ISERROR(SEARCH("库存为",AU659)))</formula>
    </cfRule>
  </conditionalFormatting>
  <conditionalFormatting sqref="AU660">
    <cfRule type="cellIs" dxfId="0" priority="11043" operator="lessThan">
      <formula>20</formula>
    </cfRule>
    <cfRule type="cellIs" dxfId="1" priority="10149" operator="greaterThan">
      <formula>120</formula>
    </cfRule>
    <cfRule type="containsText" dxfId="2" priority="9255" operator="between" text="库存为">
      <formula>NOT(ISERROR(SEARCH("库存为",AU660)))</formula>
    </cfRule>
  </conditionalFormatting>
  <conditionalFormatting sqref="AU661">
    <cfRule type="cellIs" dxfId="0" priority="11042" operator="lessThan">
      <formula>20</formula>
    </cfRule>
    <cfRule type="cellIs" dxfId="1" priority="10148" operator="greaterThan">
      <formula>120</formula>
    </cfRule>
    <cfRule type="containsText" dxfId="2" priority="9254" operator="between" text="库存为">
      <formula>NOT(ISERROR(SEARCH("库存为",AU661)))</formula>
    </cfRule>
  </conditionalFormatting>
  <conditionalFormatting sqref="AU662">
    <cfRule type="cellIs" dxfId="0" priority="11041" operator="lessThan">
      <formula>20</formula>
    </cfRule>
    <cfRule type="cellIs" dxfId="1" priority="10147" operator="greaterThan">
      <formula>120</formula>
    </cfRule>
    <cfRule type="containsText" dxfId="2" priority="9253" operator="between" text="库存为">
      <formula>NOT(ISERROR(SEARCH("库存为",AU662)))</formula>
    </cfRule>
  </conditionalFormatting>
  <conditionalFormatting sqref="AU663">
    <cfRule type="cellIs" dxfId="0" priority="11040" operator="lessThan">
      <formula>20</formula>
    </cfRule>
    <cfRule type="cellIs" dxfId="1" priority="10146" operator="greaterThan">
      <formula>120</formula>
    </cfRule>
    <cfRule type="containsText" dxfId="2" priority="9252" operator="between" text="库存为">
      <formula>NOT(ISERROR(SEARCH("库存为",AU663)))</formula>
    </cfRule>
  </conditionalFormatting>
  <conditionalFormatting sqref="AU664">
    <cfRule type="cellIs" dxfId="0" priority="11039" operator="lessThan">
      <formula>20</formula>
    </cfRule>
    <cfRule type="cellIs" dxfId="1" priority="10145" operator="greaterThan">
      <formula>120</formula>
    </cfRule>
    <cfRule type="containsText" dxfId="2" priority="9251" operator="between" text="库存为">
      <formula>NOT(ISERROR(SEARCH("库存为",AU664)))</formula>
    </cfRule>
  </conditionalFormatting>
  <conditionalFormatting sqref="AU665">
    <cfRule type="cellIs" dxfId="0" priority="11038" operator="lessThan">
      <formula>20</formula>
    </cfRule>
    <cfRule type="cellIs" dxfId="1" priority="10144" operator="greaterThan">
      <formula>120</formula>
    </cfRule>
    <cfRule type="containsText" dxfId="2" priority="9250" operator="between" text="库存为">
      <formula>NOT(ISERROR(SEARCH("库存为",AU665)))</formula>
    </cfRule>
  </conditionalFormatting>
  <conditionalFormatting sqref="AU666">
    <cfRule type="cellIs" dxfId="0" priority="11037" operator="lessThan">
      <formula>20</formula>
    </cfRule>
    <cfRule type="cellIs" dxfId="1" priority="10143" operator="greaterThan">
      <formula>120</formula>
    </cfRule>
    <cfRule type="containsText" dxfId="2" priority="9249" operator="between" text="库存为">
      <formula>NOT(ISERROR(SEARCH("库存为",AU666)))</formula>
    </cfRule>
  </conditionalFormatting>
  <conditionalFormatting sqref="AU667">
    <cfRule type="cellIs" dxfId="0" priority="11036" operator="lessThan">
      <formula>20</formula>
    </cfRule>
    <cfRule type="cellIs" dxfId="1" priority="10142" operator="greaterThan">
      <formula>120</formula>
    </cfRule>
    <cfRule type="containsText" dxfId="2" priority="9248" operator="between" text="库存为">
      <formula>NOT(ISERROR(SEARCH("库存为",AU667)))</formula>
    </cfRule>
  </conditionalFormatting>
  <conditionalFormatting sqref="AU668">
    <cfRule type="cellIs" dxfId="0" priority="11035" operator="lessThan">
      <formula>20</formula>
    </cfRule>
    <cfRule type="cellIs" dxfId="1" priority="10141" operator="greaterThan">
      <formula>120</formula>
    </cfRule>
    <cfRule type="containsText" dxfId="2" priority="9247" operator="between" text="库存为">
      <formula>NOT(ISERROR(SEARCH("库存为",AU668)))</formula>
    </cfRule>
  </conditionalFormatting>
  <conditionalFormatting sqref="AU669">
    <cfRule type="cellIs" dxfId="0" priority="11034" operator="lessThan">
      <formula>20</formula>
    </cfRule>
    <cfRule type="cellIs" dxfId="1" priority="10140" operator="greaterThan">
      <formula>120</formula>
    </cfRule>
    <cfRule type="containsText" dxfId="2" priority="9246" operator="between" text="库存为">
      <formula>NOT(ISERROR(SEARCH("库存为",AU669)))</formula>
    </cfRule>
  </conditionalFormatting>
  <conditionalFormatting sqref="AU670">
    <cfRule type="cellIs" dxfId="0" priority="11033" operator="lessThan">
      <formula>20</formula>
    </cfRule>
    <cfRule type="cellIs" dxfId="1" priority="10139" operator="greaterThan">
      <formula>120</formula>
    </cfRule>
    <cfRule type="containsText" dxfId="2" priority="9245" operator="between" text="库存为">
      <formula>NOT(ISERROR(SEARCH("库存为",AU670)))</formula>
    </cfRule>
  </conditionalFormatting>
  <conditionalFormatting sqref="AU671">
    <cfRule type="cellIs" dxfId="0" priority="11032" operator="lessThan">
      <formula>20</formula>
    </cfRule>
    <cfRule type="cellIs" dxfId="1" priority="10138" operator="greaterThan">
      <formula>120</formula>
    </cfRule>
    <cfRule type="containsText" dxfId="2" priority="9244" operator="between" text="库存为">
      <formula>NOT(ISERROR(SEARCH("库存为",AU671)))</formula>
    </cfRule>
  </conditionalFormatting>
  <conditionalFormatting sqref="AU672">
    <cfRule type="cellIs" dxfId="0" priority="11031" operator="lessThan">
      <formula>20</formula>
    </cfRule>
    <cfRule type="cellIs" dxfId="1" priority="10137" operator="greaterThan">
      <formula>120</formula>
    </cfRule>
    <cfRule type="containsText" dxfId="2" priority="9243" operator="between" text="库存为">
      <formula>NOT(ISERROR(SEARCH("库存为",AU672)))</formula>
    </cfRule>
  </conditionalFormatting>
  <conditionalFormatting sqref="AU673">
    <cfRule type="cellIs" dxfId="0" priority="11030" operator="lessThan">
      <formula>20</formula>
    </cfRule>
    <cfRule type="cellIs" dxfId="1" priority="10136" operator="greaterThan">
      <formula>120</formula>
    </cfRule>
    <cfRule type="containsText" dxfId="2" priority="9242" operator="between" text="库存为">
      <formula>NOT(ISERROR(SEARCH("库存为",AU673)))</formula>
    </cfRule>
  </conditionalFormatting>
  <conditionalFormatting sqref="AU674">
    <cfRule type="cellIs" dxfId="0" priority="11029" operator="lessThan">
      <formula>20</formula>
    </cfRule>
    <cfRule type="cellIs" dxfId="1" priority="10135" operator="greaterThan">
      <formula>120</formula>
    </cfRule>
    <cfRule type="containsText" dxfId="2" priority="9241" operator="between" text="库存为">
      <formula>NOT(ISERROR(SEARCH("库存为",AU674)))</formula>
    </cfRule>
  </conditionalFormatting>
  <conditionalFormatting sqref="AU675">
    <cfRule type="cellIs" dxfId="0" priority="11028" operator="lessThan">
      <formula>20</formula>
    </cfRule>
    <cfRule type="cellIs" dxfId="1" priority="10134" operator="greaterThan">
      <formula>120</formula>
    </cfRule>
    <cfRule type="containsText" dxfId="2" priority="9240" operator="between" text="库存为">
      <formula>NOT(ISERROR(SEARCH("库存为",AU675)))</formula>
    </cfRule>
  </conditionalFormatting>
  <conditionalFormatting sqref="AU676">
    <cfRule type="cellIs" dxfId="0" priority="11027" operator="lessThan">
      <formula>20</formula>
    </cfRule>
    <cfRule type="cellIs" dxfId="1" priority="10133" operator="greaterThan">
      <formula>120</formula>
    </cfRule>
    <cfRule type="containsText" dxfId="2" priority="9239" operator="between" text="库存为">
      <formula>NOT(ISERROR(SEARCH("库存为",AU676)))</formula>
    </cfRule>
  </conditionalFormatting>
  <conditionalFormatting sqref="AU677">
    <cfRule type="cellIs" dxfId="0" priority="11026" operator="lessThan">
      <formula>20</formula>
    </cfRule>
    <cfRule type="cellIs" dxfId="1" priority="10132" operator="greaterThan">
      <formula>120</formula>
    </cfRule>
    <cfRule type="containsText" dxfId="2" priority="9238" operator="between" text="库存为">
      <formula>NOT(ISERROR(SEARCH("库存为",AU677)))</formula>
    </cfRule>
  </conditionalFormatting>
  <conditionalFormatting sqref="AU678">
    <cfRule type="cellIs" dxfId="0" priority="11025" operator="lessThan">
      <formula>20</formula>
    </cfRule>
    <cfRule type="cellIs" dxfId="1" priority="10131" operator="greaterThan">
      <formula>120</formula>
    </cfRule>
    <cfRule type="containsText" dxfId="2" priority="9237" operator="between" text="库存为">
      <formula>NOT(ISERROR(SEARCH("库存为",AU678)))</formula>
    </cfRule>
  </conditionalFormatting>
  <conditionalFormatting sqref="AU679">
    <cfRule type="cellIs" dxfId="0" priority="11024" operator="lessThan">
      <formula>20</formula>
    </cfRule>
    <cfRule type="cellIs" dxfId="1" priority="10130" operator="greaterThan">
      <formula>120</formula>
    </cfRule>
    <cfRule type="containsText" dxfId="2" priority="9236" operator="between" text="库存为">
      <formula>NOT(ISERROR(SEARCH("库存为",AU679)))</formula>
    </cfRule>
  </conditionalFormatting>
  <conditionalFormatting sqref="AU680">
    <cfRule type="cellIs" dxfId="0" priority="11023" operator="lessThan">
      <formula>20</formula>
    </cfRule>
    <cfRule type="cellIs" dxfId="1" priority="10129" operator="greaterThan">
      <formula>120</formula>
    </cfRule>
    <cfRule type="containsText" dxfId="2" priority="9235" operator="between" text="库存为">
      <formula>NOT(ISERROR(SEARCH("库存为",AU680)))</formula>
    </cfRule>
  </conditionalFormatting>
  <conditionalFormatting sqref="AU681">
    <cfRule type="cellIs" dxfId="0" priority="11022" operator="lessThan">
      <formula>20</formula>
    </cfRule>
    <cfRule type="cellIs" dxfId="1" priority="10128" operator="greaterThan">
      <formula>120</formula>
    </cfRule>
    <cfRule type="containsText" dxfId="2" priority="9234" operator="between" text="库存为">
      <formula>NOT(ISERROR(SEARCH("库存为",AU681)))</formula>
    </cfRule>
  </conditionalFormatting>
  <conditionalFormatting sqref="AU682">
    <cfRule type="cellIs" dxfId="0" priority="11021" operator="lessThan">
      <formula>20</formula>
    </cfRule>
    <cfRule type="cellIs" dxfId="1" priority="10127" operator="greaterThan">
      <formula>120</formula>
    </cfRule>
    <cfRule type="containsText" dxfId="2" priority="9233" operator="between" text="库存为">
      <formula>NOT(ISERROR(SEARCH("库存为",AU682)))</formula>
    </cfRule>
  </conditionalFormatting>
  <conditionalFormatting sqref="AU683">
    <cfRule type="cellIs" dxfId="0" priority="11020" operator="lessThan">
      <formula>20</formula>
    </cfRule>
    <cfRule type="cellIs" dxfId="1" priority="10126" operator="greaterThan">
      <formula>120</formula>
    </cfRule>
    <cfRule type="containsText" dxfId="2" priority="9232" operator="between" text="库存为">
      <formula>NOT(ISERROR(SEARCH("库存为",AU683)))</formula>
    </cfRule>
  </conditionalFormatting>
  <conditionalFormatting sqref="AU684">
    <cfRule type="cellIs" dxfId="0" priority="11019" operator="lessThan">
      <formula>20</formula>
    </cfRule>
    <cfRule type="cellIs" dxfId="1" priority="10125" operator="greaterThan">
      <formula>120</formula>
    </cfRule>
    <cfRule type="containsText" dxfId="2" priority="9231" operator="between" text="库存为">
      <formula>NOT(ISERROR(SEARCH("库存为",AU684)))</formula>
    </cfRule>
  </conditionalFormatting>
  <conditionalFormatting sqref="AU685">
    <cfRule type="cellIs" dxfId="0" priority="11018" operator="lessThan">
      <formula>20</formula>
    </cfRule>
    <cfRule type="cellIs" dxfId="1" priority="10124" operator="greaterThan">
      <formula>120</formula>
    </cfRule>
    <cfRule type="containsText" dxfId="2" priority="9230" operator="between" text="库存为">
      <formula>NOT(ISERROR(SEARCH("库存为",AU685)))</formula>
    </cfRule>
  </conditionalFormatting>
  <conditionalFormatting sqref="AU686">
    <cfRule type="cellIs" dxfId="0" priority="11017" operator="lessThan">
      <formula>20</formula>
    </cfRule>
    <cfRule type="cellIs" dxfId="1" priority="10123" operator="greaterThan">
      <formula>120</formula>
    </cfRule>
    <cfRule type="containsText" dxfId="2" priority="9229" operator="between" text="库存为">
      <formula>NOT(ISERROR(SEARCH("库存为",AU686)))</formula>
    </cfRule>
  </conditionalFormatting>
  <conditionalFormatting sqref="AU687">
    <cfRule type="cellIs" dxfId="0" priority="11016" operator="lessThan">
      <formula>20</formula>
    </cfRule>
    <cfRule type="cellIs" dxfId="1" priority="10122" operator="greaterThan">
      <formula>120</formula>
    </cfRule>
    <cfRule type="containsText" dxfId="2" priority="9228" operator="between" text="库存为">
      <formula>NOT(ISERROR(SEARCH("库存为",AU687)))</formula>
    </cfRule>
  </conditionalFormatting>
  <conditionalFormatting sqref="AU688">
    <cfRule type="cellIs" dxfId="0" priority="11015" operator="lessThan">
      <formula>20</formula>
    </cfRule>
    <cfRule type="cellIs" dxfId="1" priority="10121" operator="greaterThan">
      <formula>120</formula>
    </cfRule>
    <cfRule type="containsText" dxfId="2" priority="9227" operator="between" text="库存为">
      <formula>NOT(ISERROR(SEARCH("库存为",AU688)))</formula>
    </cfRule>
  </conditionalFormatting>
  <conditionalFormatting sqref="AU689">
    <cfRule type="cellIs" dxfId="0" priority="11014" operator="lessThan">
      <formula>20</formula>
    </cfRule>
    <cfRule type="cellIs" dxfId="1" priority="10120" operator="greaterThan">
      <formula>120</formula>
    </cfRule>
    <cfRule type="containsText" dxfId="2" priority="9226" operator="between" text="库存为">
      <formula>NOT(ISERROR(SEARCH("库存为",AU689)))</formula>
    </cfRule>
  </conditionalFormatting>
  <conditionalFormatting sqref="AU690">
    <cfRule type="cellIs" dxfId="0" priority="11013" operator="lessThan">
      <formula>20</formula>
    </cfRule>
    <cfRule type="cellIs" dxfId="1" priority="10119" operator="greaterThan">
      <formula>120</formula>
    </cfRule>
    <cfRule type="containsText" dxfId="2" priority="9225" operator="between" text="库存为">
      <formula>NOT(ISERROR(SEARCH("库存为",AU690)))</formula>
    </cfRule>
  </conditionalFormatting>
  <conditionalFormatting sqref="AU691">
    <cfRule type="cellIs" dxfId="0" priority="11012" operator="lessThan">
      <formula>20</formula>
    </cfRule>
    <cfRule type="cellIs" dxfId="1" priority="10118" operator="greaterThan">
      <formula>120</formula>
    </cfRule>
    <cfRule type="containsText" dxfId="2" priority="9224" operator="between" text="库存为">
      <formula>NOT(ISERROR(SEARCH("库存为",AU691)))</formula>
    </cfRule>
  </conditionalFormatting>
  <conditionalFormatting sqref="AU692">
    <cfRule type="cellIs" dxfId="0" priority="11011" operator="lessThan">
      <formula>20</formula>
    </cfRule>
    <cfRule type="cellIs" dxfId="1" priority="10117" operator="greaterThan">
      <formula>120</formula>
    </cfRule>
    <cfRule type="containsText" dxfId="2" priority="9223" operator="between" text="库存为">
      <formula>NOT(ISERROR(SEARCH("库存为",AU692)))</formula>
    </cfRule>
  </conditionalFormatting>
  <conditionalFormatting sqref="AU693">
    <cfRule type="cellIs" dxfId="0" priority="11010" operator="lessThan">
      <formula>20</formula>
    </cfRule>
    <cfRule type="cellIs" dxfId="1" priority="10116" operator="greaterThan">
      <formula>120</formula>
    </cfRule>
    <cfRule type="containsText" dxfId="2" priority="9222" operator="between" text="库存为">
      <formula>NOT(ISERROR(SEARCH("库存为",AU693)))</formula>
    </cfRule>
  </conditionalFormatting>
  <conditionalFormatting sqref="AU694">
    <cfRule type="cellIs" dxfId="0" priority="11009" operator="lessThan">
      <formula>20</formula>
    </cfRule>
    <cfRule type="cellIs" dxfId="1" priority="10115" operator="greaterThan">
      <formula>120</formula>
    </cfRule>
    <cfRule type="containsText" dxfId="2" priority="9221" operator="between" text="库存为">
      <formula>NOT(ISERROR(SEARCH("库存为",AU694)))</formula>
    </cfRule>
  </conditionalFormatting>
  <conditionalFormatting sqref="AU695">
    <cfRule type="cellIs" dxfId="0" priority="11008" operator="lessThan">
      <formula>20</formula>
    </cfRule>
    <cfRule type="cellIs" dxfId="1" priority="10114" operator="greaterThan">
      <formula>120</formula>
    </cfRule>
    <cfRule type="containsText" dxfId="2" priority="9220" operator="between" text="库存为">
      <formula>NOT(ISERROR(SEARCH("库存为",AU695)))</formula>
    </cfRule>
  </conditionalFormatting>
  <conditionalFormatting sqref="AU696">
    <cfRule type="cellIs" dxfId="0" priority="11007" operator="lessThan">
      <formula>20</formula>
    </cfRule>
    <cfRule type="cellIs" dxfId="1" priority="10113" operator="greaterThan">
      <formula>120</formula>
    </cfRule>
    <cfRule type="containsText" dxfId="2" priority="9219" operator="between" text="库存为">
      <formula>NOT(ISERROR(SEARCH("库存为",AU696)))</formula>
    </cfRule>
  </conditionalFormatting>
  <conditionalFormatting sqref="AU697">
    <cfRule type="cellIs" dxfId="0" priority="11006" operator="lessThan">
      <formula>20</formula>
    </cfRule>
    <cfRule type="cellIs" dxfId="1" priority="10112" operator="greaterThan">
      <formula>120</formula>
    </cfRule>
    <cfRule type="containsText" dxfId="2" priority="9218" operator="between" text="库存为">
      <formula>NOT(ISERROR(SEARCH("库存为",AU697)))</formula>
    </cfRule>
  </conditionalFormatting>
  <conditionalFormatting sqref="AU698">
    <cfRule type="cellIs" dxfId="0" priority="11005" operator="lessThan">
      <formula>20</formula>
    </cfRule>
    <cfRule type="cellIs" dxfId="1" priority="10111" operator="greaterThan">
      <formula>120</formula>
    </cfRule>
    <cfRule type="containsText" dxfId="2" priority="9217" operator="between" text="库存为">
      <formula>NOT(ISERROR(SEARCH("库存为",AU698)))</formula>
    </cfRule>
  </conditionalFormatting>
  <conditionalFormatting sqref="AU699">
    <cfRule type="cellIs" dxfId="0" priority="11004" operator="lessThan">
      <formula>20</formula>
    </cfRule>
    <cfRule type="cellIs" dxfId="1" priority="10110" operator="greaterThan">
      <formula>120</formula>
    </cfRule>
    <cfRule type="containsText" dxfId="2" priority="9216" operator="between" text="库存为">
      <formula>NOT(ISERROR(SEARCH("库存为",AU699)))</formula>
    </cfRule>
  </conditionalFormatting>
  <conditionalFormatting sqref="AU700">
    <cfRule type="cellIs" dxfId="0" priority="11003" operator="lessThan">
      <formula>20</formula>
    </cfRule>
    <cfRule type="cellIs" dxfId="1" priority="10109" operator="greaterThan">
      <formula>120</formula>
    </cfRule>
    <cfRule type="containsText" dxfId="2" priority="9215" operator="between" text="库存为">
      <formula>NOT(ISERROR(SEARCH("库存为",AU700)))</formula>
    </cfRule>
  </conditionalFormatting>
  <conditionalFormatting sqref="AU701">
    <cfRule type="cellIs" dxfId="0" priority="11002" operator="lessThan">
      <formula>20</formula>
    </cfRule>
    <cfRule type="cellIs" dxfId="1" priority="10108" operator="greaterThan">
      <formula>120</formula>
    </cfRule>
    <cfRule type="containsText" dxfId="2" priority="9214" operator="between" text="库存为">
      <formula>NOT(ISERROR(SEARCH("库存为",AU701)))</formula>
    </cfRule>
  </conditionalFormatting>
  <conditionalFormatting sqref="AU702">
    <cfRule type="cellIs" dxfId="0" priority="11001" operator="lessThan">
      <formula>20</formula>
    </cfRule>
    <cfRule type="cellIs" dxfId="1" priority="10107" operator="greaterThan">
      <formula>120</formula>
    </cfRule>
    <cfRule type="containsText" dxfId="2" priority="9213" operator="between" text="库存为">
      <formula>NOT(ISERROR(SEARCH("库存为",AU702)))</formula>
    </cfRule>
  </conditionalFormatting>
  <conditionalFormatting sqref="AU703">
    <cfRule type="cellIs" dxfId="0" priority="11000" operator="lessThan">
      <formula>20</formula>
    </cfRule>
    <cfRule type="cellIs" dxfId="1" priority="10106" operator="greaterThan">
      <formula>120</formula>
    </cfRule>
    <cfRule type="containsText" dxfId="2" priority="9212" operator="between" text="库存为">
      <formula>NOT(ISERROR(SEARCH("库存为",AU703)))</formula>
    </cfRule>
  </conditionalFormatting>
  <conditionalFormatting sqref="AU704">
    <cfRule type="cellIs" dxfId="0" priority="10999" operator="lessThan">
      <formula>20</formula>
    </cfRule>
    <cfRule type="cellIs" dxfId="1" priority="10105" operator="greaterThan">
      <formula>120</formula>
    </cfRule>
    <cfRule type="containsText" dxfId="2" priority="9211" operator="between" text="库存为">
      <formula>NOT(ISERROR(SEARCH("库存为",AU704)))</formula>
    </cfRule>
  </conditionalFormatting>
  <conditionalFormatting sqref="AU705">
    <cfRule type="cellIs" dxfId="0" priority="10998" operator="lessThan">
      <formula>20</formula>
    </cfRule>
    <cfRule type="cellIs" dxfId="1" priority="10104" operator="greaterThan">
      <formula>120</formula>
    </cfRule>
    <cfRule type="containsText" dxfId="2" priority="9210" operator="between" text="库存为">
      <formula>NOT(ISERROR(SEARCH("库存为",AU705)))</formula>
    </cfRule>
  </conditionalFormatting>
  <conditionalFormatting sqref="AU706">
    <cfRule type="cellIs" dxfId="0" priority="10997" operator="lessThan">
      <formula>20</formula>
    </cfRule>
    <cfRule type="cellIs" dxfId="1" priority="10103" operator="greaterThan">
      <formula>120</formula>
    </cfRule>
    <cfRule type="containsText" dxfId="2" priority="9209" operator="between" text="库存为">
      <formula>NOT(ISERROR(SEARCH("库存为",AU706)))</formula>
    </cfRule>
  </conditionalFormatting>
  <conditionalFormatting sqref="AU707">
    <cfRule type="cellIs" dxfId="0" priority="10996" operator="lessThan">
      <formula>20</formula>
    </cfRule>
    <cfRule type="cellIs" dxfId="1" priority="10102" operator="greaterThan">
      <formula>120</formula>
    </cfRule>
    <cfRule type="containsText" dxfId="2" priority="9208" operator="between" text="库存为">
      <formula>NOT(ISERROR(SEARCH("库存为",AU707)))</formula>
    </cfRule>
  </conditionalFormatting>
  <conditionalFormatting sqref="AU708">
    <cfRule type="cellIs" dxfId="0" priority="10995" operator="lessThan">
      <formula>20</formula>
    </cfRule>
    <cfRule type="cellIs" dxfId="1" priority="10101" operator="greaterThan">
      <formula>120</formula>
    </cfRule>
    <cfRule type="containsText" dxfId="2" priority="9207" operator="between" text="库存为">
      <formula>NOT(ISERROR(SEARCH("库存为",AU708)))</formula>
    </cfRule>
  </conditionalFormatting>
  <conditionalFormatting sqref="AU709">
    <cfRule type="cellIs" dxfId="0" priority="10994" operator="lessThan">
      <formula>20</formula>
    </cfRule>
    <cfRule type="cellIs" dxfId="1" priority="10100" operator="greaterThan">
      <formula>120</formula>
    </cfRule>
    <cfRule type="containsText" dxfId="2" priority="9206" operator="between" text="库存为">
      <formula>NOT(ISERROR(SEARCH("库存为",AU709)))</formula>
    </cfRule>
  </conditionalFormatting>
  <conditionalFormatting sqref="AU710">
    <cfRule type="cellIs" dxfId="0" priority="10993" operator="lessThan">
      <formula>20</formula>
    </cfRule>
    <cfRule type="cellIs" dxfId="1" priority="10099" operator="greaterThan">
      <formula>120</formula>
    </cfRule>
    <cfRule type="containsText" dxfId="2" priority="9205" operator="between" text="库存为">
      <formula>NOT(ISERROR(SEARCH("库存为",AU710)))</formula>
    </cfRule>
  </conditionalFormatting>
  <conditionalFormatting sqref="AU711">
    <cfRule type="cellIs" dxfId="0" priority="10992" operator="lessThan">
      <formula>20</formula>
    </cfRule>
    <cfRule type="cellIs" dxfId="1" priority="10098" operator="greaterThan">
      <formula>120</formula>
    </cfRule>
    <cfRule type="containsText" dxfId="2" priority="9204" operator="between" text="库存为">
      <formula>NOT(ISERROR(SEARCH("库存为",AU711)))</formula>
    </cfRule>
  </conditionalFormatting>
  <conditionalFormatting sqref="AU712">
    <cfRule type="cellIs" dxfId="0" priority="10991" operator="lessThan">
      <formula>20</formula>
    </cfRule>
    <cfRule type="cellIs" dxfId="1" priority="10097" operator="greaterThan">
      <formula>120</formula>
    </cfRule>
    <cfRule type="containsText" dxfId="2" priority="9203" operator="between" text="库存为">
      <formula>NOT(ISERROR(SEARCH("库存为",AU712)))</formula>
    </cfRule>
  </conditionalFormatting>
  <conditionalFormatting sqref="AU713">
    <cfRule type="cellIs" dxfId="0" priority="10990" operator="lessThan">
      <formula>20</formula>
    </cfRule>
    <cfRule type="cellIs" dxfId="1" priority="10096" operator="greaterThan">
      <formula>120</formula>
    </cfRule>
    <cfRule type="containsText" dxfId="2" priority="9202" operator="between" text="库存为">
      <formula>NOT(ISERROR(SEARCH("库存为",AU713)))</formula>
    </cfRule>
  </conditionalFormatting>
  <conditionalFormatting sqref="AU714">
    <cfRule type="cellIs" dxfId="0" priority="10989" operator="lessThan">
      <formula>20</formula>
    </cfRule>
    <cfRule type="cellIs" dxfId="1" priority="10095" operator="greaterThan">
      <formula>120</formula>
    </cfRule>
    <cfRule type="containsText" dxfId="2" priority="9201" operator="between" text="库存为">
      <formula>NOT(ISERROR(SEARCH("库存为",AU714)))</formula>
    </cfRule>
  </conditionalFormatting>
  <conditionalFormatting sqref="AU715">
    <cfRule type="cellIs" dxfId="0" priority="10988" operator="lessThan">
      <formula>20</formula>
    </cfRule>
    <cfRule type="cellIs" dxfId="1" priority="10094" operator="greaterThan">
      <formula>120</formula>
    </cfRule>
    <cfRule type="containsText" dxfId="2" priority="9200" operator="between" text="库存为">
      <formula>NOT(ISERROR(SEARCH("库存为",AU715)))</formula>
    </cfRule>
  </conditionalFormatting>
  <conditionalFormatting sqref="AU716">
    <cfRule type="cellIs" dxfId="0" priority="10987" operator="lessThan">
      <formula>20</formula>
    </cfRule>
    <cfRule type="cellIs" dxfId="1" priority="10093" operator="greaterThan">
      <formula>120</formula>
    </cfRule>
    <cfRule type="containsText" dxfId="2" priority="9199" operator="between" text="库存为">
      <formula>NOT(ISERROR(SEARCH("库存为",AU716)))</formula>
    </cfRule>
  </conditionalFormatting>
  <conditionalFormatting sqref="AU717">
    <cfRule type="cellIs" dxfId="0" priority="10986" operator="lessThan">
      <formula>20</formula>
    </cfRule>
    <cfRule type="cellIs" dxfId="1" priority="10092" operator="greaterThan">
      <formula>120</formula>
    </cfRule>
    <cfRule type="containsText" dxfId="2" priority="9198" operator="between" text="库存为">
      <formula>NOT(ISERROR(SEARCH("库存为",AU717)))</formula>
    </cfRule>
  </conditionalFormatting>
  <conditionalFormatting sqref="AU718">
    <cfRule type="cellIs" dxfId="0" priority="10985" operator="lessThan">
      <formula>20</formula>
    </cfRule>
    <cfRule type="cellIs" dxfId="1" priority="10091" operator="greaterThan">
      <formula>120</formula>
    </cfRule>
    <cfRule type="containsText" dxfId="2" priority="9197" operator="between" text="库存为">
      <formula>NOT(ISERROR(SEARCH("库存为",AU718)))</formula>
    </cfRule>
  </conditionalFormatting>
  <conditionalFormatting sqref="AU719">
    <cfRule type="cellIs" dxfId="0" priority="10984" operator="lessThan">
      <formula>20</formula>
    </cfRule>
    <cfRule type="cellIs" dxfId="1" priority="10090" operator="greaterThan">
      <formula>120</formula>
    </cfRule>
    <cfRule type="containsText" dxfId="2" priority="9196" operator="between" text="库存为">
      <formula>NOT(ISERROR(SEARCH("库存为",AU719)))</formula>
    </cfRule>
  </conditionalFormatting>
  <conditionalFormatting sqref="AU720">
    <cfRule type="cellIs" dxfId="0" priority="10983" operator="lessThan">
      <formula>20</formula>
    </cfRule>
    <cfRule type="cellIs" dxfId="1" priority="10089" operator="greaterThan">
      <formula>120</formula>
    </cfRule>
    <cfRule type="containsText" dxfId="2" priority="9195" operator="between" text="库存为">
      <formula>NOT(ISERROR(SEARCH("库存为",AU720)))</formula>
    </cfRule>
  </conditionalFormatting>
  <conditionalFormatting sqref="AU721">
    <cfRule type="cellIs" dxfId="0" priority="10982" operator="lessThan">
      <formula>20</formula>
    </cfRule>
    <cfRule type="cellIs" dxfId="1" priority="10088" operator="greaterThan">
      <formula>120</formula>
    </cfRule>
    <cfRule type="containsText" dxfId="2" priority="9194" operator="between" text="库存为">
      <formula>NOT(ISERROR(SEARCH("库存为",AU721)))</formula>
    </cfRule>
  </conditionalFormatting>
  <conditionalFormatting sqref="AU722">
    <cfRule type="cellIs" dxfId="0" priority="10981" operator="lessThan">
      <formula>20</formula>
    </cfRule>
    <cfRule type="cellIs" dxfId="1" priority="10087" operator="greaterThan">
      <formula>120</formula>
    </cfRule>
    <cfRule type="containsText" dxfId="2" priority="9193" operator="between" text="库存为">
      <formula>NOT(ISERROR(SEARCH("库存为",AU722)))</formula>
    </cfRule>
  </conditionalFormatting>
  <conditionalFormatting sqref="AU723">
    <cfRule type="cellIs" dxfId="0" priority="10980" operator="lessThan">
      <formula>20</formula>
    </cfRule>
    <cfRule type="cellIs" dxfId="1" priority="10086" operator="greaterThan">
      <formula>120</formula>
    </cfRule>
    <cfRule type="containsText" dxfId="2" priority="9192" operator="between" text="库存为">
      <formula>NOT(ISERROR(SEARCH("库存为",AU723)))</formula>
    </cfRule>
  </conditionalFormatting>
  <conditionalFormatting sqref="AU724">
    <cfRule type="cellIs" dxfId="0" priority="10979" operator="lessThan">
      <formula>20</formula>
    </cfRule>
    <cfRule type="cellIs" dxfId="1" priority="10085" operator="greaterThan">
      <formula>120</formula>
    </cfRule>
    <cfRule type="containsText" dxfId="2" priority="9191" operator="between" text="库存为">
      <formula>NOT(ISERROR(SEARCH("库存为",AU724)))</formula>
    </cfRule>
  </conditionalFormatting>
  <conditionalFormatting sqref="AU725">
    <cfRule type="cellIs" dxfId="0" priority="10978" operator="lessThan">
      <formula>20</formula>
    </cfRule>
    <cfRule type="cellIs" dxfId="1" priority="10084" operator="greaterThan">
      <formula>120</formula>
    </cfRule>
    <cfRule type="containsText" dxfId="2" priority="9190" operator="between" text="库存为">
      <formula>NOT(ISERROR(SEARCH("库存为",AU725)))</formula>
    </cfRule>
  </conditionalFormatting>
  <conditionalFormatting sqref="AU726">
    <cfRule type="cellIs" dxfId="0" priority="10977" operator="lessThan">
      <formula>20</formula>
    </cfRule>
    <cfRule type="cellIs" dxfId="1" priority="10083" operator="greaterThan">
      <formula>120</formula>
    </cfRule>
    <cfRule type="containsText" dxfId="2" priority="9189" operator="between" text="库存为">
      <formula>NOT(ISERROR(SEARCH("库存为",AU726)))</formula>
    </cfRule>
  </conditionalFormatting>
  <conditionalFormatting sqref="AU727">
    <cfRule type="cellIs" dxfId="0" priority="10976" operator="lessThan">
      <formula>20</formula>
    </cfRule>
    <cfRule type="cellIs" dxfId="1" priority="10082" operator="greaterThan">
      <formula>120</formula>
    </cfRule>
    <cfRule type="containsText" dxfId="2" priority="9188" operator="between" text="库存为">
      <formula>NOT(ISERROR(SEARCH("库存为",AU727)))</formula>
    </cfRule>
  </conditionalFormatting>
  <conditionalFormatting sqref="AU728">
    <cfRule type="cellIs" dxfId="0" priority="10975" operator="lessThan">
      <formula>20</formula>
    </cfRule>
    <cfRule type="cellIs" dxfId="1" priority="10081" operator="greaterThan">
      <formula>120</formula>
    </cfRule>
    <cfRule type="containsText" dxfId="2" priority="9187" operator="between" text="库存为">
      <formula>NOT(ISERROR(SEARCH("库存为",AU728)))</formula>
    </cfRule>
  </conditionalFormatting>
  <conditionalFormatting sqref="AU729">
    <cfRule type="cellIs" dxfId="0" priority="10974" operator="lessThan">
      <formula>20</formula>
    </cfRule>
    <cfRule type="cellIs" dxfId="1" priority="10080" operator="greaterThan">
      <formula>120</formula>
    </cfRule>
    <cfRule type="containsText" dxfId="2" priority="9186" operator="between" text="库存为">
      <formula>NOT(ISERROR(SEARCH("库存为",AU729)))</formula>
    </cfRule>
  </conditionalFormatting>
  <conditionalFormatting sqref="AU730">
    <cfRule type="cellIs" dxfId="0" priority="10973" operator="lessThan">
      <formula>20</formula>
    </cfRule>
    <cfRule type="cellIs" dxfId="1" priority="10079" operator="greaterThan">
      <formula>120</formula>
    </cfRule>
    <cfRule type="containsText" dxfId="2" priority="9185" operator="between" text="库存为">
      <formula>NOT(ISERROR(SEARCH("库存为",AU730)))</formula>
    </cfRule>
  </conditionalFormatting>
  <conditionalFormatting sqref="AU731">
    <cfRule type="cellIs" dxfId="0" priority="10972" operator="lessThan">
      <formula>20</formula>
    </cfRule>
    <cfRule type="cellIs" dxfId="1" priority="10078" operator="greaterThan">
      <formula>120</formula>
    </cfRule>
    <cfRule type="containsText" dxfId="2" priority="9184" operator="between" text="库存为">
      <formula>NOT(ISERROR(SEARCH("库存为",AU731)))</formula>
    </cfRule>
  </conditionalFormatting>
  <conditionalFormatting sqref="AU732">
    <cfRule type="cellIs" dxfId="0" priority="10971" operator="lessThan">
      <formula>20</formula>
    </cfRule>
    <cfRule type="cellIs" dxfId="1" priority="10077" operator="greaterThan">
      <formula>120</formula>
    </cfRule>
    <cfRule type="containsText" dxfId="2" priority="9183" operator="between" text="库存为">
      <formula>NOT(ISERROR(SEARCH("库存为",AU732)))</formula>
    </cfRule>
  </conditionalFormatting>
  <conditionalFormatting sqref="AU733">
    <cfRule type="cellIs" dxfId="0" priority="10970" operator="lessThan">
      <formula>20</formula>
    </cfRule>
    <cfRule type="cellIs" dxfId="1" priority="10076" operator="greaterThan">
      <formula>120</formula>
    </cfRule>
    <cfRule type="containsText" dxfId="2" priority="9182" operator="between" text="库存为">
      <formula>NOT(ISERROR(SEARCH("库存为",AU733)))</formula>
    </cfRule>
  </conditionalFormatting>
  <conditionalFormatting sqref="AU734">
    <cfRule type="cellIs" dxfId="0" priority="10969" operator="lessThan">
      <formula>20</formula>
    </cfRule>
    <cfRule type="cellIs" dxfId="1" priority="10075" operator="greaterThan">
      <formula>120</formula>
    </cfRule>
    <cfRule type="containsText" dxfId="2" priority="9181" operator="between" text="库存为">
      <formula>NOT(ISERROR(SEARCH("库存为",AU734)))</formula>
    </cfRule>
  </conditionalFormatting>
  <conditionalFormatting sqref="AU735">
    <cfRule type="cellIs" dxfId="0" priority="10968" operator="lessThan">
      <formula>20</formula>
    </cfRule>
    <cfRule type="cellIs" dxfId="1" priority="10074" operator="greaterThan">
      <formula>120</formula>
    </cfRule>
    <cfRule type="containsText" dxfId="2" priority="9180" operator="between" text="库存为">
      <formula>NOT(ISERROR(SEARCH("库存为",AU735)))</formula>
    </cfRule>
  </conditionalFormatting>
  <conditionalFormatting sqref="AU736">
    <cfRule type="cellIs" dxfId="0" priority="10967" operator="lessThan">
      <formula>20</formula>
    </cfRule>
    <cfRule type="cellIs" dxfId="1" priority="10073" operator="greaterThan">
      <formula>120</formula>
    </cfRule>
    <cfRule type="containsText" dxfId="2" priority="9179" operator="between" text="库存为">
      <formula>NOT(ISERROR(SEARCH("库存为",AU736)))</formula>
    </cfRule>
  </conditionalFormatting>
  <conditionalFormatting sqref="AU737">
    <cfRule type="cellIs" dxfId="0" priority="10966" operator="lessThan">
      <formula>20</formula>
    </cfRule>
    <cfRule type="cellIs" dxfId="1" priority="10072" operator="greaterThan">
      <formula>120</formula>
    </cfRule>
    <cfRule type="containsText" dxfId="2" priority="9178" operator="between" text="库存为">
      <formula>NOT(ISERROR(SEARCH("库存为",AU737)))</formula>
    </cfRule>
  </conditionalFormatting>
  <conditionalFormatting sqref="AU738">
    <cfRule type="cellIs" dxfId="0" priority="10965" operator="lessThan">
      <formula>20</formula>
    </cfRule>
    <cfRule type="cellIs" dxfId="1" priority="10071" operator="greaterThan">
      <formula>120</formula>
    </cfRule>
    <cfRule type="containsText" dxfId="2" priority="9177" operator="between" text="库存为">
      <formula>NOT(ISERROR(SEARCH("库存为",AU738)))</formula>
    </cfRule>
  </conditionalFormatting>
  <conditionalFormatting sqref="AU739">
    <cfRule type="cellIs" dxfId="0" priority="10964" operator="lessThan">
      <formula>20</formula>
    </cfRule>
    <cfRule type="cellIs" dxfId="1" priority="10070" operator="greaterThan">
      <formula>120</formula>
    </cfRule>
    <cfRule type="containsText" dxfId="2" priority="9176" operator="between" text="库存为">
      <formula>NOT(ISERROR(SEARCH("库存为",AU739)))</formula>
    </cfRule>
  </conditionalFormatting>
  <conditionalFormatting sqref="AU740">
    <cfRule type="cellIs" dxfId="0" priority="10963" operator="lessThan">
      <formula>20</formula>
    </cfRule>
    <cfRule type="cellIs" dxfId="1" priority="10069" operator="greaterThan">
      <formula>120</formula>
    </cfRule>
    <cfRule type="containsText" dxfId="2" priority="9175" operator="between" text="库存为">
      <formula>NOT(ISERROR(SEARCH("库存为",AU740)))</formula>
    </cfRule>
  </conditionalFormatting>
  <conditionalFormatting sqref="AU741">
    <cfRule type="cellIs" dxfId="0" priority="10962" operator="lessThan">
      <formula>20</formula>
    </cfRule>
    <cfRule type="cellIs" dxfId="1" priority="10068" operator="greaterThan">
      <formula>120</formula>
    </cfRule>
    <cfRule type="containsText" dxfId="2" priority="9174" operator="between" text="库存为">
      <formula>NOT(ISERROR(SEARCH("库存为",AU741)))</formula>
    </cfRule>
  </conditionalFormatting>
  <conditionalFormatting sqref="AU742">
    <cfRule type="cellIs" dxfId="0" priority="10961" operator="lessThan">
      <formula>20</formula>
    </cfRule>
    <cfRule type="cellIs" dxfId="1" priority="10067" operator="greaterThan">
      <formula>120</formula>
    </cfRule>
    <cfRule type="containsText" dxfId="2" priority="9173" operator="between" text="库存为">
      <formula>NOT(ISERROR(SEARCH("库存为",AU742)))</formula>
    </cfRule>
  </conditionalFormatting>
  <conditionalFormatting sqref="AU743">
    <cfRule type="cellIs" dxfId="0" priority="10960" operator="lessThan">
      <formula>20</formula>
    </cfRule>
    <cfRule type="cellIs" dxfId="1" priority="10066" operator="greaterThan">
      <formula>120</formula>
    </cfRule>
    <cfRule type="containsText" dxfId="2" priority="9172" operator="between" text="库存为">
      <formula>NOT(ISERROR(SEARCH("库存为",AU743)))</formula>
    </cfRule>
  </conditionalFormatting>
  <conditionalFormatting sqref="AU744">
    <cfRule type="cellIs" dxfId="0" priority="10959" operator="lessThan">
      <formula>20</formula>
    </cfRule>
    <cfRule type="cellIs" dxfId="1" priority="10065" operator="greaterThan">
      <formula>120</formula>
    </cfRule>
    <cfRule type="containsText" dxfId="2" priority="9171" operator="between" text="库存为">
      <formula>NOT(ISERROR(SEARCH("库存为",AU744)))</formula>
    </cfRule>
  </conditionalFormatting>
  <conditionalFormatting sqref="AU745">
    <cfRule type="cellIs" dxfId="0" priority="10958" operator="lessThan">
      <formula>20</formula>
    </cfRule>
    <cfRule type="cellIs" dxfId="1" priority="10064" operator="greaterThan">
      <formula>120</formula>
    </cfRule>
    <cfRule type="containsText" dxfId="2" priority="9170" operator="between" text="库存为">
      <formula>NOT(ISERROR(SEARCH("库存为",AU745)))</formula>
    </cfRule>
  </conditionalFormatting>
  <conditionalFormatting sqref="AU746">
    <cfRule type="cellIs" dxfId="0" priority="10957" operator="lessThan">
      <formula>20</formula>
    </cfRule>
    <cfRule type="cellIs" dxfId="1" priority="10063" operator="greaterThan">
      <formula>120</formula>
    </cfRule>
    <cfRule type="containsText" dxfId="2" priority="9169" operator="between" text="库存为">
      <formula>NOT(ISERROR(SEARCH("库存为",AU746)))</formula>
    </cfRule>
  </conditionalFormatting>
  <conditionalFormatting sqref="AU747">
    <cfRule type="cellIs" dxfId="0" priority="10956" operator="lessThan">
      <formula>20</formula>
    </cfRule>
    <cfRule type="cellIs" dxfId="1" priority="10062" operator="greaterThan">
      <formula>120</formula>
    </cfRule>
    <cfRule type="containsText" dxfId="2" priority="9168" operator="between" text="库存为">
      <formula>NOT(ISERROR(SEARCH("库存为",AU747)))</formula>
    </cfRule>
  </conditionalFormatting>
  <conditionalFormatting sqref="AU748">
    <cfRule type="cellIs" dxfId="0" priority="10955" operator="lessThan">
      <formula>20</formula>
    </cfRule>
    <cfRule type="cellIs" dxfId="1" priority="10061" operator="greaterThan">
      <formula>120</formula>
    </cfRule>
    <cfRule type="containsText" dxfId="2" priority="9167" operator="between" text="库存为">
      <formula>NOT(ISERROR(SEARCH("库存为",AU748)))</formula>
    </cfRule>
  </conditionalFormatting>
  <conditionalFormatting sqref="AU749">
    <cfRule type="cellIs" dxfId="0" priority="10954" operator="lessThan">
      <formula>20</formula>
    </cfRule>
    <cfRule type="cellIs" dxfId="1" priority="10060" operator="greaterThan">
      <formula>120</formula>
    </cfRule>
    <cfRule type="containsText" dxfId="2" priority="9166" operator="between" text="库存为">
      <formula>NOT(ISERROR(SEARCH("库存为",AU749)))</formula>
    </cfRule>
  </conditionalFormatting>
  <conditionalFormatting sqref="AU750">
    <cfRule type="cellIs" dxfId="0" priority="10953" operator="lessThan">
      <formula>20</formula>
    </cfRule>
    <cfRule type="cellIs" dxfId="1" priority="10059" operator="greaterThan">
      <formula>120</formula>
    </cfRule>
    <cfRule type="containsText" dxfId="2" priority="9165" operator="between" text="库存为">
      <formula>NOT(ISERROR(SEARCH("库存为",AU750)))</formula>
    </cfRule>
  </conditionalFormatting>
  <conditionalFormatting sqref="AU751">
    <cfRule type="cellIs" dxfId="0" priority="10952" operator="lessThan">
      <formula>20</formula>
    </cfRule>
    <cfRule type="cellIs" dxfId="1" priority="10058" operator="greaterThan">
      <formula>120</formula>
    </cfRule>
    <cfRule type="containsText" dxfId="2" priority="9164" operator="between" text="库存为">
      <formula>NOT(ISERROR(SEARCH("库存为",AU751)))</formula>
    </cfRule>
  </conditionalFormatting>
  <conditionalFormatting sqref="AU752">
    <cfRule type="cellIs" dxfId="0" priority="10951" operator="lessThan">
      <formula>20</formula>
    </cfRule>
    <cfRule type="cellIs" dxfId="1" priority="10057" operator="greaterThan">
      <formula>120</formula>
    </cfRule>
    <cfRule type="containsText" dxfId="2" priority="9163" operator="between" text="库存为">
      <formula>NOT(ISERROR(SEARCH("库存为",AU752)))</formula>
    </cfRule>
  </conditionalFormatting>
  <conditionalFormatting sqref="AU753">
    <cfRule type="cellIs" dxfId="0" priority="10950" operator="lessThan">
      <formula>20</formula>
    </cfRule>
    <cfRule type="cellIs" dxfId="1" priority="10056" operator="greaterThan">
      <formula>120</formula>
    </cfRule>
    <cfRule type="containsText" dxfId="2" priority="9162" operator="between" text="库存为">
      <formula>NOT(ISERROR(SEARCH("库存为",AU753)))</formula>
    </cfRule>
  </conditionalFormatting>
  <conditionalFormatting sqref="AU754">
    <cfRule type="cellIs" dxfId="0" priority="10949" operator="lessThan">
      <formula>20</formula>
    </cfRule>
    <cfRule type="cellIs" dxfId="1" priority="10055" operator="greaterThan">
      <formula>120</formula>
    </cfRule>
    <cfRule type="containsText" dxfId="2" priority="9161" operator="between" text="库存为">
      <formula>NOT(ISERROR(SEARCH("库存为",AU754)))</formula>
    </cfRule>
  </conditionalFormatting>
  <conditionalFormatting sqref="AU755">
    <cfRule type="cellIs" dxfId="0" priority="10948" operator="lessThan">
      <formula>20</formula>
    </cfRule>
    <cfRule type="cellIs" dxfId="1" priority="10054" operator="greaterThan">
      <formula>120</formula>
    </cfRule>
    <cfRule type="containsText" dxfId="2" priority="9160" operator="between" text="库存为">
      <formula>NOT(ISERROR(SEARCH("库存为",AU755)))</formula>
    </cfRule>
  </conditionalFormatting>
  <conditionalFormatting sqref="AU756">
    <cfRule type="cellIs" dxfId="0" priority="10947" operator="lessThan">
      <formula>20</formula>
    </cfRule>
    <cfRule type="cellIs" dxfId="1" priority="10053" operator="greaterThan">
      <formula>120</formula>
    </cfRule>
    <cfRule type="containsText" dxfId="2" priority="9159" operator="between" text="库存为">
      <formula>NOT(ISERROR(SEARCH("库存为",AU756)))</formula>
    </cfRule>
  </conditionalFormatting>
  <conditionalFormatting sqref="AU757">
    <cfRule type="cellIs" dxfId="0" priority="10946" operator="lessThan">
      <formula>20</formula>
    </cfRule>
    <cfRule type="cellIs" dxfId="1" priority="10052" operator="greaterThan">
      <formula>120</formula>
    </cfRule>
    <cfRule type="containsText" dxfId="2" priority="9158" operator="between" text="库存为">
      <formula>NOT(ISERROR(SEARCH("库存为",AU757)))</formula>
    </cfRule>
  </conditionalFormatting>
  <conditionalFormatting sqref="AU758">
    <cfRule type="cellIs" dxfId="0" priority="10945" operator="lessThan">
      <formula>20</formula>
    </cfRule>
    <cfRule type="cellIs" dxfId="1" priority="10051" operator="greaterThan">
      <formula>120</formula>
    </cfRule>
    <cfRule type="containsText" dxfId="2" priority="9157" operator="between" text="库存为">
      <formula>NOT(ISERROR(SEARCH("库存为",AU758)))</formula>
    </cfRule>
  </conditionalFormatting>
  <conditionalFormatting sqref="AU759">
    <cfRule type="cellIs" dxfId="0" priority="10944" operator="lessThan">
      <formula>20</formula>
    </cfRule>
    <cfRule type="cellIs" dxfId="1" priority="10050" operator="greaterThan">
      <formula>120</formula>
    </cfRule>
    <cfRule type="containsText" dxfId="2" priority="9156" operator="between" text="库存为">
      <formula>NOT(ISERROR(SEARCH("库存为",AU759)))</formula>
    </cfRule>
  </conditionalFormatting>
  <conditionalFormatting sqref="AU760">
    <cfRule type="cellIs" dxfId="0" priority="10943" operator="lessThan">
      <formula>20</formula>
    </cfRule>
    <cfRule type="cellIs" dxfId="1" priority="10049" operator="greaterThan">
      <formula>120</formula>
    </cfRule>
    <cfRule type="containsText" dxfId="2" priority="9155" operator="between" text="库存为">
      <formula>NOT(ISERROR(SEARCH("库存为",AU760)))</formula>
    </cfRule>
  </conditionalFormatting>
  <conditionalFormatting sqref="AU761">
    <cfRule type="cellIs" dxfId="0" priority="10942" operator="lessThan">
      <formula>20</formula>
    </cfRule>
    <cfRule type="cellIs" dxfId="1" priority="10048" operator="greaterThan">
      <formula>120</formula>
    </cfRule>
    <cfRule type="containsText" dxfId="2" priority="9154" operator="between" text="库存为">
      <formula>NOT(ISERROR(SEARCH("库存为",AU761)))</formula>
    </cfRule>
  </conditionalFormatting>
  <conditionalFormatting sqref="AU762">
    <cfRule type="cellIs" dxfId="0" priority="10941" operator="lessThan">
      <formula>20</formula>
    </cfRule>
    <cfRule type="cellIs" dxfId="1" priority="10047" operator="greaterThan">
      <formula>120</formula>
    </cfRule>
    <cfRule type="containsText" dxfId="2" priority="9153" operator="between" text="库存为">
      <formula>NOT(ISERROR(SEARCH("库存为",AU762)))</formula>
    </cfRule>
  </conditionalFormatting>
  <conditionalFormatting sqref="AU763">
    <cfRule type="cellIs" dxfId="0" priority="10940" operator="lessThan">
      <formula>20</formula>
    </cfRule>
    <cfRule type="cellIs" dxfId="1" priority="10046" operator="greaterThan">
      <formula>120</formula>
    </cfRule>
    <cfRule type="containsText" dxfId="2" priority="9152" operator="between" text="库存为">
      <formula>NOT(ISERROR(SEARCH("库存为",AU763)))</formula>
    </cfRule>
  </conditionalFormatting>
  <conditionalFormatting sqref="AU764">
    <cfRule type="cellIs" dxfId="0" priority="10939" operator="lessThan">
      <formula>20</formula>
    </cfRule>
    <cfRule type="cellIs" dxfId="1" priority="10045" operator="greaterThan">
      <formula>120</formula>
    </cfRule>
    <cfRule type="containsText" dxfId="2" priority="9151" operator="between" text="库存为">
      <formula>NOT(ISERROR(SEARCH("库存为",AU764)))</formula>
    </cfRule>
  </conditionalFormatting>
  <conditionalFormatting sqref="AU765">
    <cfRule type="cellIs" dxfId="0" priority="10938" operator="lessThan">
      <formula>20</formula>
    </cfRule>
    <cfRule type="cellIs" dxfId="1" priority="10044" operator="greaterThan">
      <formula>120</formula>
    </cfRule>
    <cfRule type="containsText" dxfId="2" priority="9150" operator="between" text="库存为">
      <formula>NOT(ISERROR(SEARCH("库存为",AU765)))</formula>
    </cfRule>
  </conditionalFormatting>
  <conditionalFormatting sqref="AU766">
    <cfRule type="cellIs" dxfId="0" priority="10937" operator="lessThan">
      <formula>20</formula>
    </cfRule>
    <cfRule type="cellIs" dxfId="1" priority="10043" operator="greaterThan">
      <formula>120</formula>
    </cfRule>
    <cfRule type="containsText" dxfId="2" priority="9149" operator="between" text="库存为">
      <formula>NOT(ISERROR(SEARCH("库存为",AU766)))</formula>
    </cfRule>
  </conditionalFormatting>
  <conditionalFormatting sqref="AU767">
    <cfRule type="cellIs" dxfId="0" priority="10936" operator="lessThan">
      <formula>20</formula>
    </cfRule>
    <cfRule type="cellIs" dxfId="1" priority="10042" operator="greaterThan">
      <formula>120</formula>
    </cfRule>
    <cfRule type="containsText" dxfId="2" priority="9148" operator="between" text="库存为">
      <formula>NOT(ISERROR(SEARCH("库存为",AU767)))</formula>
    </cfRule>
  </conditionalFormatting>
  <conditionalFormatting sqref="AU768">
    <cfRule type="cellIs" dxfId="0" priority="10935" operator="lessThan">
      <formula>20</formula>
    </cfRule>
    <cfRule type="cellIs" dxfId="1" priority="10041" operator="greaterThan">
      <formula>120</formula>
    </cfRule>
    <cfRule type="containsText" dxfId="2" priority="9147" operator="between" text="库存为">
      <formula>NOT(ISERROR(SEARCH("库存为",AU768)))</formula>
    </cfRule>
  </conditionalFormatting>
  <conditionalFormatting sqref="AU769">
    <cfRule type="cellIs" dxfId="0" priority="10934" operator="lessThan">
      <formula>20</formula>
    </cfRule>
    <cfRule type="cellIs" dxfId="1" priority="10040" operator="greaterThan">
      <formula>120</formula>
    </cfRule>
    <cfRule type="containsText" dxfId="2" priority="9146" operator="between" text="库存为">
      <formula>NOT(ISERROR(SEARCH("库存为",AU769)))</formula>
    </cfRule>
  </conditionalFormatting>
  <conditionalFormatting sqref="AU770">
    <cfRule type="cellIs" dxfId="0" priority="10933" operator="lessThan">
      <formula>20</formula>
    </cfRule>
    <cfRule type="cellIs" dxfId="1" priority="10039" operator="greaterThan">
      <formula>120</formula>
    </cfRule>
    <cfRule type="containsText" dxfId="2" priority="9145" operator="between" text="库存为">
      <formula>NOT(ISERROR(SEARCH("库存为",AU770)))</formula>
    </cfRule>
  </conditionalFormatting>
  <conditionalFormatting sqref="AU771">
    <cfRule type="cellIs" dxfId="0" priority="10932" operator="lessThan">
      <formula>20</formula>
    </cfRule>
    <cfRule type="cellIs" dxfId="1" priority="10038" operator="greaterThan">
      <formula>120</formula>
    </cfRule>
    <cfRule type="containsText" dxfId="2" priority="9144" operator="between" text="库存为">
      <formula>NOT(ISERROR(SEARCH("库存为",AU771)))</formula>
    </cfRule>
  </conditionalFormatting>
  <conditionalFormatting sqref="AU772">
    <cfRule type="cellIs" dxfId="0" priority="10931" operator="lessThan">
      <formula>20</formula>
    </cfRule>
    <cfRule type="cellIs" dxfId="1" priority="10037" operator="greaterThan">
      <formula>120</formula>
    </cfRule>
    <cfRule type="containsText" dxfId="2" priority="9143" operator="between" text="库存为">
      <formula>NOT(ISERROR(SEARCH("库存为",AU772)))</formula>
    </cfRule>
  </conditionalFormatting>
  <conditionalFormatting sqref="AU773">
    <cfRule type="cellIs" dxfId="0" priority="10930" operator="lessThan">
      <formula>20</formula>
    </cfRule>
    <cfRule type="cellIs" dxfId="1" priority="10036" operator="greaterThan">
      <formula>120</formula>
    </cfRule>
    <cfRule type="containsText" dxfId="2" priority="9142" operator="between" text="库存为">
      <formula>NOT(ISERROR(SEARCH("库存为",AU773)))</formula>
    </cfRule>
  </conditionalFormatting>
  <conditionalFormatting sqref="AU774">
    <cfRule type="cellIs" dxfId="0" priority="10929" operator="lessThan">
      <formula>20</formula>
    </cfRule>
    <cfRule type="cellIs" dxfId="1" priority="10035" operator="greaterThan">
      <formula>120</formula>
    </cfRule>
    <cfRule type="containsText" dxfId="2" priority="9141" operator="between" text="库存为">
      <formula>NOT(ISERROR(SEARCH("库存为",AU774)))</formula>
    </cfRule>
  </conditionalFormatting>
  <conditionalFormatting sqref="AU775">
    <cfRule type="cellIs" dxfId="0" priority="10928" operator="lessThan">
      <formula>20</formula>
    </cfRule>
    <cfRule type="cellIs" dxfId="1" priority="10034" operator="greaterThan">
      <formula>120</formula>
    </cfRule>
    <cfRule type="containsText" dxfId="2" priority="9140" operator="between" text="库存为">
      <formula>NOT(ISERROR(SEARCH("库存为",AU775)))</formula>
    </cfRule>
  </conditionalFormatting>
  <conditionalFormatting sqref="AU776">
    <cfRule type="cellIs" dxfId="0" priority="10927" operator="lessThan">
      <formula>20</formula>
    </cfRule>
    <cfRule type="cellIs" dxfId="1" priority="10033" operator="greaterThan">
      <formula>120</formula>
    </cfRule>
    <cfRule type="containsText" dxfId="2" priority="9139" operator="between" text="库存为">
      <formula>NOT(ISERROR(SEARCH("库存为",AU776)))</formula>
    </cfRule>
  </conditionalFormatting>
  <conditionalFormatting sqref="AU777">
    <cfRule type="cellIs" dxfId="0" priority="10926" operator="lessThan">
      <formula>20</formula>
    </cfRule>
    <cfRule type="cellIs" dxfId="1" priority="10032" operator="greaterThan">
      <formula>120</formula>
    </cfRule>
    <cfRule type="containsText" dxfId="2" priority="9138" operator="between" text="库存为">
      <formula>NOT(ISERROR(SEARCH("库存为",AU777)))</formula>
    </cfRule>
  </conditionalFormatting>
  <conditionalFormatting sqref="AU778">
    <cfRule type="cellIs" dxfId="0" priority="10925" operator="lessThan">
      <formula>20</formula>
    </cfRule>
    <cfRule type="cellIs" dxfId="1" priority="10031" operator="greaterThan">
      <formula>120</formula>
    </cfRule>
    <cfRule type="containsText" dxfId="2" priority="9137" operator="between" text="库存为">
      <formula>NOT(ISERROR(SEARCH("库存为",AU778)))</formula>
    </cfRule>
  </conditionalFormatting>
  <conditionalFormatting sqref="AU779">
    <cfRule type="cellIs" dxfId="0" priority="10924" operator="lessThan">
      <formula>20</formula>
    </cfRule>
    <cfRule type="cellIs" dxfId="1" priority="10030" operator="greaterThan">
      <formula>120</formula>
    </cfRule>
    <cfRule type="containsText" dxfId="2" priority="9136" operator="between" text="库存为">
      <formula>NOT(ISERROR(SEARCH("库存为",AU779)))</formula>
    </cfRule>
  </conditionalFormatting>
  <conditionalFormatting sqref="AU780">
    <cfRule type="cellIs" dxfId="0" priority="10923" operator="lessThan">
      <formula>20</formula>
    </cfRule>
    <cfRule type="cellIs" dxfId="1" priority="10029" operator="greaterThan">
      <formula>120</formula>
    </cfRule>
    <cfRule type="containsText" dxfId="2" priority="9135" operator="between" text="库存为">
      <formula>NOT(ISERROR(SEARCH("库存为",AU780)))</formula>
    </cfRule>
  </conditionalFormatting>
  <conditionalFormatting sqref="AU781">
    <cfRule type="cellIs" dxfId="0" priority="10922" operator="lessThan">
      <formula>20</formula>
    </cfRule>
    <cfRule type="cellIs" dxfId="1" priority="10028" operator="greaterThan">
      <formula>120</formula>
    </cfRule>
    <cfRule type="containsText" dxfId="2" priority="9134" operator="between" text="库存为">
      <formula>NOT(ISERROR(SEARCH("库存为",AU781)))</formula>
    </cfRule>
  </conditionalFormatting>
  <conditionalFormatting sqref="AU782">
    <cfRule type="cellIs" dxfId="0" priority="10921" operator="lessThan">
      <formula>20</formula>
    </cfRule>
    <cfRule type="cellIs" dxfId="1" priority="10027" operator="greaterThan">
      <formula>120</formula>
    </cfRule>
    <cfRule type="containsText" dxfId="2" priority="9133" operator="between" text="库存为">
      <formula>NOT(ISERROR(SEARCH("库存为",AU782)))</formula>
    </cfRule>
  </conditionalFormatting>
  <conditionalFormatting sqref="AU783">
    <cfRule type="cellIs" dxfId="0" priority="10920" operator="lessThan">
      <formula>20</formula>
    </cfRule>
    <cfRule type="cellIs" dxfId="1" priority="10026" operator="greaterThan">
      <formula>120</formula>
    </cfRule>
    <cfRule type="containsText" dxfId="2" priority="9132" operator="between" text="库存为">
      <formula>NOT(ISERROR(SEARCH("库存为",AU783)))</formula>
    </cfRule>
  </conditionalFormatting>
  <conditionalFormatting sqref="AU784">
    <cfRule type="cellIs" dxfId="0" priority="10919" operator="lessThan">
      <formula>20</formula>
    </cfRule>
    <cfRule type="cellIs" dxfId="1" priority="10025" operator="greaterThan">
      <formula>120</formula>
    </cfRule>
    <cfRule type="containsText" dxfId="2" priority="9131" operator="between" text="库存为">
      <formula>NOT(ISERROR(SEARCH("库存为",AU784)))</formula>
    </cfRule>
  </conditionalFormatting>
  <conditionalFormatting sqref="AU785">
    <cfRule type="cellIs" dxfId="0" priority="10918" operator="lessThan">
      <formula>20</formula>
    </cfRule>
    <cfRule type="cellIs" dxfId="1" priority="10024" operator="greaterThan">
      <formula>120</formula>
    </cfRule>
    <cfRule type="containsText" dxfId="2" priority="9130" operator="between" text="库存为">
      <formula>NOT(ISERROR(SEARCH("库存为",AU785)))</formula>
    </cfRule>
  </conditionalFormatting>
  <conditionalFormatting sqref="AU786">
    <cfRule type="cellIs" dxfId="0" priority="10917" operator="lessThan">
      <formula>20</formula>
    </cfRule>
    <cfRule type="cellIs" dxfId="1" priority="10023" operator="greaterThan">
      <formula>120</formula>
    </cfRule>
    <cfRule type="containsText" dxfId="2" priority="9129" operator="between" text="库存为">
      <formula>NOT(ISERROR(SEARCH("库存为",AU786)))</formula>
    </cfRule>
  </conditionalFormatting>
  <conditionalFormatting sqref="AU787">
    <cfRule type="cellIs" dxfId="0" priority="10916" operator="lessThan">
      <formula>20</formula>
    </cfRule>
    <cfRule type="cellIs" dxfId="1" priority="10022" operator="greaterThan">
      <formula>120</formula>
    </cfRule>
    <cfRule type="containsText" dxfId="2" priority="9128" operator="between" text="库存为">
      <formula>NOT(ISERROR(SEARCH("库存为",AU787)))</formula>
    </cfRule>
  </conditionalFormatting>
  <conditionalFormatting sqref="AU788">
    <cfRule type="cellIs" dxfId="0" priority="10915" operator="lessThan">
      <formula>20</formula>
    </cfRule>
    <cfRule type="cellIs" dxfId="1" priority="10021" operator="greaterThan">
      <formula>120</formula>
    </cfRule>
    <cfRule type="containsText" dxfId="2" priority="9127" operator="between" text="库存为">
      <formula>NOT(ISERROR(SEARCH("库存为",AU788)))</formula>
    </cfRule>
  </conditionalFormatting>
  <conditionalFormatting sqref="AU789">
    <cfRule type="cellIs" dxfId="0" priority="10914" operator="lessThan">
      <formula>20</formula>
    </cfRule>
    <cfRule type="cellIs" dxfId="1" priority="10020" operator="greaterThan">
      <formula>120</formula>
    </cfRule>
    <cfRule type="containsText" dxfId="2" priority="9126" operator="between" text="库存为">
      <formula>NOT(ISERROR(SEARCH("库存为",AU789)))</formula>
    </cfRule>
  </conditionalFormatting>
  <conditionalFormatting sqref="AU790">
    <cfRule type="cellIs" dxfId="0" priority="10913" operator="lessThan">
      <formula>20</formula>
    </cfRule>
    <cfRule type="cellIs" dxfId="1" priority="10019" operator="greaterThan">
      <formula>120</formula>
    </cfRule>
    <cfRule type="containsText" dxfId="2" priority="9125" operator="between" text="库存为">
      <formula>NOT(ISERROR(SEARCH("库存为",AU790)))</formula>
    </cfRule>
  </conditionalFormatting>
  <conditionalFormatting sqref="AU791">
    <cfRule type="cellIs" dxfId="0" priority="10912" operator="lessThan">
      <formula>20</formula>
    </cfRule>
    <cfRule type="cellIs" dxfId="1" priority="10018" operator="greaterThan">
      <formula>120</formula>
    </cfRule>
    <cfRule type="containsText" dxfId="2" priority="9124" operator="between" text="库存为">
      <formula>NOT(ISERROR(SEARCH("库存为",AU791)))</formula>
    </cfRule>
  </conditionalFormatting>
  <conditionalFormatting sqref="AU792">
    <cfRule type="cellIs" dxfId="0" priority="10911" operator="lessThan">
      <formula>20</formula>
    </cfRule>
    <cfRule type="cellIs" dxfId="1" priority="10017" operator="greaterThan">
      <formula>120</formula>
    </cfRule>
    <cfRule type="containsText" dxfId="2" priority="9123" operator="between" text="库存为">
      <formula>NOT(ISERROR(SEARCH("库存为",AU792)))</formula>
    </cfRule>
  </conditionalFormatting>
  <conditionalFormatting sqref="AU793">
    <cfRule type="cellIs" dxfId="0" priority="10910" operator="lessThan">
      <formula>20</formula>
    </cfRule>
    <cfRule type="cellIs" dxfId="1" priority="10016" operator="greaterThan">
      <formula>120</formula>
    </cfRule>
    <cfRule type="containsText" dxfId="2" priority="9122" operator="between" text="库存为">
      <formula>NOT(ISERROR(SEARCH("库存为",AU793)))</formula>
    </cfRule>
  </conditionalFormatting>
  <conditionalFormatting sqref="AU794">
    <cfRule type="cellIs" dxfId="0" priority="10909" operator="lessThan">
      <formula>20</formula>
    </cfRule>
    <cfRule type="cellIs" dxfId="1" priority="10015" operator="greaterThan">
      <formula>120</formula>
    </cfRule>
    <cfRule type="containsText" dxfId="2" priority="9121" operator="between" text="库存为">
      <formula>NOT(ISERROR(SEARCH("库存为",AU794)))</formula>
    </cfRule>
  </conditionalFormatting>
  <conditionalFormatting sqref="AU795">
    <cfRule type="cellIs" dxfId="0" priority="10908" operator="lessThan">
      <formula>20</formula>
    </cfRule>
    <cfRule type="cellIs" dxfId="1" priority="10014" operator="greaterThan">
      <formula>120</formula>
    </cfRule>
    <cfRule type="containsText" dxfId="2" priority="9120" operator="between" text="库存为">
      <formula>NOT(ISERROR(SEARCH("库存为",AU795)))</formula>
    </cfRule>
  </conditionalFormatting>
  <conditionalFormatting sqref="AU796">
    <cfRule type="cellIs" dxfId="0" priority="10907" operator="lessThan">
      <formula>20</formula>
    </cfRule>
    <cfRule type="cellIs" dxfId="1" priority="10013" operator="greaterThan">
      <formula>120</formula>
    </cfRule>
    <cfRule type="containsText" dxfId="2" priority="9119" operator="between" text="库存为">
      <formula>NOT(ISERROR(SEARCH("库存为",AU796)))</formula>
    </cfRule>
  </conditionalFormatting>
  <conditionalFormatting sqref="AU797">
    <cfRule type="cellIs" dxfId="0" priority="10906" operator="lessThan">
      <formula>20</formula>
    </cfRule>
    <cfRule type="cellIs" dxfId="1" priority="10012" operator="greaterThan">
      <formula>120</formula>
    </cfRule>
    <cfRule type="containsText" dxfId="2" priority="9118" operator="between" text="库存为">
      <formula>NOT(ISERROR(SEARCH("库存为",AU797)))</formula>
    </cfRule>
  </conditionalFormatting>
  <conditionalFormatting sqref="AU798">
    <cfRule type="cellIs" dxfId="0" priority="10905" operator="lessThan">
      <formula>20</formula>
    </cfRule>
    <cfRule type="cellIs" dxfId="1" priority="10011" operator="greaterThan">
      <formula>120</formula>
    </cfRule>
    <cfRule type="containsText" dxfId="2" priority="9117" operator="between" text="库存为">
      <formula>NOT(ISERROR(SEARCH("库存为",AU798)))</formula>
    </cfRule>
  </conditionalFormatting>
  <conditionalFormatting sqref="AU799">
    <cfRule type="cellIs" dxfId="0" priority="10904" operator="lessThan">
      <formula>20</formula>
    </cfRule>
    <cfRule type="cellIs" dxfId="1" priority="10010" operator="greaterThan">
      <formula>120</formula>
    </cfRule>
    <cfRule type="containsText" dxfId="2" priority="9116" operator="between" text="库存为">
      <formula>NOT(ISERROR(SEARCH("库存为",AU799)))</formula>
    </cfRule>
  </conditionalFormatting>
  <conditionalFormatting sqref="AU800">
    <cfRule type="cellIs" dxfId="0" priority="10903" operator="lessThan">
      <formula>20</formula>
    </cfRule>
    <cfRule type="cellIs" dxfId="1" priority="10009" operator="greaterThan">
      <formula>120</formula>
    </cfRule>
    <cfRule type="containsText" dxfId="2" priority="9115" operator="between" text="库存为">
      <formula>NOT(ISERROR(SEARCH("库存为",AU800)))</formula>
    </cfRule>
  </conditionalFormatting>
  <conditionalFormatting sqref="AU801">
    <cfRule type="cellIs" dxfId="0" priority="10902" operator="lessThan">
      <formula>20</formula>
    </cfRule>
    <cfRule type="cellIs" dxfId="1" priority="10008" operator="greaterThan">
      <formula>120</formula>
    </cfRule>
    <cfRule type="containsText" dxfId="2" priority="9114" operator="between" text="库存为">
      <formula>NOT(ISERROR(SEARCH("库存为",AU801)))</formula>
    </cfRule>
  </conditionalFormatting>
  <conditionalFormatting sqref="AU802">
    <cfRule type="cellIs" dxfId="0" priority="10901" operator="lessThan">
      <formula>20</formula>
    </cfRule>
    <cfRule type="cellIs" dxfId="1" priority="10007" operator="greaterThan">
      <formula>120</formula>
    </cfRule>
    <cfRule type="containsText" dxfId="2" priority="9113" operator="between" text="库存为">
      <formula>NOT(ISERROR(SEARCH("库存为",AU802)))</formula>
    </cfRule>
  </conditionalFormatting>
  <conditionalFormatting sqref="AU803">
    <cfRule type="cellIs" dxfId="0" priority="10900" operator="lessThan">
      <formula>20</formula>
    </cfRule>
    <cfRule type="cellIs" dxfId="1" priority="10006" operator="greaterThan">
      <formula>120</formula>
    </cfRule>
    <cfRule type="containsText" dxfId="2" priority="9112" operator="between" text="库存为">
      <formula>NOT(ISERROR(SEARCH("库存为",AU803)))</formula>
    </cfRule>
  </conditionalFormatting>
  <conditionalFormatting sqref="AU804">
    <cfRule type="cellIs" dxfId="0" priority="10899" operator="lessThan">
      <formula>20</formula>
    </cfRule>
    <cfRule type="cellIs" dxfId="1" priority="10005" operator="greaterThan">
      <formula>120</formula>
    </cfRule>
    <cfRule type="containsText" dxfId="2" priority="9111" operator="between" text="库存为">
      <formula>NOT(ISERROR(SEARCH("库存为",AU804)))</formula>
    </cfRule>
  </conditionalFormatting>
  <conditionalFormatting sqref="AU805">
    <cfRule type="cellIs" dxfId="0" priority="10898" operator="lessThan">
      <formula>20</formula>
    </cfRule>
    <cfRule type="cellIs" dxfId="1" priority="10004" operator="greaterThan">
      <formula>120</formula>
    </cfRule>
    <cfRule type="containsText" dxfId="2" priority="9110" operator="between" text="库存为">
      <formula>NOT(ISERROR(SEARCH("库存为",AU805)))</formula>
    </cfRule>
  </conditionalFormatting>
  <conditionalFormatting sqref="AU806">
    <cfRule type="cellIs" dxfId="0" priority="10897" operator="lessThan">
      <formula>20</formula>
    </cfRule>
    <cfRule type="cellIs" dxfId="1" priority="10003" operator="greaterThan">
      <formula>120</formula>
    </cfRule>
    <cfRule type="containsText" dxfId="2" priority="9109" operator="between" text="库存为">
      <formula>NOT(ISERROR(SEARCH("库存为",AU806)))</formula>
    </cfRule>
  </conditionalFormatting>
  <conditionalFormatting sqref="AU807">
    <cfRule type="cellIs" dxfId="0" priority="10896" operator="lessThan">
      <formula>20</formula>
    </cfRule>
    <cfRule type="cellIs" dxfId="1" priority="10002" operator="greaterThan">
      <formula>120</formula>
    </cfRule>
    <cfRule type="containsText" dxfId="2" priority="9108" operator="between" text="库存为">
      <formula>NOT(ISERROR(SEARCH("库存为",AU807)))</formula>
    </cfRule>
  </conditionalFormatting>
  <conditionalFormatting sqref="AU808">
    <cfRule type="cellIs" dxfId="0" priority="10895" operator="lessThan">
      <formula>20</formula>
    </cfRule>
    <cfRule type="cellIs" dxfId="1" priority="10001" operator="greaterThan">
      <formula>120</formula>
    </cfRule>
    <cfRule type="containsText" dxfId="2" priority="9107" operator="between" text="库存为">
      <formula>NOT(ISERROR(SEARCH("库存为",AU808)))</formula>
    </cfRule>
  </conditionalFormatting>
  <conditionalFormatting sqref="AU809">
    <cfRule type="cellIs" dxfId="0" priority="10894" operator="lessThan">
      <formula>20</formula>
    </cfRule>
    <cfRule type="cellIs" dxfId="1" priority="10000" operator="greaterThan">
      <formula>120</formula>
    </cfRule>
    <cfRule type="containsText" dxfId="2" priority="9106" operator="between" text="库存为">
      <formula>NOT(ISERROR(SEARCH("库存为",AU809)))</formula>
    </cfRule>
  </conditionalFormatting>
  <conditionalFormatting sqref="AU810">
    <cfRule type="cellIs" dxfId="0" priority="10893" operator="lessThan">
      <formula>20</formula>
    </cfRule>
    <cfRule type="cellIs" dxfId="1" priority="9999" operator="greaterThan">
      <formula>120</formula>
    </cfRule>
    <cfRule type="containsText" dxfId="2" priority="9105" operator="between" text="库存为">
      <formula>NOT(ISERROR(SEARCH("库存为",AU810)))</formula>
    </cfRule>
  </conditionalFormatting>
  <conditionalFormatting sqref="AU811">
    <cfRule type="cellIs" dxfId="0" priority="10892" operator="lessThan">
      <formula>20</formula>
    </cfRule>
    <cfRule type="cellIs" dxfId="1" priority="9998" operator="greaterThan">
      <formula>120</formula>
    </cfRule>
    <cfRule type="containsText" dxfId="2" priority="9104" operator="between" text="库存为">
      <formula>NOT(ISERROR(SEARCH("库存为",AU811)))</formula>
    </cfRule>
  </conditionalFormatting>
  <conditionalFormatting sqref="AU812">
    <cfRule type="cellIs" dxfId="0" priority="10891" operator="lessThan">
      <formula>20</formula>
    </cfRule>
    <cfRule type="cellIs" dxfId="1" priority="9997" operator="greaterThan">
      <formula>120</formula>
    </cfRule>
    <cfRule type="containsText" dxfId="2" priority="9103" operator="between" text="库存为">
      <formula>NOT(ISERROR(SEARCH("库存为",AU812)))</formula>
    </cfRule>
  </conditionalFormatting>
  <conditionalFormatting sqref="AU813">
    <cfRule type="cellIs" dxfId="0" priority="10890" operator="lessThan">
      <formula>20</formula>
    </cfRule>
    <cfRule type="cellIs" dxfId="1" priority="9996" operator="greaterThan">
      <formula>120</formula>
    </cfRule>
    <cfRule type="containsText" dxfId="2" priority="9102" operator="between" text="库存为">
      <formula>NOT(ISERROR(SEARCH("库存为",AU813)))</formula>
    </cfRule>
  </conditionalFormatting>
  <conditionalFormatting sqref="AU814">
    <cfRule type="cellIs" dxfId="0" priority="10889" operator="lessThan">
      <formula>20</formula>
    </cfRule>
    <cfRule type="cellIs" dxfId="1" priority="9995" operator="greaterThan">
      <formula>120</formula>
    </cfRule>
    <cfRule type="containsText" dxfId="2" priority="9101" operator="between" text="库存为">
      <formula>NOT(ISERROR(SEARCH("库存为",AU814)))</formula>
    </cfRule>
  </conditionalFormatting>
  <conditionalFormatting sqref="AU815">
    <cfRule type="cellIs" dxfId="0" priority="10888" operator="lessThan">
      <formula>20</formula>
    </cfRule>
    <cfRule type="cellIs" dxfId="1" priority="9994" operator="greaterThan">
      <formula>120</formula>
    </cfRule>
    <cfRule type="containsText" dxfId="2" priority="9100" operator="between" text="库存为">
      <formula>NOT(ISERROR(SEARCH("库存为",AU815)))</formula>
    </cfRule>
  </conditionalFormatting>
  <conditionalFormatting sqref="AU816">
    <cfRule type="cellIs" dxfId="0" priority="10887" operator="lessThan">
      <formula>20</formula>
    </cfRule>
    <cfRule type="cellIs" dxfId="1" priority="9993" operator="greaterThan">
      <formula>120</formula>
    </cfRule>
    <cfRule type="containsText" dxfId="2" priority="9099" operator="between" text="库存为">
      <formula>NOT(ISERROR(SEARCH("库存为",AU816)))</formula>
    </cfRule>
  </conditionalFormatting>
  <conditionalFormatting sqref="AU817">
    <cfRule type="cellIs" dxfId="0" priority="10886" operator="lessThan">
      <formula>20</formula>
    </cfRule>
    <cfRule type="cellIs" dxfId="1" priority="9992" operator="greaterThan">
      <formula>120</formula>
    </cfRule>
    <cfRule type="containsText" dxfId="2" priority="9098" operator="between" text="库存为">
      <formula>NOT(ISERROR(SEARCH("库存为",AU817)))</formula>
    </cfRule>
  </conditionalFormatting>
  <conditionalFormatting sqref="AU818">
    <cfRule type="cellIs" dxfId="0" priority="10885" operator="lessThan">
      <formula>20</formula>
    </cfRule>
    <cfRule type="cellIs" dxfId="1" priority="9991" operator="greaterThan">
      <formula>120</formula>
    </cfRule>
    <cfRule type="containsText" dxfId="2" priority="9097" operator="between" text="库存为">
      <formula>NOT(ISERROR(SEARCH("库存为",AU818)))</formula>
    </cfRule>
  </conditionalFormatting>
  <conditionalFormatting sqref="AU819">
    <cfRule type="cellIs" dxfId="0" priority="10884" operator="lessThan">
      <formula>20</formula>
    </cfRule>
    <cfRule type="cellIs" dxfId="1" priority="9990" operator="greaterThan">
      <formula>120</formula>
    </cfRule>
    <cfRule type="containsText" dxfId="2" priority="9096" operator="between" text="库存为">
      <formula>NOT(ISERROR(SEARCH("库存为",AU819)))</formula>
    </cfRule>
  </conditionalFormatting>
  <conditionalFormatting sqref="AU820">
    <cfRule type="cellIs" dxfId="0" priority="10883" operator="lessThan">
      <formula>20</formula>
    </cfRule>
    <cfRule type="cellIs" dxfId="1" priority="9989" operator="greaterThan">
      <formula>120</formula>
    </cfRule>
    <cfRule type="containsText" dxfId="2" priority="9095" operator="between" text="库存为">
      <formula>NOT(ISERROR(SEARCH("库存为",AU820)))</formula>
    </cfRule>
  </conditionalFormatting>
  <conditionalFormatting sqref="AU821">
    <cfRule type="cellIs" dxfId="0" priority="10882" operator="lessThan">
      <formula>20</formula>
    </cfRule>
    <cfRule type="cellIs" dxfId="1" priority="9988" operator="greaterThan">
      <formula>120</formula>
    </cfRule>
    <cfRule type="containsText" dxfId="2" priority="9094" operator="between" text="库存为">
      <formula>NOT(ISERROR(SEARCH("库存为",AU821)))</formula>
    </cfRule>
  </conditionalFormatting>
  <conditionalFormatting sqref="AU822">
    <cfRule type="cellIs" dxfId="0" priority="10881" operator="lessThan">
      <formula>20</formula>
    </cfRule>
    <cfRule type="cellIs" dxfId="1" priority="9987" operator="greaterThan">
      <formula>120</formula>
    </cfRule>
    <cfRule type="containsText" dxfId="2" priority="9093" operator="between" text="库存为">
      <formula>NOT(ISERROR(SEARCH("库存为",AU822)))</formula>
    </cfRule>
  </conditionalFormatting>
  <conditionalFormatting sqref="AU823">
    <cfRule type="cellIs" dxfId="0" priority="10880" operator="lessThan">
      <formula>20</formula>
    </cfRule>
    <cfRule type="cellIs" dxfId="1" priority="9986" operator="greaterThan">
      <formula>120</formula>
    </cfRule>
    <cfRule type="containsText" dxfId="2" priority="9092" operator="between" text="库存为">
      <formula>NOT(ISERROR(SEARCH("库存为",AU823)))</formula>
    </cfRule>
  </conditionalFormatting>
  <conditionalFormatting sqref="AU824">
    <cfRule type="cellIs" dxfId="0" priority="10879" operator="lessThan">
      <formula>20</formula>
    </cfRule>
    <cfRule type="cellIs" dxfId="1" priority="9985" operator="greaterThan">
      <formula>120</formula>
    </cfRule>
    <cfRule type="containsText" dxfId="2" priority="9091" operator="between" text="库存为">
      <formula>NOT(ISERROR(SEARCH("库存为",AU824)))</formula>
    </cfRule>
  </conditionalFormatting>
  <conditionalFormatting sqref="AU825">
    <cfRule type="cellIs" dxfId="0" priority="10878" operator="lessThan">
      <formula>20</formula>
    </cfRule>
    <cfRule type="cellIs" dxfId="1" priority="9984" operator="greaterThan">
      <formula>120</formula>
    </cfRule>
    <cfRule type="containsText" dxfId="2" priority="9090" operator="between" text="库存为">
      <formula>NOT(ISERROR(SEARCH("库存为",AU825)))</formula>
    </cfRule>
  </conditionalFormatting>
  <conditionalFormatting sqref="AU826">
    <cfRule type="cellIs" dxfId="0" priority="10877" operator="lessThan">
      <formula>20</formula>
    </cfRule>
    <cfRule type="cellIs" dxfId="1" priority="9983" operator="greaterThan">
      <formula>120</formula>
    </cfRule>
    <cfRule type="containsText" dxfId="2" priority="9089" operator="between" text="库存为">
      <formula>NOT(ISERROR(SEARCH("库存为",AU826)))</formula>
    </cfRule>
  </conditionalFormatting>
  <conditionalFormatting sqref="AU827">
    <cfRule type="cellIs" dxfId="0" priority="10876" operator="lessThan">
      <formula>20</formula>
    </cfRule>
    <cfRule type="cellIs" dxfId="1" priority="9982" operator="greaterThan">
      <formula>120</formula>
    </cfRule>
    <cfRule type="containsText" dxfId="2" priority="9088" operator="between" text="库存为">
      <formula>NOT(ISERROR(SEARCH("库存为",AU827)))</formula>
    </cfRule>
  </conditionalFormatting>
  <conditionalFormatting sqref="AU828">
    <cfRule type="cellIs" dxfId="0" priority="10875" operator="lessThan">
      <formula>20</formula>
    </cfRule>
    <cfRule type="cellIs" dxfId="1" priority="9981" operator="greaterThan">
      <formula>120</formula>
    </cfRule>
    <cfRule type="containsText" dxfId="2" priority="9087" operator="between" text="库存为">
      <formula>NOT(ISERROR(SEARCH("库存为",AU828)))</formula>
    </cfRule>
  </conditionalFormatting>
  <conditionalFormatting sqref="AU829">
    <cfRule type="cellIs" dxfId="0" priority="10874" operator="lessThan">
      <formula>20</formula>
    </cfRule>
    <cfRule type="cellIs" dxfId="1" priority="9980" operator="greaterThan">
      <formula>120</formula>
    </cfRule>
    <cfRule type="containsText" dxfId="2" priority="9086" operator="between" text="库存为">
      <formula>NOT(ISERROR(SEARCH("库存为",AU829)))</formula>
    </cfRule>
  </conditionalFormatting>
  <conditionalFormatting sqref="AU830">
    <cfRule type="cellIs" dxfId="0" priority="10873" operator="lessThan">
      <formula>20</formula>
    </cfRule>
    <cfRule type="cellIs" dxfId="1" priority="9979" operator="greaterThan">
      <formula>120</formula>
    </cfRule>
    <cfRule type="containsText" dxfId="2" priority="9085" operator="between" text="库存为">
      <formula>NOT(ISERROR(SEARCH("库存为",AU830)))</formula>
    </cfRule>
  </conditionalFormatting>
  <conditionalFormatting sqref="AU831">
    <cfRule type="cellIs" dxfId="0" priority="10872" operator="lessThan">
      <formula>20</formula>
    </cfRule>
    <cfRule type="cellIs" dxfId="1" priority="9978" operator="greaterThan">
      <formula>120</formula>
    </cfRule>
    <cfRule type="containsText" dxfId="2" priority="9084" operator="between" text="库存为">
      <formula>NOT(ISERROR(SEARCH("库存为",AU831)))</formula>
    </cfRule>
  </conditionalFormatting>
  <conditionalFormatting sqref="AU832">
    <cfRule type="cellIs" dxfId="0" priority="10871" operator="lessThan">
      <formula>20</formula>
    </cfRule>
    <cfRule type="cellIs" dxfId="1" priority="9977" operator="greaterThan">
      <formula>120</formula>
    </cfRule>
    <cfRule type="containsText" dxfId="2" priority="9083" operator="between" text="库存为">
      <formula>NOT(ISERROR(SEARCH("库存为",AU832)))</formula>
    </cfRule>
  </conditionalFormatting>
  <conditionalFormatting sqref="AU833">
    <cfRule type="cellIs" dxfId="0" priority="10870" operator="lessThan">
      <formula>20</formula>
    </cfRule>
    <cfRule type="cellIs" dxfId="1" priority="9976" operator="greaterThan">
      <formula>120</formula>
    </cfRule>
    <cfRule type="containsText" dxfId="2" priority="9082" operator="between" text="库存为">
      <formula>NOT(ISERROR(SEARCH("库存为",AU833)))</formula>
    </cfRule>
  </conditionalFormatting>
  <conditionalFormatting sqref="AU834">
    <cfRule type="cellIs" dxfId="0" priority="10869" operator="lessThan">
      <formula>20</formula>
    </cfRule>
    <cfRule type="cellIs" dxfId="1" priority="9975" operator="greaterThan">
      <formula>120</formula>
    </cfRule>
    <cfRule type="containsText" dxfId="2" priority="9081" operator="between" text="库存为">
      <formula>NOT(ISERROR(SEARCH("库存为",AU834)))</formula>
    </cfRule>
  </conditionalFormatting>
  <conditionalFormatting sqref="AU835">
    <cfRule type="cellIs" dxfId="0" priority="10868" operator="lessThan">
      <formula>20</formula>
    </cfRule>
    <cfRule type="cellIs" dxfId="1" priority="9974" operator="greaterThan">
      <formula>120</formula>
    </cfRule>
    <cfRule type="containsText" dxfId="2" priority="9080" operator="between" text="库存为">
      <formula>NOT(ISERROR(SEARCH("库存为",AU835)))</formula>
    </cfRule>
  </conditionalFormatting>
  <conditionalFormatting sqref="AU836">
    <cfRule type="cellIs" dxfId="0" priority="10867" operator="lessThan">
      <formula>20</formula>
    </cfRule>
    <cfRule type="cellIs" dxfId="1" priority="9973" operator="greaterThan">
      <formula>120</formula>
    </cfRule>
    <cfRule type="containsText" dxfId="2" priority="9079" operator="between" text="库存为">
      <formula>NOT(ISERROR(SEARCH("库存为",AU836)))</formula>
    </cfRule>
  </conditionalFormatting>
  <conditionalFormatting sqref="AU837">
    <cfRule type="cellIs" dxfId="0" priority="10866" operator="lessThan">
      <formula>20</formula>
    </cfRule>
    <cfRule type="cellIs" dxfId="1" priority="9972" operator="greaterThan">
      <formula>120</formula>
    </cfRule>
    <cfRule type="containsText" dxfId="2" priority="9078" operator="between" text="库存为">
      <formula>NOT(ISERROR(SEARCH("库存为",AU837)))</formula>
    </cfRule>
  </conditionalFormatting>
  <conditionalFormatting sqref="AU838">
    <cfRule type="cellIs" dxfId="0" priority="10865" operator="lessThan">
      <formula>20</formula>
    </cfRule>
    <cfRule type="cellIs" dxfId="1" priority="9971" operator="greaterThan">
      <formula>120</formula>
    </cfRule>
    <cfRule type="containsText" dxfId="2" priority="9077" operator="between" text="库存为">
      <formula>NOT(ISERROR(SEARCH("库存为",AU838)))</formula>
    </cfRule>
  </conditionalFormatting>
  <conditionalFormatting sqref="AU839">
    <cfRule type="cellIs" dxfId="0" priority="10864" operator="lessThan">
      <formula>20</formula>
    </cfRule>
    <cfRule type="cellIs" dxfId="1" priority="9970" operator="greaterThan">
      <formula>120</formula>
    </cfRule>
    <cfRule type="containsText" dxfId="2" priority="9076" operator="between" text="库存为">
      <formula>NOT(ISERROR(SEARCH("库存为",AU839)))</formula>
    </cfRule>
  </conditionalFormatting>
  <conditionalFormatting sqref="AU840">
    <cfRule type="cellIs" dxfId="0" priority="10863" operator="lessThan">
      <formula>20</formula>
    </cfRule>
    <cfRule type="cellIs" dxfId="1" priority="9969" operator="greaterThan">
      <formula>120</formula>
    </cfRule>
    <cfRule type="containsText" dxfId="2" priority="9075" operator="between" text="库存为">
      <formula>NOT(ISERROR(SEARCH("库存为",AU840)))</formula>
    </cfRule>
  </conditionalFormatting>
  <conditionalFormatting sqref="AU841">
    <cfRule type="cellIs" dxfId="0" priority="10862" operator="lessThan">
      <formula>20</formula>
    </cfRule>
    <cfRule type="cellIs" dxfId="1" priority="9968" operator="greaterThan">
      <formula>120</formula>
    </cfRule>
    <cfRule type="containsText" dxfId="2" priority="9074" operator="between" text="库存为">
      <formula>NOT(ISERROR(SEARCH("库存为",AU841)))</formula>
    </cfRule>
  </conditionalFormatting>
  <conditionalFormatting sqref="AU842">
    <cfRule type="cellIs" dxfId="0" priority="10861" operator="lessThan">
      <formula>20</formula>
    </cfRule>
    <cfRule type="cellIs" dxfId="1" priority="9967" operator="greaterThan">
      <formula>120</formula>
    </cfRule>
    <cfRule type="containsText" dxfId="2" priority="9073" operator="between" text="库存为">
      <formula>NOT(ISERROR(SEARCH("库存为",AU842)))</formula>
    </cfRule>
  </conditionalFormatting>
  <conditionalFormatting sqref="AU843">
    <cfRule type="cellIs" dxfId="0" priority="10860" operator="lessThan">
      <formula>20</formula>
    </cfRule>
    <cfRule type="cellIs" dxfId="1" priority="9966" operator="greaterThan">
      <formula>120</formula>
    </cfRule>
    <cfRule type="containsText" dxfId="2" priority="9072" operator="between" text="库存为">
      <formula>NOT(ISERROR(SEARCH("库存为",AU843)))</formula>
    </cfRule>
  </conditionalFormatting>
  <conditionalFormatting sqref="AU844">
    <cfRule type="cellIs" dxfId="0" priority="10859" operator="lessThan">
      <formula>20</formula>
    </cfRule>
    <cfRule type="cellIs" dxfId="1" priority="9965" operator="greaterThan">
      <formula>120</formula>
    </cfRule>
    <cfRule type="containsText" dxfId="2" priority="9071" operator="between" text="库存为">
      <formula>NOT(ISERROR(SEARCH("库存为",AU844)))</formula>
    </cfRule>
  </conditionalFormatting>
  <conditionalFormatting sqref="AU845">
    <cfRule type="cellIs" dxfId="0" priority="10858" operator="lessThan">
      <formula>20</formula>
    </cfRule>
    <cfRule type="cellIs" dxfId="1" priority="9964" operator="greaterThan">
      <formula>120</formula>
    </cfRule>
    <cfRule type="containsText" dxfId="2" priority="9070" operator="between" text="库存为">
      <formula>NOT(ISERROR(SEARCH("库存为",AU845)))</formula>
    </cfRule>
  </conditionalFormatting>
  <conditionalFormatting sqref="AU846">
    <cfRule type="cellIs" dxfId="0" priority="10857" operator="lessThan">
      <formula>20</formula>
    </cfRule>
    <cfRule type="cellIs" dxfId="1" priority="9963" operator="greaterThan">
      <formula>120</formula>
    </cfRule>
    <cfRule type="containsText" dxfId="2" priority="9069" operator="between" text="库存为">
      <formula>NOT(ISERROR(SEARCH("库存为",AU846)))</formula>
    </cfRule>
  </conditionalFormatting>
  <conditionalFormatting sqref="AU847">
    <cfRule type="cellIs" dxfId="0" priority="10856" operator="lessThan">
      <formula>20</formula>
    </cfRule>
    <cfRule type="cellIs" dxfId="1" priority="9962" operator="greaterThan">
      <formula>120</formula>
    </cfRule>
    <cfRule type="containsText" dxfId="2" priority="9068" operator="between" text="库存为">
      <formula>NOT(ISERROR(SEARCH("库存为",AU847)))</formula>
    </cfRule>
  </conditionalFormatting>
  <conditionalFormatting sqref="AU848">
    <cfRule type="cellIs" dxfId="0" priority="10855" operator="lessThan">
      <formula>20</formula>
    </cfRule>
    <cfRule type="cellIs" dxfId="1" priority="9961" operator="greaterThan">
      <formula>120</formula>
    </cfRule>
    <cfRule type="containsText" dxfId="2" priority="9067" operator="between" text="库存为">
      <formula>NOT(ISERROR(SEARCH("库存为",AU848)))</formula>
    </cfRule>
  </conditionalFormatting>
  <conditionalFormatting sqref="AU849">
    <cfRule type="cellIs" dxfId="0" priority="10854" operator="lessThan">
      <formula>20</formula>
    </cfRule>
    <cfRule type="cellIs" dxfId="1" priority="9960" operator="greaterThan">
      <formula>120</formula>
    </cfRule>
    <cfRule type="containsText" dxfId="2" priority="9066" operator="between" text="库存为">
      <formula>NOT(ISERROR(SEARCH("库存为",AU849)))</formula>
    </cfRule>
  </conditionalFormatting>
  <conditionalFormatting sqref="AU850">
    <cfRule type="cellIs" dxfId="0" priority="10853" operator="lessThan">
      <formula>20</formula>
    </cfRule>
    <cfRule type="cellIs" dxfId="1" priority="9959" operator="greaterThan">
      <formula>120</formula>
    </cfRule>
    <cfRule type="containsText" dxfId="2" priority="9065" operator="between" text="库存为">
      <formula>NOT(ISERROR(SEARCH("库存为",AU850)))</formula>
    </cfRule>
  </conditionalFormatting>
  <conditionalFormatting sqref="AU851">
    <cfRule type="cellIs" dxfId="0" priority="10852" operator="lessThan">
      <formula>20</formula>
    </cfRule>
    <cfRule type="cellIs" dxfId="1" priority="9958" operator="greaterThan">
      <formula>120</formula>
    </cfRule>
    <cfRule type="containsText" dxfId="2" priority="9064" operator="between" text="库存为">
      <formula>NOT(ISERROR(SEARCH("库存为",AU851)))</formula>
    </cfRule>
  </conditionalFormatting>
  <conditionalFormatting sqref="AU852">
    <cfRule type="cellIs" dxfId="0" priority="10851" operator="lessThan">
      <formula>20</formula>
    </cfRule>
    <cfRule type="cellIs" dxfId="1" priority="9957" operator="greaterThan">
      <formula>120</formula>
    </cfRule>
    <cfRule type="containsText" dxfId="2" priority="9063" operator="between" text="库存为">
      <formula>NOT(ISERROR(SEARCH("库存为",AU852)))</formula>
    </cfRule>
  </conditionalFormatting>
  <conditionalFormatting sqref="AU853">
    <cfRule type="cellIs" dxfId="0" priority="10850" operator="lessThan">
      <formula>20</formula>
    </cfRule>
    <cfRule type="cellIs" dxfId="1" priority="9956" operator="greaterThan">
      <formula>120</formula>
    </cfRule>
    <cfRule type="containsText" dxfId="2" priority="9062" operator="between" text="库存为">
      <formula>NOT(ISERROR(SEARCH("库存为",AU853)))</formula>
    </cfRule>
  </conditionalFormatting>
  <conditionalFormatting sqref="AU854">
    <cfRule type="cellIs" dxfId="0" priority="10849" operator="lessThan">
      <formula>20</formula>
    </cfRule>
    <cfRule type="cellIs" dxfId="1" priority="9955" operator="greaterThan">
      <formula>120</formula>
    </cfRule>
    <cfRule type="containsText" dxfId="2" priority="9061" operator="between" text="库存为">
      <formula>NOT(ISERROR(SEARCH("库存为",AU854)))</formula>
    </cfRule>
  </conditionalFormatting>
  <conditionalFormatting sqref="AU855">
    <cfRule type="cellIs" dxfId="0" priority="10848" operator="lessThan">
      <formula>20</formula>
    </cfRule>
    <cfRule type="cellIs" dxfId="1" priority="9954" operator="greaterThan">
      <formula>120</formula>
    </cfRule>
    <cfRule type="containsText" dxfId="2" priority="9060" operator="between" text="库存为">
      <formula>NOT(ISERROR(SEARCH("库存为",AU855)))</formula>
    </cfRule>
  </conditionalFormatting>
  <conditionalFormatting sqref="AU856">
    <cfRule type="cellIs" dxfId="0" priority="10847" operator="lessThan">
      <formula>20</formula>
    </cfRule>
    <cfRule type="cellIs" dxfId="1" priority="9953" operator="greaterThan">
      <formula>120</formula>
    </cfRule>
    <cfRule type="containsText" dxfId="2" priority="9059" operator="between" text="库存为">
      <formula>NOT(ISERROR(SEARCH("库存为",AU856)))</formula>
    </cfRule>
  </conditionalFormatting>
  <conditionalFormatting sqref="AU857">
    <cfRule type="cellIs" dxfId="0" priority="10846" operator="lessThan">
      <formula>20</formula>
    </cfRule>
    <cfRule type="cellIs" dxfId="1" priority="9952" operator="greaterThan">
      <formula>120</formula>
    </cfRule>
    <cfRule type="containsText" dxfId="2" priority="9058" operator="between" text="库存为">
      <formula>NOT(ISERROR(SEARCH("库存为",AU857)))</formula>
    </cfRule>
  </conditionalFormatting>
  <conditionalFormatting sqref="AU858">
    <cfRule type="cellIs" dxfId="0" priority="10845" operator="lessThan">
      <formula>20</formula>
    </cfRule>
    <cfRule type="cellIs" dxfId="1" priority="9951" operator="greaterThan">
      <formula>120</formula>
    </cfRule>
    <cfRule type="containsText" dxfId="2" priority="9057" operator="between" text="库存为">
      <formula>NOT(ISERROR(SEARCH("库存为",AU858)))</formula>
    </cfRule>
  </conditionalFormatting>
  <conditionalFormatting sqref="AU859">
    <cfRule type="cellIs" dxfId="0" priority="10844" operator="lessThan">
      <formula>20</formula>
    </cfRule>
    <cfRule type="cellIs" dxfId="1" priority="9950" operator="greaterThan">
      <formula>120</formula>
    </cfRule>
    <cfRule type="containsText" dxfId="2" priority="9056" operator="between" text="库存为">
      <formula>NOT(ISERROR(SEARCH("库存为",AU859)))</formula>
    </cfRule>
  </conditionalFormatting>
  <conditionalFormatting sqref="AU860">
    <cfRule type="cellIs" dxfId="0" priority="10843" operator="lessThan">
      <formula>20</formula>
    </cfRule>
    <cfRule type="cellIs" dxfId="1" priority="9949" operator="greaterThan">
      <formula>120</formula>
    </cfRule>
    <cfRule type="containsText" dxfId="2" priority="9055" operator="between" text="库存为">
      <formula>NOT(ISERROR(SEARCH("库存为",AU860)))</formula>
    </cfRule>
  </conditionalFormatting>
  <conditionalFormatting sqref="AU861">
    <cfRule type="cellIs" dxfId="0" priority="10842" operator="lessThan">
      <formula>20</formula>
    </cfRule>
    <cfRule type="cellIs" dxfId="1" priority="9948" operator="greaterThan">
      <formula>120</formula>
    </cfRule>
    <cfRule type="containsText" dxfId="2" priority="9054" operator="between" text="库存为">
      <formula>NOT(ISERROR(SEARCH("库存为",AU861)))</formula>
    </cfRule>
  </conditionalFormatting>
  <conditionalFormatting sqref="AU862">
    <cfRule type="cellIs" dxfId="0" priority="10841" operator="lessThan">
      <formula>20</formula>
    </cfRule>
    <cfRule type="cellIs" dxfId="1" priority="9947" operator="greaterThan">
      <formula>120</formula>
    </cfRule>
    <cfRule type="containsText" dxfId="2" priority="9053" operator="between" text="库存为">
      <formula>NOT(ISERROR(SEARCH("库存为",AU862)))</formula>
    </cfRule>
  </conditionalFormatting>
  <conditionalFormatting sqref="AU863">
    <cfRule type="cellIs" dxfId="0" priority="10840" operator="lessThan">
      <formula>20</formula>
    </cfRule>
    <cfRule type="cellIs" dxfId="1" priority="9946" operator="greaterThan">
      <formula>120</formula>
    </cfRule>
    <cfRule type="containsText" dxfId="2" priority="9052" operator="between" text="库存为">
      <formula>NOT(ISERROR(SEARCH("库存为",AU863)))</formula>
    </cfRule>
  </conditionalFormatting>
  <conditionalFormatting sqref="AU864">
    <cfRule type="cellIs" dxfId="0" priority="10839" operator="lessThan">
      <formula>20</formula>
    </cfRule>
    <cfRule type="cellIs" dxfId="1" priority="9945" operator="greaterThan">
      <formula>120</formula>
    </cfRule>
    <cfRule type="containsText" dxfId="2" priority="9051" operator="between" text="库存为">
      <formula>NOT(ISERROR(SEARCH("库存为",AU864)))</formula>
    </cfRule>
  </conditionalFormatting>
  <conditionalFormatting sqref="AU865">
    <cfRule type="cellIs" dxfId="0" priority="10838" operator="lessThan">
      <formula>20</formula>
    </cfRule>
    <cfRule type="cellIs" dxfId="1" priority="9944" operator="greaterThan">
      <formula>120</formula>
    </cfRule>
    <cfRule type="containsText" dxfId="2" priority="9050" operator="between" text="库存为">
      <formula>NOT(ISERROR(SEARCH("库存为",AU865)))</formula>
    </cfRule>
  </conditionalFormatting>
  <conditionalFormatting sqref="AU866">
    <cfRule type="cellIs" dxfId="0" priority="10837" operator="lessThan">
      <formula>20</formula>
    </cfRule>
    <cfRule type="cellIs" dxfId="1" priority="9943" operator="greaterThan">
      <formula>120</formula>
    </cfRule>
    <cfRule type="containsText" dxfId="2" priority="9049" operator="between" text="库存为">
      <formula>NOT(ISERROR(SEARCH("库存为",AU866)))</formula>
    </cfRule>
  </conditionalFormatting>
  <conditionalFormatting sqref="AU867">
    <cfRule type="cellIs" dxfId="0" priority="10836" operator="lessThan">
      <formula>20</formula>
    </cfRule>
    <cfRule type="cellIs" dxfId="1" priority="9942" operator="greaterThan">
      <formula>120</formula>
    </cfRule>
    <cfRule type="containsText" dxfId="2" priority="9048" operator="between" text="库存为">
      <formula>NOT(ISERROR(SEARCH("库存为",AU867)))</formula>
    </cfRule>
  </conditionalFormatting>
  <conditionalFormatting sqref="AU868">
    <cfRule type="cellIs" dxfId="0" priority="10835" operator="lessThan">
      <formula>20</formula>
    </cfRule>
    <cfRule type="cellIs" dxfId="1" priority="9941" operator="greaterThan">
      <formula>120</formula>
    </cfRule>
    <cfRule type="containsText" dxfId="2" priority="9047" operator="between" text="库存为">
      <formula>NOT(ISERROR(SEARCH("库存为",AU868)))</formula>
    </cfRule>
  </conditionalFormatting>
  <conditionalFormatting sqref="AU869">
    <cfRule type="cellIs" dxfId="0" priority="10834" operator="lessThan">
      <formula>20</formula>
    </cfRule>
    <cfRule type="cellIs" dxfId="1" priority="9940" operator="greaterThan">
      <formula>120</formula>
    </cfRule>
    <cfRule type="containsText" dxfId="2" priority="9046" operator="between" text="库存为">
      <formula>NOT(ISERROR(SEARCH("库存为",AU869)))</formula>
    </cfRule>
  </conditionalFormatting>
  <conditionalFormatting sqref="AU870">
    <cfRule type="cellIs" dxfId="0" priority="10833" operator="lessThan">
      <formula>20</formula>
    </cfRule>
    <cfRule type="cellIs" dxfId="1" priority="9939" operator="greaterThan">
      <formula>120</formula>
    </cfRule>
    <cfRule type="containsText" dxfId="2" priority="9045" operator="between" text="库存为">
      <formula>NOT(ISERROR(SEARCH("库存为",AU870)))</formula>
    </cfRule>
  </conditionalFormatting>
  <conditionalFormatting sqref="AU871">
    <cfRule type="cellIs" dxfId="0" priority="10832" operator="lessThan">
      <formula>20</formula>
    </cfRule>
    <cfRule type="cellIs" dxfId="1" priority="9938" operator="greaterThan">
      <formula>120</formula>
    </cfRule>
    <cfRule type="containsText" dxfId="2" priority="9044" operator="between" text="库存为">
      <formula>NOT(ISERROR(SEARCH("库存为",AU871)))</formula>
    </cfRule>
  </conditionalFormatting>
  <conditionalFormatting sqref="AU872">
    <cfRule type="cellIs" dxfId="0" priority="10831" operator="lessThan">
      <formula>20</formula>
    </cfRule>
    <cfRule type="cellIs" dxfId="1" priority="9937" operator="greaterThan">
      <formula>120</formula>
    </cfRule>
    <cfRule type="containsText" dxfId="2" priority="9043" operator="between" text="库存为">
      <formula>NOT(ISERROR(SEARCH("库存为",AU872)))</formula>
    </cfRule>
  </conditionalFormatting>
  <conditionalFormatting sqref="AU873">
    <cfRule type="cellIs" dxfId="0" priority="10830" operator="lessThan">
      <formula>20</formula>
    </cfRule>
    <cfRule type="cellIs" dxfId="1" priority="9936" operator="greaterThan">
      <formula>120</formula>
    </cfRule>
    <cfRule type="containsText" dxfId="2" priority="9042" operator="between" text="库存为">
      <formula>NOT(ISERROR(SEARCH("库存为",AU873)))</formula>
    </cfRule>
  </conditionalFormatting>
  <conditionalFormatting sqref="AU874">
    <cfRule type="cellIs" dxfId="0" priority="10829" operator="lessThan">
      <formula>20</formula>
    </cfRule>
    <cfRule type="cellIs" dxfId="1" priority="9935" operator="greaterThan">
      <formula>120</formula>
    </cfRule>
    <cfRule type="containsText" dxfId="2" priority="9041" operator="between" text="库存为">
      <formula>NOT(ISERROR(SEARCH("库存为",AU874)))</formula>
    </cfRule>
  </conditionalFormatting>
  <conditionalFormatting sqref="AU875">
    <cfRule type="cellIs" dxfId="0" priority="10828" operator="lessThan">
      <formula>20</formula>
    </cfRule>
    <cfRule type="cellIs" dxfId="1" priority="9934" operator="greaterThan">
      <formula>120</formula>
    </cfRule>
    <cfRule type="containsText" dxfId="2" priority="9040" operator="between" text="库存为">
      <formula>NOT(ISERROR(SEARCH("库存为",AU875)))</formula>
    </cfRule>
  </conditionalFormatting>
  <conditionalFormatting sqref="AU876">
    <cfRule type="cellIs" dxfId="0" priority="10827" operator="lessThan">
      <formula>20</formula>
    </cfRule>
    <cfRule type="cellIs" dxfId="1" priority="9933" operator="greaterThan">
      <formula>120</formula>
    </cfRule>
    <cfRule type="containsText" dxfId="2" priority="9039" operator="between" text="库存为">
      <formula>NOT(ISERROR(SEARCH("库存为",AU876)))</formula>
    </cfRule>
  </conditionalFormatting>
  <conditionalFormatting sqref="AU877">
    <cfRule type="cellIs" dxfId="0" priority="10826" operator="lessThan">
      <formula>20</formula>
    </cfRule>
    <cfRule type="cellIs" dxfId="1" priority="9932" operator="greaterThan">
      <formula>120</formula>
    </cfRule>
    <cfRule type="containsText" dxfId="2" priority="9038" operator="between" text="库存为">
      <formula>NOT(ISERROR(SEARCH("库存为",AU877)))</formula>
    </cfRule>
  </conditionalFormatting>
  <conditionalFormatting sqref="AU878">
    <cfRule type="cellIs" dxfId="0" priority="10825" operator="lessThan">
      <formula>20</formula>
    </cfRule>
    <cfRule type="cellIs" dxfId="1" priority="9931" operator="greaterThan">
      <formula>120</formula>
    </cfRule>
    <cfRule type="containsText" dxfId="2" priority="9037" operator="between" text="库存为">
      <formula>NOT(ISERROR(SEARCH("库存为",AU878)))</formula>
    </cfRule>
  </conditionalFormatting>
  <conditionalFormatting sqref="AU879">
    <cfRule type="cellIs" dxfId="0" priority="10824" operator="lessThan">
      <formula>20</formula>
    </cfRule>
    <cfRule type="cellIs" dxfId="1" priority="9930" operator="greaterThan">
      <formula>120</formula>
    </cfRule>
    <cfRule type="containsText" dxfId="2" priority="9036" operator="between" text="库存为">
      <formula>NOT(ISERROR(SEARCH("库存为",AU879)))</formula>
    </cfRule>
  </conditionalFormatting>
  <conditionalFormatting sqref="AU880">
    <cfRule type="cellIs" dxfId="0" priority="10823" operator="lessThan">
      <formula>20</formula>
    </cfRule>
    <cfRule type="cellIs" dxfId="1" priority="9929" operator="greaterThan">
      <formula>120</formula>
    </cfRule>
    <cfRule type="containsText" dxfId="2" priority="9035" operator="between" text="库存为">
      <formula>NOT(ISERROR(SEARCH("库存为",AU880)))</formula>
    </cfRule>
  </conditionalFormatting>
  <conditionalFormatting sqref="AU881">
    <cfRule type="cellIs" dxfId="0" priority="10822" operator="lessThan">
      <formula>20</formula>
    </cfRule>
    <cfRule type="cellIs" dxfId="1" priority="9928" operator="greaterThan">
      <formula>120</formula>
    </cfRule>
    <cfRule type="containsText" dxfId="2" priority="9034" operator="between" text="库存为">
      <formula>NOT(ISERROR(SEARCH("库存为",AU881)))</formula>
    </cfRule>
  </conditionalFormatting>
  <conditionalFormatting sqref="AU882">
    <cfRule type="cellIs" dxfId="0" priority="10821" operator="lessThan">
      <formula>20</formula>
    </cfRule>
    <cfRule type="cellIs" dxfId="1" priority="9927" operator="greaterThan">
      <formula>120</formula>
    </cfRule>
    <cfRule type="containsText" dxfId="2" priority="9033" operator="between" text="库存为">
      <formula>NOT(ISERROR(SEARCH("库存为",AU882)))</formula>
    </cfRule>
  </conditionalFormatting>
  <conditionalFormatting sqref="AU883">
    <cfRule type="cellIs" dxfId="0" priority="10820" operator="lessThan">
      <formula>20</formula>
    </cfRule>
    <cfRule type="cellIs" dxfId="1" priority="9926" operator="greaterThan">
      <formula>120</formula>
    </cfRule>
    <cfRule type="containsText" dxfId="2" priority="9032" operator="between" text="库存为">
      <formula>NOT(ISERROR(SEARCH("库存为",AU883)))</formula>
    </cfRule>
  </conditionalFormatting>
  <conditionalFormatting sqref="AU884">
    <cfRule type="cellIs" dxfId="0" priority="10819" operator="lessThan">
      <formula>20</formula>
    </cfRule>
    <cfRule type="cellIs" dxfId="1" priority="9925" operator="greaterThan">
      <formula>120</formula>
    </cfRule>
    <cfRule type="containsText" dxfId="2" priority="9031" operator="between" text="库存为">
      <formula>NOT(ISERROR(SEARCH("库存为",AU884)))</formula>
    </cfRule>
  </conditionalFormatting>
  <conditionalFormatting sqref="AU885">
    <cfRule type="cellIs" dxfId="0" priority="10818" operator="lessThan">
      <formula>20</formula>
    </cfRule>
    <cfRule type="cellIs" dxfId="1" priority="9924" operator="greaterThan">
      <formula>120</formula>
    </cfRule>
    <cfRule type="containsText" dxfId="2" priority="9030" operator="between" text="库存为">
      <formula>NOT(ISERROR(SEARCH("库存为",AU885)))</formula>
    </cfRule>
  </conditionalFormatting>
  <conditionalFormatting sqref="AU886">
    <cfRule type="cellIs" dxfId="0" priority="10817" operator="lessThan">
      <formula>20</formula>
    </cfRule>
    <cfRule type="cellIs" dxfId="1" priority="9923" operator="greaterThan">
      <formula>120</formula>
    </cfRule>
    <cfRule type="containsText" dxfId="2" priority="9029" operator="between" text="库存为">
      <formula>NOT(ISERROR(SEARCH("库存为",AU886)))</formula>
    </cfRule>
  </conditionalFormatting>
  <conditionalFormatting sqref="AU887">
    <cfRule type="cellIs" dxfId="0" priority="10816" operator="lessThan">
      <formula>20</formula>
    </cfRule>
    <cfRule type="cellIs" dxfId="1" priority="9922" operator="greaterThan">
      <formula>120</formula>
    </cfRule>
    <cfRule type="containsText" dxfId="2" priority="9028" operator="between" text="库存为">
      <formula>NOT(ISERROR(SEARCH("库存为",AU887)))</formula>
    </cfRule>
  </conditionalFormatting>
  <conditionalFormatting sqref="AU888">
    <cfRule type="cellIs" dxfId="0" priority="10815" operator="lessThan">
      <formula>20</formula>
    </cfRule>
    <cfRule type="cellIs" dxfId="1" priority="9921" operator="greaterThan">
      <formula>120</formula>
    </cfRule>
    <cfRule type="containsText" dxfId="2" priority="9027" operator="between" text="库存为">
      <formula>NOT(ISERROR(SEARCH("库存为",AU888)))</formula>
    </cfRule>
  </conditionalFormatting>
  <conditionalFormatting sqref="AU889">
    <cfRule type="cellIs" dxfId="0" priority="10814" operator="lessThan">
      <formula>20</formula>
    </cfRule>
    <cfRule type="cellIs" dxfId="1" priority="9920" operator="greaterThan">
      <formula>120</formula>
    </cfRule>
    <cfRule type="containsText" dxfId="2" priority="9026" operator="between" text="库存为">
      <formula>NOT(ISERROR(SEARCH("库存为",AU889)))</formula>
    </cfRule>
  </conditionalFormatting>
  <conditionalFormatting sqref="AU890">
    <cfRule type="cellIs" dxfId="0" priority="10813" operator="lessThan">
      <formula>20</formula>
    </cfRule>
    <cfRule type="cellIs" dxfId="1" priority="9919" operator="greaterThan">
      <formula>120</formula>
    </cfRule>
    <cfRule type="containsText" dxfId="2" priority="9025" operator="between" text="库存为">
      <formula>NOT(ISERROR(SEARCH("库存为",AU890)))</formula>
    </cfRule>
  </conditionalFormatting>
  <conditionalFormatting sqref="AU891">
    <cfRule type="cellIs" dxfId="0" priority="10812" operator="lessThan">
      <formula>20</formula>
    </cfRule>
    <cfRule type="cellIs" dxfId="1" priority="9918" operator="greaterThan">
      <formula>120</formula>
    </cfRule>
    <cfRule type="containsText" dxfId="2" priority="9024" operator="between" text="库存为">
      <formula>NOT(ISERROR(SEARCH("库存为",AU891)))</formula>
    </cfRule>
  </conditionalFormatting>
  <conditionalFormatting sqref="AU892">
    <cfRule type="cellIs" dxfId="0" priority="10811" operator="lessThan">
      <formula>20</formula>
    </cfRule>
    <cfRule type="cellIs" dxfId="1" priority="9917" operator="greaterThan">
      <formula>120</formula>
    </cfRule>
    <cfRule type="containsText" dxfId="2" priority="9023" operator="between" text="库存为">
      <formula>NOT(ISERROR(SEARCH("库存为",AU892)))</formula>
    </cfRule>
  </conditionalFormatting>
  <conditionalFormatting sqref="AU893">
    <cfRule type="cellIs" dxfId="0" priority="10810" operator="lessThan">
      <formula>20</formula>
    </cfRule>
    <cfRule type="cellIs" dxfId="1" priority="9916" operator="greaterThan">
      <formula>120</formula>
    </cfRule>
    <cfRule type="containsText" dxfId="2" priority="9022" operator="between" text="库存为">
      <formula>NOT(ISERROR(SEARCH("库存为",AU893)))</formula>
    </cfRule>
  </conditionalFormatting>
  <conditionalFormatting sqref="AU894">
    <cfRule type="cellIs" dxfId="0" priority="10809" operator="lessThan">
      <formula>20</formula>
    </cfRule>
    <cfRule type="cellIs" dxfId="1" priority="9915" operator="greaterThan">
      <formula>120</formula>
    </cfRule>
    <cfRule type="containsText" dxfId="2" priority="9021" operator="between" text="库存为">
      <formula>NOT(ISERROR(SEARCH("库存为",AU894)))</formula>
    </cfRule>
  </conditionalFormatting>
  <conditionalFormatting sqref="AU895">
    <cfRule type="cellIs" dxfId="0" priority="10808" operator="lessThan">
      <formula>20</formula>
    </cfRule>
    <cfRule type="cellIs" dxfId="1" priority="9914" operator="greaterThan">
      <formula>120</formula>
    </cfRule>
    <cfRule type="containsText" dxfId="2" priority="9020" operator="between" text="库存为">
      <formula>NOT(ISERROR(SEARCH("库存为",AU895)))</formula>
    </cfRule>
  </conditionalFormatting>
  <conditionalFormatting sqref="AU896">
    <cfRule type="cellIs" dxfId="0" priority="10807" operator="lessThan">
      <formula>20</formula>
    </cfRule>
    <cfRule type="cellIs" dxfId="1" priority="9913" operator="greaterThan">
      <formula>120</formula>
    </cfRule>
    <cfRule type="containsText" dxfId="2" priority="9019" operator="between" text="库存为">
      <formula>NOT(ISERROR(SEARCH("库存为",AU896)))</formula>
    </cfRule>
  </conditionalFormatting>
  <conditionalFormatting sqref="AU897">
    <cfRule type="cellIs" dxfId="0" priority="10806" operator="lessThan">
      <formula>20</formula>
    </cfRule>
    <cfRule type="cellIs" dxfId="1" priority="9912" operator="greaterThan">
      <formula>120</formula>
    </cfRule>
    <cfRule type="containsText" dxfId="2" priority="9018" operator="between" text="库存为">
      <formula>NOT(ISERROR(SEARCH("库存为",AU897)))</formula>
    </cfRule>
  </conditionalFormatting>
  <conditionalFormatting sqref="AU898">
    <cfRule type="cellIs" dxfId="0" priority="10805" operator="lessThan">
      <formula>20</formula>
    </cfRule>
    <cfRule type="cellIs" dxfId="1" priority="9911" operator="greaterThan">
      <formula>120</formula>
    </cfRule>
    <cfRule type="containsText" dxfId="2" priority="9017" operator="between" text="库存为">
      <formula>NOT(ISERROR(SEARCH("库存为",AU898)))</formula>
    </cfRule>
  </conditionalFormatting>
  <conditionalFormatting sqref="AU899">
    <cfRule type="cellIs" dxfId="0" priority="10804" operator="lessThan">
      <formula>20</formula>
    </cfRule>
    <cfRule type="cellIs" dxfId="1" priority="9910" operator="greaterThan">
      <formula>120</formula>
    </cfRule>
    <cfRule type="containsText" dxfId="2" priority="9016" operator="between" text="库存为">
      <formula>NOT(ISERROR(SEARCH("库存为",AU899)))</formula>
    </cfRule>
  </conditionalFormatting>
  <conditionalFormatting sqref="AU900:AU3229">
    <cfRule type="containsText" dxfId="2" priority="32179" operator="between" text="库存为">
      <formula>NOT(ISERROR(SEARCH("库存为",AU900)))</formula>
    </cfRule>
    <cfRule type="cellIs" dxfId="1" priority="32180" operator="greaterThan">
      <formula>120</formula>
    </cfRule>
    <cfRule type="cellIs" dxfId="0" priority="3218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O17" sqref="O17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1334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1335</v>
      </c>
      <c r="AI1" s="11"/>
      <c r="AJ1" s="11"/>
      <c r="AK1" s="11"/>
      <c r="AL1" s="11" t="s">
        <v>1336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43276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5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58" si="2">IF(AND(Z2&gt;0,B2=0),"无销量广告费为"&amp;Z2,IFERROR(Z2/(B2*$F2),""))</f>
        <v/>
      </c>
      <c r="AE2" s="23" t="str">
        <f t="shared" ref="AE2:AE58" si="3">IF(AND(AA2&gt;0,C2=0),"无销量广告费为"&amp;AA2,IFERROR(AA2/(C2*$F2),""))</f>
        <v/>
      </c>
      <c r="AF2" s="23" t="str">
        <f t="shared" ref="AF2:AF58" si="4">IF(AND(AB2&gt;0,D2=0),"无销量广告费为"&amp;AB2,IFERROR(AB2/(D2*$F2),""))</f>
        <v/>
      </c>
      <c r="AG2" s="23" t="str">
        <f t="shared" ref="AG2:AG5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58" si="6">IFERROR(B2/AH2,"")</f>
        <v/>
      </c>
      <c r="AM2" s="23" t="str">
        <f t="shared" ref="AM2:AM58" si="7">IFERROR(C2/AI2,"")</f>
        <v/>
      </c>
      <c r="AN2" s="23" t="str">
        <f t="shared" ref="AN2:AN58" si="8">IFERROR(D2/AJ2,"")</f>
        <v/>
      </c>
      <c r="AO2" s="23" t="str">
        <f t="shared" ref="AO2:AO58" si="9">IFERROR(E2/AK2,"")</f>
        <v/>
      </c>
      <c r="AP2" s="7">
        <f t="shared" ref="AP2:AP58" si="10">B2/7</f>
        <v>0</v>
      </c>
      <c r="AQ2" s="7">
        <f t="shared" ref="AQ2:AQ58" si="11">AP2*60</f>
        <v>0</v>
      </c>
      <c r="AR2" s="7">
        <f t="shared" ref="AR2:AR58" si="12">K2-AQ2</f>
        <v>0</v>
      </c>
      <c r="AS2" t="str">
        <f t="shared" ref="AS2:AS58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2018/7/16-2018/7/22</v>
      </c>
      <c r="C3" s="14" t="str">
        <f>TEXT(时间!$B$8,"yyyy/M/d")&amp;"-"&amp;TEXT(时间!$B$7,"yyyy/M/d")</f>
        <v>2018/7/9-2018/7/15</v>
      </c>
      <c r="D3" s="14" t="str">
        <f>TEXT(时间!$B$10,"yyyy/M/d")&amp;"-"&amp;TEXT(时间!$B$9,"yyyy/M/d")</f>
        <v>2018/7/2-2018/7/8</v>
      </c>
      <c r="E3" s="14" t="str">
        <f>TEXT(时间!$B$12,"yyyy/M/d")&amp;"-"&amp;TEXT(时间!$B$11,"yyyy/M/d")</f>
        <v>2018/6/25-2018/7/1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1337</v>
      </c>
      <c r="C4" s="5" t="s">
        <v>1338</v>
      </c>
      <c r="D4" s="5" t="s">
        <v>1339</v>
      </c>
      <c r="E4" s="5" t="s">
        <v>1340</v>
      </c>
      <c r="F4" s="6" t="s">
        <v>20</v>
      </c>
      <c r="G4" t="s">
        <v>21</v>
      </c>
      <c r="H4" t="s">
        <v>22</v>
      </c>
      <c r="I4" t="s">
        <v>1341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43297</v>
      </c>
      <c r="AE4" s="21">
        <f>时间!$B$7</f>
        <v>43296</v>
      </c>
      <c r="AF4" s="21">
        <f>时间!$B$8</f>
        <v>43290</v>
      </c>
      <c r="AG4" s="21">
        <f>时间!$B$9</f>
        <v>43289</v>
      </c>
      <c r="AH4" s="21">
        <f>时间!$B$6</f>
        <v>43297</v>
      </c>
      <c r="AI4" s="21">
        <f>时间!$B$7</f>
        <v>43296</v>
      </c>
      <c r="AJ4" s="21">
        <f>时间!$B$8</f>
        <v>43290</v>
      </c>
      <c r="AK4" s="21">
        <f>时间!$B$9</f>
        <v>43289</v>
      </c>
      <c r="AL4" s="21">
        <f>时间!$B$6</f>
        <v>43297</v>
      </c>
      <c r="AM4" s="21">
        <f>时间!$B$7</f>
        <v>43296</v>
      </c>
      <c r="AN4" s="21">
        <f>时间!$B$8</f>
        <v>43290</v>
      </c>
      <c r="AO4" s="21">
        <f>时间!$B$9</f>
        <v>43289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1330</v>
      </c>
      <c r="C5" s="17">
        <f t="shared" si="14"/>
        <v>459</v>
      </c>
      <c r="D5" s="17">
        <f t="shared" si="14"/>
        <v>307</v>
      </c>
      <c r="E5" s="17">
        <f t="shared" si="14"/>
        <v>293</v>
      </c>
      <c r="F5" s="18"/>
      <c r="G5" s="4">
        <f t="shared" si="14"/>
        <v>3068</v>
      </c>
      <c r="H5" s="4">
        <f t="shared" si="14"/>
        <v>1065</v>
      </c>
      <c r="I5" s="4">
        <f t="shared" si="14"/>
        <v>65</v>
      </c>
      <c r="J5" s="4">
        <f t="shared" si="14"/>
        <v>408</v>
      </c>
      <c r="K5" s="4">
        <f t="shared" si="14"/>
        <v>4606</v>
      </c>
      <c r="L5" s="4">
        <f t="shared" si="14"/>
        <v>24</v>
      </c>
      <c r="M5" s="4">
        <f t="shared" si="14"/>
        <v>1197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884.14</v>
      </c>
      <c r="AA5" s="4">
        <f>SUM(AA6:AA9999)</f>
        <v>537.12</v>
      </c>
      <c r="AB5" s="4">
        <f>SUM(AB6:AB9999)</f>
        <v>537.12</v>
      </c>
      <c r="AC5" s="4">
        <f>SUM(AC6:AC9999)</f>
        <v>476.68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2</v>
      </c>
      <c r="E6" s="5">
        <f>SUMIF('库存（子SKU）'!$C:$C,$A6,'库存（子SKU）'!G:G)</f>
        <v>2</v>
      </c>
      <c r="F6" s="6">
        <v>8.99</v>
      </c>
      <c r="G6">
        <f>SUMIF('库存（子SKU）'!$C:$C,$A6,'库存（子SKU）'!I:I)</f>
        <v>25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25</v>
      </c>
      <c r="L6">
        <f>SUMIF('库存（子SKU）'!$C:$C,$A6,'库存（子SKU）'!N:N)</f>
        <v>0</v>
      </c>
      <c r="M6">
        <f>SUMIF('库存（子SKU）'!$C:$C,$A6,'库存（子SKU）'!O:O)</f>
        <v>26</v>
      </c>
      <c r="N6">
        <f>SUMIF('库存（子SKU）'!$C:$C,$A6,'库存（子SKU）'!P:P)</f>
        <v>424</v>
      </c>
      <c r="O6">
        <f>SUMIF('库存（子SKU）'!$C:$C,$A6,'库存（子SKU）'!Q:Q)</f>
        <v>444</v>
      </c>
      <c r="P6">
        <f>SUMIF('库存（子SKU）'!$C:$C,$A6,'库存（子SKU）'!R:R)</f>
        <v>444</v>
      </c>
      <c r="Q6">
        <f>SUMIF('库存（子SKU）'!$C:$C,$A6,'库存（子SKU）'!S:S)</f>
        <v>600</v>
      </c>
      <c r="R6">
        <f>SUMIF('库存（子SKU）'!$C:$C,$A6,'库存（子SKU）'!T:T)</f>
        <v>3</v>
      </c>
      <c r="S6">
        <f>SUMIF('库存（子SKU）'!$C:$C,$A6,'库存（子SKU）'!U:U)</f>
        <v>2</v>
      </c>
      <c r="T6">
        <f>SUMIF('库存（子SKU）'!$C:$C,$A6,'库存（子SKU）'!V:V)</f>
        <v>2</v>
      </c>
      <c r="U6">
        <f>SUMIF('库存（子SKU）'!$C:$C,$A6,'库存（子SKU）'!W:W)</f>
        <v>1</v>
      </c>
      <c r="V6" s="23">
        <f t="shared" ref="V6:V58" si="15">IFERROR(R6/N6,"")</f>
        <v>0.00707547169811321</v>
      </c>
      <c r="W6" s="23">
        <f t="shared" ref="W6:W58" si="16">IFERROR(S6/O6,"")</f>
        <v>0.0045045045045045</v>
      </c>
      <c r="X6" s="23">
        <f t="shared" ref="X6:X58" si="17">IFERROR(T6/P6,"")</f>
        <v>0.0045045045045045</v>
      </c>
      <c r="Y6" s="23">
        <f t="shared" ref="Y6:Y58" si="18">IFERROR(U6/Q6,"")</f>
        <v>0.00166666666666667</v>
      </c>
      <c r="Z6">
        <f>SUMIF('库存（子SKU）'!$C:$C,$A6,'库存（子SKU）'!AB:AB)</f>
        <v>1.15</v>
      </c>
      <c r="AA6">
        <f>SUMIF('库存（子SKU）'!$C:$C,$A6,'库存（子SKU）'!AC:AC)</f>
        <v>0.48</v>
      </c>
      <c r="AB6">
        <f>SUMIF('库存（子SKU）'!$C:$C,$A6,'库存（子SKU）'!AD:AD)</f>
        <v>0.48</v>
      </c>
      <c r="AC6">
        <f>SUMIF('库存（子SKU）'!$C:$C,$A6,'库存（子SKU）'!AE:AE)</f>
        <v>0.29</v>
      </c>
      <c r="AD6" s="23" t="str">
        <f t="shared" si="2"/>
        <v>无销量广告费为1.15</v>
      </c>
      <c r="AE6" s="23" t="str">
        <f t="shared" si="3"/>
        <v>无销量广告费为0.48</v>
      </c>
      <c r="AF6" s="23">
        <f t="shared" si="4"/>
        <v>0.0266963292547275</v>
      </c>
      <c r="AG6" s="23">
        <f t="shared" si="5"/>
        <v>0.0161290322580645</v>
      </c>
      <c r="AH6">
        <f>SUMIF('库存（子SKU）'!$C:$C,$A6,'库存（子SKU）'!AJ:AJ)</f>
        <v>34</v>
      </c>
      <c r="AI6">
        <f>SUMIF('库存（子SKU）'!$C:$C,$A6,'库存（子SKU）'!AK:AK)</f>
        <v>18</v>
      </c>
      <c r="AJ6">
        <f>SUMIF('库存（子SKU）'!$C:$C,$A6,'库存（子SKU）'!AL:AL)</f>
        <v>17</v>
      </c>
      <c r="AK6">
        <f>SUMIF('库存（子SKU）'!$C:$C,$A6,'库存（子SKU）'!AM:AM)</f>
        <v>14</v>
      </c>
      <c r="AL6" s="23">
        <f t="shared" si="6"/>
        <v>0</v>
      </c>
      <c r="AM6" s="23">
        <f t="shared" si="7"/>
        <v>0</v>
      </c>
      <c r="AN6" s="23">
        <f t="shared" si="8"/>
        <v>0.117647058823529</v>
      </c>
      <c r="AO6" s="23">
        <f t="shared" si="9"/>
        <v>0.142857142857143</v>
      </c>
      <c r="AP6" s="7">
        <f t="shared" si="10"/>
        <v>0</v>
      </c>
      <c r="AQ6" s="7">
        <f t="shared" si="11"/>
        <v>0</v>
      </c>
      <c r="AR6" s="7">
        <f t="shared" si="12"/>
        <v>25</v>
      </c>
      <c r="AS6" t="str">
        <f t="shared" si="13"/>
        <v>库存为25</v>
      </c>
      <c r="AT6" s="2" t="str">
        <f>IFERROR($A$2+AS6,"上周无销量")</f>
        <v>上周无销量</v>
      </c>
    </row>
    <row r="7" spans="1:46">
      <c r="A7" t="s">
        <v>75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14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14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21</v>
      </c>
      <c r="AI7">
        <f>SUMIF('库存（子SKU）'!$C:$C,$A7,'库存（子SKU）'!AK:AK)</f>
        <v>14</v>
      </c>
      <c r="AJ7">
        <f>SUMIF('库存（子SKU）'!$C:$C,$A7,'库存（子SKU）'!AL:AL)</f>
        <v>2</v>
      </c>
      <c r="AK7">
        <f>SUMIF('库存（子SKU）'!$C:$C,$A7,'库存（子SKU）'!AM:AM)</f>
        <v>7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14</v>
      </c>
      <c r="AS7" t="str">
        <f t="shared" si="13"/>
        <v>库存为14</v>
      </c>
      <c r="AT7" s="2" t="str">
        <f>IFERROR($A$2+AS7,"上周无销量")</f>
        <v>上周无销量</v>
      </c>
    </row>
    <row r="8" spans="1:46">
      <c r="A8" t="s">
        <v>86</v>
      </c>
      <c r="B8" s="5">
        <f>SUMIF('库存（子SKU）'!$C:$C,$A8,'库存（子SKU）'!D:D)</f>
        <v>0</v>
      </c>
      <c r="C8" s="5">
        <f>SUMIF('库存（子SKU）'!$C:$C,$A8,'库存（子SKU）'!E:E)</f>
        <v>1</v>
      </c>
      <c r="D8" s="5">
        <f>SUMIF('库存（子SKU）'!$C:$C,$A8,'库存（子SKU）'!F:F)</f>
        <v>3</v>
      </c>
      <c r="E8" s="5">
        <f>SUMIF('库存（子SKU）'!$C:$C,$A8,'库存（子SKU）'!G:G)</f>
        <v>2</v>
      </c>
      <c r="F8" s="6">
        <v>34.99</v>
      </c>
      <c r="G8">
        <f>SUMIF('库存（子SKU）'!$C:$C,$A8,'库存（子SKU）'!I:I)</f>
        <v>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5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31957</v>
      </c>
      <c r="O8">
        <f>SUMIF('库存（子SKU）'!$C:$C,$A8,'库存（子SKU）'!Q:Q)</f>
        <v>13795</v>
      </c>
      <c r="P8">
        <f>SUMIF('库存（子SKU）'!$C:$C,$A8,'库存（子SKU）'!R:R)</f>
        <v>13795</v>
      </c>
      <c r="Q8">
        <f>SUMIF('库存（子SKU）'!$C:$C,$A8,'库存（子SKU）'!S:S)</f>
        <v>4367</v>
      </c>
      <c r="R8">
        <f>SUMIF('库存（子SKU）'!$C:$C,$A8,'库存（子SKU）'!T:T)</f>
        <v>53</v>
      </c>
      <c r="S8">
        <f>SUMIF('库存（子SKU）'!$C:$C,$A8,'库存（子SKU）'!U:U)</f>
        <v>48</v>
      </c>
      <c r="T8">
        <f>SUMIF('库存（子SKU）'!$C:$C,$A8,'库存（子SKU）'!V:V)</f>
        <v>48</v>
      </c>
      <c r="U8">
        <f>SUMIF('库存（子SKU）'!$C:$C,$A8,'库存（子SKU）'!W:W)</f>
        <v>12</v>
      </c>
      <c r="V8" s="23">
        <f t="shared" si="15"/>
        <v>0.00165847858059267</v>
      </c>
      <c r="W8" s="23">
        <f t="shared" si="16"/>
        <v>0.0034795215657847</v>
      </c>
      <c r="X8" s="23">
        <f t="shared" si="17"/>
        <v>0.0034795215657847</v>
      </c>
      <c r="Y8" s="23">
        <f t="shared" si="18"/>
        <v>0.00274788184108083</v>
      </c>
      <c r="Z8">
        <f>SUMIF('库存（子SKU）'!$C:$C,$A8,'库存（子SKU）'!AB:AB)</f>
        <v>16.63</v>
      </c>
      <c r="AA8">
        <f>SUMIF('库存（子SKU）'!$C:$C,$A8,'库存（子SKU）'!AC:AC)</f>
        <v>21.08</v>
      </c>
      <c r="AB8">
        <f>SUMIF('库存（子SKU）'!$C:$C,$A8,'库存（子SKU）'!AD:AD)</f>
        <v>21.08</v>
      </c>
      <c r="AC8">
        <f>SUMIF('库存（子SKU）'!$C:$C,$A8,'库存（子SKU）'!AE:AE)</f>
        <v>5.61</v>
      </c>
      <c r="AD8" s="23" t="str">
        <f t="shared" si="2"/>
        <v>无销量广告费为16.63</v>
      </c>
      <c r="AE8" s="23">
        <f t="shared" si="3"/>
        <v>0.6024578450986</v>
      </c>
      <c r="AF8" s="23">
        <f t="shared" si="4"/>
        <v>0.200819281699533</v>
      </c>
      <c r="AG8" s="23">
        <f t="shared" si="5"/>
        <v>0.0801657616461846</v>
      </c>
      <c r="AH8">
        <f>SUMIF('库存（子SKU）'!$C:$C,$A8,'库存（子SKU）'!AJ:AJ)</f>
        <v>55</v>
      </c>
      <c r="AI8">
        <f>SUMIF('库存（子SKU）'!$C:$C,$A8,'库存（子SKU）'!AK:AK)</f>
        <v>47</v>
      </c>
      <c r="AJ8">
        <f>SUMIF('库存（子SKU）'!$C:$C,$A8,'库存（子SKU）'!AL:AL)</f>
        <v>27</v>
      </c>
      <c r="AK8">
        <f>SUMIF('库存（子SKU）'!$C:$C,$A8,'库存（子SKU）'!AM:AM)</f>
        <v>42</v>
      </c>
      <c r="AL8" s="23">
        <f t="shared" si="6"/>
        <v>0</v>
      </c>
      <c r="AM8" s="23">
        <f t="shared" si="7"/>
        <v>0.0212765957446809</v>
      </c>
      <c r="AN8" s="23">
        <f t="shared" si="8"/>
        <v>0.111111111111111</v>
      </c>
      <c r="AO8" s="23">
        <f t="shared" si="9"/>
        <v>0.0476190476190476</v>
      </c>
      <c r="AP8" s="7">
        <f t="shared" si="10"/>
        <v>0</v>
      </c>
      <c r="AQ8" s="7">
        <f t="shared" si="11"/>
        <v>0</v>
      </c>
      <c r="AR8" s="7">
        <f t="shared" si="12"/>
        <v>5</v>
      </c>
      <c r="AS8" t="str">
        <f t="shared" si="13"/>
        <v>库存为5</v>
      </c>
      <c r="AT8" s="2" t="str">
        <f>IFERROR($A$2+AS8,"上周无销量")</f>
        <v>上周无销量</v>
      </c>
    </row>
    <row r="9" spans="1:46">
      <c r="A9" t="s">
        <v>91</v>
      </c>
      <c r="B9" s="5">
        <f>SUMIF('库存（子SKU）'!$C:$C,$A9,'库存（子SKU）'!D:D)</f>
        <v>0</v>
      </c>
      <c r="C9" s="5">
        <f>SUMIF('库存（子SKU）'!$C:$C,$A9,'库存（子SKU）'!E:E)</f>
        <v>1</v>
      </c>
      <c r="D9" s="5">
        <f>SUMIF('库存（子SKU）'!$C:$C,$A9,'库存（子SKU）'!F:F)</f>
        <v>5</v>
      </c>
      <c r="E9" s="5">
        <f>SUMIF('库存（子SKU）'!$C:$C,$A9,'库存（子SKU）'!G:G)</f>
        <v>8</v>
      </c>
      <c r="F9" s="6">
        <v>29.99</v>
      </c>
      <c r="G9">
        <f>SUMIF('库存（子SKU）'!$C:$C,$A9,'库存（子SKU）'!I:I)</f>
        <v>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</v>
      </c>
      <c r="L9">
        <f>SUMIF('库存（子SKU）'!$C:$C,$A9,'库存（子SKU）'!N:N)</f>
        <v>1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5055</v>
      </c>
      <c r="P9">
        <f>SUMIF('库存（子SKU）'!$C:$C,$A9,'库存（子SKU）'!R:R)</f>
        <v>5055</v>
      </c>
      <c r="Q9">
        <f>SUMIF('库存（子SKU）'!$C:$C,$A9,'库存（子SKU）'!S:S)</f>
        <v>29825</v>
      </c>
      <c r="R9">
        <f>SUMIF('库存（子SKU）'!$C:$C,$A9,'库存（子SKU）'!T:T)</f>
        <v>0</v>
      </c>
      <c r="S9">
        <f>SUMIF('库存（子SKU）'!$C:$C,$A9,'库存（子SKU）'!U:U)</f>
        <v>17</v>
      </c>
      <c r="T9">
        <f>SUMIF('库存（子SKU）'!$C:$C,$A9,'库存（子SKU）'!V:V)</f>
        <v>17</v>
      </c>
      <c r="U9">
        <f>SUMIF('库存（子SKU）'!$C:$C,$A9,'库存（子SKU）'!W:W)</f>
        <v>63</v>
      </c>
      <c r="V9" s="23" t="str">
        <f t="shared" si="15"/>
        <v/>
      </c>
      <c r="W9" s="23">
        <f t="shared" si="16"/>
        <v>0.00336300692383778</v>
      </c>
      <c r="X9" s="23">
        <f t="shared" si="17"/>
        <v>0.00336300692383778</v>
      </c>
      <c r="Y9" s="23">
        <f t="shared" si="18"/>
        <v>0.00211232187761945</v>
      </c>
      <c r="Z9">
        <f>SUMIF('库存（子SKU）'!$C:$C,$A9,'库存（子SKU）'!AB:AB)</f>
        <v>0</v>
      </c>
      <c r="AA9">
        <f>SUMIF('库存（子SKU）'!$C:$C,$A9,'库存（子SKU）'!AC:AC)</f>
        <v>7.38</v>
      </c>
      <c r="AB9">
        <f>SUMIF('库存（子SKU）'!$C:$C,$A9,'库存（子SKU）'!AD:AD)</f>
        <v>7.38</v>
      </c>
      <c r="AC9">
        <f>SUMIF('库存（子SKU）'!$C:$C,$A9,'库存（子SKU）'!AE:AE)</f>
        <v>31.19</v>
      </c>
      <c r="AD9" s="23" t="str">
        <f t="shared" si="2"/>
        <v/>
      </c>
      <c r="AE9" s="23">
        <f t="shared" si="3"/>
        <v>0.246082027342447</v>
      </c>
      <c r="AF9" s="23">
        <f t="shared" si="4"/>
        <v>0.0492164054684895</v>
      </c>
      <c r="AG9" s="23">
        <f t="shared" si="5"/>
        <v>0.130001667222407</v>
      </c>
      <c r="AH9">
        <f>SUMIF('库存（子SKU）'!$C:$C,$A9,'库存（子SKU）'!AJ:AJ)</f>
        <v>11</v>
      </c>
      <c r="AI9">
        <f>SUMIF('库存（子SKU）'!$C:$C,$A9,'库存（子SKU）'!AK:AK)</f>
        <v>1</v>
      </c>
      <c r="AJ9">
        <f>SUMIF('库存（子SKU）'!$C:$C,$A9,'库存（子SKU）'!AL:AL)</f>
        <v>35</v>
      </c>
      <c r="AK9">
        <f>SUMIF('库存（子SKU）'!$C:$C,$A9,'库存（子SKU）'!AM:AM)</f>
        <v>115</v>
      </c>
      <c r="AL9" s="23">
        <f t="shared" si="6"/>
        <v>0</v>
      </c>
      <c r="AM9" s="23">
        <f t="shared" si="7"/>
        <v>1</v>
      </c>
      <c r="AN9" s="23">
        <f t="shared" si="8"/>
        <v>0.142857142857143</v>
      </c>
      <c r="AO9" s="23">
        <f t="shared" si="9"/>
        <v>0.0695652173913043</v>
      </c>
      <c r="AP9" s="7">
        <f t="shared" si="10"/>
        <v>0</v>
      </c>
      <c r="AQ9" s="7">
        <f t="shared" si="11"/>
        <v>0</v>
      </c>
      <c r="AR9" s="7">
        <f t="shared" si="12"/>
        <v>1</v>
      </c>
      <c r="AS9" t="str">
        <f t="shared" si="13"/>
        <v>库存为1</v>
      </c>
      <c r="AT9" s="2" t="str">
        <f>IFERROR($A$2+AS9,"上周无销量")</f>
        <v>上周无销量</v>
      </c>
    </row>
    <row r="10" spans="1:46">
      <c r="A10" t="s">
        <v>103</v>
      </c>
      <c r="B10" s="5">
        <f>SUMIF('库存（子SKU）'!$C:$C,$A10,'库存（子SKU）'!D:D)</f>
        <v>1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>
        <v>40.99</v>
      </c>
      <c r="G10">
        <f>SUMIF('库存（子SKU）'!$C:$C,$A10,'库存（子SKU）'!I:I)</f>
        <v>19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1050</v>
      </c>
      <c r="O10">
        <f>SUMIF('库存（子SKU）'!$C:$C,$A10,'库存（子SKU）'!Q:Q)</f>
        <v>4858</v>
      </c>
      <c r="P10">
        <f>SUMIF('库存（子SKU）'!$C:$C,$A10,'库存（子SKU）'!R:R)</f>
        <v>4858</v>
      </c>
      <c r="Q10">
        <f>SUMIF('库存（子SKU）'!$C:$C,$A10,'库存（子SKU）'!S:S)</f>
        <v>1277</v>
      </c>
      <c r="R10">
        <f>SUMIF('库存（子SKU）'!$C:$C,$A10,'库存（子SKU）'!T:T)</f>
        <v>2</v>
      </c>
      <c r="S10">
        <f>SUMIF('库存（子SKU）'!$C:$C,$A10,'库存（子SKU）'!U:U)</f>
        <v>15</v>
      </c>
      <c r="T10">
        <f>SUMIF('库存（子SKU）'!$C:$C,$A10,'库存（子SKU）'!V:V)</f>
        <v>15</v>
      </c>
      <c r="U10">
        <f>SUMIF('库存（子SKU）'!$C:$C,$A10,'库存（子SKU）'!W:W)</f>
        <v>0</v>
      </c>
      <c r="V10" s="23">
        <f t="shared" si="15"/>
        <v>0.0019047619047619</v>
      </c>
      <c r="W10" s="23">
        <f t="shared" si="16"/>
        <v>0.00308769040757513</v>
      </c>
      <c r="X10" s="23">
        <f t="shared" si="17"/>
        <v>0.00308769040757513</v>
      </c>
      <c r="Y10" s="23">
        <f t="shared" si="18"/>
        <v>0</v>
      </c>
      <c r="Z10">
        <f>SUMIF('库存（子SKU）'!$C:$C,$A10,'库存（子SKU）'!AB:AB)</f>
        <v>0.75</v>
      </c>
      <c r="AA10">
        <f>SUMIF('库存（子SKU）'!$C:$C,$A10,'库存（子SKU）'!AC:AC)</f>
        <v>15.28</v>
      </c>
      <c r="AB10">
        <f>SUMIF('库存（子SKU）'!$C:$C,$A10,'库存（子SKU）'!AD:AD)</f>
        <v>15.28</v>
      </c>
      <c r="AC10">
        <f>SUMIF('库存（子SKU）'!$C:$C,$A10,'库存（子SKU）'!AE:AE)</f>
        <v>0</v>
      </c>
      <c r="AD10" s="23">
        <f t="shared" si="2"/>
        <v>0.0182971456452793</v>
      </c>
      <c r="AE10" s="23" t="str">
        <f t="shared" si="3"/>
        <v>无销量广告费为15.28</v>
      </c>
      <c r="AF10" s="23" t="str">
        <f t="shared" si="4"/>
        <v>无销量广告费为15.28</v>
      </c>
      <c r="AG10" s="23" t="str">
        <f t="shared" si="5"/>
        <v/>
      </c>
      <c r="AH10">
        <f>SUMIF('库存（子SKU）'!$C:$C,$A10,'库存（子SKU）'!AJ:AJ)</f>
        <v>15</v>
      </c>
      <c r="AI10">
        <f>SUMIF('库存（子SKU）'!$C:$C,$A10,'库存（子SKU）'!AK:AK)</f>
        <v>12</v>
      </c>
      <c r="AJ10">
        <f>SUMIF('库存（子SKU）'!$C:$C,$A10,'库存（子SKU）'!AL:AL)</f>
        <v>2</v>
      </c>
      <c r="AK10">
        <f>SUMIF('库存（子SKU）'!$C:$C,$A10,'库存（子SKU）'!AM:AM)</f>
        <v>2</v>
      </c>
      <c r="AL10" s="23">
        <f t="shared" si="6"/>
        <v>0.0666666666666667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0.142857142857143</v>
      </c>
      <c r="AQ10" s="7">
        <f t="shared" si="11"/>
        <v>8.57142857142857</v>
      </c>
      <c r="AR10" s="7">
        <f t="shared" si="12"/>
        <v>10.4285714285714</v>
      </c>
      <c r="AS10">
        <f t="shared" si="13"/>
        <v>133</v>
      </c>
      <c r="AT10" s="2">
        <f>IFERROR($A$2+AS10,"上周无销量")</f>
        <v>43409</v>
      </c>
    </row>
    <row r="11" spans="1:46">
      <c r="A11" t="s">
        <v>107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s">
        <v>140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221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e">
        <v>#N/A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54</v>
      </c>
      <c r="G14">
        <f>SUMIF('库存（子SKU）'!$C:$C,$A14,'库存（子SKU）'!I:I)</f>
        <v>10</v>
      </c>
      <c r="H14">
        <f>SUMIF('库存（子SKU）'!$C:$C,$A14,'库存（子SKU）'!J:J)</f>
        <v>141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151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4186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24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>
        <f t="shared" si="15"/>
        <v>0.00573339703774486</v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29.71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>无销量广告费为29.71</v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15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>
        <f t="shared" si="6"/>
        <v>0</v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151</v>
      </c>
      <c r="AS14" t="str">
        <f t="shared" si="13"/>
        <v>库存为151</v>
      </c>
      <c r="AT14" s="2" t="str">
        <f>IFERROR($A$2+AS14,"上周无销量")</f>
        <v>上周无销量</v>
      </c>
    </row>
    <row r="15" spans="1:46">
      <c r="A15" t="s">
        <v>276</v>
      </c>
      <c r="B15" s="5">
        <f>SUMIF('库存（子SKU）'!$C:$C,$A15,'库存（子SKU）'!D:D)</f>
        <v>1</v>
      </c>
      <c r="C15" s="5">
        <f>SUMIF('库存（子SKU）'!$C:$C,$A15,'库存（子SKU）'!E:E)</f>
        <v>1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>
        <v>20.99</v>
      </c>
      <c r="G15">
        <f>SUMIF('库存（子SKU）'!$C:$C,$A15,'库存（子SKU）'!I:I)</f>
        <v>12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12</v>
      </c>
      <c r="L15">
        <f>SUMIF('库存（子SKU）'!$C:$C,$A15,'库存（子SKU）'!N:N)</f>
        <v>0</v>
      </c>
      <c r="M15">
        <f>SUMIF('库存（子SKU）'!$C:$C,$A15,'库存（子SKU）'!O:O)</f>
        <v>12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5</v>
      </c>
      <c r="AI15">
        <f>SUMIF('库存（子SKU）'!$C:$C,$A15,'库存（子SKU）'!AK:AK)</f>
        <v>8</v>
      </c>
      <c r="AJ15">
        <f>SUMIF('库存（子SKU）'!$C:$C,$A15,'库存（子SKU）'!AL:AL)</f>
        <v>3</v>
      </c>
      <c r="AK15">
        <f>SUMIF('库存（子SKU）'!$C:$C,$A15,'库存（子SKU）'!AM:AM)</f>
        <v>3</v>
      </c>
      <c r="AL15" s="23">
        <f t="shared" si="6"/>
        <v>0.2</v>
      </c>
      <c r="AM15" s="23">
        <f t="shared" si="7"/>
        <v>0.125</v>
      </c>
      <c r="AN15" s="23">
        <f t="shared" si="8"/>
        <v>0</v>
      </c>
      <c r="AO15" s="23">
        <f t="shared" si="9"/>
        <v>0</v>
      </c>
      <c r="AP15" s="7">
        <f t="shared" si="10"/>
        <v>0.142857142857143</v>
      </c>
      <c r="AQ15" s="7">
        <f t="shared" si="11"/>
        <v>8.57142857142857</v>
      </c>
      <c r="AR15" s="7">
        <f t="shared" si="12"/>
        <v>3.42857142857143</v>
      </c>
      <c r="AS15">
        <f t="shared" si="13"/>
        <v>84</v>
      </c>
      <c r="AT15" s="2">
        <f>IFERROR($A$2+AS15,"上周无销量")</f>
        <v>43360</v>
      </c>
    </row>
    <row r="16" spans="1:46">
      <c r="A16" t="s">
        <v>281</v>
      </c>
      <c r="B16" s="5">
        <f>SUMIF('库存（子SKU）'!$C:$C,$A16,'库存（子SKU）'!D:D)</f>
        <v>0</v>
      </c>
      <c r="C16" s="5">
        <f>SUMIF('库存（子SKU）'!$C:$C,$A16,'库存（子SKU）'!E:E)</f>
        <v>1</v>
      </c>
      <c r="D16" s="5">
        <f>SUMIF('库存（子SKU）'!$C:$C,$A16,'库存（子SKU）'!F:F)</f>
        <v>1</v>
      </c>
      <c r="E16" s="5">
        <f>SUMIF('库存（子SKU）'!$C:$C,$A16,'库存（子SKU）'!G:G)</f>
        <v>0</v>
      </c>
      <c r="F16" s="6">
        <v>25.99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>
        <f t="shared" si="3"/>
        <v>0</v>
      </c>
      <c r="AF16" s="23">
        <f t="shared" si="4"/>
        <v>0</v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5</v>
      </c>
      <c r="AJ16">
        <f>SUMIF('库存（子SKU）'!$C:$C,$A16,'库存（子SKU）'!AL:AL)</f>
        <v>10</v>
      </c>
      <c r="AK16">
        <f>SUMIF('库存（子SKU）'!$C:$C,$A16,'库存（子SKU）'!AM:AM)</f>
        <v>2</v>
      </c>
      <c r="AL16" s="23" t="str">
        <f t="shared" si="6"/>
        <v/>
      </c>
      <c r="AM16" s="23">
        <f t="shared" si="7"/>
        <v>0.2</v>
      </c>
      <c r="AN16" s="23">
        <f t="shared" si="8"/>
        <v>0.1</v>
      </c>
      <c r="AO16" s="23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IFERROR($A$2+AS16,"上周无销量")</f>
        <v>上周无销量</v>
      </c>
    </row>
    <row r="17" spans="1:46">
      <c r="A17" t="s">
        <v>286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81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>
        <f t="shared" si="18"/>
        <v>0</v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IFERROR($A$2+AS17,"上周无销量")</f>
        <v>上周无销量</v>
      </c>
    </row>
    <row r="18" spans="1:46">
      <c r="A18" t="s">
        <v>289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</v>
      </c>
      <c r="L18">
        <f>SUMIF('库存（子SKU）'!$C:$C,$A18,'库存（子SKU）'!N:N)</f>
        <v>0</v>
      </c>
      <c r="M18">
        <f>SUMIF('库存（子SKU）'!$C:$C,$A18,'库存（子SKU）'!O:O)</f>
        <v>2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2</v>
      </c>
      <c r="AI18">
        <f>SUMIF('库存（子SKU）'!$C:$C,$A18,'库存（子SKU）'!AK:AK)</f>
        <v>3</v>
      </c>
      <c r="AJ18">
        <f>SUMIF('库存（子SKU）'!$C:$C,$A18,'库存（子SKU）'!AL:AL)</f>
        <v>2</v>
      </c>
      <c r="AK18">
        <f>SUMIF('库存（子SKU）'!$C:$C,$A18,'库存（子SKU）'!AM:AM)</f>
        <v>3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2</v>
      </c>
      <c r="AS18" t="str">
        <f t="shared" si="13"/>
        <v>库存为2</v>
      </c>
      <c r="AT18" s="2" t="str">
        <f>IFERROR($A$2+AS18,"上周无销量")</f>
        <v>上周无销量</v>
      </c>
    </row>
    <row r="19" spans="1:46">
      <c r="A19" t="s">
        <v>293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9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9</v>
      </c>
      <c r="L19">
        <f>SUMIF('库存（子SKU）'!$C:$C,$A19,'库存（子SKU）'!N:N)</f>
        <v>0</v>
      </c>
      <c r="M19">
        <f>SUMIF('库存（子SKU）'!$C:$C,$A19,'库存（子SKU）'!O:O)</f>
        <v>9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7</v>
      </c>
      <c r="AI19">
        <f>SUMIF('库存（子SKU）'!$C:$C,$A19,'库存（子SKU）'!AK:AK)</f>
        <v>12</v>
      </c>
      <c r="AJ19">
        <f>SUMIF('库存（子SKU）'!$C:$C,$A19,'库存（子SKU）'!AL:AL)</f>
        <v>1</v>
      </c>
      <c r="AK19">
        <f>SUMIF('库存（子SKU）'!$C:$C,$A19,'库存（子SKU）'!AM:AM)</f>
        <v>3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9</v>
      </c>
      <c r="AS19" t="str">
        <f t="shared" si="13"/>
        <v>库存为9</v>
      </c>
      <c r="AT19" s="2" t="str">
        <f>IFERROR($A$2+AS19,"上周无销量")</f>
        <v>上周无销量</v>
      </c>
    </row>
    <row r="20" spans="1:46">
      <c r="A20" t="s">
        <v>300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7">
        <f t="shared" si="10"/>
        <v>0</v>
      </c>
      <c r="AQ20" s="7">
        <f t="shared" si="11"/>
        <v>0</v>
      </c>
      <c r="AR20" s="7">
        <f t="shared" si="12"/>
        <v>0</v>
      </c>
      <c r="AS20" t="str">
        <f t="shared" si="13"/>
        <v>库存为0</v>
      </c>
      <c r="AT20" s="2" t="str">
        <f>IFERROR($A$2+AS20,"上周无销量")</f>
        <v>上周无销量</v>
      </c>
    </row>
    <row r="21" spans="1:46">
      <c r="A21" t="s">
        <v>405</v>
      </c>
      <c r="B21" s="5">
        <f>SUMIF('库存（子SKU）'!$C:$C,$A21,'库存（子SKU）'!D:D)</f>
        <v>4</v>
      </c>
      <c r="C21" s="5">
        <f>SUMIF('库存（子SKU）'!$C:$C,$A21,'库存（子SKU）'!E:E)</f>
        <v>6</v>
      </c>
      <c r="D21" s="5">
        <f>SUMIF('库存（子SKU）'!$C:$C,$A21,'库存（子SKU）'!F:F)</f>
        <v>2</v>
      </c>
      <c r="E21" s="5">
        <f>SUMIF('库存（子SKU）'!$C:$C,$A21,'库存（子SKU）'!G:G)</f>
        <v>2</v>
      </c>
      <c r="F21" s="6">
        <v>9.78214285714286</v>
      </c>
      <c r="G21">
        <f>SUMIF('库存（子SKU）'!$C:$C,$A21,'库存（子SKU）'!I:I)</f>
        <v>101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101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950</v>
      </c>
      <c r="O21">
        <f>SUMIF('库存（子SKU）'!$C:$C,$A21,'库存（子SKU）'!Q:Q)</f>
        <v>169</v>
      </c>
      <c r="P21">
        <f>SUMIF('库存（子SKU）'!$C:$C,$A21,'库存（子SKU）'!R:R)</f>
        <v>169</v>
      </c>
      <c r="Q21">
        <f>SUMIF('库存（子SKU）'!$C:$C,$A21,'库存（子SKU）'!S:S)</f>
        <v>200</v>
      </c>
      <c r="R21">
        <f>SUMIF('库存（子SKU）'!$C:$C,$A21,'库存（子SKU）'!T:T)</f>
        <v>10</v>
      </c>
      <c r="S21">
        <f>SUMIF('库存（子SKU）'!$C:$C,$A21,'库存（子SKU）'!U:U)</f>
        <v>2</v>
      </c>
      <c r="T21">
        <f>SUMIF('库存（子SKU）'!$C:$C,$A21,'库存（子SKU）'!V:V)</f>
        <v>2</v>
      </c>
      <c r="U21">
        <f>SUMIF('库存（子SKU）'!$C:$C,$A21,'库存（子SKU）'!W:W)</f>
        <v>0</v>
      </c>
      <c r="V21" s="23">
        <f t="shared" si="15"/>
        <v>0.0105263157894737</v>
      </c>
      <c r="W21" s="23">
        <f t="shared" si="16"/>
        <v>0.0118343195266272</v>
      </c>
      <c r="X21" s="23">
        <f t="shared" si="17"/>
        <v>0.0118343195266272</v>
      </c>
      <c r="Y21" s="23">
        <f t="shared" si="18"/>
        <v>0</v>
      </c>
      <c r="Z21">
        <f>SUMIF('库存（子SKU）'!$C:$C,$A21,'库存（子SKU）'!AB:AB)</f>
        <v>10.97</v>
      </c>
      <c r="AA21">
        <f>SUMIF('库存（子SKU）'!$C:$C,$A21,'库存（子SKU）'!AC:AC)</f>
        <v>0.69</v>
      </c>
      <c r="AB21">
        <f>SUMIF('库存（子SKU）'!$C:$C,$A21,'库存（子SKU）'!AD:AD)</f>
        <v>0.69</v>
      </c>
      <c r="AC21">
        <f>SUMIF('库存（子SKU）'!$C:$C,$A21,'库存（子SKU）'!AE:AE)</f>
        <v>0</v>
      </c>
      <c r="AD21" s="23">
        <f t="shared" si="2"/>
        <v>0.280357794815626</v>
      </c>
      <c r="AE21" s="23">
        <f t="shared" si="3"/>
        <v>0.0117561153705732</v>
      </c>
      <c r="AF21" s="23">
        <f t="shared" si="4"/>
        <v>0.0352683461117196</v>
      </c>
      <c r="AG21" s="23">
        <f t="shared" si="5"/>
        <v>0</v>
      </c>
      <c r="AH21">
        <f>SUMIF('库存（子SKU）'!$C:$C,$A21,'库存（子SKU）'!AJ:AJ)</f>
        <v>69</v>
      </c>
      <c r="AI21">
        <f>SUMIF('库存（子SKU）'!$C:$C,$A21,'库存（子SKU）'!AK:AK)</f>
        <v>39</v>
      </c>
      <c r="AJ21">
        <f>SUMIF('库存（子SKU）'!$C:$C,$A21,'库存（子SKU）'!AL:AL)</f>
        <v>42</v>
      </c>
      <c r="AK21">
        <f>SUMIF('库存（子SKU）'!$C:$C,$A21,'库存（子SKU）'!AM:AM)</f>
        <v>25</v>
      </c>
      <c r="AL21" s="23">
        <f t="shared" si="6"/>
        <v>0.0579710144927536</v>
      </c>
      <c r="AM21" s="23">
        <f t="shared" si="7"/>
        <v>0.153846153846154</v>
      </c>
      <c r="AN21" s="23">
        <f t="shared" si="8"/>
        <v>0.0476190476190476</v>
      </c>
      <c r="AO21" s="23">
        <f t="shared" si="9"/>
        <v>0.08</v>
      </c>
      <c r="AP21" s="7">
        <f t="shared" si="10"/>
        <v>0.571428571428571</v>
      </c>
      <c r="AQ21" s="7">
        <f t="shared" si="11"/>
        <v>34.2857142857143</v>
      </c>
      <c r="AR21" s="7">
        <f t="shared" si="12"/>
        <v>66.7142857142857</v>
      </c>
      <c r="AS21">
        <f t="shared" si="13"/>
        <v>176</v>
      </c>
      <c r="AT21" s="2">
        <f>IFERROR($A$2+AS21,"上周无销量")</f>
        <v>43452</v>
      </c>
    </row>
    <row r="22" spans="1:46">
      <c r="A22" t="s">
        <v>416</v>
      </c>
      <c r="B22" s="5">
        <f>SUMIF('库存（子SKU）'!$C:$C,$A22,'库存（子SKU）'!D:D)</f>
        <v>5</v>
      </c>
      <c r="C22" s="5">
        <f>SUMIF('库存（子SKU）'!$C:$C,$A22,'库存（子SKU）'!E:E)</f>
        <v>3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>
        <v>30.99</v>
      </c>
      <c r="G22">
        <f>SUMIF('库存（子SKU）'!$C:$C,$A22,'库存（子SKU）'!I:I)</f>
        <v>5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5</v>
      </c>
      <c r="L22">
        <f>SUMIF('库存（子SKU）'!$C:$C,$A22,'库存（子SKU）'!N:N)</f>
        <v>0</v>
      </c>
      <c r="M22">
        <f>SUMIF('库存（子SKU）'!$C:$C,$A22,'库存（子SKU）'!O:O)</f>
        <v>8</v>
      </c>
      <c r="N22">
        <f>SUMIF('库存（子SKU）'!$C:$C,$A22,'库存（子SKU）'!P:P)</f>
        <v>36597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27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>
        <f t="shared" si="15"/>
        <v>0.000737765390605787</v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28.86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0.186253630203291</v>
      </c>
      <c r="AE22" s="23">
        <f t="shared" si="3"/>
        <v>0</v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40</v>
      </c>
      <c r="AI22">
        <f>SUMIF('库存（子SKU）'!$C:$C,$A22,'库存（子SKU）'!AK:AK)</f>
        <v>3</v>
      </c>
      <c r="AJ22">
        <f>SUMIF('库存（子SKU）'!$C:$C,$A22,'库存（子SKU）'!AL:AL)</f>
        <v>9</v>
      </c>
      <c r="AK22">
        <f>SUMIF('库存（子SKU）'!$C:$C,$A22,'库存（子SKU）'!AM:AM)</f>
        <v>12</v>
      </c>
      <c r="AL22" s="23">
        <f t="shared" si="6"/>
        <v>0.125</v>
      </c>
      <c r="AM22" s="23">
        <f t="shared" si="7"/>
        <v>1</v>
      </c>
      <c r="AN22" s="23">
        <f t="shared" si="8"/>
        <v>0</v>
      </c>
      <c r="AO22" s="23">
        <f t="shared" si="9"/>
        <v>0</v>
      </c>
      <c r="AP22" s="7">
        <f t="shared" si="10"/>
        <v>0.714285714285714</v>
      </c>
      <c r="AQ22" s="7">
        <f t="shared" si="11"/>
        <v>42.8571428571429</v>
      </c>
      <c r="AR22" s="7">
        <f t="shared" si="12"/>
        <v>-37.8571428571429</v>
      </c>
      <c r="AS22">
        <f t="shared" si="13"/>
        <v>7</v>
      </c>
      <c r="AT22" s="2">
        <f>IFERROR($A$2+AS22,"上周无销量")</f>
        <v>43283</v>
      </c>
    </row>
    <row r="23" spans="1:46">
      <c r="A23" t="s">
        <v>420</v>
      </c>
      <c r="B23" s="5">
        <f>SUMIF('库存（子SKU）'!$C:$C,$A23,'库存（子SKU）'!D:D)</f>
        <v>2</v>
      </c>
      <c r="C23" s="5">
        <f>SUMIF('库存（子SKU）'!$C:$C,$A23,'库存（子SKU）'!E:E)</f>
        <v>1</v>
      </c>
      <c r="D23" s="5">
        <f>SUMIF('库存（子SKU）'!$C:$C,$A23,'库存（子SKU）'!F:F)</f>
        <v>2</v>
      </c>
      <c r="E23" s="5">
        <f>SUMIF('库存（子SKU）'!$C:$C,$A23,'库存（子SKU）'!G:G)</f>
        <v>0</v>
      </c>
      <c r="F23" s="6">
        <v>12</v>
      </c>
      <c r="G23">
        <f>SUMIF('库存（子SKU）'!$C:$C,$A23,'库存（子SKU）'!I:I)</f>
        <v>67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67</v>
      </c>
      <c r="L23">
        <f>SUMIF('库存（子SKU）'!$C:$C,$A23,'库存（子SKU）'!N:N)</f>
        <v>0</v>
      </c>
      <c r="M23">
        <f>SUMIF('库存（子SKU）'!$C:$C,$A23,'库存（子SKU）'!O:O)</f>
        <v>65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>
        <f t="shared" si="2"/>
        <v>0</v>
      </c>
      <c r="AE23" s="23">
        <f t="shared" si="3"/>
        <v>0</v>
      </c>
      <c r="AF23" s="23">
        <f t="shared" si="4"/>
        <v>0</v>
      </c>
      <c r="AG23" s="23" t="str">
        <f t="shared" si="5"/>
        <v/>
      </c>
      <c r="AH23">
        <f>SUMIF('库存（子SKU）'!$C:$C,$A23,'库存（子SKU）'!AJ:AJ)</f>
        <v>37</v>
      </c>
      <c r="AI23">
        <f>SUMIF('库存（子SKU）'!$C:$C,$A23,'库存（子SKU）'!AK:AK)</f>
        <v>39</v>
      </c>
      <c r="AJ23">
        <f>SUMIF('库存（子SKU）'!$C:$C,$A23,'库存（子SKU）'!AL:AL)</f>
        <v>48</v>
      </c>
      <c r="AK23">
        <f>SUMIF('库存（子SKU）'!$C:$C,$A23,'库存（子SKU）'!AM:AM)</f>
        <v>44</v>
      </c>
      <c r="AL23" s="23">
        <f t="shared" si="6"/>
        <v>0.0540540540540541</v>
      </c>
      <c r="AM23" s="23">
        <f t="shared" si="7"/>
        <v>0.0256410256410256</v>
      </c>
      <c r="AN23" s="23">
        <f t="shared" si="8"/>
        <v>0.0416666666666667</v>
      </c>
      <c r="AO23" s="23">
        <f t="shared" si="9"/>
        <v>0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49.8571428571429</v>
      </c>
      <c r="AS23">
        <f t="shared" si="13"/>
        <v>234</v>
      </c>
      <c r="AT23" s="2">
        <f>IFERROR($A$2+AS23,"上周无销量")</f>
        <v>43510</v>
      </c>
    </row>
    <row r="24" spans="1:46">
      <c r="A24" t="s">
        <v>479</v>
      </c>
      <c r="B24" s="5">
        <f>SUMIF('库存（子SKU）'!$C:$C,$A24,'库存（子SKU）'!D:D)</f>
        <v>2</v>
      </c>
      <c r="C24" s="5">
        <f>SUMIF('库存（子SKU）'!$C:$C,$A24,'库存（子SKU）'!E:E)</f>
        <v>11</v>
      </c>
      <c r="D24" s="5">
        <f>SUMIF('库存（子SKU）'!$C:$C,$A24,'库存（子SKU）'!F:F)</f>
        <v>3</v>
      </c>
      <c r="E24" s="5">
        <f>SUMIF('库存（子SKU）'!$C:$C,$A24,'库存（子SKU）'!G:G)</f>
        <v>3</v>
      </c>
      <c r="F24" s="6">
        <v>17.9421052631579</v>
      </c>
      <c r="G24">
        <f>SUMIF('库存（子SKU）'!$C:$C,$A24,'库存（子SKU）'!I:I)</f>
        <v>48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3</v>
      </c>
      <c r="K24">
        <f t="shared" si="0"/>
        <v>51</v>
      </c>
      <c r="L24">
        <f>SUMIF('库存（子SKU）'!$C:$C,$A24,'库存（子SKU）'!N:N)</f>
        <v>0</v>
      </c>
      <c r="M24">
        <f>SUMIF('库存（子SKU）'!$C:$C,$A24,'库存（子SKU）'!O:O)</f>
        <v>3</v>
      </c>
      <c r="N24">
        <f>SUMIF('库存（子SKU）'!$C:$C,$A24,'库存（子SKU）'!P:P)</f>
        <v>11024</v>
      </c>
      <c r="O24">
        <f>SUMIF('库存（子SKU）'!$C:$C,$A24,'库存（子SKU）'!Q:Q)</f>
        <v>25756</v>
      </c>
      <c r="P24">
        <f>SUMIF('库存（子SKU）'!$C:$C,$A24,'库存（子SKU）'!R:R)</f>
        <v>25756</v>
      </c>
      <c r="Q24">
        <f>SUMIF('库存（子SKU）'!$C:$C,$A24,'库存（子SKU）'!S:S)</f>
        <v>2677</v>
      </c>
      <c r="R24">
        <f>SUMIF('库存（子SKU）'!$C:$C,$A24,'库存（子SKU）'!T:T)</f>
        <v>39</v>
      </c>
      <c r="S24">
        <f>SUMIF('库存（子SKU）'!$C:$C,$A24,'库存（子SKU）'!U:U)</f>
        <v>22</v>
      </c>
      <c r="T24">
        <f>SUMIF('库存（子SKU）'!$C:$C,$A24,'库存（子SKU）'!V:V)</f>
        <v>22</v>
      </c>
      <c r="U24">
        <f>SUMIF('库存（子SKU）'!$C:$C,$A24,'库存（子SKU）'!W:W)</f>
        <v>11</v>
      </c>
      <c r="V24" s="23">
        <f t="shared" si="15"/>
        <v>0.0035377358490566</v>
      </c>
      <c r="W24" s="23">
        <f t="shared" si="16"/>
        <v>0.00085416990215872</v>
      </c>
      <c r="X24" s="23">
        <f t="shared" si="17"/>
        <v>0.00085416990215872</v>
      </c>
      <c r="Y24" s="23">
        <f t="shared" si="18"/>
        <v>0.00410907732536421</v>
      </c>
      <c r="Z24">
        <f>SUMIF('库存（子SKU）'!$C:$C,$A24,'库存（子SKU）'!AB:AB)</f>
        <v>30.2</v>
      </c>
      <c r="AA24">
        <f>SUMIF('库存（子SKU）'!$C:$C,$A24,'库存（子SKU）'!AC:AC)</f>
        <v>16.07</v>
      </c>
      <c r="AB24">
        <f>SUMIF('库存（子SKU）'!$C:$C,$A24,'库存（子SKU）'!AD:AD)</f>
        <v>16.07</v>
      </c>
      <c r="AC24">
        <f>SUMIF('库存（子SKU）'!$C:$C,$A24,'库存（子SKU）'!AE:AE)</f>
        <v>7.3</v>
      </c>
      <c r="AD24" s="23">
        <f t="shared" si="2"/>
        <v>0.841595775887357</v>
      </c>
      <c r="AE24" s="23">
        <f t="shared" si="3"/>
        <v>0.08142350462679</v>
      </c>
      <c r="AF24" s="23">
        <f t="shared" si="4"/>
        <v>0.29855285029823</v>
      </c>
      <c r="AG24" s="23">
        <f t="shared" si="5"/>
        <v>0.135621394348294</v>
      </c>
      <c r="AH24">
        <f>SUMIF('库存（子SKU）'!$C:$C,$A24,'库存（子SKU）'!AJ:AJ)</f>
        <v>82</v>
      </c>
      <c r="AI24">
        <f>SUMIF('库存（子SKU）'!$C:$C,$A24,'库存（子SKU）'!AK:AK)</f>
        <v>54</v>
      </c>
      <c r="AJ24">
        <f>SUMIF('库存（子SKU）'!$C:$C,$A24,'库存（子SKU）'!AL:AL)</f>
        <v>42</v>
      </c>
      <c r="AK24">
        <f>SUMIF('库存（子SKU）'!$C:$C,$A24,'库存（子SKU）'!AM:AM)</f>
        <v>23</v>
      </c>
      <c r="AL24" s="23">
        <f t="shared" si="6"/>
        <v>0.024390243902439</v>
      </c>
      <c r="AM24" s="23">
        <f t="shared" si="7"/>
        <v>0.203703703703704</v>
      </c>
      <c r="AN24" s="23">
        <f t="shared" si="8"/>
        <v>0.0714285714285714</v>
      </c>
      <c r="AO24" s="23">
        <f t="shared" si="9"/>
        <v>0.130434782608696</v>
      </c>
      <c r="AP24" s="7">
        <f t="shared" si="10"/>
        <v>0.285714285714286</v>
      </c>
      <c r="AQ24" s="7">
        <f t="shared" si="11"/>
        <v>17.1428571428571</v>
      </c>
      <c r="AR24" s="7">
        <f t="shared" si="12"/>
        <v>33.8571428571429</v>
      </c>
      <c r="AS24">
        <f t="shared" si="13"/>
        <v>178</v>
      </c>
      <c r="AT24" s="2">
        <f>IFERROR($A$2+AS24,"上周无销量")</f>
        <v>43454</v>
      </c>
    </row>
    <row r="25" spans="1:46">
      <c r="A25" t="s">
        <v>492</v>
      </c>
      <c r="B25" s="5">
        <f>SUMIF('库存（子SKU）'!$C:$C,$A25,'库存（子SKU）'!D:D)</f>
        <v>3</v>
      </c>
      <c r="C25" s="5">
        <f>SUMIF('库存（子SKU）'!$C:$C,$A25,'库存（子SKU）'!E:E)</f>
        <v>1</v>
      </c>
      <c r="D25" s="5">
        <f>SUMIF('库存（子SKU）'!$C:$C,$A25,'库存（子SKU）'!F:F)</f>
        <v>6</v>
      </c>
      <c r="E25" s="5">
        <f>SUMIF('库存（子SKU）'!$C:$C,$A25,'库存（子SKU）'!G:G)</f>
        <v>5</v>
      </c>
      <c r="F25" s="6">
        <v>12</v>
      </c>
      <c r="G25">
        <f>SUMIF('库存（子SKU）'!$C:$C,$A25,'库存（子SKU）'!I:I)</f>
        <v>82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82</v>
      </c>
      <c r="L25">
        <f>SUMIF('库存（子SKU）'!$C:$C,$A25,'库存（子SKU）'!N:N)</f>
        <v>1</v>
      </c>
      <c r="M25">
        <f>SUMIF('库存（子SKU）'!$C:$C,$A25,'库存（子SKU）'!O:O)</f>
        <v>76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>
        <f t="shared" si="2"/>
        <v>0</v>
      </c>
      <c r="AE25" s="23">
        <f t="shared" si="3"/>
        <v>0</v>
      </c>
      <c r="AF25" s="23">
        <f t="shared" si="4"/>
        <v>0</v>
      </c>
      <c r="AG25" s="23">
        <f t="shared" si="5"/>
        <v>0</v>
      </c>
      <c r="AH25">
        <f>SUMIF('库存（子SKU）'!$C:$C,$A25,'库存（子SKU）'!AJ:AJ)</f>
        <v>41</v>
      </c>
      <c r="AI25">
        <f>SUMIF('库存（子SKU）'!$C:$C,$A25,'库存（子SKU）'!AK:AK)</f>
        <v>62</v>
      </c>
      <c r="AJ25">
        <f>SUMIF('库存（子SKU）'!$C:$C,$A25,'库存（子SKU）'!AL:AL)</f>
        <v>17</v>
      </c>
      <c r="AK25">
        <f>SUMIF('库存（子SKU）'!$C:$C,$A25,'库存（子SKU）'!AM:AM)</f>
        <v>59</v>
      </c>
      <c r="AL25" s="23">
        <f t="shared" si="6"/>
        <v>0.0731707317073171</v>
      </c>
      <c r="AM25" s="23">
        <f t="shared" si="7"/>
        <v>0.0161290322580645</v>
      </c>
      <c r="AN25" s="23">
        <f t="shared" si="8"/>
        <v>0.352941176470588</v>
      </c>
      <c r="AO25" s="23">
        <f t="shared" si="9"/>
        <v>0.0847457627118644</v>
      </c>
      <c r="AP25" s="7">
        <f t="shared" si="10"/>
        <v>0.428571428571429</v>
      </c>
      <c r="AQ25" s="7">
        <f t="shared" si="11"/>
        <v>25.7142857142857</v>
      </c>
      <c r="AR25" s="7">
        <f t="shared" si="12"/>
        <v>56.2857142857143</v>
      </c>
      <c r="AS25">
        <f t="shared" si="13"/>
        <v>191</v>
      </c>
      <c r="AT25" s="2">
        <f>IFERROR($A$2+AS25,"上周无销量")</f>
        <v>43467</v>
      </c>
    </row>
    <row r="26" spans="1:46">
      <c r="A26" t="s">
        <v>543</v>
      </c>
      <c r="B26" s="5">
        <f>SUMIF('库存（子SKU）'!$C:$C,$A26,'库存（子SKU）'!D:D)</f>
        <v>3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1</v>
      </c>
      <c r="F26" s="6">
        <v>10.7425</v>
      </c>
      <c r="G26">
        <f>SUMIF('库存（子SKU）'!$C:$C,$A26,'库存（子SKU）'!I:I)</f>
        <v>55</v>
      </c>
      <c r="H26">
        <f>SUMIF('库存（子SKU）'!$C:$C,$A26,'库存（子SKU）'!J:J)</f>
        <v>0</v>
      </c>
      <c r="I26">
        <f>SUMIF('库存（子SKU）'!$C:$C,$A26,'库存（子SKU）'!K:K)</f>
        <v>20</v>
      </c>
      <c r="J26">
        <f>SUMIF('库存（子SKU）'!$C:$C,$A26,'库存（子SKU）'!L:L)</f>
        <v>0</v>
      </c>
      <c r="K26">
        <f t="shared" si="0"/>
        <v>75</v>
      </c>
      <c r="L26">
        <f>SUMIF('库存（子SKU）'!$C:$C,$A26,'库存（子SKU）'!N:N)</f>
        <v>0</v>
      </c>
      <c r="M26">
        <f>SUMIF('库存（子SKU）'!$C:$C,$A26,'库存（子SKU）'!O:O)</f>
        <v>16</v>
      </c>
      <c r="N26">
        <f>SUMIF('库存（子SKU）'!$C:$C,$A26,'库存（子SKU）'!P:P)</f>
        <v>3710</v>
      </c>
      <c r="O26">
        <f>SUMIF('库存（子SKU）'!$C:$C,$A26,'库存（子SKU）'!Q:Q)</f>
        <v>266</v>
      </c>
      <c r="P26">
        <f>SUMIF('库存（子SKU）'!$C:$C,$A26,'库存（子SKU）'!R:R)</f>
        <v>266</v>
      </c>
      <c r="Q26">
        <f>SUMIF('库存（子SKU）'!$C:$C,$A26,'库存（子SKU）'!S:S)</f>
        <v>504</v>
      </c>
      <c r="R26">
        <f>SUMIF('库存（子SKU）'!$C:$C,$A26,'库存（子SKU）'!T:T)</f>
        <v>36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>
        <f t="shared" si="15"/>
        <v>0.00970350404312668</v>
      </c>
      <c r="W26" s="23">
        <f t="shared" si="16"/>
        <v>0</v>
      </c>
      <c r="X26" s="23">
        <f t="shared" si="17"/>
        <v>0</v>
      </c>
      <c r="Y26" s="23">
        <f t="shared" si="18"/>
        <v>0</v>
      </c>
      <c r="Z26">
        <f>SUMIF('库存（子SKU）'!$C:$C,$A26,'库存（子SKU）'!AB:AB)</f>
        <v>40.33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>
        <f t="shared" si="2"/>
        <v>1.25141571639128</v>
      </c>
      <c r="AE26" s="23" t="str">
        <f t="shared" si="3"/>
        <v/>
      </c>
      <c r="AF26" s="23" t="str">
        <f t="shared" si="4"/>
        <v/>
      </c>
      <c r="AG26" s="23">
        <f t="shared" si="5"/>
        <v>0</v>
      </c>
      <c r="AH26">
        <f>SUMIF('库存（子SKU）'!$C:$C,$A26,'库存（子SKU）'!AJ:AJ)</f>
        <v>112</v>
      </c>
      <c r="AI26">
        <f>SUMIF('库存（子SKU）'!$C:$C,$A26,'库存（子SKU）'!AK:AK)</f>
        <v>67</v>
      </c>
      <c r="AJ26">
        <f>SUMIF('库存（子SKU）'!$C:$C,$A26,'库存（子SKU）'!AL:AL)</f>
        <v>21</v>
      </c>
      <c r="AK26">
        <f>SUMIF('库存（子SKU）'!$C:$C,$A26,'库存（子SKU）'!AM:AM)</f>
        <v>9</v>
      </c>
      <c r="AL26" s="23">
        <f t="shared" si="6"/>
        <v>0.0267857142857143</v>
      </c>
      <c r="AM26" s="23">
        <f t="shared" si="7"/>
        <v>0</v>
      </c>
      <c r="AN26" s="23">
        <f t="shared" si="8"/>
        <v>0</v>
      </c>
      <c r="AO26" s="23">
        <f t="shared" si="9"/>
        <v>0.111111111111111</v>
      </c>
      <c r="AP26" s="7">
        <f t="shared" si="10"/>
        <v>0.428571428571429</v>
      </c>
      <c r="AQ26" s="7">
        <f t="shared" si="11"/>
        <v>25.7142857142857</v>
      </c>
      <c r="AR26" s="7">
        <f t="shared" si="12"/>
        <v>49.2857142857143</v>
      </c>
      <c r="AS26">
        <f t="shared" si="13"/>
        <v>175</v>
      </c>
      <c r="AT26" s="2">
        <f>IFERROR($A$2+AS26,"上周无销量")</f>
        <v>43451</v>
      </c>
    </row>
    <row r="27" spans="1:46">
      <c r="A27" t="s">
        <v>556</v>
      </c>
      <c r="B27" s="5">
        <f>SUMIF('库存（子SKU）'!$C:$C,$A27,'库存（子SKU）'!D:D)</f>
        <v>1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>
        <v>10.99</v>
      </c>
      <c r="G27">
        <f>SUMIF('库存（子SKU）'!$C:$C,$A27,'库存（子SKU）'!I:I)</f>
        <v>4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4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2016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13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>
        <f t="shared" si="15"/>
        <v>0.0064484126984127</v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15.08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>
        <f t="shared" si="2"/>
        <v>1.37215650591447</v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10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>
        <f t="shared" si="6"/>
        <v>0.1</v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-4.57142857142857</v>
      </c>
      <c r="AS27">
        <f t="shared" si="13"/>
        <v>28</v>
      </c>
      <c r="AT27" s="2">
        <f>IFERROR($A$2+AS27,"上周无销量")</f>
        <v>43304</v>
      </c>
    </row>
    <row r="28" spans="1:46">
      <c r="A28" t="s">
        <v>563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7">
        <f t="shared" si="10"/>
        <v>0</v>
      </c>
      <c r="AQ28" s="7">
        <f t="shared" si="11"/>
        <v>0</v>
      </c>
      <c r="AR28" s="7">
        <f t="shared" si="12"/>
        <v>0</v>
      </c>
      <c r="AS28" t="str">
        <f t="shared" si="13"/>
        <v>库存为0</v>
      </c>
      <c r="AT28" s="2" t="str">
        <f>IFERROR($A$2+AS28,"上周无销量")</f>
        <v>上周无销量</v>
      </c>
    </row>
    <row r="29" spans="1:46">
      <c r="A29" t="s">
        <v>612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0</v>
      </c>
      <c r="AS29" t="str">
        <f t="shared" si="13"/>
        <v>库存为0</v>
      </c>
      <c r="AT29" s="2" t="str">
        <f>IFERROR($A$2+AS29,"上周无销量")</f>
        <v>上周无销量</v>
      </c>
    </row>
    <row r="30" spans="1:46">
      <c r="A30" t="s">
        <v>623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3" t="str">
        <f t="shared" si="6"/>
        <v/>
      </c>
      <c r="AM30" s="23" t="str">
        <f t="shared" si="7"/>
        <v/>
      </c>
      <c r="AN30" s="23" t="str">
        <f t="shared" si="8"/>
        <v/>
      </c>
      <c r="AO30" s="23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IFERROR($A$2+AS30,"上周无销量")</f>
        <v>上周无销量</v>
      </c>
    </row>
    <row r="31" spans="1:46">
      <c r="A31" t="s">
        <v>634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655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2</v>
      </c>
      <c r="E32" s="5">
        <f>SUMIF('库存（子SKU）'!$C:$C,$A32,'库存（子SKU）'!G:G)</f>
        <v>2</v>
      </c>
      <c r="F32" s="6">
        <v>10.98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5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>
        <f t="shared" si="4"/>
        <v>0</v>
      </c>
      <c r="AG32" s="23">
        <f t="shared" si="5"/>
        <v>0</v>
      </c>
      <c r="AH32">
        <f>SUMIF('库存（子SKU）'!$C:$C,$A32,'库存（子SKU）'!AJ:AJ)</f>
        <v>0</v>
      </c>
      <c r="AI32">
        <f>SUMIF('库存（子SKU）'!$C:$C,$A32,'库存（子SKU）'!AK:AK)</f>
        <v>2</v>
      </c>
      <c r="AJ32">
        <f>SUMIF('库存（子SKU）'!$C:$C,$A32,'库存（子SKU）'!AL:AL)</f>
        <v>16</v>
      </c>
      <c r="AK32">
        <f>SUMIF('库存（子SKU）'!$C:$C,$A32,'库存（子SKU）'!AM:AM)</f>
        <v>26</v>
      </c>
      <c r="AL32" s="23" t="str">
        <f t="shared" si="6"/>
        <v/>
      </c>
      <c r="AM32" s="23">
        <f t="shared" si="7"/>
        <v>0</v>
      </c>
      <c r="AN32" s="23">
        <f t="shared" si="8"/>
        <v>0.125</v>
      </c>
      <c r="AO32" s="23">
        <f t="shared" si="9"/>
        <v>0.0769230769230769</v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IFERROR($A$2+AS32,"上周无销量")</f>
        <v>上周无销量</v>
      </c>
    </row>
    <row r="33" spans="1:46">
      <c r="A33" t="s">
        <v>674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IFERROR($A$2+AS33,"上周无销量")</f>
        <v>上周无销量</v>
      </c>
    </row>
    <row r="34" spans="1:46">
      <c r="A34" t="s">
        <v>705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">
        <v>54</v>
      </c>
      <c r="G34">
        <f>SUMIF('库存（子SKU）'!$C:$C,$A34,'库存（子SKU）'!I:I)</f>
        <v>24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24</v>
      </c>
      <c r="L34">
        <f>SUMIF('库存（子SKU）'!$C:$C,$A34,'库存（子SKU）'!N:N)</f>
        <v>0</v>
      </c>
      <c r="M34">
        <f>SUMIF('库存（子SKU）'!$C:$C,$A34,'库存（子SKU）'!O:O)</f>
        <v>23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30</v>
      </c>
      <c r="AI34">
        <f>SUMIF('库存（子SKU）'!$C:$C,$A34,'库存（子SKU）'!AK:AK)</f>
        <v>23</v>
      </c>
      <c r="AJ34">
        <f>SUMIF('库存（子SKU）'!$C:$C,$A34,'库存（子SKU）'!AL:AL)</f>
        <v>21</v>
      </c>
      <c r="AK34">
        <f>SUMIF('库存（子SKU）'!$C:$C,$A34,'库存（子SKU）'!AM:AM)</f>
        <v>14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7">
        <f t="shared" si="10"/>
        <v>0</v>
      </c>
      <c r="AQ34" s="7">
        <f t="shared" si="11"/>
        <v>0</v>
      </c>
      <c r="AR34" s="7">
        <f t="shared" si="12"/>
        <v>24</v>
      </c>
      <c r="AS34" t="str">
        <f t="shared" si="13"/>
        <v>库存为24</v>
      </c>
      <c r="AT34" s="2" t="str">
        <f>IFERROR($A$2+AS34,"上周无销量")</f>
        <v>上周无销量</v>
      </c>
    </row>
    <row r="35" spans="1:46">
      <c r="A35" t="s">
        <v>720</v>
      </c>
      <c r="B35" s="5">
        <f>SUMIF('库存（子SKU）'!$C:$C,$A35,'库存（子SKU）'!D:D)</f>
        <v>0</v>
      </c>
      <c r="C35" s="5">
        <f>SUMIF('库存（子SKU）'!$C:$C,$A35,'库存（子SKU）'!E:E)</f>
        <v>1</v>
      </c>
      <c r="D35" s="5">
        <f>SUMIF('库存（子SKU）'!$C:$C,$A35,'库存（子SKU）'!F:F)</f>
        <v>1</v>
      </c>
      <c r="E35" s="5">
        <f>SUMIF('库存（子SKU）'!$C:$C,$A35,'库存（子SKU）'!G:G)</f>
        <v>1</v>
      </c>
      <c r="F35" s="6">
        <v>20</v>
      </c>
      <c r="G35">
        <f>SUMIF('库存（子SKU）'!$C:$C,$A35,'库存（子SKU）'!I:I)</f>
        <v>121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121</v>
      </c>
      <c r="L35">
        <f>SUMIF('库存（子SKU）'!$C:$C,$A35,'库存（子SKU）'!N:N)</f>
        <v>0</v>
      </c>
      <c r="M35">
        <f>SUMIF('库存（子SKU）'!$C:$C,$A35,'库存（子SKU）'!O:O)</f>
        <v>116</v>
      </c>
      <c r="N35">
        <f>SUMIF('库存（子SKU）'!$C:$C,$A35,'库存（子SKU）'!P:P)</f>
        <v>638</v>
      </c>
      <c r="O35">
        <f>SUMIF('库存（子SKU）'!$C:$C,$A35,'库存（子SKU）'!Q:Q)</f>
        <v>524</v>
      </c>
      <c r="P35">
        <f>SUMIF('库存（子SKU）'!$C:$C,$A35,'库存（子SKU）'!R:R)</f>
        <v>524</v>
      </c>
      <c r="Q35">
        <f>SUMIF('库存（子SKU）'!$C:$C,$A35,'库存（子SKU）'!S:S)</f>
        <v>2099</v>
      </c>
      <c r="R35">
        <f>SUMIF('库存（子SKU）'!$C:$C,$A35,'库存（子SKU）'!T:T)</f>
        <v>3</v>
      </c>
      <c r="S35">
        <f>SUMIF('库存（子SKU）'!$C:$C,$A35,'库存（子SKU）'!U:U)</f>
        <v>1</v>
      </c>
      <c r="T35">
        <f>SUMIF('库存（子SKU）'!$C:$C,$A35,'库存（子SKU）'!V:V)</f>
        <v>1</v>
      </c>
      <c r="U35">
        <f>SUMIF('库存（子SKU）'!$C:$C,$A35,'库存（子SKU）'!W:W)</f>
        <v>2</v>
      </c>
      <c r="V35" s="23">
        <f t="shared" si="15"/>
        <v>0.00470219435736677</v>
      </c>
      <c r="W35" s="23">
        <f t="shared" si="16"/>
        <v>0.00190839694656489</v>
      </c>
      <c r="X35" s="23">
        <f t="shared" si="17"/>
        <v>0.00190839694656489</v>
      </c>
      <c r="Y35" s="23">
        <f t="shared" si="18"/>
        <v>0.000952834683182468</v>
      </c>
      <c r="Z35">
        <f>SUMIF('库存（子SKU）'!$C:$C,$A35,'库存（子SKU）'!AB:AB)</f>
        <v>1.11</v>
      </c>
      <c r="AA35">
        <f>SUMIF('库存（子SKU）'!$C:$C,$A35,'库存（子SKU）'!AC:AC)</f>
        <v>0.5</v>
      </c>
      <c r="AB35">
        <f>SUMIF('库存（子SKU）'!$C:$C,$A35,'库存（子SKU）'!AD:AD)</f>
        <v>0.5</v>
      </c>
      <c r="AC35">
        <f>SUMIF('库存（子SKU）'!$C:$C,$A35,'库存（子SKU）'!AE:AE)</f>
        <v>0.27</v>
      </c>
      <c r="AD35" s="23" t="str">
        <f t="shared" si="2"/>
        <v>无销量广告费为1.11</v>
      </c>
      <c r="AE35" s="23">
        <f t="shared" si="3"/>
        <v>0.025</v>
      </c>
      <c r="AF35" s="23">
        <f t="shared" si="4"/>
        <v>0.025</v>
      </c>
      <c r="AG35" s="23">
        <f t="shared" si="5"/>
        <v>0.0135</v>
      </c>
      <c r="AH35">
        <f>SUMIF('库存（子SKU）'!$C:$C,$A35,'库存（子SKU）'!AJ:AJ)</f>
        <v>66</v>
      </c>
      <c r="AI35">
        <f>SUMIF('库存（子SKU）'!$C:$C,$A35,'库存（子SKU）'!AK:AK)</f>
        <v>50</v>
      </c>
      <c r="AJ35">
        <f>SUMIF('库存（子SKU）'!$C:$C,$A35,'库存（子SKU）'!AL:AL)</f>
        <v>66</v>
      </c>
      <c r="AK35">
        <f>SUMIF('库存（子SKU）'!$C:$C,$A35,'库存（子SKU）'!AM:AM)</f>
        <v>31</v>
      </c>
      <c r="AL35" s="23">
        <f t="shared" si="6"/>
        <v>0</v>
      </c>
      <c r="AM35" s="23">
        <f t="shared" si="7"/>
        <v>0.02</v>
      </c>
      <c r="AN35" s="23">
        <f t="shared" si="8"/>
        <v>0.0151515151515152</v>
      </c>
      <c r="AO35" s="23">
        <f t="shared" si="9"/>
        <v>0.032258064516129</v>
      </c>
      <c r="AP35" s="7">
        <f t="shared" si="10"/>
        <v>0</v>
      </c>
      <c r="AQ35" s="7">
        <f t="shared" si="11"/>
        <v>0</v>
      </c>
      <c r="AR35" s="7">
        <f t="shared" si="12"/>
        <v>121</v>
      </c>
      <c r="AS35" t="str">
        <f t="shared" si="13"/>
        <v>库存为121</v>
      </c>
      <c r="AT35" s="2" t="str">
        <f>IFERROR($A$2+AS35,"上周无销量")</f>
        <v>上周无销量</v>
      </c>
    </row>
    <row r="36" spans="1:46">
      <c r="A36" t="s">
        <v>763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2</v>
      </c>
      <c r="E36" s="5">
        <f>SUMIF('库存（子SKU）'!$C:$C,$A36,'库存（子SKU）'!G:G)</f>
        <v>1</v>
      </c>
      <c r="F36" s="6">
        <v>16.6666666666667</v>
      </c>
      <c r="G36">
        <f>SUMIF('库存（子SKU）'!$C:$C,$A36,'库存（子SKU）'!I:I)</f>
        <v>57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57</v>
      </c>
      <c r="L36">
        <f>SUMIF('库存（子SKU）'!$C:$C,$A36,'库存（子SKU）'!N:N)</f>
        <v>0</v>
      </c>
      <c r="M36">
        <f>SUMIF('库存（子SKU）'!$C:$C,$A36,'库存（子SKU）'!O:O)</f>
        <v>55</v>
      </c>
      <c r="N36">
        <f>SUMIF('库存（子SKU）'!$C:$C,$A36,'库存（子SKU）'!P:P)</f>
        <v>851</v>
      </c>
      <c r="O36">
        <f>SUMIF('库存（子SKU）'!$C:$C,$A36,'库存（子SKU）'!Q:Q)</f>
        <v>1085</v>
      </c>
      <c r="P36">
        <f>SUMIF('库存（子SKU）'!$C:$C,$A36,'库存（子SKU）'!R:R)</f>
        <v>1085</v>
      </c>
      <c r="Q36">
        <f>SUMIF('库存（子SKU）'!$C:$C,$A36,'库存（子SKU）'!S:S)</f>
        <v>33569</v>
      </c>
      <c r="R36">
        <f>SUMIF('库存（子SKU）'!$C:$C,$A36,'库存（子SKU）'!T:T)</f>
        <v>6</v>
      </c>
      <c r="S36">
        <f>SUMIF('库存（子SKU）'!$C:$C,$A36,'库存（子SKU）'!U:U)</f>
        <v>3</v>
      </c>
      <c r="T36">
        <f>SUMIF('库存（子SKU）'!$C:$C,$A36,'库存（子SKU）'!V:V)</f>
        <v>3</v>
      </c>
      <c r="U36">
        <f>SUMIF('库存（子SKU）'!$C:$C,$A36,'库存（子SKU）'!W:W)</f>
        <v>42</v>
      </c>
      <c r="V36" s="23">
        <f t="shared" si="15"/>
        <v>0.00705052878965922</v>
      </c>
      <c r="W36" s="23">
        <f t="shared" si="16"/>
        <v>0.00276497695852535</v>
      </c>
      <c r="X36" s="23">
        <f t="shared" si="17"/>
        <v>0.00276497695852535</v>
      </c>
      <c r="Y36" s="23">
        <f t="shared" si="18"/>
        <v>0.00125115433882451</v>
      </c>
      <c r="Z36">
        <f>SUMIF('库存（子SKU）'!$C:$C,$A36,'库存（子SKU）'!AB:AB)</f>
        <v>1.61</v>
      </c>
      <c r="AA36">
        <f>SUMIF('库存（子SKU）'!$C:$C,$A36,'库存（子SKU）'!AC:AC)</f>
        <v>0.82</v>
      </c>
      <c r="AB36">
        <f>SUMIF('库存（子SKU）'!$C:$C,$A36,'库存（子SKU）'!AD:AD)</f>
        <v>0.82</v>
      </c>
      <c r="AC36">
        <f>SUMIF('库存（子SKU）'!$C:$C,$A36,'库存（子SKU）'!AE:AE)</f>
        <v>23.37</v>
      </c>
      <c r="AD36" s="23" t="str">
        <f t="shared" si="2"/>
        <v>无销量广告费为1.61</v>
      </c>
      <c r="AE36" s="23" t="str">
        <f t="shared" si="3"/>
        <v>无销量广告费为0.82</v>
      </c>
      <c r="AF36" s="23">
        <f t="shared" si="4"/>
        <v>0.0245999999999999</v>
      </c>
      <c r="AG36" s="23">
        <f t="shared" si="5"/>
        <v>1.4022</v>
      </c>
      <c r="AH36">
        <f>SUMIF('库存（子SKU）'!$C:$C,$A36,'库存（子SKU）'!AJ:AJ)</f>
        <v>42</v>
      </c>
      <c r="AI36">
        <f>SUMIF('库存（子SKU）'!$C:$C,$A36,'库存（子SKU）'!AK:AK)</f>
        <v>45</v>
      </c>
      <c r="AJ36">
        <f>SUMIF('库存（子SKU）'!$C:$C,$A36,'库存（子SKU）'!AL:AL)</f>
        <v>49</v>
      </c>
      <c r="AK36">
        <f>SUMIF('库存（子SKU）'!$C:$C,$A36,'库存（子SKU）'!AM:AM)</f>
        <v>60</v>
      </c>
      <c r="AL36" s="23">
        <f t="shared" si="6"/>
        <v>0</v>
      </c>
      <c r="AM36" s="23">
        <f t="shared" si="7"/>
        <v>0</v>
      </c>
      <c r="AN36" s="23">
        <f t="shared" si="8"/>
        <v>0.0408163265306122</v>
      </c>
      <c r="AO36" s="23">
        <f t="shared" si="9"/>
        <v>0.0166666666666667</v>
      </c>
      <c r="AP36" s="7">
        <f t="shared" si="10"/>
        <v>0</v>
      </c>
      <c r="AQ36" s="7">
        <f t="shared" si="11"/>
        <v>0</v>
      </c>
      <c r="AR36" s="7">
        <f t="shared" si="12"/>
        <v>57</v>
      </c>
      <c r="AS36" t="str">
        <f t="shared" si="13"/>
        <v>库存为57</v>
      </c>
      <c r="AT36" s="2" t="str">
        <f>IFERROR($A$2+AS36,"上周无销量")</f>
        <v>上周无销量</v>
      </c>
    </row>
    <row r="37" spans="1:46">
      <c r="A37" t="s">
        <v>794</v>
      </c>
      <c r="B37" s="5">
        <f>SUMIF('库存（子SKU）'!$C:$C,$A37,'库存（子SKU）'!D:D)</f>
        <v>4</v>
      </c>
      <c r="C37" s="5">
        <f>SUMIF('库存（子SKU）'!$C:$C,$A37,'库存（子SKU）'!E:E)</f>
        <v>2</v>
      </c>
      <c r="D37" s="5">
        <f>SUMIF('库存（子SKU）'!$C:$C,$A37,'库存（子SKU）'!F:F)</f>
        <v>0</v>
      </c>
      <c r="E37" s="5">
        <f>SUMIF('库存（子SKU）'!$C:$C,$A37,'库存（子SKU）'!G:G)</f>
        <v>1</v>
      </c>
      <c r="F37" s="6">
        <v>10.7142857142857</v>
      </c>
      <c r="G37">
        <f>SUMIF('库存（子SKU）'!$C:$C,$A37,'库存（子SKU）'!I:I)</f>
        <v>14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14</v>
      </c>
      <c r="L37">
        <f>SUMIF('库存（子SKU）'!$C:$C,$A37,'库存（子SKU）'!N:N)</f>
        <v>0</v>
      </c>
      <c r="M37">
        <f>SUMIF('库存（子SKU）'!$C:$C,$A37,'库存（子SKU）'!O:O)</f>
        <v>13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>
        <f t="shared" si="2"/>
        <v>0</v>
      </c>
      <c r="AE37" s="23">
        <f t="shared" si="3"/>
        <v>0</v>
      </c>
      <c r="AF37" s="23" t="str">
        <f t="shared" si="4"/>
        <v/>
      </c>
      <c r="AG37" s="23">
        <f t="shared" si="5"/>
        <v>0</v>
      </c>
      <c r="AH37">
        <f>SUMIF('库存（子SKU）'!$C:$C,$A37,'库存（子SKU）'!AJ:AJ)</f>
        <v>16</v>
      </c>
      <c r="AI37">
        <f>SUMIF('库存（子SKU）'!$C:$C,$A37,'库存（子SKU）'!AK:AK)</f>
        <v>24</v>
      </c>
      <c r="AJ37">
        <f>SUMIF('库存（子SKU）'!$C:$C,$A37,'库存（子SKU）'!AL:AL)</f>
        <v>25</v>
      </c>
      <c r="AK37">
        <f>SUMIF('库存（子SKU）'!$C:$C,$A37,'库存（子SKU）'!AM:AM)</f>
        <v>30</v>
      </c>
      <c r="AL37" s="23">
        <f t="shared" si="6"/>
        <v>0.25</v>
      </c>
      <c r="AM37" s="23">
        <f t="shared" si="7"/>
        <v>0.0833333333333333</v>
      </c>
      <c r="AN37" s="23">
        <f t="shared" si="8"/>
        <v>0</v>
      </c>
      <c r="AO37" s="23">
        <f t="shared" si="9"/>
        <v>0.0333333333333333</v>
      </c>
      <c r="AP37" s="7">
        <f t="shared" si="10"/>
        <v>0.571428571428571</v>
      </c>
      <c r="AQ37" s="7">
        <f t="shared" si="11"/>
        <v>34.2857142857143</v>
      </c>
      <c r="AR37" s="7">
        <f t="shared" si="12"/>
        <v>-20.2857142857143</v>
      </c>
      <c r="AS37">
        <f t="shared" si="13"/>
        <v>24</v>
      </c>
      <c r="AT37" s="2">
        <f>IFERROR($A$2+AS37,"上周无销量")</f>
        <v>43300</v>
      </c>
    </row>
    <row r="38" spans="1:46">
      <c r="A38" t="s">
        <v>811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IFERROR($A$2+AS38,"上周无销量")</f>
        <v>上周无销量</v>
      </c>
    </row>
    <row r="39" spans="1:46">
      <c r="A39" t="s">
        <v>814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0</v>
      </c>
      <c r="AS39" t="str">
        <f t="shared" si="13"/>
        <v>库存为0</v>
      </c>
      <c r="AT39" s="2" t="str">
        <f>IFERROR($A$2+AS39,"上周无销量")</f>
        <v>上周无销量</v>
      </c>
    </row>
    <row r="40" spans="1:46">
      <c r="A40" t="s">
        <v>819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54</v>
      </c>
      <c r="G40">
        <f>SUMIF('库存（子SKU）'!$C:$C,$A40,'库存（子SKU）'!I:I)</f>
        <v>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</v>
      </c>
      <c r="L40">
        <f>SUMIF('库存（子SKU）'!$C:$C,$A40,'库存（子SKU）'!N:N)</f>
        <v>0</v>
      </c>
      <c r="M40">
        <f>SUMIF('库存（子SKU）'!$C:$C,$A40,'库存（子SKU）'!O:O)</f>
        <v>1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8</v>
      </c>
      <c r="AI40">
        <f>SUMIF('库存（子SKU）'!$C:$C,$A40,'库存（子SKU）'!AK:AK)</f>
        <v>7</v>
      </c>
      <c r="AJ40">
        <f>SUMIF('库存（子SKU）'!$C:$C,$A40,'库存（子SKU）'!AL:AL)</f>
        <v>4</v>
      </c>
      <c r="AK40">
        <f>SUMIF('库存（子SKU）'!$C:$C,$A40,'库存（子SKU）'!AM:AM)</f>
        <v>6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</v>
      </c>
      <c r="AS40" t="str">
        <f t="shared" si="13"/>
        <v>库存为1</v>
      </c>
      <c r="AT40" s="2" t="str">
        <f>IFERROR($A$2+AS40,"上周无销量")</f>
        <v>上周无销量</v>
      </c>
    </row>
    <row r="41" spans="1:46">
      <c r="A41" t="s">
        <v>826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54</v>
      </c>
      <c r="G41">
        <f>SUMIF('库存（子SKU）'!$C:$C,$A41,'库存（子SKU）'!I:I)</f>
        <v>17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17</v>
      </c>
      <c r="L41">
        <f>SUMIF('库存（子SKU）'!$C:$C,$A41,'库存（子SKU）'!N:N)</f>
        <v>0</v>
      </c>
      <c r="M41">
        <f>SUMIF('库存（子SKU）'!$C:$C,$A41,'库存（子SKU）'!O:O)</f>
        <v>17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18</v>
      </c>
      <c r="AI41">
        <f>SUMIF('库存（子SKU）'!$C:$C,$A41,'库存（子SKU）'!AK:AK)</f>
        <v>13</v>
      </c>
      <c r="AJ41">
        <f>SUMIF('库存（子SKU）'!$C:$C,$A41,'库存（子SKU）'!AL:AL)</f>
        <v>20</v>
      </c>
      <c r="AK41">
        <f>SUMIF('库存（子SKU）'!$C:$C,$A41,'库存（子SKU）'!AM:AM)</f>
        <v>13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17</v>
      </c>
      <c r="AS41" t="str">
        <f t="shared" si="13"/>
        <v>库存为17</v>
      </c>
      <c r="AT41" s="2" t="str">
        <f>IFERROR($A$2+AS41,"上周无销量")</f>
        <v>上周无销量</v>
      </c>
    </row>
    <row r="42" spans="1:46">
      <c r="A42" t="s">
        <v>841</v>
      </c>
      <c r="B42" s="5">
        <f>SUMIF('库存（子SKU）'!$C:$C,$A42,'库存（子SKU）'!D:D)</f>
        <v>3</v>
      </c>
      <c r="C42" s="5">
        <f>SUMIF('库存（子SKU）'!$C:$C,$A42,'库存（子SKU）'!E:E)</f>
        <v>2</v>
      </c>
      <c r="D42" s="5">
        <f>SUMIF('库存（子SKU）'!$C:$C,$A42,'库存（子SKU）'!F:F)</f>
        <v>0</v>
      </c>
      <c r="E42" s="5">
        <f>SUMIF('库存（子SKU）'!$C:$C,$A42,'库存（子SKU）'!G:G)</f>
        <v>1</v>
      </c>
      <c r="F42" s="6">
        <v>18.3133333333333</v>
      </c>
      <c r="G42">
        <f>SUMIF('库存（子SKU）'!$C:$C,$A42,'库存（子SKU）'!I:I)</f>
        <v>23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23</v>
      </c>
      <c r="L42">
        <f>SUMIF('库存（子SKU）'!$C:$C,$A42,'库存（子SKU）'!N:N)</f>
        <v>0</v>
      </c>
      <c r="M42">
        <f>SUMIF('库存（子SKU）'!$C:$C,$A42,'库存（子SKU）'!O:O)</f>
        <v>22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</v>
      </c>
      <c r="AE42" s="23">
        <f t="shared" si="3"/>
        <v>0</v>
      </c>
      <c r="AF42" s="23" t="str">
        <f t="shared" si="4"/>
        <v/>
      </c>
      <c r="AG42" s="23">
        <f t="shared" si="5"/>
        <v>0</v>
      </c>
      <c r="AH42">
        <f>SUMIF('库存（子SKU）'!$C:$C,$A42,'库存（子SKU）'!AJ:AJ)</f>
        <v>41</v>
      </c>
      <c r="AI42">
        <f>SUMIF('库存（子SKU）'!$C:$C,$A42,'库存（子SKU）'!AK:AK)</f>
        <v>36</v>
      </c>
      <c r="AJ42">
        <f>SUMIF('库存（子SKU）'!$C:$C,$A42,'库存（子SKU）'!AL:AL)</f>
        <v>14</v>
      </c>
      <c r="AK42">
        <f>SUMIF('库存（子SKU）'!$C:$C,$A42,'库存（子SKU）'!AM:AM)</f>
        <v>19</v>
      </c>
      <c r="AL42" s="23">
        <f t="shared" si="6"/>
        <v>0.0731707317073171</v>
      </c>
      <c r="AM42" s="23">
        <f t="shared" si="7"/>
        <v>0.0555555555555556</v>
      </c>
      <c r="AN42" s="23">
        <f t="shared" si="8"/>
        <v>0</v>
      </c>
      <c r="AO42" s="23">
        <f t="shared" si="9"/>
        <v>0.0526315789473684</v>
      </c>
      <c r="AP42" s="7">
        <f t="shared" si="10"/>
        <v>0.428571428571429</v>
      </c>
      <c r="AQ42" s="7">
        <f t="shared" si="11"/>
        <v>25.7142857142857</v>
      </c>
      <c r="AR42" s="7">
        <f t="shared" si="12"/>
        <v>-2.71428571428571</v>
      </c>
      <c r="AS42">
        <f t="shared" si="13"/>
        <v>53</v>
      </c>
      <c r="AT42" s="2">
        <f>IFERROR($A$2+AS42,"上周无销量")</f>
        <v>43329</v>
      </c>
    </row>
    <row r="43" spans="1:46">
      <c r="A43" t="s">
        <v>860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IFERROR($A$2+AS43,"上周无销量")</f>
        <v>上周无销量</v>
      </c>
    </row>
    <row r="44" spans="1:46">
      <c r="A44" t="s">
        <v>865</v>
      </c>
      <c r="B44" s="5">
        <f>SUMIF('库存（子SKU）'!$C:$C,$A44,'库存（子SKU）'!D:D)</f>
        <v>1</v>
      </c>
      <c r="C44" s="5">
        <f>SUMIF('库存（子SKU）'!$C:$C,$A44,'库存（子SKU）'!E:E)</f>
        <v>1</v>
      </c>
      <c r="D44" s="5">
        <f>SUMIF('库存（子SKU）'!$C:$C,$A44,'库存（子SKU）'!F:F)</f>
        <v>2</v>
      </c>
      <c r="E44" s="5">
        <f>SUMIF('库存（子SKU）'!$C:$C,$A44,'库存（子SKU）'!G:G)</f>
        <v>2</v>
      </c>
      <c r="F44" s="6">
        <v>10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</v>
      </c>
      <c r="AE44" s="23">
        <f t="shared" si="3"/>
        <v>0</v>
      </c>
      <c r="AF44" s="23">
        <f t="shared" si="4"/>
        <v>0</v>
      </c>
      <c r="AG44" s="23">
        <f t="shared" si="5"/>
        <v>0</v>
      </c>
      <c r="AH44">
        <f>SUMIF('库存（子SKU）'!$C:$C,$A44,'库存（子SKU）'!AJ:AJ)</f>
        <v>2</v>
      </c>
      <c r="AI44">
        <f>SUMIF('库存（子SKU）'!$C:$C,$A44,'库存（子SKU）'!AK:AK)</f>
        <v>22</v>
      </c>
      <c r="AJ44">
        <f>SUMIF('库存（子SKU）'!$C:$C,$A44,'库存（子SKU）'!AL:AL)</f>
        <v>24</v>
      </c>
      <c r="AK44">
        <f>SUMIF('库存（子SKU）'!$C:$C,$A44,'库存（子SKU）'!AM:AM)</f>
        <v>27</v>
      </c>
      <c r="AL44" s="23">
        <f t="shared" si="6"/>
        <v>0.5</v>
      </c>
      <c r="AM44" s="23">
        <f t="shared" si="7"/>
        <v>0.0454545454545455</v>
      </c>
      <c r="AN44" s="23">
        <f t="shared" si="8"/>
        <v>0.0833333333333333</v>
      </c>
      <c r="AO44" s="23">
        <f t="shared" si="9"/>
        <v>0.0740740740740741</v>
      </c>
      <c r="AP44" s="7">
        <f t="shared" si="10"/>
        <v>0.142857142857143</v>
      </c>
      <c r="AQ44" s="7">
        <f t="shared" si="11"/>
        <v>8.57142857142857</v>
      </c>
      <c r="AR44" s="7">
        <f t="shared" si="12"/>
        <v>-8.57142857142857</v>
      </c>
      <c r="AS44">
        <f t="shared" si="13"/>
        <v>0</v>
      </c>
      <c r="AT44" s="2">
        <f>IFERROR($A$2+AS44,"上周无销量")</f>
        <v>43276</v>
      </c>
    </row>
    <row r="45" spans="1:46">
      <c r="A45" t="s">
        <v>870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IFERROR($A$2+AS45,"上周无销量")</f>
        <v>上周无销量</v>
      </c>
    </row>
    <row r="46" spans="1:46">
      <c r="A46" t="s">
        <v>875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54</v>
      </c>
      <c r="G46">
        <f>SUMIF('库存（子SKU）'!$C:$C,$A46,'库存（子SKU）'!I:I)</f>
        <v>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4</v>
      </c>
      <c r="L46">
        <f>SUMIF('库存（子SKU）'!$C:$C,$A46,'库存（子SKU）'!N:N)</f>
        <v>0</v>
      </c>
      <c r="M46">
        <f>SUMIF('库存（子SKU）'!$C:$C,$A46,'库存（子SKU）'!O:O)</f>
        <v>2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16</v>
      </c>
      <c r="AI46">
        <f>SUMIF('库存（子SKU）'!$C:$C,$A46,'库存（子SKU）'!AK:AK)</f>
        <v>3</v>
      </c>
      <c r="AJ46">
        <f>SUMIF('库存（子SKU）'!$C:$C,$A46,'库存（子SKU）'!AL:AL)</f>
        <v>14</v>
      </c>
      <c r="AK46">
        <f>SUMIF('库存（子SKU）'!$C:$C,$A46,'库存（子SKU）'!AM:AM)</f>
        <v>2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4</v>
      </c>
      <c r="AS46" t="str">
        <f t="shared" si="13"/>
        <v>库存为4</v>
      </c>
      <c r="AT46" s="2" t="str">
        <f>IFERROR($A$2+AS46,"上周无销量")</f>
        <v>上周无销量</v>
      </c>
    </row>
    <row r="47" spans="1:46">
      <c r="A47" t="s">
        <v>882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54</v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8</v>
      </c>
      <c r="AI47">
        <f>SUMIF('库存（子SKU）'!$C:$C,$A47,'库存（子SKU）'!AK:AK)</f>
        <v>5</v>
      </c>
      <c r="AJ47">
        <f>SUMIF('库存（子SKU）'!$C:$C,$A47,'库存（子SKU）'!AL:AL)</f>
        <v>5</v>
      </c>
      <c r="AK47">
        <f>SUMIF('库存（子SKU）'!$C:$C,$A47,'库存（子SKU）'!AM:AM)</f>
        <v>8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5</v>
      </c>
      <c r="AS47" t="str">
        <f t="shared" si="13"/>
        <v>库存为5</v>
      </c>
      <c r="AT47" s="2" t="str">
        <f>IFERROR($A$2+AS47,"上周无销量")</f>
        <v>上周无销量</v>
      </c>
    </row>
    <row r="48" spans="1:46">
      <c r="A48" t="s">
        <v>899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IFERROR($A$2+AS48,"上周无销量")</f>
        <v>上周无销量</v>
      </c>
    </row>
    <row r="49" spans="1:46">
      <c r="A49" t="s">
        <v>903</v>
      </c>
      <c r="B49" s="5">
        <f>SUMIF('库存（子SKU）'!$C:$C,$A49,'库存（子SKU）'!D:D)</f>
        <v>1</v>
      </c>
      <c r="C49" s="5">
        <f>SUMIF('库存（子SKU）'!$C:$C,$A49,'库存（子SKU）'!E:E)</f>
        <v>2</v>
      </c>
      <c r="D49" s="5">
        <f>SUMIF('库存（子SKU）'!$C:$C,$A49,'库存（子SKU）'!F:F)</f>
        <v>0</v>
      </c>
      <c r="E49" s="5">
        <f>SUMIF('库存（子SKU）'!$C:$C,$A49,'库存（子SKU）'!G:G)</f>
        <v>1</v>
      </c>
      <c r="F49" s="6">
        <v>17.48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>
        <f t="shared" si="2"/>
        <v>0</v>
      </c>
      <c r="AE49" s="23">
        <f t="shared" si="3"/>
        <v>0</v>
      </c>
      <c r="AF49" s="23" t="str">
        <f t="shared" si="4"/>
        <v/>
      </c>
      <c r="AG49" s="23">
        <f t="shared" si="5"/>
        <v>0</v>
      </c>
      <c r="AH49">
        <f>SUMIF('库存（子SKU）'!$C:$C,$A49,'库存（子SKU）'!AJ:AJ)</f>
        <v>14</v>
      </c>
      <c r="AI49">
        <f>SUMIF('库存（子SKU）'!$C:$C,$A49,'库存（子SKU）'!AK:AK)</f>
        <v>116</v>
      </c>
      <c r="AJ49">
        <f>SUMIF('库存（子SKU）'!$C:$C,$A49,'库存（子SKU）'!AL:AL)</f>
        <v>16</v>
      </c>
      <c r="AK49">
        <f>SUMIF('库存（子SKU）'!$C:$C,$A49,'库存（子SKU）'!AM:AM)</f>
        <v>19</v>
      </c>
      <c r="AL49" s="23">
        <f t="shared" si="6"/>
        <v>0.0714285714285714</v>
      </c>
      <c r="AM49" s="23">
        <f t="shared" si="7"/>
        <v>0.0172413793103448</v>
      </c>
      <c r="AN49" s="23">
        <f t="shared" si="8"/>
        <v>0</v>
      </c>
      <c r="AO49" s="23">
        <f t="shared" si="9"/>
        <v>0.0526315789473684</v>
      </c>
      <c r="AP49" s="7">
        <f t="shared" si="10"/>
        <v>0.142857142857143</v>
      </c>
      <c r="AQ49" s="7">
        <f t="shared" si="11"/>
        <v>8.57142857142857</v>
      </c>
      <c r="AR49" s="7">
        <f t="shared" si="12"/>
        <v>-8.57142857142857</v>
      </c>
      <c r="AS49">
        <f t="shared" si="13"/>
        <v>0</v>
      </c>
      <c r="AT49" s="2">
        <f>IFERROR($A$2+AS49,"上周无销量")</f>
        <v>43276</v>
      </c>
    </row>
    <row r="50" spans="1:46">
      <c r="A50" t="s">
        <v>950</v>
      </c>
      <c r="B50" s="5">
        <f>SUMIF('库存（子SKU）'!$C:$C,$A50,'库存（子SKU）'!D:D)</f>
        <v>1</v>
      </c>
      <c r="C50" s="5">
        <f>SUMIF('库存（子SKU）'!$C:$C,$A50,'库存（子SKU）'!E:E)</f>
        <v>1</v>
      </c>
      <c r="D50" s="5">
        <f>SUMIF('库存（子SKU）'!$C:$C,$A50,'库存（子SKU）'!F:F)</f>
        <v>1</v>
      </c>
      <c r="E50" s="5">
        <f>SUMIF('库存（子SKU）'!$C:$C,$A50,'库存（子SKU）'!G:G)</f>
        <v>1</v>
      </c>
      <c r="F50" s="6">
        <v>15.98</v>
      </c>
      <c r="G50">
        <f>SUMIF('库存（子SKU）'!$C:$C,$A50,'库存（子SKU）'!I:I)</f>
        <v>16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16</v>
      </c>
      <c r="L50">
        <f>SUMIF('库存（子SKU）'!$C:$C,$A50,'库存（子SKU）'!N:N)</f>
        <v>0</v>
      </c>
      <c r="M50">
        <f>SUMIF('库存（子SKU）'!$C:$C,$A50,'库存（子SKU）'!O:O)</f>
        <v>16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>
        <f t="shared" si="2"/>
        <v>0</v>
      </c>
      <c r="AE50" s="23">
        <f t="shared" si="3"/>
        <v>0</v>
      </c>
      <c r="AF50" s="23">
        <f t="shared" si="4"/>
        <v>0</v>
      </c>
      <c r="AG50" s="23">
        <f t="shared" si="5"/>
        <v>0</v>
      </c>
      <c r="AH50">
        <f>SUMIF('库存（子SKU）'!$C:$C,$A50,'库存（子SKU）'!AJ:AJ)</f>
        <v>29</v>
      </c>
      <c r="AI50">
        <f>SUMIF('库存（子SKU）'!$C:$C,$A50,'库存（子SKU）'!AK:AK)</f>
        <v>27</v>
      </c>
      <c r="AJ50">
        <f>SUMIF('库存（子SKU）'!$C:$C,$A50,'库存（子SKU）'!AL:AL)</f>
        <v>20</v>
      </c>
      <c r="AK50">
        <f>SUMIF('库存（子SKU）'!$C:$C,$A50,'库存（子SKU）'!AM:AM)</f>
        <v>23</v>
      </c>
      <c r="AL50" s="23">
        <f t="shared" si="6"/>
        <v>0.0344827586206897</v>
      </c>
      <c r="AM50" s="23">
        <f t="shared" si="7"/>
        <v>0.037037037037037</v>
      </c>
      <c r="AN50" s="23">
        <f t="shared" si="8"/>
        <v>0.05</v>
      </c>
      <c r="AO50" s="23">
        <f t="shared" si="9"/>
        <v>0.0434782608695652</v>
      </c>
      <c r="AP50" s="7">
        <f t="shared" si="10"/>
        <v>0.142857142857143</v>
      </c>
      <c r="AQ50" s="7">
        <f t="shared" si="11"/>
        <v>8.57142857142857</v>
      </c>
      <c r="AR50" s="7">
        <f t="shared" si="12"/>
        <v>7.42857142857143</v>
      </c>
      <c r="AS50">
        <f t="shared" si="13"/>
        <v>112</v>
      </c>
      <c r="AT50" s="2">
        <f>IFERROR($A$2+AS50,"上周无销量")</f>
        <v>43388</v>
      </c>
    </row>
    <row r="51" spans="1:46">
      <c r="A51" t="s">
        <v>969</v>
      </c>
      <c r="B51" s="5">
        <f>SUMIF('库存（子SKU）'!$C:$C,$A51,'库存（子SKU）'!D:D)</f>
        <v>0</v>
      </c>
      <c r="C51" s="5">
        <f>SUMIF('库存（子SKU）'!$C:$C,$A51,'库存（子SKU）'!E:E)</f>
        <v>12</v>
      </c>
      <c r="D51" s="5">
        <f>SUMIF('库存（子SKU）'!$C:$C,$A51,'库存（子SKU）'!F:F)</f>
        <v>2</v>
      </c>
      <c r="E51" s="5">
        <f>SUMIF('库存（子SKU）'!$C:$C,$A51,'库存（子SKU）'!G:G)</f>
        <v>1</v>
      </c>
      <c r="F51" s="6">
        <v>14.58</v>
      </c>
      <c r="G51">
        <f>SUMIF('库存（子SKU）'!$C:$C,$A51,'库存（子SKU）'!I:I)</f>
        <v>457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457</v>
      </c>
      <c r="L51">
        <f>SUMIF('库存（子SKU）'!$C:$C,$A51,'库存（子SKU）'!N:N)</f>
        <v>2</v>
      </c>
      <c r="M51">
        <f>SUMIF('库存（子SKU）'!$C:$C,$A51,'库存（子SKU）'!O:O)</f>
        <v>445</v>
      </c>
      <c r="N51">
        <f>SUMIF('库存（子SKU）'!$C:$C,$A51,'库存（子SKU）'!P:P)</f>
        <v>2356</v>
      </c>
      <c r="O51">
        <f>SUMIF('库存（子SKU）'!$C:$C,$A51,'库存（子SKU）'!Q:Q)</f>
        <v>1079</v>
      </c>
      <c r="P51">
        <f>SUMIF('库存（子SKU）'!$C:$C,$A51,'库存（子SKU）'!R:R)</f>
        <v>1079</v>
      </c>
      <c r="Q51">
        <f>SUMIF('库存（子SKU）'!$C:$C,$A51,'库存（子SKU）'!S:S)</f>
        <v>2884</v>
      </c>
      <c r="R51">
        <f>SUMIF('库存（子SKU）'!$C:$C,$A51,'库存（子SKU）'!T:T)</f>
        <v>3</v>
      </c>
      <c r="S51">
        <f>SUMIF('库存（子SKU）'!$C:$C,$A51,'库存（子SKU）'!U:U)</f>
        <v>2</v>
      </c>
      <c r="T51">
        <f>SUMIF('库存（子SKU）'!$C:$C,$A51,'库存（子SKU）'!V:V)</f>
        <v>2</v>
      </c>
      <c r="U51">
        <f>SUMIF('库存（子SKU）'!$C:$C,$A51,'库存（子SKU）'!W:W)</f>
        <v>22</v>
      </c>
      <c r="V51" s="23">
        <f t="shared" si="15"/>
        <v>0.00127334465195246</v>
      </c>
      <c r="W51" s="23">
        <f t="shared" si="16"/>
        <v>0.00185356811862836</v>
      </c>
      <c r="X51" s="23">
        <f t="shared" si="17"/>
        <v>0.00185356811862836</v>
      </c>
      <c r="Y51" s="23">
        <f t="shared" si="18"/>
        <v>0.00762829403606103</v>
      </c>
      <c r="Z51">
        <f>SUMIF('库存（子SKU）'!$C:$C,$A51,'库存（子SKU）'!AB:AB)</f>
        <v>0.87</v>
      </c>
      <c r="AA51">
        <f>SUMIF('库存（子SKU）'!$C:$C,$A51,'库存（子SKU）'!AC:AC)</f>
        <v>0.61</v>
      </c>
      <c r="AB51">
        <f>SUMIF('库存（子SKU）'!$C:$C,$A51,'库存（子SKU）'!AD:AD)</f>
        <v>0.61</v>
      </c>
      <c r="AC51">
        <f>SUMIF('库存（子SKU）'!$C:$C,$A51,'库存（子SKU）'!AE:AE)</f>
        <v>14.7</v>
      </c>
      <c r="AD51" s="23" t="str">
        <f t="shared" si="2"/>
        <v>无销量广告费为0.87</v>
      </c>
      <c r="AE51" s="23">
        <f t="shared" si="3"/>
        <v>0.00348651120256058</v>
      </c>
      <c r="AF51" s="23">
        <f t="shared" si="4"/>
        <v>0.0209190672153635</v>
      </c>
      <c r="AG51" s="23">
        <f t="shared" si="5"/>
        <v>1.0082304526749</v>
      </c>
      <c r="AH51">
        <f>SUMIF('库存（子SKU）'!$C:$C,$A51,'库存（子SKU）'!AJ:AJ)</f>
        <v>98</v>
      </c>
      <c r="AI51">
        <f>SUMIF('库存（子SKU）'!$C:$C,$A51,'库存（子SKU）'!AK:AK)</f>
        <v>80</v>
      </c>
      <c r="AJ51">
        <f>SUMIF('库存（子SKU）'!$C:$C,$A51,'库存（子SKU）'!AL:AL)</f>
        <v>68</v>
      </c>
      <c r="AK51">
        <f>SUMIF('库存（子SKU）'!$C:$C,$A51,'库存（子SKU）'!AM:AM)</f>
        <v>150</v>
      </c>
      <c r="AL51" s="23">
        <f t="shared" si="6"/>
        <v>0</v>
      </c>
      <c r="AM51" s="23">
        <f t="shared" si="7"/>
        <v>0.15</v>
      </c>
      <c r="AN51" s="23">
        <f t="shared" si="8"/>
        <v>0.0294117647058824</v>
      </c>
      <c r="AO51" s="23">
        <f t="shared" si="9"/>
        <v>0.00666666666666667</v>
      </c>
      <c r="AP51" s="7">
        <f t="shared" si="10"/>
        <v>0</v>
      </c>
      <c r="AQ51" s="7">
        <f t="shared" si="11"/>
        <v>0</v>
      </c>
      <c r="AR51" s="7">
        <f t="shared" si="12"/>
        <v>457</v>
      </c>
      <c r="AS51" t="str">
        <f t="shared" si="13"/>
        <v>库存为457</v>
      </c>
      <c r="AT51" s="2" t="str">
        <f>IFERROR($A$2+AS51,"上周无销量")</f>
        <v>上周无销量</v>
      </c>
    </row>
    <row r="52" spans="1:46">
      <c r="A52" t="s">
        <v>1056</v>
      </c>
      <c r="B52" s="5">
        <f>SUMIF('库存（子SKU）'!$C:$C,$A52,'库存（子SKU）'!D:D)</f>
        <v>11</v>
      </c>
      <c r="C52" s="5">
        <f>SUMIF('库存（子SKU）'!$C:$C,$A52,'库存（子SKU）'!E:E)</f>
        <v>16</v>
      </c>
      <c r="D52" s="5">
        <f>SUMIF('库存（子SKU）'!$C:$C,$A52,'库存（子SKU）'!F:F)</f>
        <v>11</v>
      </c>
      <c r="E52" s="5">
        <f>SUMIF('库存（子SKU）'!$C:$C,$A52,'库存（子SKU）'!G:G)</f>
        <v>12</v>
      </c>
      <c r="F52" s="6">
        <v>11.3722</v>
      </c>
      <c r="G52">
        <f>SUMIF('库存（子SKU）'!$C:$C,$A52,'库存（子SKU）'!I:I)</f>
        <v>79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1</v>
      </c>
      <c r="K52">
        <f t="shared" si="0"/>
        <v>80</v>
      </c>
      <c r="L52">
        <f>SUMIF('库存（子SKU）'!$C:$C,$A52,'库存（子SKU）'!N:N)</f>
        <v>0</v>
      </c>
      <c r="M52">
        <f>SUMIF('库存（子SKU）'!$C:$C,$A52,'库存（子SKU）'!O:O)</f>
        <v>78</v>
      </c>
      <c r="N52">
        <f>SUMIF('库存（子SKU）'!$C:$C,$A52,'库存（子SKU）'!P:P)</f>
        <v>1193</v>
      </c>
      <c r="O52">
        <f>SUMIF('库存（子SKU）'!$C:$C,$A52,'库存（子SKU）'!Q:Q)</f>
        <v>394</v>
      </c>
      <c r="P52">
        <f>SUMIF('库存（子SKU）'!$C:$C,$A52,'库存（子SKU）'!R:R)</f>
        <v>394</v>
      </c>
      <c r="Q52">
        <f>SUMIF('库存（子SKU）'!$C:$C,$A52,'库存（子SKU）'!S:S)</f>
        <v>1116</v>
      </c>
      <c r="R52">
        <f>SUMIF('库存（子SKU）'!$C:$C,$A52,'库存（子SKU）'!T:T)</f>
        <v>25</v>
      </c>
      <c r="S52">
        <f>SUMIF('库存（子SKU）'!$C:$C,$A52,'库存（子SKU）'!U:U)</f>
        <v>7</v>
      </c>
      <c r="T52">
        <f>SUMIF('库存（子SKU）'!$C:$C,$A52,'库存（子SKU）'!V:V)</f>
        <v>7</v>
      </c>
      <c r="U52">
        <f>SUMIF('库存（子SKU）'!$C:$C,$A52,'库存（子SKU）'!W:W)</f>
        <v>23</v>
      </c>
      <c r="V52" s="23">
        <f t="shared" si="15"/>
        <v>0.0209555741827326</v>
      </c>
      <c r="W52" s="23">
        <f t="shared" si="16"/>
        <v>0.0177664974619289</v>
      </c>
      <c r="X52" s="23">
        <f t="shared" si="17"/>
        <v>0.0177664974619289</v>
      </c>
      <c r="Y52" s="23">
        <f t="shared" si="18"/>
        <v>0.0206093189964158</v>
      </c>
      <c r="Z52">
        <f>SUMIF('库存（子SKU）'!$C:$C,$A52,'库存（子SKU）'!AB:AB)</f>
        <v>17.02</v>
      </c>
      <c r="AA52">
        <f>SUMIF('库存（子SKU）'!$C:$C,$A52,'库存（子SKU）'!AC:AC)</f>
        <v>4.58</v>
      </c>
      <c r="AB52">
        <f>SUMIF('库存（子SKU）'!$C:$C,$A52,'库存（子SKU）'!AD:AD)</f>
        <v>4.58</v>
      </c>
      <c r="AC52">
        <f>SUMIF('库存（子SKU）'!$C:$C,$A52,'库存（子SKU）'!AE:AE)</f>
        <v>14.64</v>
      </c>
      <c r="AD52" s="23">
        <f t="shared" si="2"/>
        <v>0.136057467092799</v>
      </c>
      <c r="AE52" s="23">
        <f t="shared" si="3"/>
        <v>0.0251710311109548</v>
      </c>
      <c r="AF52" s="23">
        <f t="shared" si="4"/>
        <v>0.0366124088886615</v>
      </c>
      <c r="AG52" s="23">
        <f t="shared" si="5"/>
        <v>0.107279154429222</v>
      </c>
      <c r="AH52">
        <f>SUMIF('库存（子SKU）'!$C:$C,$A52,'库存（子SKU）'!AJ:AJ)</f>
        <v>119</v>
      </c>
      <c r="AI52">
        <f>SUMIF('库存（子SKU）'!$C:$C,$A52,'库存（子SKU）'!AK:AK)</f>
        <v>73</v>
      </c>
      <c r="AJ52">
        <f>SUMIF('库存（子SKU）'!$C:$C,$A52,'库存（子SKU）'!AL:AL)</f>
        <v>71</v>
      </c>
      <c r="AK52">
        <f>SUMIF('库存（子SKU）'!$C:$C,$A52,'库存（子SKU）'!AM:AM)</f>
        <v>110</v>
      </c>
      <c r="AL52" s="23">
        <f t="shared" si="6"/>
        <v>0.092436974789916</v>
      </c>
      <c r="AM52" s="23">
        <f t="shared" si="7"/>
        <v>0.219178082191781</v>
      </c>
      <c r="AN52" s="23">
        <f t="shared" si="8"/>
        <v>0.154929577464789</v>
      </c>
      <c r="AO52" s="23">
        <f t="shared" si="9"/>
        <v>0.109090909090909</v>
      </c>
      <c r="AP52" s="7">
        <f t="shared" si="10"/>
        <v>1.57142857142857</v>
      </c>
      <c r="AQ52" s="7">
        <f t="shared" si="11"/>
        <v>94.2857142857143</v>
      </c>
      <c r="AR52" s="7">
        <f t="shared" si="12"/>
        <v>-14.2857142857143</v>
      </c>
      <c r="AS52">
        <f t="shared" si="13"/>
        <v>50</v>
      </c>
      <c r="AT52" s="2">
        <f>IFERROR($A$2+AS52,"上周无销量")</f>
        <v>43326</v>
      </c>
    </row>
    <row r="53" spans="1:46">
      <c r="A53" t="s">
        <v>1127</v>
      </c>
      <c r="B53" s="5">
        <f>SUMIF('库存（子SKU）'!$C:$C,$A53,'库存（子SKU）'!D:D)</f>
        <v>0</v>
      </c>
      <c r="C53" s="5">
        <f>SUMIF('库存（子SKU）'!$C:$C,$A53,'库存（子SKU）'!E:E)</f>
        <v>1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>
        <v>10.99</v>
      </c>
      <c r="G53">
        <f>SUMIF('库存（子SKU）'!$C:$C,$A53,'库存（子SKU）'!I:I)</f>
        <v>4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4</v>
      </c>
      <c r="L53">
        <f>SUMIF('库存（子SKU）'!$C:$C,$A53,'库存（子SKU）'!N:N)</f>
        <v>0</v>
      </c>
      <c r="M53">
        <f>SUMIF('库存（子SKU）'!$C:$C,$A53,'库存（子SKU）'!O:O)</f>
        <v>4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>
        <f t="shared" si="3"/>
        <v>0</v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7</v>
      </c>
      <c r="AI53">
        <f>SUMIF('库存（子SKU）'!$C:$C,$A53,'库存（子SKU）'!AK:AK)</f>
        <v>19</v>
      </c>
      <c r="AJ53">
        <f>SUMIF('库存（子SKU）'!$C:$C,$A53,'库存（子SKU）'!AL:AL)</f>
        <v>2</v>
      </c>
      <c r="AK53">
        <f>SUMIF('库存（子SKU）'!$C:$C,$A53,'库存（子SKU）'!AM:AM)</f>
        <v>4</v>
      </c>
      <c r="AL53" s="23">
        <f t="shared" si="6"/>
        <v>0</v>
      </c>
      <c r="AM53" s="23">
        <f t="shared" si="7"/>
        <v>0.0526315789473684</v>
      </c>
      <c r="AN53" s="23">
        <f t="shared" si="8"/>
        <v>0</v>
      </c>
      <c r="AO53" s="23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4</v>
      </c>
      <c r="AS53" t="str">
        <f t="shared" si="13"/>
        <v>库存为4</v>
      </c>
      <c r="AT53" s="2" t="str">
        <f>IFERROR($A$2+AS53,"上周无销量")</f>
        <v>上周无销量</v>
      </c>
    </row>
    <row r="54" spans="1:46">
      <c r="A54" t="s">
        <v>1131</v>
      </c>
      <c r="B54" s="5">
        <f>SUMIF('库存（子SKU）'!$C:$C,$A54,'库存（子SKU）'!D:D)</f>
        <v>1277</v>
      </c>
      <c r="C54" s="5">
        <f>SUMIF('库存（子SKU）'!$C:$C,$A54,'库存（子SKU）'!E:E)</f>
        <v>381</v>
      </c>
      <c r="D54" s="5">
        <f>SUMIF('库存（子SKU）'!$C:$C,$A54,'库存（子SKU）'!F:F)</f>
        <v>256</v>
      </c>
      <c r="E54" s="5">
        <f>SUMIF('库存（子SKU）'!$C:$C,$A54,'库存（子SKU）'!G:G)</f>
        <v>236</v>
      </c>
      <c r="F54" s="6">
        <v>18.2755906976744</v>
      </c>
      <c r="G54">
        <f>SUMIF('库存（子SKU）'!$C:$C,$A54,'库存（子SKU）'!I:I)</f>
        <v>1544</v>
      </c>
      <c r="H54">
        <f>SUMIF('库存（子SKU）'!$C:$C,$A54,'库存（子SKU）'!J:J)</f>
        <v>924</v>
      </c>
      <c r="I54">
        <f>SUMIF('库存（子SKU）'!$C:$C,$A54,'库存（子SKU）'!K:K)</f>
        <v>45</v>
      </c>
      <c r="J54">
        <f>SUMIF('库存（子SKU）'!$C:$C,$A54,'库存（子SKU）'!L:L)</f>
        <v>404</v>
      </c>
      <c r="K54">
        <f t="shared" si="0"/>
        <v>2917</v>
      </c>
      <c r="L54">
        <f>SUMIF('库存（子SKU）'!$C:$C,$A54,'库存（子SKU）'!N:N)</f>
        <v>14</v>
      </c>
      <c r="M54">
        <f>SUMIF('库存（子SKU）'!$C:$C,$A54,'库存（子SKU）'!O:O)</f>
        <v>0</v>
      </c>
      <c r="N54">
        <f>SUMIF('库存（子SKU）'!$C:$C,$A54,'库存（子SKU）'!P:P)</f>
        <v>154934</v>
      </c>
      <c r="O54">
        <f>SUMIF('库存（子SKU）'!$C:$C,$A54,'库存（子SKU）'!Q:Q)</f>
        <v>96489</v>
      </c>
      <c r="P54">
        <f>SUMIF('库存（子SKU）'!$C:$C,$A54,'库存（子SKU）'!R:R)</f>
        <v>96489</v>
      </c>
      <c r="Q54">
        <f>SUMIF('库存（子SKU）'!$C:$C,$A54,'库存（子SKU）'!S:S)</f>
        <v>56206</v>
      </c>
      <c r="R54">
        <f>SUMIF('库存（子SKU）'!$C:$C,$A54,'库存（子SKU）'!T:T)</f>
        <v>959</v>
      </c>
      <c r="S54">
        <f>SUMIF('库存（子SKU）'!$C:$C,$A54,'库存（子SKU）'!U:U)</f>
        <v>631</v>
      </c>
      <c r="T54">
        <f>SUMIF('库存（子SKU）'!$C:$C,$A54,'库存（子SKU）'!V:V)</f>
        <v>631</v>
      </c>
      <c r="U54">
        <f>SUMIF('库存（子SKU）'!$C:$C,$A54,'库存（子SKU）'!W:W)</f>
        <v>454</v>
      </c>
      <c r="V54" s="23">
        <f t="shared" si="15"/>
        <v>0.00618973240218416</v>
      </c>
      <c r="W54" s="23">
        <f t="shared" si="16"/>
        <v>0.00653960555089181</v>
      </c>
      <c r="X54" s="23">
        <f t="shared" si="17"/>
        <v>0.00653960555089181</v>
      </c>
      <c r="Y54" s="23">
        <f t="shared" si="18"/>
        <v>0.00807742945592997</v>
      </c>
      <c r="Z54">
        <f>SUMIF('库存（子SKU）'!$C:$C,$A54,'库存（子SKU）'!AB:AB)</f>
        <v>678.27</v>
      </c>
      <c r="AA54">
        <f>SUMIF('库存（子SKU）'!$C:$C,$A54,'库存（子SKU）'!AC:AC)</f>
        <v>457.3</v>
      </c>
      <c r="AB54">
        <f>SUMIF('库存（子SKU）'!$C:$C,$A54,'库存（子SKU）'!AD:AD)</f>
        <v>457.3</v>
      </c>
      <c r="AC54">
        <f>SUMIF('库存（子SKU）'!$C:$C,$A54,'库存（子SKU）'!AE:AE)</f>
        <v>358.99</v>
      </c>
      <c r="AD54" s="23">
        <f t="shared" si="2"/>
        <v>0.0290629897225589</v>
      </c>
      <c r="AE54" s="23">
        <f t="shared" si="3"/>
        <v>0.0656757139644376</v>
      </c>
      <c r="AF54" s="23">
        <f t="shared" si="4"/>
        <v>0.0977439336736357</v>
      </c>
      <c r="AG54" s="23">
        <f t="shared" si="5"/>
        <v>0.0832336471614118</v>
      </c>
      <c r="AH54">
        <f>SUMIF('库存（子SKU）'!$C:$C,$A54,'库存（子SKU）'!AJ:AJ)</f>
        <v>24030</v>
      </c>
      <c r="AI54">
        <f>SUMIF('库存（子SKU）'!$C:$C,$A54,'库存（子SKU）'!AK:AK)</f>
        <v>6010</v>
      </c>
      <c r="AJ54">
        <f>SUMIF('库存（子SKU）'!$C:$C,$A54,'库存（子SKU）'!AL:AL)</f>
        <v>3069</v>
      </c>
      <c r="AK54">
        <f>SUMIF('库存（子SKU）'!$C:$C,$A54,'库存（子SKU）'!AM:AM)</f>
        <v>2883</v>
      </c>
      <c r="AL54" s="23">
        <f t="shared" si="6"/>
        <v>0.0531419059508947</v>
      </c>
      <c r="AM54" s="23">
        <f t="shared" si="7"/>
        <v>0.0633943427620632</v>
      </c>
      <c r="AN54" s="23">
        <f t="shared" si="8"/>
        <v>0.0834147930922124</v>
      </c>
      <c r="AO54" s="23">
        <f t="shared" si="9"/>
        <v>0.0818591744710371</v>
      </c>
      <c r="AP54" s="7">
        <f t="shared" si="10"/>
        <v>182.428571428571</v>
      </c>
      <c r="AQ54" s="7">
        <f t="shared" si="11"/>
        <v>10945.7142857143</v>
      </c>
      <c r="AR54" s="7">
        <f t="shared" si="12"/>
        <v>-8028.71428571428</v>
      </c>
      <c r="AS54">
        <f t="shared" si="13"/>
        <v>15</v>
      </c>
      <c r="AT54" s="2">
        <f>IFERROR($A$2+AS54,"上周无销量")</f>
        <v>43291</v>
      </c>
    </row>
    <row r="55" spans="1:46">
      <c r="A55" t="s">
        <v>1216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0</v>
      </c>
      <c r="AS55" t="str">
        <f t="shared" si="13"/>
        <v>库存为0</v>
      </c>
      <c r="AT55" s="2" t="str">
        <f>IFERROR($A$2+AS55,"上周无销量")</f>
        <v>上周无销量</v>
      </c>
    </row>
    <row r="56" spans="1:46">
      <c r="A56" t="s">
        <v>1223</v>
      </c>
      <c r="B56" s="5">
        <f>SUMIF('库存（子SKU）'!$C:$C,$A56,'库存（子SKU）'!D:D)</f>
        <v>7</v>
      </c>
      <c r="C56" s="5">
        <f>SUMIF('库存（子SKU）'!$C:$C,$A56,'库存（子SKU）'!E:E)</f>
        <v>14</v>
      </c>
      <c r="D56" s="5">
        <f>SUMIF('库存（子SKU）'!$C:$C,$A56,'库存（子SKU）'!F:F)</f>
        <v>6</v>
      </c>
      <c r="E56" s="5">
        <f>SUMIF('库存（子SKU）'!$C:$C,$A56,'库存（子SKU）'!G:G)</f>
        <v>11</v>
      </c>
      <c r="F56" s="6">
        <v>9.9</v>
      </c>
      <c r="G56">
        <f>SUMIF('库存（子SKU）'!$C:$C,$A56,'库存（子SKU）'!I:I)</f>
        <v>93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93</v>
      </c>
      <c r="L56">
        <f>SUMIF('库存（子SKU）'!$C:$C,$A56,'库存（子SKU）'!N:N)</f>
        <v>0</v>
      </c>
      <c r="M56">
        <f>SUMIF('库存（子SKU）'!$C:$C,$A56,'库存（子SKU）'!O:O)</f>
        <v>19</v>
      </c>
      <c r="N56">
        <f>SUMIF('库存（子SKU）'!$C:$C,$A56,'库存（子SKU）'!P:P)</f>
        <v>5658</v>
      </c>
      <c r="O56">
        <f>SUMIF('库存（子SKU）'!$C:$C,$A56,'库存（子SKU）'!Q:Q)</f>
        <v>4628</v>
      </c>
      <c r="P56">
        <f>SUMIF('库存（子SKU）'!$C:$C,$A56,'库存（子SKU）'!R:R)</f>
        <v>4628</v>
      </c>
      <c r="Q56">
        <f>SUMIF('库存（子SKU）'!$C:$C,$A56,'库存（子SKU）'!S:S)</f>
        <v>2090</v>
      </c>
      <c r="R56">
        <f>SUMIF('库存（子SKU）'!$C:$C,$A56,'库存（子SKU）'!T:T)</f>
        <v>25</v>
      </c>
      <c r="S56">
        <f>SUMIF('库存（子SKU）'!$C:$C,$A56,'库存（子SKU）'!U:U)</f>
        <v>25</v>
      </c>
      <c r="T56">
        <f>SUMIF('库存（子SKU）'!$C:$C,$A56,'库存（子SKU）'!V:V)</f>
        <v>25</v>
      </c>
      <c r="U56">
        <f>SUMIF('库存（子SKU）'!$C:$C,$A56,'库存（子SKU）'!W:W)</f>
        <v>23</v>
      </c>
      <c r="V56" s="23">
        <f t="shared" si="15"/>
        <v>0.00441852244609403</v>
      </c>
      <c r="W56" s="23">
        <f t="shared" si="16"/>
        <v>0.0054019014693172</v>
      </c>
      <c r="X56" s="23">
        <f t="shared" si="17"/>
        <v>0.0054019014693172</v>
      </c>
      <c r="Y56" s="23">
        <f t="shared" si="18"/>
        <v>0.0110047846889952</v>
      </c>
      <c r="Z56">
        <f>SUMIF('库存（子SKU）'!$C:$C,$A56,'库存（子SKU）'!AB:AB)</f>
        <v>11.49</v>
      </c>
      <c r="AA56">
        <f>SUMIF('库存（子SKU）'!$C:$C,$A56,'库存（子SKU）'!AC:AC)</f>
        <v>12.16</v>
      </c>
      <c r="AB56">
        <f>SUMIF('库存（子SKU）'!$C:$C,$A56,'库存（子SKU）'!AD:AD)</f>
        <v>12.16</v>
      </c>
      <c r="AC56">
        <f>SUMIF('库存（子SKU）'!$C:$C,$A56,'库存（子SKU）'!AE:AE)</f>
        <v>12.37</v>
      </c>
      <c r="AD56" s="23">
        <f t="shared" si="2"/>
        <v>0.165800865800866</v>
      </c>
      <c r="AE56" s="23">
        <f t="shared" si="3"/>
        <v>0.0877344877344877</v>
      </c>
      <c r="AF56" s="23">
        <f t="shared" si="4"/>
        <v>0.204713804713805</v>
      </c>
      <c r="AG56" s="23">
        <f t="shared" si="5"/>
        <v>0.113590449954086</v>
      </c>
      <c r="AH56">
        <f>SUMIF('库存（子SKU）'!$C:$C,$A56,'库存（子SKU）'!AJ:AJ)</f>
        <v>113</v>
      </c>
      <c r="AI56">
        <f>SUMIF('库存（子SKU）'!$C:$C,$A56,'库存（子SKU）'!AK:AK)</f>
        <v>133</v>
      </c>
      <c r="AJ56">
        <f>SUMIF('库存（子SKU）'!$C:$C,$A56,'库存（子SKU）'!AL:AL)</f>
        <v>115</v>
      </c>
      <c r="AK56">
        <f>SUMIF('库存（子SKU）'!$C:$C,$A56,'库存（子SKU）'!AM:AM)</f>
        <v>99</v>
      </c>
      <c r="AL56" s="23">
        <f t="shared" si="6"/>
        <v>0.0619469026548673</v>
      </c>
      <c r="AM56" s="23">
        <f t="shared" si="7"/>
        <v>0.105263157894737</v>
      </c>
      <c r="AN56" s="23">
        <f t="shared" si="8"/>
        <v>0.0521739130434783</v>
      </c>
      <c r="AO56" s="23">
        <f t="shared" si="9"/>
        <v>0.111111111111111</v>
      </c>
      <c r="AP56" s="7">
        <f t="shared" si="10"/>
        <v>1</v>
      </c>
      <c r="AQ56" s="7">
        <f t="shared" si="11"/>
        <v>60</v>
      </c>
      <c r="AR56" s="7">
        <f t="shared" si="12"/>
        <v>33</v>
      </c>
      <c r="AS56">
        <f t="shared" si="13"/>
        <v>93</v>
      </c>
      <c r="AT56" s="2">
        <f>IFERROR($A$2+AS56,"上周无销量")</f>
        <v>43369</v>
      </c>
    </row>
    <row r="57" spans="1:46">
      <c r="A57" t="s">
        <v>1256</v>
      </c>
      <c r="B57" s="5">
        <f>SUMIF('库存（子SKU）'!$C:$C,$A57,'库存（子SKU）'!D:D)</f>
        <v>1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>
        <v>9.5</v>
      </c>
      <c r="G57">
        <f>SUMIF('库存（子SKU）'!$C:$C,$A57,'库存（子SKU）'!I:I)</f>
        <v>133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133</v>
      </c>
      <c r="L57">
        <f>SUMIF('库存（子SKU）'!$C:$C,$A57,'库存（子SKU）'!N:N)</f>
        <v>0</v>
      </c>
      <c r="M57">
        <f>SUMIF('库存（子SKU）'!$C:$C,$A57,'库存（子SKU）'!O:O)</f>
        <v>133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>
        <f t="shared" si="2"/>
        <v>0</v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73</v>
      </c>
      <c r="AI57">
        <f>SUMIF('库存（子SKU）'!$C:$C,$A57,'库存（子SKU）'!AK:AK)</f>
        <v>41</v>
      </c>
      <c r="AJ57">
        <f>SUMIF('库存（子SKU）'!$C:$C,$A57,'库存（子SKU）'!AL:AL)</f>
        <v>41</v>
      </c>
      <c r="AK57">
        <f>SUMIF('库存（子SKU）'!$C:$C,$A57,'库存（子SKU）'!AM:AM)</f>
        <v>42</v>
      </c>
      <c r="AL57" s="23">
        <f t="shared" si="6"/>
        <v>0.0136986301369863</v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7">
        <f t="shared" si="10"/>
        <v>0.142857142857143</v>
      </c>
      <c r="AQ57" s="7">
        <f t="shared" si="11"/>
        <v>8.57142857142857</v>
      </c>
      <c r="AR57" s="7">
        <f t="shared" si="12"/>
        <v>124.428571428571</v>
      </c>
      <c r="AS57">
        <f t="shared" si="13"/>
        <v>931</v>
      </c>
      <c r="AT57" s="2">
        <f>IFERROR($A$2+AS57,"上周无销量")</f>
        <v>44207</v>
      </c>
    </row>
    <row r="58" spans="1:46">
      <c r="A58" t="s">
        <v>1329</v>
      </c>
      <c r="B58" s="5">
        <f>SUMIF('库存（子SKU）'!$C:$C,$A58,'库存（子SKU）'!D:D)</f>
        <v>2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>
        <v>10</v>
      </c>
      <c r="G58">
        <f>SUMIF('库存（子SKU）'!$C:$C,$A58,'库存（子SKU）'!I:I)</f>
        <v>17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17</v>
      </c>
      <c r="L58">
        <f>SUMIF('库存（子SKU）'!$C:$C,$A58,'库存（子SKU）'!N:N)</f>
        <v>0</v>
      </c>
      <c r="M58">
        <f>SUMIF('库存（子SKU）'!$C:$C,$A58,'库存（子SKU）'!O:O)</f>
        <v>17</v>
      </c>
      <c r="N58">
        <f>SUMIF('库存（子SKU）'!$C:$C,$A58,'库存（子SKU）'!P:P)</f>
        <v>86</v>
      </c>
      <c r="O58">
        <f>SUMIF('库存（子SKU）'!$C:$C,$A58,'库存（子SKU）'!Q:Q)</f>
        <v>79</v>
      </c>
      <c r="P58">
        <f>SUMIF('库存（子SKU）'!$C:$C,$A58,'库存（子SKU）'!R:R)</f>
        <v>79</v>
      </c>
      <c r="Q58">
        <f>SUMIF('库存（子SKU）'!$C:$C,$A58,'库存（子SKU）'!S:S)</f>
        <v>12063</v>
      </c>
      <c r="R58">
        <f>SUMIF('库存（子SKU）'!$C:$C,$A58,'库存（子SKU）'!T:T)</f>
        <v>1</v>
      </c>
      <c r="S58">
        <f>SUMIF('库存（子SKU）'!$C:$C,$A58,'库存（子SKU）'!U:U)</f>
        <v>2</v>
      </c>
      <c r="T58">
        <f>SUMIF('库存（子SKU）'!$C:$C,$A58,'库存（子SKU）'!V:V)</f>
        <v>2</v>
      </c>
      <c r="U58">
        <f>SUMIF('库存（子SKU）'!$C:$C,$A58,'库存（子SKU）'!W:W)</f>
        <v>13</v>
      </c>
      <c r="V58" s="23">
        <f t="shared" si="15"/>
        <v>0.0116279069767442</v>
      </c>
      <c r="W58" s="23">
        <f t="shared" si="16"/>
        <v>0.0253164556962025</v>
      </c>
      <c r="X58" s="23">
        <f t="shared" si="17"/>
        <v>0.0253164556962025</v>
      </c>
      <c r="Y58" s="23">
        <f t="shared" si="18"/>
        <v>0.00107767553676532</v>
      </c>
      <c r="Z58">
        <f>SUMIF('库存（子SKU）'!$C:$C,$A58,'库存（子SKU）'!AB:AB)</f>
        <v>0.09</v>
      </c>
      <c r="AA58">
        <f>SUMIF('库存（子SKU）'!$C:$C,$A58,'库存（子SKU）'!AC:AC)</f>
        <v>0.17</v>
      </c>
      <c r="AB58">
        <f>SUMIF('库存（子SKU）'!$C:$C,$A58,'库存（子SKU）'!AD:AD)</f>
        <v>0.17</v>
      </c>
      <c r="AC58">
        <f>SUMIF('库存（子SKU）'!$C:$C,$A58,'库存（子SKU）'!AE:AE)</f>
        <v>7.95</v>
      </c>
      <c r="AD58" s="23">
        <f t="shared" si="2"/>
        <v>0.0045</v>
      </c>
      <c r="AE58" s="23" t="str">
        <f t="shared" si="3"/>
        <v>无销量广告费为0.17</v>
      </c>
      <c r="AF58" s="23" t="str">
        <f t="shared" si="4"/>
        <v>无销量广告费为0.17</v>
      </c>
      <c r="AG58" s="23" t="str">
        <f t="shared" si="5"/>
        <v>无销量广告费为7.95</v>
      </c>
      <c r="AH58">
        <f>SUMIF('库存（子SKU）'!$C:$C,$A58,'库存（子SKU）'!AJ:AJ)</f>
        <v>9</v>
      </c>
      <c r="AI58">
        <f>SUMIF('库存（子SKU）'!$C:$C,$A58,'库存（子SKU）'!AK:AK)</f>
        <v>5</v>
      </c>
      <c r="AJ58">
        <f>SUMIF('库存（子SKU）'!$C:$C,$A58,'库存（子SKU）'!AL:AL)</f>
        <v>7</v>
      </c>
      <c r="AK58">
        <f>SUMIF('库存（子SKU）'!$C:$C,$A58,'库存（子SKU）'!AM:AM)</f>
        <v>19</v>
      </c>
      <c r="AL58" s="23">
        <f t="shared" si="6"/>
        <v>0.222222222222222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7">
        <f t="shared" si="10"/>
        <v>0.285714285714286</v>
      </c>
      <c r="AQ58" s="7">
        <f t="shared" si="11"/>
        <v>17.1428571428571</v>
      </c>
      <c r="AR58" s="7">
        <f t="shared" si="12"/>
        <v>-0.142857142857142</v>
      </c>
      <c r="AS58">
        <f t="shared" si="13"/>
        <v>59</v>
      </c>
      <c r="AT58" s="2">
        <f>IFERROR($A$2+AS58,"上周无销量")</f>
        <v>43335</v>
      </c>
    </row>
    <row r="59" spans="1:46">
      <c r="A59"/>
      <c r="V59" s="23"/>
      <c r="W59" s="23"/>
      <c r="X59" s="23"/>
      <c r="Y59" s="23"/>
      <c r="AD59" s="23"/>
      <c r="AE59" s="23"/>
      <c r="AF59" s="23"/>
      <c r="AG59" s="23"/>
      <c r="AL59" s="23"/>
      <c r="AM59" s="23"/>
      <c r="AN59" s="23"/>
      <c r="AO59" s="23"/>
      <c r="AP59" s="7"/>
      <c r="AT59" s="2"/>
    </row>
    <row r="60" spans="1:46">
      <c r="A60"/>
      <c r="V60" s="23"/>
      <c r="W60" s="23"/>
      <c r="X60" s="23"/>
      <c r="Y60" s="23"/>
      <c r="AD60" s="23"/>
      <c r="AE60" s="23"/>
      <c r="AF60" s="23"/>
      <c r="AG60" s="23"/>
      <c r="AL60" s="23"/>
      <c r="AM60" s="23"/>
      <c r="AN60" s="23"/>
      <c r="AO60" s="23"/>
      <c r="AP60" s="7"/>
      <c r="AT60" s="2"/>
    </row>
    <row r="61" spans="1:46">
      <c r="A61"/>
      <c r="V61" s="23"/>
      <c r="W61" s="23"/>
      <c r="X61" s="23"/>
      <c r="Y61" s="23"/>
      <c r="AD61" s="23"/>
      <c r="AE61" s="23"/>
      <c r="AF61" s="23"/>
      <c r="AG61" s="23"/>
      <c r="AL61" s="23"/>
      <c r="AM61" s="23"/>
      <c r="AN61" s="23"/>
      <c r="AO61" s="23"/>
      <c r="AP61" s="7"/>
      <c r="AT61" s="2"/>
    </row>
    <row r="62" spans="1:46">
      <c r="A62"/>
      <c r="V62" s="23"/>
      <c r="W62" s="23"/>
      <c r="X62" s="23"/>
      <c r="Y62" s="23"/>
      <c r="AD62" s="23"/>
      <c r="AE62" s="23"/>
      <c r="AF62" s="23"/>
      <c r="AG62" s="23"/>
      <c r="AL62" s="23"/>
      <c r="AM62" s="23"/>
      <c r="AN62" s="23"/>
      <c r="AO62" s="23"/>
      <c r="AP62" s="7"/>
      <c r="AT62" s="2"/>
    </row>
    <row r="63" spans="1:46">
      <c r="A63"/>
      <c r="V63" s="23"/>
      <c r="W63" s="23"/>
      <c r="X63" s="23"/>
      <c r="Y63" s="23"/>
      <c r="AD63" s="23"/>
      <c r="AE63" s="23"/>
      <c r="AF63" s="23"/>
      <c r="AG63" s="23"/>
      <c r="AL63" s="23"/>
      <c r="AM63" s="23"/>
      <c r="AN63" s="23"/>
      <c r="AO63" s="23"/>
      <c r="AP63" s="7"/>
      <c r="AT63" s="2"/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950" operator="lessThan">
      <formula>20</formula>
    </cfRule>
    <cfRule type="cellIs" dxfId="1" priority="1949" operator="greaterThan">
      <formula>120</formula>
    </cfRule>
    <cfRule type="containsText" dxfId="3" priority="1948" operator="between" text="库存">
      <formula>NOT(ISERROR(SEARCH("库存",AS2)))</formula>
    </cfRule>
  </conditionalFormatting>
  <conditionalFormatting sqref="AS6">
    <cfRule type="cellIs" dxfId="0" priority="159" operator="lessThan">
      <formula>20</formula>
    </cfRule>
    <cfRule type="cellIs" dxfId="1" priority="106" operator="greaterThan">
      <formula>120</formula>
    </cfRule>
    <cfRule type="containsText" dxfId="3" priority="53" operator="between" text="库存">
      <formula>NOT(ISERROR(SEARCH("库存",AS6)))</formula>
    </cfRule>
  </conditionalFormatting>
  <conditionalFormatting sqref="AS7">
    <cfRule type="cellIs" dxfId="0" priority="158" operator="lessThan">
      <formula>20</formula>
    </cfRule>
    <cfRule type="cellIs" dxfId="1" priority="105" operator="greaterThan">
      <formula>120</formula>
    </cfRule>
    <cfRule type="containsText" dxfId="3" priority="52" operator="between" text="库存">
      <formula>NOT(ISERROR(SEARCH("库存",AS7)))</formula>
    </cfRule>
  </conditionalFormatting>
  <conditionalFormatting sqref="AS8">
    <cfRule type="cellIs" dxfId="0" priority="157" operator="lessThan">
      <formula>20</formula>
    </cfRule>
    <cfRule type="cellIs" dxfId="1" priority="104" operator="greaterThan">
      <formula>120</formula>
    </cfRule>
    <cfRule type="containsText" dxfId="3" priority="51" operator="between" text="库存">
      <formula>NOT(ISERROR(SEARCH("库存",AS8)))</formula>
    </cfRule>
  </conditionalFormatting>
  <conditionalFormatting sqref="AS9">
    <cfRule type="cellIs" dxfId="0" priority="156" operator="lessThan">
      <formula>20</formula>
    </cfRule>
    <cfRule type="cellIs" dxfId="1" priority="103" operator="greaterThan">
      <formula>120</formula>
    </cfRule>
    <cfRule type="containsText" dxfId="3" priority="50" operator="between" text="库存">
      <formula>NOT(ISERROR(SEARCH("库存",AS9)))</formula>
    </cfRule>
  </conditionalFormatting>
  <conditionalFormatting sqref="AS10">
    <cfRule type="cellIs" dxfId="0" priority="155" operator="lessThan">
      <formula>20</formula>
    </cfRule>
    <cfRule type="cellIs" dxfId="1" priority="102" operator="greaterThan">
      <formula>120</formula>
    </cfRule>
    <cfRule type="containsText" dxfId="3" priority="49" operator="between" text="库存">
      <formula>NOT(ISERROR(SEARCH("库存",AS10)))</formula>
    </cfRule>
  </conditionalFormatting>
  <conditionalFormatting sqref="AS11">
    <cfRule type="cellIs" dxfId="0" priority="154" operator="lessThan">
      <formula>20</formula>
    </cfRule>
    <cfRule type="cellIs" dxfId="1" priority="101" operator="greaterThan">
      <formula>120</formula>
    </cfRule>
    <cfRule type="containsText" dxfId="3" priority="48" operator="between" text="库存">
      <formula>NOT(ISERROR(SEARCH("库存",AS11)))</formula>
    </cfRule>
  </conditionalFormatting>
  <conditionalFormatting sqref="AS12">
    <cfRule type="cellIs" dxfId="0" priority="153" operator="lessThan">
      <formula>20</formula>
    </cfRule>
    <cfRule type="cellIs" dxfId="1" priority="100" operator="greaterThan">
      <formula>120</formula>
    </cfRule>
    <cfRule type="containsText" dxfId="3" priority="47" operator="between" text="库存">
      <formula>NOT(ISERROR(SEARCH("库存",AS12)))</formula>
    </cfRule>
  </conditionalFormatting>
  <conditionalFormatting sqref="AS13">
    <cfRule type="cellIs" dxfId="0" priority="152" operator="lessThan">
      <formula>20</formula>
    </cfRule>
    <cfRule type="cellIs" dxfId="1" priority="99" operator="greaterThan">
      <formula>120</formula>
    </cfRule>
    <cfRule type="containsText" dxfId="3" priority="46" operator="between" text="库存">
      <formula>NOT(ISERROR(SEARCH("库存",AS13)))</formula>
    </cfRule>
  </conditionalFormatting>
  <conditionalFormatting sqref="AS14">
    <cfRule type="cellIs" dxfId="0" priority="151" operator="lessThan">
      <formula>20</formula>
    </cfRule>
    <cfRule type="cellIs" dxfId="1" priority="98" operator="greaterThan">
      <formula>120</formula>
    </cfRule>
    <cfRule type="containsText" dxfId="3" priority="45" operator="between" text="库存">
      <formula>NOT(ISERROR(SEARCH("库存",AS14)))</formula>
    </cfRule>
  </conditionalFormatting>
  <conditionalFormatting sqref="AS15">
    <cfRule type="cellIs" dxfId="0" priority="150" operator="lessThan">
      <formula>20</formula>
    </cfRule>
    <cfRule type="cellIs" dxfId="1" priority="97" operator="greaterThan">
      <formula>120</formula>
    </cfRule>
    <cfRule type="containsText" dxfId="3" priority="44" operator="between" text="库存">
      <formula>NOT(ISERROR(SEARCH("库存",AS15)))</formula>
    </cfRule>
  </conditionalFormatting>
  <conditionalFormatting sqref="AS16">
    <cfRule type="cellIs" dxfId="0" priority="149" operator="lessThan">
      <formula>20</formula>
    </cfRule>
    <cfRule type="cellIs" dxfId="1" priority="96" operator="greaterThan">
      <formula>120</formula>
    </cfRule>
    <cfRule type="containsText" dxfId="3" priority="43" operator="between" text="库存">
      <formula>NOT(ISERROR(SEARCH("库存",AS16)))</formula>
    </cfRule>
  </conditionalFormatting>
  <conditionalFormatting sqref="AS17">
    <cfRule type="cellIs" dxfId="0" priority="148" operator="lessThan">
      <formula>20</formula>
    </cfRule>
    <cfRule type="cellIs" dxfId="1" priority="95" operator="greaterThan">
      <formula>120</formula>
    </cfRule>
    <cfRule type="containsText" dxfId="3" priority="42" operator="between" text="库存">
      <formula>NOT(ISERROR(SEARCH("库存",AS17)))</formula>
    </cfRule>
  </conditionalFormatting>
  <conditionalFormatting sqref="AS18">
    <cfRule type="cellIs" dxfId="0" priority="147" operator="lessThan">
      <formula>20</formula>
    </cfRule>
    <cfRule type="cellIs" dxfId="1" priority="94" operator="greaterThan">
      <formula>120</formula>
    </cfRule>
    <cfRule type="containsText" dxfId="3" priority="41" operator="between" text="库存">
      <formula>NOT(ISERROR(SEARCH("库存",AS18)))</formula>
    </cfRule>
  </conditionalFormatting>
  <conditionalFormatting sqref="AS19">
    <cfRule type="cellIs" dxfId="0" priority="146" operator="lessThan">
      <formula>20</formula>
    </cfRule>
    <cfRule type="cellIs" dxfId="1" priority="93" operator="greaterThan">
      <formula>120</formula>
    </cfRule>
    <cfRule type="containsText" dxfId="3" priority="40" operator="between" text="库存">
      <formula>NOT(ISERROR(SEARCH("库存",AS19)))</formula>
    </cfRule>
  </conditionalFormatting>
  <conditionalFormatting sqref="AS20">
    <cfRule type="cellIs" dxfId="0" priority="145" operator="lessThan">
      <formula>20</formula>
    </cfRule>
    <cfRule type="cellIs" dxfId="1" priority="92" operator="greaterThan">
      <formula>120</formula>
    </cfRule>
    <cfRule type="containsText" dxfId="3" priority="39" operator="between" text="库存">
      <formula>NOT(ISERROR(SEARCH("库存",AS20)))</formula>
    </cfRule>
  </conditionalFormatting>
  <conditionalFormatting sqref="AS21">
    <cfRule type="cellIs" dxfId="0" priority="144" operator="lessThan">
      <formula>20</formula>
    </cfRule>
    <cfRule type="cellIs" dxfId="1" priority="91" operator="greaterThan">
      <formula>120</formula>
    </cfRule>
    <cfRule type="containsText" dxfId="3" priority="38" operator="between" text="库存">
      <formula>NOT(ISERROR(SEARCH("库存",AS21)))</formula>
    </cfRule>
  </conditionalFormatting>
  <conditionalFormatting sqref="AS22">
    <cfRule type="cellIs" dxfId="0" priority="143" operator="lessThan">
      <formula>20</formula>
    </cfRule>
    <cfRule type="cellIs" dxfId="1" priority="90" operator="greaterThan">
      <formula>120</formula>
    </cfRule>
    <cfRule type="containsText" dxfId="3" priority="37" operator="between" text="库存">
      <formula>NOT(ISERROR(SEARCH("库存",AS22)))</formula>
    </cfRule>
  </conditionalFormatting>
  <conditionalFormatting sqref="AS23">
    <cfRule type="cellIs" dxfId="0" priority="142" operator="lessThan">
      <formula>20</formula>
    </cfRule>
    <cfRule type="cellIs" dxfId="1" priority="89" operator="greaterThan">
      <formula>120</formula>
    </cfRule>
    <cfRule type="containsText" dxfId="3" priority="36" operator="between" text="库存">
      <formula>NOT(ISERROR(SEARCH("库存",AS23)))</formula>
    </cfRule>
  </conditionalFormatting>
  <conditionalFormatting sqref="AS24">
    <cfRule type="cellIs" dxfId="0" priority="141" operator="lessThan">
      <formula>20</formula>
    </cfRule>
    <cfRule type="cellIs" dxfId="1" priority="88" operator="greaterThan">
      <formula>120</formula>
    </cfRule>
    <cfRule type="containsText" dxfId="3" priority="35" operator="between" text="库存">
      <formula>NOT(ISERROR(SEARCH("库存",AS24)))</formula>
    </cfRule>
  </conditionalFormatting>
  <conditionalFormatting sqref="AS25">
    <cfRule type="cellIs" dxfId="0" priority="140" operator="lessThan">
      <formula>20</formula>
    </cfRule>
    <cfRule type="cellIs" dxfId="1" priority="87" operator="greaterThan">
      <formula>120</formula>
    </cfRule>
    <cfRule type="containsText" dxfId="3" priority="34" operator="between" text="库存">
      <formula>NOT(ISERROR(SEARCH("库存",AS25)))</formula>
    </cfRule>
  </conditionalFormatting>
  <conditionalFormatting sqref="AS26">
    <cfRule type="cellIs" dxfId="0" priority="139" operator="lessThan">
      <formula>20</formula>
    </cfRule>
    <cfRule type="cellIs" dxfId="1" priority="86" operator="greaterThan">
      <formula>120</formula>
    </cfRule>
    <cfRule type="containsText" dxfId="3" priority="33" operator="between" text="库存">
      <formula>NOT(ISERROR(SEARCH("库存",AS26)))</formula>
    </cfRule>
  </conditionalFormatting>
  <conditionalFormatting sqref="AS27">
    <cfRule type="cellIs" dxfId="0" priority="138" operator="lessThan">
      <formula>20</formula>
    </cfRule>
    <cfRule type="cellIs" dxfId="1" priority="85" operator="greaterThan">
      <formula>120</formula>
    </cfRule>
    <cfRule type="containsText" dxfId="3" priority="32" operator="between" text="库存">
      <formula>NOT(ISERROR(SEARCH("库存",AS27)))</formula>
    </cfRule>
  </conditionalFormatting>
  <conditionalFormatting sqref="AS28">
    <cfRule type="cellIs" dxfId="0" priority="137" operator="lessThan">
      <formula>20</formula>
    </cfRule>
    <cfRule type="cellIs" dxfId="1" priority="84" operator="greaterThan">
      <formula>120</formula>
    </cfRule>
    <cfRule type="containsText" dxfId="3" priority="31" operator="between" text="库存">
      <formula>NOT(ISERROR(SEARCH("库存",AS28)))</formula>
    </cfRule>
  </conditionalFormatting>
  <conditionalFormatting sqref="AS29">
    <cfRule type="cellIs" dxfId="0" priority="136" operator="lessThan">
      <formula>20</formula>
    </cfRule>
    <cfRule type="cellIs" dxfId="1" priority="83" operator="greaterThan">
      <formula>120</formula>
    </cfRule>
    <cfRule type="containsText" dxfId="3" priority="30" operator="between" text="库存">
      <formula>NOT(ISERROR(SEARCH("库存",AS29)))</formula>
    </cfRule>
  </conditionalFormatting>
  <conditionalFormatting sqref="AS30">
    <cfRule type="cellIs" dxfId="0" priority="135" operator="lessThan">
      <formula>20</formula>
    </cfRule>
    <cfRule type="cellIs" dxfId="1" priority="82" operator="greaterThan">
      <formula>120</formula>
    </cfRule>
    <cfRule type="containsText" dxfId="3" priority="29" operator="between" text="库存">
      <formula>NOT(ISERROR(SEARCH("库存",AS30)))</formula>
    </cfRule>
  </conditionalFormatting>
  <conditionalFormatting sqref="AS31">
    <cfRule type="cellIs" dxfId="0" priority="134" operator="lessThan">
      <formula>20</formula>
    </cfRule>
    <cfRule type="cellIs" dxfId="1" priority="81" operator="greaterThan">
      <formula>120</formula>
    </cfRule>
    <cfRule type="containsText" dxfId="3" priority="28" operator="between" text="库存">
      <formula>NOT(ISERROR(SEARCH("库存",AS31)))</formula>
    </cfRule>
  </conditionalFormatting>
  <conditionalFormatting sqref="AS32">
    <cfRule type="cellIs" dxfId="0" priority="133" operator="lessThan">
      <formula>20</formula>
    </cfRule>
    <cfRule type="cellIs" dxfId="1" priority="80" operator="greaterThan">
      <formula>120</formula>
    </cfRule>
    <cfRule type="containsText" dxfId="3" priority="27" operator="between" text="库存">
      <formula>NOT(ISERROR(SEARCH("库存",AS32)))</formula>
    </cfRule>
  </conditionalFormatting>
  <conditionalFormatting sqref="AS33">
    <cfRule type="cellIs" dxfId="0" priority="132" operator="lessThan">
      <formula>20</formula>
    </cfRule>
    <cfRule type="cellIs" dxfId="1" priority="79" operator="greaterThan">
      <formula>120</formula>
    </cfRule>
    <cfRule type="containsText" dxfId="3" priority="26" operator="between" text="库存">
      <formula>NOT(ISERROR(SEARCH("库存",AS33)))</formula>
    </cfRule>
  </conditionalFormatting>
  <conditionalFormatting sqref="AS34">
    <cfRule type="cellIs" dxfId="0" priority="131" operator="lessThan">
      <formula>20</formula>
    </cfRule>
    <cfRule type="cellIs" dxfId="1" priority="78" operator="greaterThan">
      <formula>120</formula>
    </cfRule>
    <cfRule type="containsText" dxfId="3" priority="25" operator="between" text="库存">
      <formula>NOT(ISERROR(SEARCH("库存",AS34)))</formula>
    </cfRule>
  </conditionalFormatting>
  <conditionalFormatting sqref="AS35">
    <cfRule type="cellIs" dxfId="0" priority="130" operator="lessThan">
      <formula>20</formula>
    </cfRule>
    <cfRule type="cellIs" dxfId="1" priority="77" operator="greaterThan">
      <formula>120</formula>
    </cfRule>
    <cfRule type="containsText" dxfId="3" priority="24" operator="between" text="库存">
      <formula>NOT(ISERROR(SEARCH("库存",AS35)))</formula>
    </cfRule>
  </conditionalFormatting>
  <conditionalFormatting sqref="AS36">
    <cfRule type="cellIs" dxfId="0" priority="129" operator="lessThan">
      <formula>20</formula>
    </cfRule>
    <cfRule type="cellIs" dxfId="1" priority="76" operator="greaterThan">
      <formula>120</formula>
    </cfRule>
    <cfRule type="containsText" dxfId="3" priority="23" operator="between" text="库存">
      <formula>NOT(ISERROR(SEARCH("库存",AS36)))</formula>
    </cfRule>
  </conditionalFormatting>
  <conditionalFormatting sqref="AS37">
    <cfRule type="cellIs" dxfId="0" priority="128" operator="lessThan">
      <formula>20</formula>
    </cfRule>
    <cfRule type="cellIs" dxfId="1" priority="75" operator="greaterThan">
      <formula>120</formula>
    </cfRule>
    <cfRule type="containsText" dxfId="3" priority="22" operator="between" text="库存">
      <formula>NOT(ISERROR(SEARCH("库存",AS37)))</formula>
    </cfRule>
  </conditionalFormatting>
  <conditionalFormatting sqref="AS38">
    <cfRule type="cellIs" dxfId="0" priority="127" operator="lessThan">
      <formula>20</formula>
    </cfRule>
    <cfRule type="cellIs" dxfId="1" priority="74" operator="greaterThan">
      <formula>120</formula>
    </cfRule>
    <cfRule type="containsText" dxfId="3" priority="21" operator="between" text="库存">
      <formula>NOT(ISERROR(SEARCH("库存",AS38)))</formula>
    </cfRule>
  </conditionalFormatting>
  <conditionalFormatting sqref="AS39">
    <cfRule type="cellIs" dxfId="0" priority="126" operator="lessThan">
      <formula>20</formula>
    </cfRule>
    <cfRule type="cellIs" dxfId="1" priority="73" operator="greaterThan">
      <formula>120</formula>
    </cfRule>
    <cfRule type="containsText" dxfId="3" priority="20" operator="between" text="库存">
      <formula>NOT(ISERROR(SEARCH("库存",AS39)))</formula>
    </cfRule>
  </conditionalFormatting>
  <conditionalFormatting sqref="AS40">
    <cfRule type="cellIs" dxfId="0" priority="125" operator="lessThan">
      <formula>20</formula>
    </cfRule>
    <cfRule type="cellIs" dxfId="1" priority="72" operator="greaterThan">
      <formula>120</formula>
    </cfRule>
    <cfRule type="containsText" dxfId="3" priority="19" operator="between" text="库存">
      <formula>NOT(ISERROR(SEARCH("库存",AS40)))</formula>
    </cfRule>
  </conditionalFormatting>
  <conditionalFormatting sqref="AS41">
    <cfRule type="cellIs" dxfId="0" priority="124" operator="lessThan">
      <formula>20</formula>
    </cfRule>
    <cfRule type="cellIs" dxfId="1" priority="71" operator="greaterThan">
      <formula>120</formula>
    </cfRule>
    <cfRule type="containsText" dxfId="3" priority="18" operator="between" text="库存">
      <formula>NOT(ISERROR(SEARCH("库存",AS41)))</formula>
    </cfRule>
  </conditionalFormatting>
  <conditionalFormatting sqref="AS42">
    <cfRule type="cellIs" dxfId="0" priority="123" operator="lessThan">
      <formula>20</formula>
    </cfRule>
    <cfRule type="cellIs" dxfId="1" priority="70" operator="greaterThan">
      <formula>120</formula>
    </cfRule>
    <cfRule type="containsText" dxfId="3" priority="17" operator="between" text="库存">
      <formula>NOT(ISERROR(SEARCH("库存",AS42)))</formula>
    </cfRule>
  </conditionalFormatting>
  <conditionalFormatting sqref="AS43">
    <cfRule type="cellIs" dxfId="0" priority="122" operator="lessThan">
      <formula>20</formula>
    </cfRule>
    <cfRule type="cellIs" dxfId="1" priority="69" operator="greaterThan">
      <formula>120</formula>
    </cfRule>
    <cfRule type="containsText" dxfId="3" priority="16" operator="between" text="库存">
      <formula>NOT(ISERROR(SEARCH("库存",AS43)))</formula>
    </cfRule>
  </conditionalFormatting>
  <conditionalFormatting sqref="AS44">
    <cfRule type="cellIs" dxfId="0" priority="121" operator="lessThan">
      <formula>20</formula>
    </cfRule>
    <cfRule type="cellIs" dxfId="1" priority="68" operator="greaterThan">
      <formula>120</formula>
    </cfRule>
    <cfRule type="containsText" dxfId="3" priority="15" operator="between" text="库存">
      <formula>NOT(ISERROR(SEARCH("库存",AS44)))</formula>
    </cfRule>
  </conditionalFormatting>
  <conditionalFormatting sqref="AS45">
    <cfRule type="cellIs" dxfId="0" priority="120" operator="lessThan">
      <formula>20</formula>
    </cfRule>
    <cfRule type="cellIs" dxfId="1" priority="67" operator="greaterThan">
      <formula>120</formula>
    </cfRule>
    <cfRule type="containsText" dxfId="3" priority="14" operator="between" text="库存">
      <formula>NOT(ISERROR(SEARCH("库存",AS45)))</formula>
    </cfRule>
  </conditionalFormatting>
  <conditionalFormatting sqref="AS46">
    <cfRule type="cellIs" dxfId="0" priority="119" operator="lessThan">
      <formula>20</formula>
    </cfRule>
    <cfRule type="cellIs" dxfId="1" priority="66" operator="greaterThan">
      <formula>120</formula>
    </cfRule>
    <cfRule type="containsText" dxfId="3" priority="13" operator="between" text="库存">
      <formula>NOT(ISERROR(SEARCH("库存",AS46)))</formula>
    </cfRule>
  </conditionalFormatting>
  <conditionalFormatting sqref="AS47">
    <cfRule type="cellIs" dxfId="0" priority="118" operator="lessThan">
      <formula>20</formula>
    </cfRule>
    <cfRule type="cellIs" dxfId="1" priority="65" operator="greaterThan">
      <formula>120</formula>
    </cfRule>
    <cfRule type="containsText" dxfId="3" priority="12" operator="between" text="库存">
      <formula>NOT(ISERROR(SEARCH("库存",AS47)))</formula>
    </cfRule>
  </conditionalFormatting>
  <conditionalFormatting sqref="AS48">
    <cfRule type="cellIs" dxfId="0" priority="117" operator="lessThan">
      <formula>20</formula>
    </cfRule>
    <cfRule type="cellIs" dxfId="1" priority="64" operator="greaterThan">
      <formula>120</formula>
    </cfRule>
    <cfRule type="containsText" dxfId="3" priority="11" operator="between" text="库存">
      <formula>NOT(ISERROR(SEARCH("库存",AS48)))</formula>
    </cfRule>
  </conditionalFormatting>
  <conditionalFormatting sqref="AS49">
    <cfRule type="cellIs" dxfId="0" priority="116" operator="lessThan">
      <formula>20</formula>
    </cfRule>
    <cfRule type="cellIs" dxfId="1" priority="63" operator="greaterThan">
      <formula>120</formula>
    </cfRule>
    <cfRule type="containsText" dxfId="3" priority="10" operator="between" text="库存">
      <formula>NOT(ISERROR(SEARCH("库存",AS49)))</formula>
    </cfRule>
  </conditionalFormatting>
  <conditionalFormatting sqref="AS50">
    <cfRule type="cellIs" dxfId="0" priority="115" operator="lessThan">
      <formula>20</formula>
    </cfRule>
    <cfRule type="cellIs" dxfId="1" priority="62" operator="greaterThan">
      <formula>120</formula>
    </cfRule>
    <cfRule type="containsText" dxfId="3" priority="9" operator="between" text="库存">
      <formula>NOT(ISERROR(SEARCH("库存",AS50)))</formula>
    </cfRule>
  </conditionalFormatting>
  <conditionalFormatting sqref="AS51">
    <cfRule type="cellIs" dxfId="0" priority="114" operator="lessThan">
      <formula>20</formula>
    </cfRule>
    <cfRule type="cellIs" dxfId="1" priority="61" operator="greaterThan">
      <formula>120</formula>
    </cfRule>
    <cfRule type="containsText" dxfId="3" priority="8" operator="between" text="库存">
      <formula>NOT(ISERROR(SEARCH("库存",AS51)))</formula>
    </cfRule>
  </conditionalFormatting>
  <conditionalFormatting sqref="AS52">
    <cfRule type="cellIs" dxfId="0" priority="113" operator="lessThan">
      <formula>20</formula>
    </cfRule>
    <cfRule type="cellIs" dxfId="1" priority="60" operator="greaterThan">
      <formula>120</formula>
    </cfRule>
    <cfRule type="containsText" dxfId="3" priority="7" operator="between" text="库存">
      <formula>NOT(ISERROR(SEARCH("库存",AS52)))</formula>
    </cfRule>
  </conditionalFormatting>
  <conditionalFormatting sqref="AS53">
    <cfRule type="cellIs" dxfId="0" priority="112" operator="lessThan">
      <formula>20</formula>
    </cfRule>
    <cfRule type="cellIs" dxfId="1" priority="59" operator="greaterThan">
      <formula>120</formula>
    </cfRule>
    <cfRule type="containsText" dxfId="3" priority="6" operator="between" text="库存">
      <formula>NOT(ISERROR(SEARCH("库存",AS53)))</formula>
    </cfRule>
  </conditionalFormatting>
  <conditionalFormatting sqref="AS54">
    <cfRule type="cellIs" dxfId="0" priority="111" operator="lessThan">
      <formula>20</formula>
    </cfRule>
    <cfRule type="cellIs" dxfId="1" priority="58" operator="greaterThan">
      <formula>120</formula>
    </cfRule>
    <cfRule type="containsText" dxfId="3" priority="5" operator="between" text="库存">
      <formula>NOT(ISERROR(SEARCH("库存",AS54)))</formula>
    </cfRule>
  </conditionalFormatting>
  <conditionalFormatting sqref="AS55">
    <cfRule type="cellIs" dxfId="0" priority="110" operator="lessThan">
      <formula>20</formula>
    </cfRule>
    <cfRule type="cellIs" dxfId="1" priority="57" operator="greaterThan">
      <formula>120</formula>
    </cfRule>
    <cfRule type="containsText" dxfId="3" priority="4" operator="between" text="库存">
      <formula>NOT(ISERROR(SEARCH("库存",AS55)))</formula>
    </cfRule>
  </conditionalFormatting>
  <conditionalFormatting sqref="AS56">
    <cfRule type="cellIs" dxfId="0" priority="109" operator="lessThan">
      <formula>20</formula>
    </cfRule>
    <cfRule type="cellIs" dxfId="1" priority="56" operator="greaterThan">
      <formula>120</formula>
    </cfRule>
    <cfRule type="containsText" dxfId="3" priority="3" operator="between" text="库存">
      <formula>NOT(ISERROR(SEARCH("库存",AS56)))</formula>
    </cfRule>
  </conditionalFormatting>
  <conditionalFormatting sqref="AS57">
    <cfRule type="cellIs" dxfId="0" priority="108" operator="lessThan">
      <formula>20</formula>
    </cfRule>
    <cfRule type="cellIs" dxfId="1" priority="55" operator="greaterThan">
      <formula>120</formula>
    </cfRule>
    <cfRule type="containsText" dxfId="3" priority="2" operator="between" text="库存">
      <formula>NOT(ISERROR(SEARCH("库存",AS57)))</formula>
    </cfRule>
  </conditionalFormatting>
  <conditionalFormatting sqref="AS58">
    <cfRule type="cellIs" dxfId="0" priority="107" operator="lessThan">
      <formula>20</formula>
    </cfRule>
    <cfRule type="cellIs" dxfId="1" priority="54" operator="greaterThan">
      <formula>120</formula>
    </cfRule>
    <cfRule type="containsText" dxfId="3" priority="1" operator="between" text="库存">
      <formula>NOT(ISERROR(SEARCH("库存",AS58)))</formula>
    </cfRule>
  </conditionalFormatting>
  <conditionalFormatting sqref="AS59">
    <cfRule type="cellIs" dxfId="0" priority="580" operator="lessThan">
      <formula>20</formula>
    </cfRule>
    <cfRule type="cellIs" dxfId="1" priority="526" operator="greaterThan">
      <formula>120</formula>
    </cfRule>
    <cfRule type="containsText" dxfId="3" priority="472" operator="between" text="库存">
      <formula>NOT(ISERROR(SEARCH("库存",AS59)))</formula>
    </cfRule>
  </conditionalFormatting>
  <conditionalFormatting sqref="AS60">
    <cfRule type="cellIs" dxfId="0" priority="1068" operator="lessThan">
      <formula>20</formula>
    </cfRule>
    <cfRule type="cellIs" dxfId="1" priority="1013" operator="greaterThan">
      <formula>120</formula>
    </cfRule>
    <cfRule type="containsText" dxfId="3" priority="958" operator="between" text="库存">
      <formula>NOT(ISERROR(SEARCH("库存",AS60)))</formula>
    </cfRule>
  </conditionalFormatting>
  <conditionalFormatting sqref="AS1 AS3:AS5 AS61:AS1048576">
    <cfRule type="cellIs" dxfId="0" priority="1953" operator="lessThan">
      <formula>20</formula>
    </cfRule>
    <cfRule type="cellIs" dxfId="1" priority="1952" operator="greaterThan">
      <formula>120</formula>
    </cfRule>
    <cfRule type="containsText" dxfId="3" priority="1951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1342</v>
      </c>
      <c r="B1" s="1">
        <f>B12</f>
        <v>43276</v>
      </c>
    </row>
    <row r="2" spans="1:2">
      <c r="A2" t="s">
        <v>1343</v>
      </c>
      <c r="B2" s="1">
        <v>43303</v>
      </c>
    </row>
    <row r="4" spans="1:2">
      <c r="A4" t="s">
        <v>1344</v>
      </c>
      <c r="B4" s="2">
        <f>B2+1</f>
        <v>43304</v>
      </c>
    </row>
    <row r="5" spans="1:2">
      <c r="A5" t="s">
        <v>1345</v>
      </c>
      <c r="B5" s="3">
        <f>B2</f>
        <v>43303</v>
      </c>
    </row>
    <row r="6" spans="1:2">
      <c r="A6" t="s">
        <v>1346</v>
      </c>
      <c r="B6" s="2">
        <f>B5-6</f>
        <v>43297</v>
      </c>
    </row>
    <row r="7" spans="1:2">
      <c r="A7" t="s">
        <v>1347</v>
      </c>
      <c r="B7" s="2">
        <f>B5-7</f>
        <v>43296</v>
      </c>
    </row>
    <row r="8" spans="1:2">
      <c r="A8" t="s">
        <v>1348</v>
      </c>
      <c r="B8" s="2">
        <f>B5-13</f>
        <v>43290</v>
      </c>
    </row>
    <row r="9" spans="1:2">
      <c r="A9" t="s">
        <v>1349</v>
      </c>
      <c r="B9" s="2">
        <f>B5-14</f>
        <v>43289</v>
      </c>
    </row>
    <row r="10" spans="1:2">
      <c r="A10" t="s">
        <v>1350</v>
      </c>
      <c r="B10" s="2">
        <f>B5-20</f>
        <v>43283</v>
      </c>
    </row>
    <row r="11" spans="1:2">
      <c r="A11" t="s">
        <v>1351</v>
      </c>
      <c r="B11" s="2">
        <f>B5-21</f>
        <v>43282</v>
      </c>
    </row>
    <row r="12" spans="1:2">
      <c r="A12" t="s">
        <v>1352</v>
      </c>
      <c r="B12" s="2">
        <f>B5-27</f>
        <v>43276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2018-07-24T06:13:58Z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