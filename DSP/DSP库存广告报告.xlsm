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<sst xmlns="http://schemas.openxmlformats.org/spreadsheetml/2006/main" count="221">
  <si>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</si>
  <si>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</si>
  <si>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</si>
  <si>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</si>
  <si>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</si>
  <si>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</si>
  <si>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</si>
  <si>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</si>
  <si>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</si>
  <si>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</si>
  <si>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</si>
  <si>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</si>
  <si>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</si>
  <si>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</si>
  <si>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</si>
  <si>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</si>
  <si>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</si>
  <si>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</si>
  <si>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</si>
  <si>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</si>
  <si>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</si>
  <si>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</si>
  <si>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</si>
  <si>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</si>
  <si>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</si>
  <si>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</si>
  <si>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</si>
  <si>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</si>
  <si>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</si>
  <si>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</si>
  <si>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</si>
  <si>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</si>
  <si>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</si>
  <si>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</si>
  <si>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</si>
  <si>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</si>
  <si>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</si>
  <si>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</si>
  <si>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</si>
  <si>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</si>
  <si>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</si>
  <si>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</si>
  <si>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</si>
  <si>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</si>
  <si>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</si>
  <si>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</si>
  <si>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</si>
  <si>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</si>
  <si>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</si>
  <si>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</si>
  <si>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</si>
  <si>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00-1VZ1-IH69</t>
  </si>
  <si>
    <t>06-LI7A-IZ44</t>
  </si>
  <si>
    <t>0Z-KJNM-D56T</t>
  </si>
  <si>
    <t>1M-3M12-58YS</t>
  </si>
  <si>
    <t>1N-I8OQ-5NL6</t>
  </si>
  <si>
    <t>2N-C2ZT-YSNI</t>
  </si>
  <si>
    <t>3E-OBBY-DIEZ</t>
  </si>
  <si>
    <t>40-G0ZX-HJNG</t>
  </si>
  <si>
    <t>54-2HQR-70OB</t>
  </si>
  <si>
    <t>58-6A0P-DRT9</t>
  </si>
  <si>
    <t>5D-ZS9Q-CYOL</t>
  </si>
  <si>
    <t>5S-TEQM-ZWF1</t>
  </si>
  <si>
    <t>5X-E8TX-UKIW</t>
  </si>
  <si>
    <t>6T-8V8W-3S67</t>
  </si>
  <si>
    <t>7K-XLQF-24PG</t>
  </si>
  <si>
    <t>8V-1JSS-5D7M</t>
  </si>
  <si>
    <t>8X-ORFA-L07U</t>
  </si>
  <si>
    <t>97-6SJH-1LTA</t>
  </si>
  <si>
    <t>A5-X9GB-M912</t>
  </si>
  <si>
    <t>B000VEWF2Q</t>
  </si>
  <si>
    <t>BM-6KQ2-02X2</t>
  </si>
  <si>
    <t>BU-8SVS-Q5LV</t>
  </si>
  <si>
    <t>C3-311K-550X</t>
  </si>
  <si>
    <t>CF-7C1X-596L</t>
  </si>
  <si>
    <t>DA-BINR-0UIS</t>
  </si>
  <si>
    <t>DI-JC1L-4Y5S</t>
  </si>
  <si>
    <t>DM-LSF9-NGGG</t>
  </si>
  <si>
    <t>DW-MG8E-BMQG</t>
  </si>
  <si>
    <t>E8-GWV1-AJMB</t>
  </si>
  <si>
    <t>EW-ERSE-5U59</t>
  </si>
  <si>
    <t>GE-EMV6-4E4J</t>
  </si>
  <si>
    <t>GX-HUMS-YACQ</t>
  </si>
  <si>
    <t>HF-I2e-AABS</t>
  </si>
  <si>
    <t>HF-T9QA-X3JZ</t>
  </si>
  <si>
    <t>HF-a10e-MINM</t>
  </si>
  <si>
    <t>HF-a136e-MHBB</t>
  </si>
  <si>
    <t>HF-a14e-NICC</t>
  </si>
  <si>
    <t>HF-a18e-IADC</t>
  </si>
  <si>
    <t>HF-a1e-LCMC</t>
  </si>
  <si>
    <t>HF-a21e-SCFM</t>
  </si>
  <si>
    <t>HF-a22e-EFCM</t>
  </si>
  <si>
    <t>HF-a2e-STSP</t>
  </si>
  <si>
    <t>HF-a33e-LUHC</t>
  </si>
  <si>
    <t>HF-a36e-LMCM</t>
  </si>
  <si>
    <t>HF-a37e-FCMG</t>
  </si>
  <si>
    <t>HF-a49e-CBSM</t>
  </si>
  <si>
    <t>HF-a53e-PRPM</t>
  </si>
  <si>
    <t>HF-a56e-EYES</t>
  </si>
  <si>
    <t>HF-a5e-NCFM</t>
  </si>
  <si>
    <t>HF-a69e-PEFG</t>
  </si>
  <si>
    <t>HF-a69e-PEFGX</t>
  </si>
  <si>
    <t>HF-a6e-LASS</t>
  </si>
  <si>
    <t>HF-a76e-GCSS</t>
  </si>
  <si>
    <t>HF-a77e-TSSS</t>
  </si>
  <si>
    <t>HF-a80e-BTBM</t>
  </si>
  <si>
    <t>HF-a81e-MHBB</t>
  </si>
  <si>
    <t>HF-a82e-RPBB</t>
  </si>
  <si>
    <t>HF-a85e-RFPM</t>
  </si>
  <si>
    <t>HF-b3e-PWCC</t>
  </si>
  <si>
    <t>HF-c1e-MCND</t>
  </si>
  <si>
    <t>HF-c7e-LANC</t>
  </si>
  <si>
    <t>HF-f11a-HNCT</t>
  </si>
  <si>
    <t>HF-f12-FACL</t>
  </si>
  <si>
    <t>HF-f15b-EXBS</t>
  </si>
  <si>
    <t>HF-f2-LIFT</t>
  </si>
  <si>
    <t>HF-f24-ACPF</t>
  </si>
  <si>
    <t>HF-f6a-EXBS</t>
  </si>
  <si>
    <t>HF-f6b-EXBS</t>
  </si>
  <si>
    <t>HF-f9a-GSBB</t>
  </si>
  <si>
    <t>HF-g104e-PCFS</t>
  </si>
  <si>
    <t>HF-g1e-AFDM</t>
  </si>
  <si>
    <t>HF-g2e-ACRC</t>
  </si>
  <si>
    <t>HF-l3e-TEYG</t>
  </si>
  <si>
    <t>HF-n2ae-NBNK</t>
  </si>
  <si>
    <t>HF-w1e-PSOR</t>
  </si>
  <si>
    <t>IM-YEIX-VVX8</t>
  </si>
  <si>
    <t>JQ-N6LK-OQ03</t>
  </si>
  <si>
    <t>KN-2B5X-YB0L</t>
  </si>
  <si>
    <t>KN-QWP1-D5XB</t>
  </si>
  <si>
    <t>KP-1178-XPKV</t>
  </si>
  <si>
    <t>L1-BT23-OVPU</t>
  </si>
  <si>
    <t>L7-N9M4-0P6X</t>
  </si>
  <si>
    <t>LF-QRR8-VUXE</t>
  </si>
  <si>
    <t>LH-V26Y-FVKV</t>
  </si>
  <si>
    <t>LY-0LSI-94LS</t>
  </si>
  <si>
    <t>M5-BNRC-2A6O</t>
  </si>
  <si>
    <t>MY16055K0L</t>
  </si>
  <si>
    <t>MY16055K0M</t>
  </si>
  <si>
    <t>MY16055K0S</t>
  </si>
  <si>
    <t>MY16055K0XL</t>
  </si>
  <si>
    <t>MY16055K0XXL</t>
  </si>
  <si>
    <t>MY16055MSL</t>
  </si>
  <si>
    <t>MY16055MSM</t>
  </si>
  <si>
    <t>MY16055MSS</t>
  </si>
  <si>
    <t>MY16055MSXL</t>
  </si>
  <si>
    <t>MY16055MSXXL</t>
  </si>
  <si>
    <t>MY16055ZQL</t>
  </si>
  <si>
    <t>MY16055ZQM</t>
  </si>
  <si>
    <t>MY16055ZQS</t>
  </si>
  <si>
    <t>MY16055ZQXL</t>
  </si>
  <si>
    <t>MY16055ZQXXL</t>
  </si>
  <si>
    <t>MY71107K0L</t>
  </si>
  <si>
    <t>MY71107K0M</t>
  </si>
  <si>
    <t>MY71107K0S</t>
  </si>
  <si>
    <t>MY71107K0XL</t>
  </si>
  <si>
    <t>MY71107K0XXL</t>
  </si>
  <si>
    <t>MY71107MSL</t>
  </si>
  <si>
    <t>MY71107MSM</t>
  </si>
  <si>
    <t>MY71107MSS</t>
  </si>
  <si>
    <t>MY71107MSXL</t>
  </si>
  <si>
    <t>MY71107MSXXL</t>
  </si>
  <si>
    <t>MY71107ZQL</t>
  </si>
  <si>
    <t>MY71107ZQM</t>
  </si>
  <si>
    <t>MY71107ZQS</t>
  </si>
  <si>
    <t>MY71107ZQXL</t>
  </si>
  <si>
    <t>MY71107ZQXXL</t>
  </si>
  <si>
    <t>MY71115K0L</t>
  </si>
  <si>
    <t>MY71115K0M</t>
  </si>
  <si>
    <t>MY71115K0S</t>
  </si>
  <si>
    <t>MY71115K0XL</t>
  </si>
  <si>
    <t>MY71115K0XXL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</si>
  <si>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</si>
  <si>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</si>
  <si>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</si>
  <si>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</si>
  <si>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</si>
  <si>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</si>
  <si>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</si>
  <si>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</si>
  <si>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</si>
  <si>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MY71115ZQXXL</t>
  </si>
  <si>
    <t>NL-JZZU-6KCF</t>
  </si>
  <si>
    <t>OL-FWF1-1Z13</t>
  </si>
  <si>
    <t>PG-UDJF-U1WZ</t>
  </si>
  <si>
    <t>PJ-CPH7-5MXE</t>
  </si>
  <si>
    <t>PP-7C5M-OKFZ</t>
  </si>
  <si>
    <t>PV-OG2H-VHEI</t>
  </si>
  <si>
    <t>PW-89MW-RR8Y</t>
  </si>
  <si>
    <t>QW-6H25-PV48</t>
  </si>
  <si>
    <t>R0-9P3N-MM7G</t>
  </si>
  <si>
    <t>R5-W9D5-YCXW</t>
  </si>
  <si>
    <t>SM-LSLQ-C3QE</t>
  </si>
  <si>
    <t>U9-B86F-U3BU</t>
  </si>
  <si>
    <t>UH-SMM5-RLVI</t>
  </si>
  <si>
    <t>VR-3PK8-48QD</t>
  </si>
  <si>
    <t>WS-NIZA-VBTG</t>
  </si>
  <si>
    <t>YI-LW70-5D1O</t>
  </si>
  <si>
    <t>ZV-TBFW-N9Y2</t>
  </si>
  <si>
    <t>ZW-A85T-DGVQ</t>
  </si>
  <si>
    <t>HF-a02e-STSB-ZF</t>
  </si>
  <si>
    <t>HF-a21e-SCFM-ZF</t>
  </si>
  <si>
    <t>HF-a1e-LCMC-ZF</t>
  </si>
  <si>
    <t>HF-f6b-EXBS-ZF</t>
  </si>
  <si>
    <t>HF-a56e-EYES-ZF</t>
  </si>
  <si>
    <t>HF-f12-FACL-ZF</t>
  </si>
  <si>
    <t>HF-a11e-MCND</t>
  </si>
  <si>
    <t>HF-f15b-EXBS-ZF</t>
  </si>
  <si>
    <t>HF-a49e-CBSM-ZF</t>
  </si>
  <si>
    <t>HF-g1e-AFDM-ZF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</si>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</sst>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yyyy/m/d;@"/>
    <numFmt numFmtId="178" formatCode="yyyy&quot;年&quot;m&quot;月&quot;d&quot;日&quot;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8" fillId="19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3" borderId="4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20" fillId="17" borderId="6" applyNumberFormat="0" applyAlignment="0" applyProtection="0">
      <alignment vertical="center"/>
    </xf>
    <xf numFmtId="0" fontId="15" fillId="17" borderId="5" applyNumberFormat="0" applyAlignment="0" applyProtection="0">
      <alignment vertical="center"/>
    </xf>
    <xf numFmtId="0" fontId="10" fillId="8" borderId="3" applyNumberFormat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</cellStyleXfs>
  <cellXfs count="42">
    <xf numFmtId="0" fontId="0" fillId="0" borderId="0" xfId="0"/>
    <xf numFmtId="178" fontId="0" fillId="0" borderId="0" xfId="0" applyNumberFormat="1" applyAlignment="1">
      <alignment horizontal="center"/>
    </xf>
    <xf numFmtId="178" fontId="0" fillId="0" borderId="0" xfId="0" applyNumberFormat="1"/>
    <xf numFmtId="178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7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0" borderId="0" xfId="0" applyFill="1" applyAlignment="1">
      <alignment vertical="center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8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8" fontId="0" fillId="3" borderId="0" xfId="0" applyNumberForma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6" fillId="0" borderId="0" xfId="0" applyFont="1" applyFill="1" applyAlignment="1"/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u-fnsku-asin-&#20135;&#21697;&#21517;&#3121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_fnsku_asin_产品名称"/>
    </sheetNames>
    <sheetDataSet>
      <sheetData sheetId="0">
        <row r="1">
          <cell r="A1" t="str">
            <v>sku</v>
          </cell>
          <cell r="B1" t="str">
            <v>fnsku</v>
          </cell>
          <cell r="C1" t="str">
            <v>asin</v>
          </cell>
          <cell r="D1" t="str">
            <v>product-name</v>
          </cell>
        </row>
        <row r="2">
          <cell r="A2" t="str">
            <v>00-1VZ1-IH69</v>
          </cell>
          <cell r="B2" t="str">
            <v>X001MR5RYF</v>
          </cell>
          <cell r="C2" t="str">
            <v>B004H09KEQ</v>
          </cell>
        </row>
        <row r="3">
          <cell r="A3" t="str">
            <v>06-LI7A-IZ44</v>
          </cell>
          <cell r="B3" t="str">
            <v>X001HAG5XJ</v>
          </cell>
          <cell r="C3" t="str">
            <v>B0052K03KA</v>
          </cell>
          <cell r="D3" t="str">
            <v>Premier Dead Sea Essential Face Cleanser for Men</v>
          </cell>
        </row>
        <row r="4">
          <cell r="A4" t="str">
            <v>0Z-KJNM-D56T</v>
          </cell>
          <cell r="B4" t="str">
            <v>X001HAAVTN</v>
          </cell>
          <cell r="C4" t="str">
            <v>B00157ZFC0</v>
          </cell>
          <cell r="D4" t="str">
            <v>Premier Dead Sea Body Butter Herbal Scent</v>
          </cell>
        </row>
        <row r="5">
          <cell r="A5" t="str">
            <v>1M-3M12-58YS</v>
          </cell>
          <cell r="B5" t="str">
            <v>X001BK07GL</v>
          </cell>
          <cell r="C5" t="str">
            <v>B002DYY35Y</v>
          </cell>
          <cell r="D5" t="str">
            <v>Premier Dead Sea Mineral Body Treatment - Salt Scrub - Lemon Aroma</v>
          </cell>
        </row>
        <row r="6">
          <cell r="A6" t="str">
            <v>1N-I8OQ-5NL6</v>
          </cell>
          <cell r="B6" t="str">
            <v>X001E28I03</v>
          </cell>
          <cell r="C6" t="str">
            <v>B00D6L6NY2</v>
          </cell>
          <cell r="D6" t="str">
            <v>Premier Dead Sea Para-pharmaceutical Exfoliating Facial Gel 125 ML/ 4.25 FL.OZ</v>
          </cell>
        </row>
        <row r="7">
          <cell r="A7" t="str">
            <v>2N-C2ZT-YSNI</v>
          </cell>
          <cell r="B7" t="str">
            <v>X001CPXTFL</v>
          </cell>
          <cell r="C7" t="str">
            <v>B0016VW618</v>
          </cell>
          <cell r="D7" t="str">
            <v>Premier Usa Dead Sea shaving Cream for Men All Skin</v>
          </cell>
        </row>
        <row r="8">
          <cell r="A8" t="str">
            <v>3E-OBBY-DIEZ</v>
          </cell>
          <cell r="B8" t="str">
            <v>X001BZ317N</v>
          </cell>
          <cell r="C8" t="str">
            <v>B00157XFNQ</v>
          </cell>
          <cell r="D8" t="str">
            <v>Premier Active Moisture Complex - Normal to Dry Skin</v>
          </cell>
        </row>
        <row r="9">
          <cell r="A9" t="str">
            <v>3S-1QX9-6RRP</v>
          </cell>
          <cell r="B9" t="str">
            <v>X001MU9L2B</v>
          </cell>
          <cell r="C9" t="str">
            <v>B001DXOWA2</v>
          </cell>
          <cell r="D9" t="str">
            <v>Premier Dead Sea Ageless Future Cell Renewal Cream</v>
          </cell>
        </row>
        <row r="10">
          <cell r="A10" t="str">
            <v>40-G0ZX-HJNG</v>
          </cell>
          <cell r="B10" t="str">
            <v>X001EVO9BV</v>
          </cell>
          <cell r="C10" t="str">
            <v>B00022AUVA</v>
          </cell>
          <cell r="D10" t="str">
            <v>Premier Dead Sea Age Defying/Anti Age Cream</v>
          </cell>
        </row>
        <row r="11">
          <cell r="A11" t="str">
            <v>54-2HQR-70OB</v>
          </cell>
          <cell r="B11" t="str">
            <v>X001FPB0BN</v>
          </cell>
          <cell r="C11" t="str">
            <v>B00115TXRE</v>
          </cell>
        </row>
        <row r="12">
          <cell r="A12" t="str">
            <v>58-6A0P-DRT9</v>
          </cell>
          <cell r="B12" t="str">
            <v>X001K6GUYT</v>
          </cell>
          <cell r="C12" t="str">
            <v>B001278VEW</v>
          </cell>
          <cell r="D12" t="str">
            <v>Premier Dead Sea Professional Peeling Mask</v>
          </cell>
        </row>
        <row r="13">
          <cell r="A13" t="str">
            <v>5D-ZS9Q-CYOL</v>
          </cell>
          <cell r="B13" t="str">
            <v>X001A8Y035</v>
          </cell>
          <cell r="C13" t="str">
            <v>B003Y7D0HQ</v>
          </cell>
          <cell r="D13" t="str">
            <v>Premier Dead Sea Pearl White Cream Complex, 2.04-Fluid Ounce</v>
          </cell>
        </row>
        <row r="14">
          <cell r="A14" t="str">
            <v>5S-TEQM-ZWF1</v>
          </cell>
          <cell r="B14" t="str">
            <v>B000VEWF2Q</v>
          </cell>
          <cell r="C14" t="str">
            <v>B000VEWF2Q</v>
          </cell>
        </row>
        <row r="15">
          <cell r="A15" t="str">
            <v>5X-E8TX-UKIW</v>
          </cell>
          <cell r="B15" t="str">
            <v>X00171A4VR</v>
          </cell>
          <cell r="C15" t="str">
            <v>B002DYY35Y</v>
          </cell>
          <cell r="D15" t="str">
            <v>Premier Dead Sea Mineral Body Treatment - Salt Scrub - Lemon Aroma</v>
          </cell>
        </row>
        <row r="16">
          <cell r="A16" t="str">
            <v>6T-8V8W-3S67</v>
          </cell>
          <cell r="B16" t="str">
            <v>X0015FXF93</v>
          </cell>
          <cell r="C16" t="str">
            <v>B000VF5WVG</v>
          </cell>
          <cell r="D16" t="str">
            <v>Premier by Dead Sea Premier Luxury Collection Milk Cleanser, 8.5 fl oz</v>
          </cell>
        </row>
        <row r="17">
          <cell r="A17" t="str">
            <v>7K-XLQF-24PG</v>
          </cell>
          <cell r="B17" t="str">
            <v>B000VEWF2Q</v>
          </cell>
          <cell r="C17" t="str">
            <v>B000VEWF2Q</v>
          </cell>
        </row>
        <row r="18">
          <cell r="A18" t="str">
            <v>8V-1JSS-5D7M</v>
          </cell>
          <cell r="B18" t="str">
            <v>X001GR4BZ7</v>
          </cell>
          <cell r="C18" t="str">
            <v>B004H02GDI</v>
          </cell>
        </row>
        <row r="19">
          <cell r="A19" t="str">
            <v>8X-ORFA-L07U</v>
          </cell>
          <cell r="B19" t="str">
            <v>X001C0RCFJ</v>
          </cell>
          <cell r="C19" t="str">
            <v>B003CEA88U</v>
          </cell>
        </row>
        <row r="20">
          <cell r="A20" t="str">
            <v>97-6SJH-1LTA</v>
          </cell>
          <cell r="B20" t="str">
            <v>X001FB4RML</v>
          </cell>
          <cell r="C20" t="str">
            <v>B001561M00</v>
          </cell>
          <cell r="D20" t="str">
            <v>Premier Dead Sea Intensive Biox Thermal Beauty Mask**NEW IN BOX**SAME IN MALL**</v>
          </cell>
        </row>
        <row r="21">
          <cell r="A21" t="str">
            <v>A5-X9GB-M912</v>
          </cell>
          <cell r="B21" t="str">
            <v>X001K0ZSB1</v>
          </cell>
          <cell r="C21" t="str">
            <v>B002DL9M2G</v>
          </cell>
          <cell r="D21" t="str">
            <v>Premier Dead Sea Luxurious Anti-aging Neck Cream, 2.04 oz</v>
          </cell>
        </row>
        <row r="22">
          <cell r="A22" t="str">
            <v>B000VEWF2Q</v>
          </cell>
          <cell r="B22" t="str">
            <v>B000VEWF2Q</v>
          </cell>
          <cell r="C22" t="str">
            <v>B000VEWF2Q</v>
          </cell>
        </row>
        <row r="23">
          <cell r="A23" t="str">
            <v>BM-6KQ2-02X2</v>
          </cell>
          <cell r="B23" t="str">
            <v>X001FBQ32N</v>
          </cell>
          <cell r="C23" t="str">
            <v>B004HFNFU6</v>
          </cell>
        </row>
        <row r="24">
          <cell r="A24" t="str">
            <v>BU-8SVS-Q5LV</v>
          </cell>
          <cell r="B24" t="str">
            <v>X001CN96RX</v>
          </cell>
          <cell r="C24" t="str">
            <v>B008YFY9TQ</v>
          </cell>
        </row>
        <row r="25">
          <cell r="A25" t="str">
            <v>C3-311K-550X</v>
          </cell>
          <cell r="B25" t="str">
            <v>X001BKSZX3</v>
          </cell>
          <cell r="C25" t="str">
            <v>B00115TXRE</v>
          </cell>
        </row>
        <row r="26">
          <cell r="A26" t="str">
            <v>CF-7C1X-596L</v>
          </cell>
          <cell r="B26" t="str">
            <v>X001MPQ9NZ</v>
          </cell>
          <cell r="C26" t="str">
            <v>B003Y7EU16</v>
          </cell>
          <cell r="D26" t="str">
            <v>Premier Dead Sea Day Cream Complex (for normal to dry skin)</v>
          </cell>
        </row>
        <row r="27">
          <cell r="A27" t="str">
            <v>DA-BINR-0UIS</v>
          </cell>
          <cell r="B27" t="str">
            <v>X001FKUA5Z</v>
          </cell>
          <cell r="C27" t="str">
            <v>B002KFR628</v>
          </cell>
        </row>
        <row r="28">
          <cell r="A28" t="str">
            <v>DI-JC1L-4Y5S</v>
          </cell>
          <cell r="B28" t="str">
            <v>X001K11AK3</v>
          </cell>
          <cell r="C28" t="str">
            <v>B0010BBCFK</v>
          </cell>
        </row>
        <row r="29">
          <cell r="A29" t="str">
            <v>DM-LSF9-NGGG</v>
          </cell>
          <cell r="B29" t="str">
            <v>X001C13LRB</v>
          </cell>
          <cell r="C29" t="str">
            <v>B002QSD1YQ</v>
          </cell>
          <cell r="D29" t="str">
            <v>Dead Sea Premier Moisture Cream for Normal to Dry Skin</v>
          </cell>
        </row>
        <row r="30">
          <cell r="A30" t="str">
            <v>DW-MG8E-BMQG</v>
          </cell>
          <cell r="B30" t="str">
            <v>X0014UY1GP</v>
          </cell>
          <cell r="C30" t="str">
            <v>B00157ZFC0</v>
          </cell>
          <cell r="D30" t="str">
            <v>Premier Dead Sea Body Butter Herbal Scent</v>
          </cell>
        </row>
        <row r="31">
          <cell r="A31" t="str">
            <v>E8-GWV1-AJMB</v>
          </cell>
          <cell r="B31" t="str">
            <v>X001HQT6B1</v>
          </cell>
          <cell r="C31" t="str">
            <v>B008YFY9TQ</v>
          </cell>
          <cell r="D31" t="str">
            <v>Premier Dead Sea Aromatic Body Butter- Milk and Honey, 175ml</v>
          </cell>
        </row>
        <row r="32">
          <cell r="A32" t="str">
            <v>EW-ERSE-5U59</v>
          </cell>
          <cell r="B32" t="str">
            <v>X001FZUCWV</v>
          </cell>
          <cell r="C32" t="str">
            <v>B0012IVH2O</v>
          </cell>
          <cell r="D32" t="str">
            <v>premier dead sea body butter milk &amp; honey scent Plastic Jar</v>
          </cell>
        </row>
        <row r="33">
          <cell r="A33" t="str">
            <v>GE-EMV6-4E4J</v>
          </cell>
          <cell r="B33" t="str">
            <v>X001K2PX4L</v>
          </cell>
          <cell r="C33" t="str">
            <v>B003CEA88U</v>
          </cell>
        </row>
        <row r="34">
          <cell r="A34" t="str">
            <v>GX-HUMS-YACQ</v>
          </cell>
          <cell r="B34" t="str">
            <v>X001CYMUZ7</v>
          </cell>
          <cell r="C34" t="str">
            <v>B000VEXG2E</v>
          </cell>
        </row>
        <row r="35">
          <cell r="A35" t="str">
            <v>HF-I2e-AABS</v>
          </cell>
          <cell r="B35" t="str">
            <v>X001QEZ2HB</v>
          </cell>
          <cell r="C35" t="str">
            <v>B000VER1RU</v>
          </cell>
          <cell r="D35" t="str">
            <v>Premier Dead Sea Biox Intensive Age Cream/Anti-age Complex, 2.0400-Fluid Ounce</v>
          </cell>
        </row>
        <row r="36">
          <cell r="A36" t="str">
            <v>HF-T9QA-X3JZ</v>
          </cell>
          <cell r="B36" t="str">
            <v>X001FD46M5</v>
          </cell>
          <cell r="C36" t="str">
            <v>B001561M00</v>
          </cell>
          <cell r="D36" t="str">
            <v>Premier Dead Sea Intensive Biox Thermal Beauty Mask**NEW IN BOX**SAME IN MALL**</v>
          </cell>
        </row>
        <row r="37">
          <cell r="A37" t="str">
            <v>HF-a10e-MINM</v>
          </cell>
          <cell r="B37" t="str">
            <v>X001REQDTV</v>
          </cell>
          <cell r="C37" t="str">
            <v>B0010BBCFK</v>
          </cell>
          <cell r="D37" t="str">
            <v>Premier Dead Sea Miracle Noir Mask, 2.04 Fluid Ounce</v>
          </cell>
        </row>
        <row r="38">
          <cell r="A38" t="str">
            <v>HF-a136e-MHBB</v>
          </cell>
          <cell r="B38" t="str">
            <v>X001S7U39D</v>
          </cell>
          <cell r="C38" t="str">
            <v>B0012IVH2O</v>
          </cell>
          <cell r="D38" t="str">
            <v>premier dead sea body butter milk &amp; honey scent Plastic Jar</v>
          </cell>
        </row>
        <row r="39">
          <cell r="A39" t="str">
            <v>HF-a14e-NICC</v>
          </cell>
          <cell r="B39" t="str">
            <v>X001Q1F5TT</v>
          </cell>
          <cell r="C39" t="str">
            <v>B00117D9MW</v>
          </cell>
          <cell r="D39" t="str">
            <v>Premier Dead Sea Night Cream Complex, 2.04 Fluid Ounce</v>
          </cell>
        </row>
        <row r="40">
          <cell r="A40" t="str">
            <v>HF-a18e-IADC</v>
          </cell>
          <cell r="B40" t="str">
            <v>X001TVCAFN</v>
          </cell>
          <cell r="C40" t="str">
            <v>B00022AUVA</v>
          </cell>
          <cell r="D40" t="str">
            <v>Premier Dead Sea Age Defying/Anti Age Cream</v>
          </cell>
        </row>
        <row r="41">
          <cell r="A41" t="str">
            <v>HF-a1e-LCMC</v>
          </cell>
          <cell r="B41" t="str">
            <v>X001Q1E9CX</v>
          </cell>
          <cell r="C41" t="str">
            <v>B000VF5WVG</v>
          </cell>
          <cell r="D41" t="str">
            <v>Premier by Dead Sea Premier Luxury Collection Milk Cleanser, 8.5 fl oz</v>
          </cell>
        </row>
        <row r="42">
          <cell r="A42" t="str">
            <v>HF-a21e-SCFM</v>
          </cell>
          <cell r="B42" t="str">
            <v>X001PZ5OB5</v>
          </cell>
          <cell r="C42" t="str">
            <v>B0010OMN4G</v>
          </cell>
          <cell r="D42" t="str">
            <v>Premier Dead Sea Shaving Cream for Men, Tube, 4.2268-Fluid Ounce</v>
          </cell>
        </row>
        <row r="43">
          <cell r="A43" t="str">
            <v>HF-a22e-EFCM</v>
          </cell>
          <cell r="B43" t="str">
            <v>X001PZ8W37</v>
          </cell>
          <cell r="C43" t="str">
            <v>B0052K03KA</v>
          </cell>
          <cell r="D43" t="str">
            <v>Premier Dead Sea Essential Face Cleanser for Men</v>
          </cell>
        </row>
        <row r="44">
          <cell r="A44" t="str">
            <v>HF-a2e-STSP</v>
          </cell>
          <cell r="B44" t="str">
            <v>X001Q1E9DH</v>
          </cell>
          <cell r="C44" t="str">
            <v>B004H07KKC</v>
          </cell>
          <cell r="D44" t="str">
            <v>Premier Dead Sea Skin Toner for Normal/Oily Skin, Pink, 8.4535-Fluid Ounce</v>
          </cell>
        </row>
        <row r="45">
          <cell r="A45" t="str">
            <v>HF-a33e-LUHC</v>
          </cell>
          <cell r="B45" t="str">
            <v>X001Q1F5U3</v>
          </cell>
          <cell r="C45" t="str">
            <v>B004HTXUNE</v>
          </cell>
          <cell r="D45" t="str">
            <v>Premier Dead Sea Luxury Hand Cream 125ml/4.25fl.oz</v>
          </cell>
        </row>
        <row r="46">
          <cell r="A46" t="str">
            <v>HF-a36e-LMCM</v>
          </cell>
          <cell r="B46" t="str">
            <v>X001PZ8W87</v>
          </cell>
          <cell r="C46" t="str">
            <v>B002DV0KDQ</v>
          </cell>
          <cell r="D46" t="str">
            <v>Premier Dead Sea Luxury Moisture Cream for Multi-Use</v>
          </cell>
        </row>
        <row r="47">
          <cell r="A47" t="str">
            <v>HF-a37e-FCMG</v>
          </cell>
          <cell r="B47" t="str">
            <v>X001PZ8W3H</v>
          </cell>
          <cell r="C47" t="str">
            <v>B004H09KEQ</v>
          </cell>
          <cell r="D47" t="str">
            <v>Premier Dead Sea Luxury Facial Cleanser with Micro Grains, 4.25-Fluid Ounce</v>
          </cell>
        </row>
        <row r="48">
          <cell r="A48" t="str">
            <v>HF-a49e-CBSM</v>
          </cell>
          <cell r="B48" t="str">
            <v>X001Q1GDMH</v>
          </cell>
          <cell r="C48" t="str">
            <v>B000V7DONW</v>
          </cell>
          <cell r="D48" t="str">
            <v>Dead Sea Premier Collagen, Beta-Carotene &amp; Seaweed Mask</v>
          </cell>
        </row>
        <row r="49">
          <cell r="A49" t="str">
            <v>HF-a53e-PRPM</v>
          </cell>
          <cell r="B49" t="str">
            <v>X001PZ8VN3</v>
          </cell>
          <cell r="C49" t="str">
            <v>B001278VEW</v>
          </cell>
          <cell r="D49" t="str">
            <v>Premier Dead Sea Professional Peeling Mask</v>
          </cell>
        </row>
        <row r="50">
          <cell r="A50" t="str">
            <v>HF-a56e-EYES</v>
          </cell>
          <cell r="B50" t="str">
            <v>X001QBJD9R</v>
          </cell>
          <cell r="C50" t="str">
            <v>B00115TXRE</v>
          </cell>
          <cell r="D50" t="str">
            <v>Dead Sea Premier Eye Serum.</v>
          </cell>
        </row>
        <row r="51">
          <cell r="A51" t="str">
            <v>HF-a5e-NCFM</v>
          </cell>
          <cell r="B51" t="str">
            <v>X001RDEZG5</v>
          </cell>
          <cell r="C51" t="str">
            <v>B003NQ7P0Q</v>
          </cell>
          <cell r="D51" t="str">
            <v>Premier Dead Sea Nourishing Cream for Men (tube)</v>
          </cell>
        </row>
        <row r="52">
          <cell r="A52" t="str">
            <v>HF-a69e-PEFG</v>
          </cell>
          <cell r="B52" t="str">
            <v>X001PZ8VND</v>
          </cell>
          <cell r="C52" t="str">
            <v>B00BD3OU72</v>
          </cell>
          <cell r="D52" t="str">
            <v>Premier Dead Sea Para-pharmaceutical Exfoliating Facial Gel, Brown, 4.3958-Fluid Ounce</v>
          </cell>
        </row>
        <row r="53">
          <cell r="A53" t="str">
            <v>HF-a69e-PEFGX</v>
          </cell>
          <cell r="B53" t="str">
            <v>X001S7TZTR</v>
          </cell>
          <cell r="C53" t="str">
            <v>B0016Q1RI6</v>
          </cell>
          <cell r="D53" t="str">
            <v>Premier Dead Sea Para-pharmaceutical Exfoliating Facial Gel, Brown, 4.25-Fluid Ounce</v>
          </cell>
        </row>
        <row r="54">
          <cell r="A54" t="str">
            <v>HF-a6e-LASS</v>
          </cell>
          <cell r="B54" t="str">
            <v>X001Q0JMV7</v>
          </cell>
          <cell r="C54" t="str">
            <v>B002DYY35Y</v>
          </cell>
          <cell r="D54" t="str">
            <v>Premier Dead Sea Mineral Body Treatment - Salt Scrub - Lemon Aroma</v>
          </cell>
        </row>
        <row r="55">
          <cell r="A55" t="str">
            <v>HF-a76e-GCSS</v>
          </cell>
          <cell r="B55" t="str">
            <v>X001Q1EZ2R</v>
          </cell>
          <cell r="C55" t="str">
            <v>B004H02HA0</v>
          </cell>
          <cell r="D55" t="str">
            <v>Premier Dead Sea Aromatherapy Mineral Body Treatment, Gold Cap, Salt Scrub, 425-Grams</v>
          </cell>
        </row>
        <row r="56">
          <cell r="A56" t="str">
            <v>HF-a77e-TSSS</v>
          </cell>
          <cell r="B56" t="str">
            <v>X001REPG53</v>
          </cell>
          <cell r="C56" t="str">
            <v>B004H07J80</v>
          </cell>
          <cell r="D56" t="str">
            <v>Premier Dead Sea Aromatherapy Mineral Body Treatment, Silver, Salt Scrub, 425-Grams</v>
          </cell>
        </row>
        <row r="57">
          <cell r="A57" t="str">
            <v>HF-a80e-BTBM</v>
          </cell>
          <cell r="B57" t="str">
            <v>X001S9JE3R</v>
          </cell>
          <cell r="C57" t="str">
            <v>B001561M00</v>
          </cell>
          <cell r="D57" t="str">
            <v>Premier Dead Sea Intensive Biox Thermal Beauty Mask**NEW IN BOX**SAME IN MALL**</v>
          </cell>
        </row>
        <row r="58">
          <cell r="A58" t="str">
            <v>HF-a81e-MHBB</v>
          </cell>
          <cell r="B58" t="str">
            <v>B07F1BV5CC</v>
          </cell>
          <cell r="C58" t="str">
            <v>B07F1BV5CC</v>
          </cell>
          <cell r="D58" t="str">
            <v>Premier Dead Sea Aromatic Body Butter- Milk and Honey, 175ml</v>
          </cell>
        </row>
        <row r="59">
          <cell r="A59" t="str">
            <v>HF-a82e-RPBB</v>
          </cell>
          <cell r="B59" t="str">
            <v>X001TJPHH3</v>
          </cell>
          <cell r="C59" t="str">
            <v>B00158196K</v>
          </cell>
          <cell r="D59" t="str">
            <v>Premier Dead Sea Body Butter Passion Fruit Scent</v>
          </cell>
        </row>
        <row r="60">
          <cell r="A60" t="str">
            <v>HF-a85e-RFPM</v>
          </cell>
          <cell r="B60" t="str">
            <v>X001PZ8VYR</v>
          </cell>
          <cell r="C60" t="str">
            <v>B00G71LV3Q</v>
          </cell>
          <cell r="D60" t="str">
            <v>Premier By Dead Sea Premier Refining Facial Peeling Mask 2.04oz, 60ml</v>
          </cell>
        </row>
        <row r="61">
          <cell r="A61" t="str">
            <v>HF-b3e-PWCC</v>
          </cell>
          <cell r="B61" t="str">
            <v>X001Q09JSN</v>
          </cell>
          <cell r="C61" t="str">
            <v>B003Y7D0HQ</v>
          </cell>
          <cell r="D61" t="str">
            <v>Premier Dead Sea Pearl White Cream Complex, 2.04-Fluid Ounce</v>
          </cell>
        </row>
        <row r="62">
          <cell r="A62" t="str">
            <v>HF-c1e-MCND</v>
          </cell>
          <cell r="B62" t="str">
            <v>X001Q1E1BR</v>
          </cell>
          <cell r="C62" t="str">
            <v>B00384AO7O</v>
          </cell>
          <cell r="D62" t="str">
            <v>Dead Sea Premier Moisture Cream (for very dry &amp; sensitive skin)</v>
          </cell>
        </row>
        <row r="63">
          <cell r="A63" t="str">
            <v>HF-c7e-LANC</v>
          </cell>
          <cell r="B63" t="str">
            <v>X001S9JTKZ</v>
          </cell>
          <cell r="C63" t="str">
            <v>B002DL9M2G</v>
          </cell>
          <cell r="D63" t="str">
            <v>Premier Dead Sea Luxurious Anti-aging Neck Cream, 2.04 oz</v>
          </cell>
        </row>
        <row r="64">
          <cell r="A64" t="str">
            <v>HF-f11a-HNCT</v>
          </cell>
          <cell r="B64" t="str">
            <v>X001Q1GDMR</v>
          </cell>
          <cell r="C64" t="str">
            <v>B004X9BTGI</v>
          </cell>
          <cell r="D64" t="str">
            <v>Gratiae Organicss Hand and Nail Care Treatment, 4.08 Ounce</v>
          </cell>
        </row>
        <row r="65">
          <cell r="A65" t="str">
            <v>HF-f12-FACL</v>
          </cell>
          <cell r="B65" t="str">
            <v>X001Q0JYFL</v>
          </cell>
          <cell r="C65" t="str">
            <v>B003CEA88U</v>
          </cell>
          <cell r="D65" t="str">
            <v>Gratiae Organics Facial Cleansing Lotion, 6.8 Ounce</v>
          </cell>
        </row>
        <row r="66">
          <cell r="A66" t="str">
            <v>HF-f15b-EXBS</v>
          </cell>
          <cell r="B66" t="str">
            <v>X001Q09LV3</v>
          </cell>
          <cell r="C66" t="str">
            <v>B004OEUPGM</v>
          </cell>
          <cell r="D66" t="str">
            <v>Exfoliating Body Scrub (Passion Fruit and Lime)</v>
          </cell>
        </row>
        <row r="67">
          <cell r="A67" t="str">
            <v>HF-f2-LIFT</v>
          </cell>
          <cell r="B67" t="str">
            <v>X001Q0JMUX</v>
          </cell>
          <cell r="C67" t="str">
            <v>B004X9BSG4</v>
          </cell>
          <cell r="D67" t="str">
            <v>Gratiae Organics Lifting Facial Mask, 1.7 Ounce</v>
          </cell>
        </row>
        <row r="68">
          <cell r="A68" t="str">
            <v>HF-f24-ACPF</v>
          </cell>
          <cell r="B68" t="str">
            <v>X001TJVS53</v>
          </cell>
          <cell r="C68" t="str">
            <v>B004X9BRU6</v>
          </cell>
          <cell r="D68" t="str">
            <v>Gratiae Organics Aha Cleansing and Peeling Foam, 5.1 Ounce</v>
          </cell>
        </row>
        <row r="69">
          <cell r="A69" t="str">
            <v>HF-f6a-EXBS</v>
          </cell>
          <cell r="B69" t="str">
            <v>X001Q0JYFV</v>
          </cell>
          <cell r="C69" t="str">
            <v>B01G3AIYJO</v>
          </cell>
          <cell r="D69" t="str">
            <v>Gratiae Organic Beauty By Nature Exfoliating Body Scrub, Apple/Green Tea and Ginger by Gratiae Organic Beauty By Nature</v>
          </cell>
        </row>
        <row r="70">
          <cell r="A70" t="str">
            <v>HF-f6b-EXBS</v>
          </cell>
          <cell r="B70" t="str">
            <v>X001PZ5OAV</v>
          </cell>
          <cell r="C70" t="str">
            <v>B004X9BTFY</v>
          </cell>
          <cell r="D70" t="str">
            <v>Gratiae Organics Exfoliating Body Scrub, Passion Fruit and Lime, 425-Grams</v>
          </cell>
        </row>
        <row r="71">
          <cell r="A71" t="str">
            <v>HF-f9a-GSBB</v>
          </cell>
          <cell r="B71" t="str">
            <v>X001RDSOA3</v>
          </cell>
          <cell r="C71" t="str">
            <v>B004OF47N8</v>
          </cell>
          <cell r="D71" t="str">
            <v>Silky Body Butter (Apple, Green Tea, and Ginger)5.95 ounces</v>
          </cell>
        </row>
        <row r="72">
          <cell r="A72" t="str">
            <v>HF-g104e-PCFS</v>
          </cell>
          <cell r="B72" t="str">
            <v>X001S7TVY1</v>
          </cell>
          <cell r="C72" t="str">
            <v>B00117F5PG</v>
          </cell>
          <cell r="D72" t="str">
            <v>Premier Dead Sea Vitamin Concentrated Facial Serum, Vitamin E and C, 1.7-Fluid Ounce</v>
          </cell>
        </row>
        <row r="73">
          <cell r="A73" t="str">
            <v>HF-g1e-AFDM</v>
          </cell>
          <cell r="B73" t="str">
            <v>X001PZ8VYH</v>
          </cell>
          <cell r="C73" t="str">
            <v>B001DXQDL8</v>
          </cell>
          <cell r="D73" t="str">
            <v>Premier Dead Sea Ageless Future Detoxifying Mask, All Skin Types, 2.04-Fluid Ounce</v>
          </cell>
        </row>
        <row r="74">
          <cell r="A74" t="str">
            <v>HF-g2e-ACRC</v>
          </cell>
          <cell r="B74" t="str">
            <v>X001TJW5HD</v>
          </cell>
          <cell r="C74" t="str">
            <v>B001DXOWA2</v>
          </cell>
          <cell r="D74" t="str">
            <v>Premier Dead Sea Ageless Future Cell Renewal Cream</v>
          </cell>
        </row>
        <row r="75">
          <cell r="A75" t="str">
            <v>HF-l3e-TEYG</v>
          </cell>
          <cell r="B75" t="str">
            <v>X001PZ8VNN</v>
          </cell>
          <cell r="C75" t="str">
            <v>B00383XLTS</v>
          </cell>
          <cell r="D75" t="str">
            <v>Premier Dead Sea Biox Intensive Age Treatment Eye Cream Gel</v>
          </cell>
        </row>
        <row r="76">
          <cell r="A76" t="str">
            <v>HF-n2ae-NBNK</v>
          </cell>
          <cell r="B76" t="str">
            <v>X001R7T2N7</v>
          </cell>
          <cell r="C76" t="str">
            <v>B004H02GDI</v>
          </cell>
          <cell r="D76" t="str">
            <v>Dead Sea Premier Beautifying Nail Kit Milk and Honey - Body Lotion,Cuticle Oil,Nail File,Buffing Block</v>
          </cell>
        </row>
        <row r="77">
          <cell r="A77" t="str">
            <v>HF-w1e-PSOR</v>
          </cell>
          <cell r="B77" t="str">
            <v>X001Q09JSD</v>
          </cell>
          <cell r="C77" t="str">
            <v>B004H02GHY</v>
          </cell>
          <cell r="D77" t="str">
            <v>Premier Dead Sea Psoricalm, Very Dry Face, Body, or Scalp with Red Scaly Patches, 3.3814-Fluid Ounce</v>
          </cell>
        </row>
        <row r="78">
          <cell r="A78" t="str">
            <v>IM-YEIX-VVX8</v>
          </cell>
          <cell r="B78" t="str">
            <v>X001HAFDZ5</v>
          </cell>
          <cell r="C78" t="str">
            <v>B0016VW618</v>
          </cell>
          <cell r="D78" t="str">
            <v>Premier Usa Dead Sea shaving Cream for Men All Skin</v>
          </cell>
        </row>
        <row r="79">
          <cell r="A79" t="str">
            <v>JQ-N6LK-OQ03</v>
          </cell>
          <cell r="B79" t="str">
            <v>X001B547J9</v>
          </cell>
          <cell r="C79" t="str">
            <v>B01JSONMH6</v>
          </cell>
          <cell r="D79" t="str">
            <v>Gratiae Organic Beauty Renewing Peeling Gel</v>
          </cell>
        </row>
        <row r="80">
          <cell r="A80" t="str">
            <v>KN-2B5X-YB0L</v>
          </cell>
          <cell r="B80" t="str">
            <v>X001EXCH95</v>
          </cell>
          <cell r="C80" t="str">
            <v>B003CEA88U</v>
          </cell>
        </row>
        <row r="81">
          <cell r="A81" t="str">
            <v>KN-QWP1-D5XB</v>
          </cell>
          <cell r="B81" t="str">
            <v>X001HBSA3V</v>
          </cell>
          <cell r="C81" t="str">
            <v>B004OF9EPO</v>
          </cell>
          <cell r="D81" t="str">
            <v>Gratiae AHA Cleansing and Peeling Foam</v>
          </cell>
        </row>
        <row r="82">
          <cell r="A82" t="str">
            <v>KP-1178-XPKV</v>
          </cell>
          <cell r="B82" t="str">
            <v>X001K6ASLP</v>
          </cell>
          <cell r="C82" t="str">
            <v>B00158196K</v>
          </cell>
          <cell r="D82" t="str">
            <v>Premier Dead Sea Body Butter Passion Fruit Scent</v>
          </cell>
        </row>
        <row r="83">
          <cell r="A83" t="str">
            <v>L1-BT23-OVPU</v>
          </cell>
          <cell r="B83" t="str">
            <v>X001HQV4JX</v>
          </cell>
          <cell r="C83" t="str">
            <v>B002DV0KDQ</v>
          </cell>
          <cell r="D83" t="str">
            <v>Premier Dead Sea Luxury Moisture Cream for Multi-Use</v>
          </cell>
        </row>
        <row r="84">
          <cell r="A84" t="str">
            <v>L7-N9M4-0P6X</v>
          </cell>
          <cell r="B84" t="str">
            <v>X001B6DY5L</v>
          </cell>
          <cell r="C84" t="str">
            <v>B004HFNFU6</v>
          </cell>
        </row>
        <row r="85">
          <cell r="A85" t="str">
            <v>LF-QRR8-VUXE</v>
          </cell>
          <cell r="B85" t="str">
            <v>X001HAJ883</v>
          </cell>
          <cell r="C85" t="str">
            <v>B003NQ7P0Q</v>
          </cell>
        </row>
        <row r="86">
          <cell r="A86" t="str">
            <v>LH-V26Y-FVKV</v>
          </cell>
          <cell r="B86" t="str">
            <v>B000VEWF2Q</v>
          </cell>
          <cell r="C86" t="str">
            <v>B000VEWF2Q</v>
          </cell>
        </row>
        <row r="87">
          <cell r="A87" t="str">
            <v>LY-0LSI-94LS</v>
          </cell>
          <cell r="B87" t="str">
            <v>X001FOKKQ5</v>
          </cell>
          <cell r="C87" t="str">
            <v>B00117F5PG</v>
          </cell>
          <cell r="D87" t="str">
            <v>Premier Dead Sea Vitamin Concentrated Facial Serum, Vitamin E and C, 1.7-Fluid Ounce</v>
          </cell>
        </row>
        <row r="88">
          <cell r="A88" t="str">
            <v>M5-BNRC-2A6O</v>
          </cell>
          <cell r="B88" t="str">
            <v>X001DQGBGD</v>
          </cell>
          <cell r="C88" t="str">
            <v>B004X9BRRO</v>
          </cell>
        </row>
        <row r="89">
          <cell r="A89" t="str">
            <v>MY16055K0L</v>
          </cell>
          <cell r="B89" t="str">
            <v>B0761V7L2R</v>
          </cell>
          <cell r="C89" t="str">
            <v>B0761V7L2R</v>
          </cell>
          <cell r="D89" t="str">
            <v>ZAIAI Womens Hooded Warm Winter Faux Fur Lined Parkas Anoraks Long Coats Black L</v>
          </cell>
        </row>
        <row r="90">
          <cell r="A90" t="str">
            <v>MY16055K0M</v>
          </cell>
          <cell r="B90" t="str">
            <v>B0761QBHM9</v>
          </cell>
          <cell r="C90" t="str">
            <v>B0761QBHM9</v>
          </cell>
          <cell r="D90" t="str">
            <v>ZAIAI Womens Hooded Warm Winter Faux Fur Lined Parkas Anoraks Long Coats Black M</v>
          </cell>
        </row>
        <row r="91">
          <cell r="A91" t="str">
            <v>MY16055K0S</v>
          </cell>
          <cell r="B91" t="str">
            <v>B0761S8TXR</v>
          </cell>
          <cell r="C91" t="str">
            <v>B0761S8TXR</v>
          </cell>
          <cell r="D91" t="str">
            <v>ZAIAI Womens Hooded Warm Winter Faux Fur Lined Parkas Anoraks Long Coats Black S</v>
          </cell>
        </row>
        <row r="92">
          <cell r="A92" t="str">
            <v>MY16055K0XL</v>
          </cell>
          <cell r="B92" t="str">
            <v>B0761N3HJ3</v>
          </cell>
          <cell r="C92" t="str">
            <v>B0761N3HJ3</v>
          </cell>
          <cell r="D92" t="str">
            <v>Womens Hooded Warm Winter Faux Fur Lined Parkas Anoraks Long Coats Black XL</v>
          </cell>
        </row>
        <row r="93">
          <cell r="A93" t="str">
            <v>MY16055K0XXL</v>
          </cell>
          <cell r="B93" t="str">
            <v>B0761R93J2</v>
          </cell>
          <cell r="C93" t="str">
            <v>B0761R93J2</v>
          </cell>
          <cell r="D93" t="str">
            <v>ZAIAI Womens Hooded Warm Winter Faux Fur Lined Parkas Anoraks Long Coats Black XXL</v>
          </cell>
        </row>
        <row r="94">
          <cell r="A94" t="str">
            <v>MY16055MSL</v>
          </cell>
          <cell r="B94" t="str">
            <v>B0761S59N6</v>
          </cell>
          <cell r="C94" t="str">
            <v>B0761S59N6</v>
          </cell>
          <cell r="D94" t="str">
            <v>ZAIAI Womens Wool Jacket Coat Outwear Parka Overcoat Beige L</v>
          </cell>
        </row>
        <row r="95">
          <cell r="A95" t="str">
            <v>MY16055MSM</v>
          </cell>
          <cell r="B95" t="str">
            <v>B0761NM1NH</v>
          </cell>
          <cell r="C95" t="str">
            <v>B0761NM1NH</v>
          </cell>
          <cell r="D95" t="str">
            <v>ZAIAI Womens Wool Jacket Coat Outwear Parka Overcoat Beige M</v>
          </cell>
        </row>
        <row r="96">
          <cell r="A96" t="str">
            <v>MY16055MSS</v>
          </cell>
          <cell r="B96" t="str">
            <v>B0761Q9VPH</v>
          </cell>
          <cell r="C96" t="str">
            <v>B0761Q9VPH</v>
          </cell>
          <cell r="D96" t="str">
            <v>ZAIAI Womens Wool Jacket Coat Outwear Parka Overcoat Beige S</v>
          </cell>
        </row>
        <row r="97">
          <cell r="A97" t="str">
            <v>MY16055MSXL</v>
          </cell>
          <cell r="B97" t="str">
            <v>B0761Q7KPX</v>
          </cell>
          <cell r="C97" t="str">
            <v>B0761Q7KPX</v>
          </cell>
          <cell r="D97" t="str">
            <v>ZAIAI Womens Wool Jacket Coat Outwear Parka Overcoat Beige XL</v>
          </cell>
        </row>
        <row r="98">
          <cell r="A98" t="str">
            <v>MY16055MSXXL</v>
          </cell>
          <cell r="B98" t="str">
            <v>B0761QW2JK</v>
          </cell>
          <cell r="C98" t="str">
            <v>B0761QW2JK</v>
          </cell>
          <cell r="D98" t="str">
            <v>ZAIAI Womens Wool Jacket Coat Outwear Parka Overcoat Beige XXL</v>
          </cell>
        </row>
        <row r="99">
          <cell r="A99" t="str">
            <v>MY16055ZQL</v>
          </cell>
          <cell r="B99" t="str">
            <v>B0761PXTK8</v>
          </cell>
          <cell r="C99" t="str">
            <v>B0761PXTK8</v>
          </cell>
          <cell r="D99" t="str">
            <v>ZAIAI Womens Hooded Warm Coats Parkas With Fax Fur Jackets Navy L</v>
          </cell>
        </row>
        <row r="100">
          <cell r="A100" t="str">
            <v>MY16055ZQM</v>
          </cell>
          <cell r="B100" t="str">
            <v>B0761Q4YF6</v>
          </cell>
          <cell r="C100" t="str">
            <v>B0761Q4YF6</v>
          </cell>
          <cell r="D100" t="str">
            <v>Womens Hooded Warm Coats Parkas With Fax Fur Jackets Navy M</v>
          </cell>
        </row>
        <row r="101">
          <cell r="A101" t="str">
            <v>MY16055ZQS</v>
          </cell>
          <cell r="B101" t="str">
            <v>B0761PL2N2</v>
          </cell>
          <cell r="C101" t="str">
            <v>B0761PL2N2</v>
          </cell>
          <cell r="D101" t="str">
            <v>Womens Hooded Warm Coats Parkas With Fax Fur Jackets Navy S</v>
          </cell>
        </row>
        <row r="102">
          <cell r="A102" t="str">
            <v>MY16055ZQXL</v>
          </cell>
          <cell r="B102" t="str">
            <v>B0761RRL7M</v>
          </cell>
          <cell r="C102" t="str">
            <v>B0761RRL7M</v>
          </cell>
          <cell r="D102" t="str">
            <v>ZAIAI Womens Hooded Warm Coats Parkas With Fax Fur Jackets Navy XL</v>
          </cell>
        </row>
        <row r="103">
          <cell r="A103" t="str">
            <v>MY16055ZQXXL</v>
          </cell>
          <cell r="B103" t="str">
            <v>B0761NGYTK</v>
          </cell>
          <cell r="C103" t="str">
            <v>B0761NGYTK</v>
          </cell>
          <cell r="D103" t="str">
            <v>Womens Hooded Warm Coats Parkas With Fax Fur Jackets Navy XXL</v>
          </cell>
        </row>
        <row r="104">
          <cell r="A104" t="str">
            <v>MY71107K0L</v>
          </cell>
          <cell r="B104" t="str">
            <v>B0761PSPTJ</v>
          </cell>
          <cell r="C104" t="str">
            <v>B0761PSPTJ</v>
          </cell>
          <cell r="D104" t="str">
            <v>ZAIAI Women's Parkas Anoraks Long Coats with Removable Faux Fur Trim Hood Black L</v>
          </cell>
        </row>
        <row r="105">
          <cell r="A105" t="str">
            <v>MY71107K0M</v>
          </cell>
          <cell r="B105" t="str">
            <v>B0761PWSG1</v>
          </cell>
          <cell r="C105" t="str">
            <v>B0761PWSG1</v>
          </cell>
          <cell r="D105" t="str">
            <v>ZAIAI Women's Parkas Anoraks Long Coats with Removable Faux Fur Trim Hood Black M</v>
          </cell>
        </row>
        <row r="106">
          <cell r="A106" t="str">
            <v>MY71107K0S</v>
          </cell>
          <cell r="B106" t="str">
            <v>B0761PDMGN</v>
          </cell>
          <cell r="C106" t="str">
            <v>B0761PDMGN</v>
          </cell>
          <cell r="D106" t="str">
            <v>ZAIAI Women's Parkas Anoraks Long Coats with Removable Faux Fur Trim Hood Black S</v>
          </cell>
        </row>
        <row r="107">
          <cell r="A107" t="str">
            <v>MY71107K0XL</v>
          </cell>
          <cell r="B107" t="str">
            <v>B0761PVQYZ</v>
          </cell>
          <cell r="C107" t="str">
            <v>B0761PVQYZ</v>
          </cell>
          <cell r="D107" t="str">
            <v>ZAIAI Women's Parkas Anoraks Long Coats with Removable Faux Fur Trim Hood Black XL</v>
          </cell>
        </row>
        <row r="108">
          <cell r="A108" t="str">
            <v>MY71107K0XXL</v>
          </cell>
          <cell r="B108" t="str">
            <v>B0761NLN4R</v>
          </cell>
          <cell r="C108" t="str">
            <v>B0761NLN4R</v>
          </cell>
          <cell r="D108" t="str">
            <v>ZAIAI Women's Parkas Anoraks Long Coats with Removable Faux Fur Trim Hood Black XXL</v>
          </cell>
        </row>
        <row r="109">
          <cell r="A109" t="str">
            <v>MY71107MSL</v>
          </cell>
          <cell r="B109" t="str">
            <v>B0761P4LKC</v>
          </cell>
          <cell r="C109" t="str">
            <v>B0761P4LKC</v>
          </cell>
          <cell r="D109" t="str">
            <v>ZAIAI Women's Parka Winter Coat Overcoat Long Down Jacket Outwear Beige L</v>
          </cell>
        </row>
        <row r="110">
          <cell r="A110" t="str">
            <v>MY71107MSM</v>
          </cell>
          <cell r="B110" t="str">
            <v>B0761NJPNM</v>
          </cell>
          <cell r="C110" t="str">
            <v>B0761NJPNM</v>
          </cell>
          <cell r="D110" t="str">
            <v>ZAIAI Women's Parka Winter Coat Overcoat Long Down Jacket Outwear Beige M</v>
          </cell>
        </row>
        <row r="111">
          <cell r="A111" t="str">
            <v>MY71107MSS</v>
          </cell>
          <cell r="B111" t="str">
            <v>B0761NM3SZ</v>
          </cell>
          <cell r="C111" t="str">
            <v>B0761NM3SZ</v>
          </cell>
          <cell r="D111" t="str">
            <v>ZAIAI Women's Parka Winter Coat Overcoat Long Down Jacket Outwear Beige S</v>
          </cell>
        </row>
        <row r="112">
          <cell r="A112" t="str">
            <v>MY71107MSXL</v>
          </cell>
          <cell r="B112" t="str">
            <v>B0761NNM84</v>
          </cell>
          <cell r="C112" t="str">
            <v>B0761NNM84</v>
          </cell>
          <cell r="D112" t="str">
            <v>ZAIAI Women's Parka Winter Coat Overcoat Long Down Jacket Outwear Beige XL</v>
          </cell>
        </row>
        <row r="113">
          <cell r="A113" t="str">
            <v>MY71107MSXXL</v>
          </cell>
          <cell r="B113" t="str">
            <v>B0761PTZY2</v>
          </cell>
          <cell r="C113" t="str">
            <v>B0761PTZY2</v>
          </cell>
          <cell r="D113" t="str">
            <v>ZAIAI Women's Parka Winter Coat Overcoat Long Down Jacket Outwear Beige XXL</v>
          </cell>
        </row>
        <row r="114">
          <cell r="A114" t="str">
            <v>MY71107ZQL</v>
          </cell>
          <cell r="B114" t="str">
            <v>B0761NJH9L</v>
          </cell>
          <cell r="C114" t="str">
            <v>B0761NJH9L</v>
          </cell>
          <cell r="D114" t="str">
            <v>ZAIAI Women's Parka Winter Coat Overcoat Long Down Jacket Outwear Navy L</v>
          </cell>
        </row>
        <row r="115">
          <cell r="A115" t="str">
            <v>MY71107ZQM</v>
          </cell>
          <cell r="B115" t="str">
            <v>B0761P4LK2</v>
          </cell>
          <cell r="C115" t="str">
            <v>B0761P4LK2</v>
          </cell>
          <cell r="D115" t="str">
            <v>ZAIAI Women's Parka Winter Coat Overcoat Long Down Jacket Outwear Navy M</v>
          </cell>
        </row>
        <row r="116">
          <cell r="A116" t="str">
            <v>MY71107ZQS</v>
          </cell>
          <cell r="B116" t="str">
            <v>B0761N286T</v>
          </cell>
          <cell r="C116" t="str">
            <v>B0761N286T</v>
          </cell>
          <cell r="D116" t="str">
            <v>ZAIAI Women's Parka Winter Coat Overcoat Long Down Jacket Outwear Navy S</v>
          </cell>
        </row>
        <row r="117">
          <cell r="A117" t="str">
            <v>MY71107ZQXL</v>
          </cell>
          <cell r="B117" t="str">
            <v>B0761NG4W8</v>
          </cell>
          <cell r="C117" t="str">
            <v>B0761NG4W8</v>
          </cell>
          <cell r="D117" t="str">
            <v>ZAIAI Women's Parka Winter Coat Overcoat Long Down Jacket Outwear Navy XL</v>
          </cell>
        </row>
        <row r="118">
          <cell r="A118" t="str">
            <v>MY71107ZQXXL</v>
          </cell>
          <cell r="B118" t="str">
            <v>B0761PV7ZS</v>
          </cell>
          <cell r="C118" t="str">
            <v>B0761PV7ZS</v>
          </cell>
          <cell r="D118" t="str">
            <v>ZAIAI Women's Parka Winter Coat Overcoat Long Down Jacket Outwear Navy XXL</v>
          </cell>
        </row>
        <row r="119">
          <cell r="A119" t="str">
            <v>MY71115K0L</v>
          </cell>
          <cell r="B119" t="str">
            <v>B0761NMRB4</v>
          </cell>
          <cell r="C119" t="str">
            <v>B0761NMRB4</v>
          </cell>
          <cell r="D119" t="str">
            <v>ZAIAI Women's Coat With Fur Hood With 90% Down Parka Puffer Jacket Black M</v>
          </cell>
        </row>
        <row r="120">
          <cell r="A120" t="str">
            <v>MY71115K0M</v>
          </cell>
          <cell r="B120" t="str">
            <v>B0761NNDWM</v>
          </cell>
          <cell r="C120" t="str">
            <v>B0761NNDWM</v>
          </cell>
          <cell r="D120" t="str">
            <v>ZAIAI Women's Coat with Fur Hood with 90% Down Parka Puffer Jacket Black S</v>
          </cell>
        </row>
        <row r="121">
          <cell r="A121" t="str">
            <v>MY71115K0S</v>
          </cell>
          <cell r="B121" t="str">
            <v>B0761PDHV5</v>
          </cell>
          <cell r="C121" t="str">
            <v>B0761PDHV5</v>
          </cell>
          <cell r="D121" t="str">
            <v>ZAIAI Women's Coat with Fur Hood with 90% Down Parka Puffer Jacket Black XS</v>
          </cell>
        </row>
        <row r="122">
          <cell r="A122" t="str">
            <v>MY71115K0XL</v>
          </cell>
          <cell r="B122" t="str">
            <v>B0761NGWJD</v>
          </cell>
          <cell r="C122" t="str">
            <v>B0761NGWJD</v>
          </cell>
          <cell r="D122" t="str">
            <v>ZAIAI Women's Coat with Fur Hood with 90% Down Parka Puffer Jacket Black L</v>
          </cell>
        </row>
        <row r="123">
          <cell r="A123" t="str">
            <v>MY71115K0XXL</v>
          </cell>
          <cell r="B123" t="str">
            <v>B0761SKR3P</v>
          </cell>
          <cell r="C123" t="str">
            <v>B0761SKR3P</v>
          </cell>
          <cell r="D123" t="str">
            <v>ZAIAI Women's Coat with Fur Hood with 90% Down Parka Puffer Jacket Black XL</v>
          </cell>
        </row>
        <row r="124">
          <cell r="A124" t="str">
            <v>MY71115MSL</v>
          </cell>
          <cell r="B124" t="str">
            <v>B0761NFTQC</v>
          </cell>
          <cell r="C124" t="str">
            <v>B0761NFTQC</v>
          </cell>
          <cell r="D124" t="str">
            <v>ZAIAI Women's Coat with Fur Hood with 90% Down Parka Puffer Jacket Beige M</v>
          </cell>
        </row>
        <row r="125">
          <cell r="A125" t="str">
            <v>MY71115MSM</v>
          </cell>
          <cell r="B125" t="str">
            <v>B0761PV952</v>
          </cell>
          <cell r="C125" t="str">
            <v>B0761PV952</v>
          </cell>
          <cell r="D125" t="str">
            <v>ZAIAI Women's Coat With Fur Hood With 90% Down Parka Puffer Jacket Beige M</v>
          </cell>
        </row>
        <row r="126">
          <cell r="A126" t="str">
            <v>MY71115MSS</v>
          </cell>
          <cell r="B126" t="str">
            <v>B0761NHB1Y</v>
          </cell>
          <cell r="C126" t="str">
            <v>B0761NHB1Y</v>
          </cell>
          <cell r="D126" t="str">
            <v>ZAIAI Women's Coat with Fur Hood with 90% Down Parka Puffer Jacket Beige XS</v>
          </cell>
        </row>
        <row r="127">
          <cell r="A127" t="str">
            <v>MY71115MSXL</v>
          </cell>
          <cell r="B127" t="str">
            <v>B0761PWB12</v>
          </cell>
          <cell r="C127" t="str">
            <v>B0761PWB12</v>
          </cell>
          <cell r="D127" t="str">
            <v>ZAIAI Women's Coat with Fur Hood with 90% Down Parka Puffer Jacket Beige L</v>
          </cell>
        </row>
        <row r="128">
          <cell r="A128" t="str">
            <v>MY71115MSXXL</v>
          </cell>
          <cell r="B128" t="str">
            <v>B0761N46BN</v>
          </cell>
          <cell r="C128" t="str">
            <v>B0761N46BN</v>
          </cell>
          <cell r="D128" t="str">
            <v>ZAIAI Women's Coat with Fur Hood with 90% Down Parka Puffer Jacket Beige XL</v>
          </cell>
        </row>
        <row r="129">
          <cell r="A129" t="str">
            <v>MY71115ZQL</v>
          </cell>
          <cell r="B129" t="str">
            <v>B0761S2M63</v>
          </cell>
          <cell r="C129" t="str">
            <v>B0761S2M63</v>
          </cell>
          <cell r="D129" t="str">
            <v>ZAIAI Women's Quilted Puffer Jacket Coat with Faux Fur Trimmed Hood Navy M</v>
          </cell>
        </row>
        <row r="130">
          <cell r="A130" t="str">
            <v>MY71115ZQM</v>
          </cell>
          <cell r="B130" t="str">
            <v>B0761MXCJB</v>
          </cell>
          <cell r="C130" t="str">
            <v>B0761MXCJB</v>
          </cell>
          <cell r="D130" t="str">
            <v>ZAIAI Women's Quilted Puffer Jacket Coat with Faux Fur Trimmed Hood Navy S</v>
          </cell>
        </row>
        <row r="131">
          <cell r="A131" t="str">
            <v>MY71115ZQS</v>
          </cell>
          <cell r="B131" t="str">
            <v>B0761R6ZG2</v>
          </cell>
          <cell r="C131" t="str">
            <v>B0761R6ZG2</v>
          </cell>
          <cell r="D131" t="str">
            <v>ZAIAI Women's Quilted Puffer Jacket Coat with Faux Fur Trimmed Hood Navy XS</v>
          </cell>
        </row>
        <row r="132">
          <cell r="A132" t="str">
            <v>MY71115ZQXL</v>
          </cell>
          <cell r="B132" t="str">
            <v>B0761PBXCV</v>
          </cell>
          <cell r="C132" t="str">
            <v>B0761PBXCV</v>
          </cell>
          <cell r="D132" t="str">
            <v>ZAIAI Women's Quilted Puffer Jacket Coat with Faux Fur Trimmed Hood Navy L</v>
          </cell>
        </row>
        <row r="133">
          <cell r="A133" t="str">
            <v>MY71115ZQXXL</v>
          </cell>
          <cell r="B133" t="str">
            <v>B0761MLYTQ</v>
          </cell>
          <cell r="C133" t="str">
            <v>B0761MLYTQ</v>
          </cell>
          <cell r="D133" t="str">
            <v>ZAIAI Women's Quilted Puffer Jacket Coat with Faux Fur Trimmed Hood Navy XL</v>
          </cell>
        </row>
        <row r="134">
          <cell r="A134" t="str">
            <v>NL-JZZU-6KCF</v>
          </cell>
          <cell r="B134" t="str">
            <v>B000VEWF2Q</v>
          </cell>
          <cell r="C134" t="str">
            <v>B000VEWF2Q</v>
          </cell>
        </row>
        <row r="135">
          <cell r="A135" t="str">
            <v>OL-FWF1-1Z13</v>
          </cell>
          <cell r="B135" t="str">
            <v>X001HQOP3Z</v>
          </cell>
          <cell r="C135" t="str">
            <v>B004OF47N8</v>
          </cell>
        </row>
        <row r="136">
          <cell r="A136" t="str">
            <v>PG-UDJF-U1WZ</v>
          </cell>
          <cell r="B136" t="str">
            <v>B000VEWF2Q</v>
          </cell>
          <cell r="C136" t="str">
            <v>B000VEWF2Q</v>
          </cell>
        </row>
        <row r="137">
          <cell r="A137" t="str">
            <v>PJ-CPH7-5MXE</v>
          </cell>
          <cell r="B137" t="str">
            <v>X001K0YGJ1</v>
          </cell>
          <cell r="C137" t="str">
            <v>B01G3AIYJO</v>
          </cell>
          <cell r="D137" t="str">
            <v>Gratiae Organic Beauty By Nature Exfoliating Body Scrub, Apple/Green Tea and Ginger by Gratiae Organic Beauty By Nature</v>
          </cell>
        </row>
        <row r="138">
          <cell r="A138" t="str">
            <v>PP-7C5M-OKFZ</v>
          </cell>
          <cell r="B138" t="str">
            <v>X001K6E0FZ</v>
          </cell>
          <cell r="C138" t="str">
            <v>B00GU2QXVC</v>
          </cell>
          <cell r="D138" t="str">
            <v>Premier Dead Sea Refining Moisture Cream</v>
          </cell>
        </row>
        <row r="139">
          <cell r="A139" t="str">
            <v>PV-OG2H-VHEI</v>
          </cell>
          <cell r="B139" t="str">
            <v>X0017633GF</v>
          </cell>
          <cell r="C139" t="str">
            <v>B004X9BTGI</v>
          </cell>
          <cell r="D139" t="str">
            <v>Gratiae Organicss Hand and Nail Care Treatment, 4.08 Ounce</v>
          </cell>
        </row>
        <row r="140">
          <cell r="A140" t="str">
            <v>PW-89MW-RR8Y</v>
          </cell>
          <cell r="B140" t="str">
            <v>X001K6FG17</v>
          </cell>
          <cell r="C140" t="str">
            <v>B004H07KKC</v>
          </cell>
          <cell r="D140" t="str">
            <v>Premier Dead Sea Skin Toner for Normal/Oily Skin, Pink, 8.4535-Fluid Ounce</v>
          </cell>
        </row>
        <row r="141">
          <cell r="A141" t="str">
            <v>QW-6H25-PV48</v>
          </cell>
          <cell r="B141" t="str">
            <v>X001HQHY2T</v>
          </cell>
          <cell r="C141" t="str">
            <v>B003NJKS48</v>
          </cell>
          <cell r="D141" t="str">
            <v>Dead Sea Premier Luxury Milk Cleanser</v>
          </cell>
        </row>
        <row r="142">
          <cell r="A142" t="str">
            <v>R0-9P3N-MM7G</v>
          </cell>
          <cell r="B142" t="str">
            <v>X001B57XHH</v>
          </cell>
          <cell r="C142" t="str">
            <v>B0016VW618</v>
          </cell>
          <cell r="D142" t="str">
            <v>Premier Usa Dead Sea shaving Cream for Men All Skin</v>
          </cell>
        </row>
        <row r="143">
          <cell r="A143" t="str">
            <v>R5-W9D5-YCXW</v>
          </cell>
          <cell r="B143" t="str">
            <v>X001K0TWEZ</v>
          </cell>
          <cell r="C143" t="str">
            <v>B004H02HA0</v>
          </cell>
        </row>
        <row r="144">
          <cell r="A144" t="str">
            <v>SM-LSLQ-C3QE</v>
          </cell>
          <cell r="B144" t="str">
            <v>X001B6AOMR</v>
          </cell>
          <cell r="C144" t="str">
            <v>B004X9BSG4</v>
          </cell>
          <cell r="D144" t="str">
            <v>Gratiae Organics Lifting Facial Mask, 1.7 Ounce</v>
          </cell>
        </row>
        <row r="145">
          <cell r="A145" t="str">
            <v>U9-B86F-U3BU</v>
          </cell>
          <cell r="B145" t="str">
            <v>B000VEWF2Q</v>
          </cell>
          <cell r="C145" t="str">
            <v>B000VEWF2Q</v>
          </cell>
        </row>
        <row r="146">
          <cell r="A146" t="str">
            <v>UH-SMM5-RLVI</v>
          </cell>
          <cell r="B146" t="str">
            <v>X001DH914L</v>
          </cell>
          <cell r="C146" t="str">
            <v>B004H02HA0</v>
          </cell>
        </row>
        <row r="147">
          <cell r="A147" t="str">
            <v>VR-3PK8-48QD</v>
          </cell>
          <cell r="B147" t="str">
            <v>X001DF2XE3</v>
          </cell>
          <cell r="C147" t="str">
            <v>B004H07J80</v>
          </cell>
        </row>
        <row r="148">
          <cell r="A148" t="str">
            <v>WS-NIZA-VBTG</v>
          </cell>
          <cell r="B148" t="str">
            <v>X001B8U5KV</v>
          </cell>
          <cell r="C148" t="str">
            <v>B001DXQDL8</v>
          </cell>
        </row>
        <row r="149">
          <cell r="A149" t="str">
            <v>YI-LW70-5D1O</v>
          </cell>
          <cell r="B149" t="str">
            <v>X001BZTC67</v>
          </cell>
          <cell r="C149" t="str">
            <v>B003Y7CMF2</v>
          </cell>
          <cell r="D149" t="str">
            <v>Premier Dead Sea Instant Stretching and Revitalizing Lifting Mask - 2.04 oz Ounce</v>
          </cell>
        </row>
        <row r="150">
          <cell r="A150" t="str">
            <v>ZV-TBFW-N9Y2</v>
          </cell>
          <cell r="B150" t="str">
            <v>X001EXA445</v>
          </cell>
          <cell r="C150" t="str">
            <v>B00022AUVA</v>
          </cell>
        </row>
        <row r="151">
          <cell r="A151" t="str">
            <v>ZW-A85T-DGVQ</v>
          </cell>
          <cell r="B151" t="str">
            <v>X001HQLM2R</v>
          </cell>
          <cell r="C151" t="str">
            <v>B000VER1RU</v>
          </cell>
        </row>
        <row r="152">
          <cell r="A152" t="str">
            <v>HF-a02e-STSB-ZF</v>
          </cell>
        </row>
        <row r="152">
          <cell r="C152" t="str">
            <v>B002DPS40I</v>
          </cell>
        </row>
        <row r="153">
          <cell r="A153" t="str">
            <v>HF-a21e-SCFM-ZF</v>
          </cell>
        </row>
        <row r="153">
          <cell r="C153" t="str">
            <v>B0010OMN4G</v>
          </cell>
        </row>
        <row r="154">
          <cell r="A154" t="str">
            <v>HF-a1e-LCMC-ZF</v>
          </cell>
        </row>
        <row r="154">
          <cell r="C154" t="str">
            <v>B000VF5WVG</v>
          </cell>
        </row>
        <row r="155">
          <cell r="A155" t="str">
            <v>HF-f6b-EXBS-ZF</v>
          </cell>
        </row>
        <row r="155">
          <cell r="C155" t="str">
            <v>B004X9BTFY</v>
          </cell>
        </row>
        <row r="156">
          <cell r="A156" t="str">
            <v>HF-a56e-EYES-ZF</v>
          </cell>
        </row>
        <row r="156">
          <cell r="C156" t="str">
            <v>B00115TXRE</v>
          </cell>
        </row>
        <row r="157">
          <cell r="A157" t="str">
            <v>HF-f12-FACL-ZF</v>
          </cell>
        </row>
        <row r="157">
          <cell r="C157" t="str">
            <v>B003CEA88U</v>
          </cell>
        </row>
        <row r="158">
          <cell r="A158" t="str">
            <v>HF-a11e-MCND</v>
          </cell>
        </row>
        <row r="158">
          <cell r="C158" t="str">
            <v>B00157XFNQ</v>
          </cell>
        </row>
        <row r="159">
          <cell r="A159" t="str">
            <v>HF-f15b-EXBS-ZF</v>
          </cell>
        </row>
        <row r="159">
          <cell r="C159" t="str">
            <v>B004OEUPGM</v>
          </cell>
        </row>
        <row r="160">
          <cell r="A160" t="str">
            <v>HF-a49e-CBSM-ZF</v>
          </cell>
        </row>
        <row r="160">
          <cell r="C160" t="str">
            <v>B000V7DONW</v>
          </cell>
        </row>
        <row r="161">
          <cell r="A161" t="str">
            <v>HF-g1e-AFDM-ZF</v>
          </cell>
        </row>
        <row r="161">
          <cell r="C161" t="str">
            <v>B001DXQDL8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2892</v>
          </cell>
          <cell r="C2">
            <v>81</v>
          </cell>
          <cell r="D2">
            <v>0</v>
          </cell>
          <cell r="E2">
            <v>145</v>
          </cell>
          <cell r="F2">
            <v>145</v>
          </cell>
          <cell r="G2">
            <v>175</v>
          </cell>
          <cell r="H2">
            <v>131</v>
          </cell>
          <cell r="I2">
            <v>18</v>
          </cell>
          <cell r="J2">
            <v>642</v>
          </cell>
          <cell r="K2">
            <v>761</v>
          </cell>
          <cell r="L2">
            <v>643</v>
          </cell>
          <cell r="M2">
            <v>51</v>
          </cell>
          <cell r="N2">
            <v>2097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36</v>
          </cell>
          <cell r="C4">
            <v>0</v>
          </cell>
          <cell r="D4">
            <v>0</v>
          </cell>
          <cell r="E4">
            <v>1</v>
          </cell>
          <cell r="F4">
            <v>1</v>
          </cell>
          <cell r="G4">
            <v>28</v>
          </cell>
          <cell r="H4">
            <v>4</v>
          </cell>
          <cell r="I4">
            <v>3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HF-I2e-AABS</v>
          </cell>
          <cell r="B5">
            <v>67</v>
          </cell>
          <cell r="C5">
            <v>2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10</v>
          </cell>
          <cell r="I5">
            <v>0</v>
          </cell>
          <cell r="J5">
            <v>70</v>
          </cell>
          <cell r="K5">
            <v>0</v>
          </cell>
          <cell r="L5">
            <v>0</v>
          </cell>
          <cell r="M5">
            <v>0</v>
          </cell>
          <cell r="N5">
            <v>70</v>
          </cell>
        </row>
        <row r="6">
          <cell r="A6" t="str">
            <v>DW-MG8E-BMQG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1</v>
          </cell>
          <cell r="L6">
            <v>0</v>
          </cell>
          <cell r="M6">
            <v>2</v>
          </cell>
          <cell r="N6">
            <v>3</v>
          </cell>
        </row>
        <row r="7">
          <cell r="A7" t="str">
            <v>5X-E8TX-UKIW</v>
          </cell>
          <cell r="B7">
            <v>13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1</v>
          </cell>
          <cell r="K7">
            <v>2</v>
          </cell>
          <cell r="L7">
            <v>1</v>
          </cell>
          <cell r="M7">
            <v>11</v>
          </cell>
          <cell r="N7">
            <v>15</v>
          </cell>
        </row>
        <row r="8">
          <cell r="A8" t="str">
            <v>2N-C2ZT-YSNI</v>
          </cell>
          <cell r="B8">
            <v>35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1</v>
          </cell>
          <cell r="K8">
            <v>0</v>
          </cell>
          <cell r="L8">
            <v>1</v>
          </cell>
          <cell r="M8">
            <v>38</v>
          </cell>
          <cell r="N8">
            <v>40</v>
          </cell>
        </row>
        <row r="9">
          <cell r="A9" t="str">
            <v>58-6A0P-DRT9</v>
          </cell>
          <cell r="B9">
            <v>59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1</v>
          </cell>
          <cell r="L9">
            <v>59</v>
          </cell>
          <cell r="M9">
            <v>0</v>
          </cell>
          <cell r="N9">
            <v>60</v>
          </cell>
        </row>
        <row r="10">
          <cell r="A10" t="str">
            <v>6T-8V8W-3S67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3E-OBBY-DIEZ</v>
          </cell>
          <cell r="B11">
            <v>51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0</v>
          </cell>
          <cell r="I11">
            <v>1</v>
          </cell>
          <cell r="J11">
            <v>1</v>
          </cell>
          <cell r="K11">
            <v>51</v>
          </cell>
          <cell r="L11">
            <v>0</v>
          </cell>
          <cell r="M11">
            <v>0</v>
          </cell>
          <cell r="N11">
            <v>52</v>
          </cell>
        </row>
        <row r="12">
          <cell r="A12" t="str">
            <v>HF-a69e-PEFG</v>
          </cell>
          <cell r="B12">
            <v>70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2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HF-a5e-NCFM</v>
          </cell>
          <cell r="B13">
            <v>22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39</v>
          </cell>
          <cell r="H13">
            <v>6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HF-a77e-TSSS</v>
          </cell>
          <cell r="B14">
            <v>0</v>
          </cell>
          <cell r="C14">
            <v>1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HF-f12-FACL</v>
          </cell>
          <cell r="B15">
            <v>26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HF-c7e-LANC</v>
          </cell>
          <cell r="B16">
            <v>85</v>
          </cell>
          <cell r="C16">
            <v>1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L1-BT23-OVPU</v>
          </cell>
          <cell r="B17">
            <v>161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1</v>
          </cell>
          <cell r="J17">
            <v>2</v>
          </cell>
          <cell r="K17">
            <v>34</v>
          </cell>
          <cell r="L17">
            <v>113</v>
          </cell>
          <cell r="M17">
            <v>0</v>
          </cell>
          <cell r="N17">
            <v>149</v>
          </cell>
        </row>
        <row r="18">
          <cell r="A18" t="str">
            <v>HF-a80e-BTBM</v>
          </cell>
          <cell r="B18">
            <v>51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IM-YEIX-VVX8</v>
          </cell>
          <cell r="B19">
            <v>108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2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109</v>
          </cell>
          <cell r="M19">
            <v>0</v>
          </cell>
          <cell r="N19">
            <v>109</v>
          </cell>
        </row>
        <row r="20">
          <cell r="A20" t="str">
            <v>HF-n2ae-NBNK</v>
          </cell>
          <cell r="B20">
            <v>34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15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HF-g2e-ACRC</v>
          </cell>
          <cell r="B21">
            <v>8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16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KN-QWP1-D5XB</v>
          </cell>
          <cell r="B22">
            <v>51</v>
          </cell>
          <cell r="C22">
            <v>1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3</v>
          </cell>
          <cell r="I22">
            <v>5</v>
          </cell>
          <cell r="J22">
            <v>1</v>
          </cell>
          <cell r="K22">
            <v>23</v>
          </cell>
          <cell r="L22">
            <v>32</v>
          </cell>
          <cell r="M22">
            <v>0</v>
          </cell>
          <cell r="N22">
            <v>56</v>
          </cell>
        </row>
        <row r="23">
          <cell r="A23" t="str">
            <v>HF-g104e-PCFS</v>
          </cell>
          <cell r="B23">
            <v>23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32</v>
          </cell>
          <cell r="H23">
            <v>2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HF-f24-ACPF</v>
          </cell>
          <cell r="B24">
            <v>30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15</v>
          </cell>
          <cell r="H24">
            <v>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HF-a1e-LCMC</v>
          </cell>
          <cell r="B25">
            <v>102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8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KP-1178-XPKV</v>
          </cell>
          <cell r="B26">
            <v>30</v>
          </cell>
          <cell r="C26">
            <v>2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1</v>
          </cell>
          <cell r="I26">
            <v>0</v>
          </cell>
          <cell r="J26">
            <v>3</v>
          </cell>
          <cell r="K26">
            <v>2</v>
          </cell>
          <cell r="L26">
            <v>26</v>
          </cell>
          <cell r="M26">
            <v>0</v>
          </cell>
          <cell r="N26">
            <v>31</v>
          </cell>
        </row>
        <row r="27">
          <cell r="A27" t="str">
            <v>R0-9P3N-MM7G</v>
          </cell>
          <cell r="B27">
            <v>149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3</v>
          </cell>
          <cell r="K27">
            <v>147</v>
          </cell>
          <cell r="L27">
            <v>0</v>
          </cell>
          <cell r="M27">
            <v>0</v>
          </cell>
          <cell r="N27">
            <v>150</v>
          </cell>
        </row>
        <row r="28">
          <cell r="A28" t="str">
            <v>SM-LSLQ-C3QE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7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PP-7C5M-OKFZ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60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PJ-CPH7-5MXE</v>
          </cell>
          <cell r="B30">
            <v>87</v>
          </cell>
          <cell r="C30">
            <v>11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15</v>
          </cell>
          <cell r="I30">
            <v>0</v>
          </cell>
          <cell r="J30">
            <v>2</v>
          </cell>
          <cell r="K30">
            <v>2</v>
          </cell>
          <cell r="L30">
            <v>82</v>
          </cell>
          <cell r="M30">
            <v>0</v>
          </cell>
          <cell r="N30">
            <v>86</v>
          </cell>
        </row>
        <row r="31">
          <cell r="A31" t="str">
            <v>MY71115K0XXL</v>
          </cell>
          <cell r="B31">
            <v>12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10</v>
          </cell>
          <cell r="K31">
            <v>0</v>
          </cell>
          <cell r="L31">
            <v>0</v>
          </cell>
          <cell r="M31">
            <v>0</v>
          </cell>
          <cell r="N31">
            <v>10</v>
          </cell>
        </row>
        <row r="32">
          <cell r="A32" t="str">
            <v>YI-LW70-5D1O</v>
          </cell>
          <cell r="B32">
            <v>12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1</v>
          </cell>
          <cell r="H32">
            <v>1</v>
          </cell>
          <cell r="I32">
            <v>1</v>
          </cell>
          <cell r="J32">
            <v>1</v>
          </cell>
          <cell r="K32">
            <v>2</v>
          </cell>
          <cell r="L32">
            <v>10</v>
          </cell>
          <cell r="M32">
            <v>0</v>
          </cell>
          <cell r="N32">
            <v>13</v>
          </cell>
        </row>
        <row r="33">
          <cell r="A33" t="str">
            <v>PV-OG2H-VHEI</v>
          </cell>
          <cell r="B33">
            <v>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3</v>
          </cell>
          <cell r="K33">
            <v>0</v>
          </cell>
          <cell r="L33">
            <v>3</v>
          </cell>
          <cell r="M33">
            <v>0</v>
          </cell>
          <cell r="N33">
            <v>6</v>
          </cell>
        </row>
        <row r="34">
          <cell r="A34" t="str">
            <v>0Z-KJNM-D56T</v>
          </cell>
          <cell r="B34">
            <v>111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1</v>
          </cell>
          <cell r="K34">
            <v>109</v>
          </cell>
          <cell r="L34">
            <v>0</v>
          </cell>
          <cell r="M34">
            <v>0</v>
          </cell>
          <cell r="N34">
            <v>110</v>
          </cell>
        </row>
        <row r="35">
          <cell r="A35" t="str">
            <v>HF-c1e-MCND</v>
          </cell>
          <cell r="B35">
            <v>36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37</v>
          </cell>
          <cell r="K35">
            <v>0</v>
          </cell>
          <cell r="L35">
            <v>0</v>
          </cell>
          <cell r="M35">
            <v>0</v>
          </cell>
          <cell r="N35">
            <v>37</v>
          </cell>
        </row>
        <row r="36">
          <cell r="A36" t="str">
            <v>MY71115ZQL</v>
          </cell>
          <cell r="B36">
            <v>8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7</v>
          </cell>
          <cell r="K36">
            <v>0</v>
          </cell>
          <cell r="L36">
            <v>0</v>
          </cell>
          <cell r="M36">
            <v>0</v>
          </cell>
          <cell r="N36">
            <v>7</v>
          </cell>
        </row>
        <row r="37">
          <cell r="A37" t="str">
            <v>MY16055MSL</v>
          </cell>
          <cell r="B37">
            <v>6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6</v>
          </cell>
          <cell r="L37">
            <v>0</v>
          </cell>
          <cell r="M37">
            <v>0</v>
          </cell>
          <cell r="N37">
            <v>6</v>
          </cell>
        </row>
        <row r="38">
          <cell r="A38" t="str">
            <v>MY16055MSM</v>
          </cell>
          <cell r="B38">
            <v>8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7</v>
          </cell>
          <cell r="L38">
            <v>0</v>
          </cell>
          <cell r="M38">
            <v>0</v>
          </cell>
          <cell r="N38">
            <v>7</v>
          </cell>
        </row>
        <row r="39">
          <cell r="A39" t="str">
            <v>MY71115MSS</v>
          </cell>
          <cell r="B39">
            <v>7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7</v>
          </cell>
          <cell r="K39">
            <v>0</v>
          </cell>
          <cell r="L39">
            <v>0</v>
          </cell>
          <cell r="M39">
            <v>0</v>
          </cell>
          <cell r="N39">
            <v>7</v>
          </cell>
        </row>
        <row r="40">
          <cell r="A40" t="str">
            <v>5D-ZS9Q-CYOL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2</v>
          </cell>
          <cell r="K40">
            <v>0</v>
          </cell>
          <cell r="L40">
            <v>0</v>
          </cell>
          <cell r="M40">
            <v>0</v>
          </cell>
          <cell r="N40">
            <v>2</v>
          </cell>
        </row>
        <row r="41">
          <cell r="A41" t="str">
            <v>MY71115MSXL</v>
          </cell>
          <cell r="B41">
            <v>8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8</v>
          </cell>
          <cell r="K41">
            <v>0</v>
          </cell>
          <cell r="L41">
            <v>0</v>
          </cell>
          <cell r="M41">
            <v>0</v>
          </cell>
          <cell r="N41">
            <v>8</v>
          </cell>
        </row>
        <row r="42">
          <cell r="A42" t="str">
            <v>MY16055MSXL</v>
          </cell>
          <cell r="B42">
            <v>7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7</v>
          </cell>
          <cell r="L42">
            <v>0</v>
          </cell>
          <cell r="M42">
            <v>0</v>
          </cell>
          <cell r="N42">
            <v>7</v>
          </cell>
        </row>
        <row r="43">
          <cell r="A43" t="str">
            <v>CF-7C1X-596L</v>
          </cell>
          <cell r="B43">
            <v>92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92</v>
          </cell>
          <cell r="L43">
            <v>0</v>
          </cell>
          <cell r="M43">
            <v>0</v>
          </cell>
          <cell r="N43">
            <v>92</v>
          </cell>
        </row>
        <row r="44">
          <cell r="A44" t="str">
            <v>A5-X9GB-M912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1</v>
          </cell>
          <cell r="K44">
            <v>0</v>
          </cell>
          <cell r="L44">
            <v>0</v>
          </cell>
          <cell r="M44">
            <v>0</v>
          </cell>
          <cell r="N44">
            <v>1</v>
          </cell>
        </row>
        <row r="45">
          <cell r="A45" t="str">
            <v>MY16055MSS</v>
          </cell>
          <cell r="B45">
            <v>7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7</v>
          </cell>
          <cell r="L45">
            <v>0</v>
          </cell>
          <cell r="M45">
            <v>0</v>
          </cell>
          <cell r="N45">
            <v>7</v>
          </cell>
        </row>
        <row r="46">
          <cell r="A46" t="str">
            <v>MY71107MSM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6</v>
          </cell>
          <cell r="K46">
            <v>0</v>
          </cell>
          <cell r="L46">
            <v>0</v>
          </cell>
          <cell r="M46">
            <v>0</v>
          </cell>
          <cell r="N46">
            <v>6</v>
          </cell>
        </row>
        <row r="47">
          <cell r="A47" t="str">
            <v>MY71115MSXXL</v>
          </cell>
          <cell r="B47">
            <v>6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6</v>
          </cell>
          <cell r="K47">
            <v>0</v>
          </cell>
          <cell r="L47">
            <v>0</v>
          </cell>
          <cell r="M47">
            <v>0</v>
          </cell>
          <cell r="N47">
            <v>6</v>
          </cell>
        </row>
        <row r="48">
          <cell r="A48" t="str">
            <v>JQ-N6LK-OQ03</v>
          </cell>
          <cell r="B48">
            <v>37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34</v>
          </cell>
          <cell r="K48">
            <v>0</v>
          </cell>
          <cell r="L48">
            <v>0</v>
          </cell>
          <cell r="M48">
            <v>0</v>
          </cell>
          <cell r="N48">
            <v>34</v>
          </cell>
        </row>
        <row r="49">
          <cell r="A49" t="str">
            <v>MY71107MSXL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2</v>
          </cell>
          <cell r="K49">
            <v>0</v>
          </cell>
          <cell r="L49">
            <v>0</v>
          </cell>
          <cell r="M49">
            <v>0</v>
          </cell>
          <cell r="N49">
            <v>2</v>
          </cell>
        </row>
        <row r="50">
          <cell r="A50" t="str">
            <v>MY71107K0XL</v>
          </cell>
          <cell r="B50">
            <v>7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MY16055K0XXL</v>
          </cell>
          <cell r="B51">
            <v>14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12</v>
          </cell>
          <cell r="L51">
            <v>0</v>
          </cell>
          <cell r="M51">
            <v>0</v>
          </cell>
          <cell r="N51">
            <v>12</v>
          </cell>
        </row>
        <row r="52">
          <cell r="A52" t="str">
            <v>MY71115MSL</v>
          </cell>
          <cell r="B52">
            <v>8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8</v>
          </cell>
          <cell r="K52">
            <v>0</v>
          </cell>
          <cell r="L52">
            <v>0</v>
          </cell>
          <cell r="M52">
            <v>0</v>
          </cell>
          <cell r="N52">
            <v>8</v>
          </cell>
        </row>
        <row r="53">
          <cell r="A53" t="str">
            <v>HF-a21e-SCFM</v>
          </cell>
          <cell r="B53">
            <v>36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36</v>
          </cell>
          <cell r="K53">
            <v>0</v>
          </cell>
          <cell r="L53">
            <v>0</v>
          </cell>
          <cell r="M53">
            <v>0</v>
          </cell>
          <cell r="N53">
            <v>36</v>
          </cell>
        </row>
        <row r="54">
          <cell r="A54" t="str">
            <v>MY71107ZQL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QW-6H25-PV48</v>
          </cell>
          <cell r="B55">
            <v>58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</v>
          </cell>
          <cell r="K55">
            <v>3</v>
          </cell>
          <cell r="L55">
            <v>53</v>
          </cell>
          <cell r="M55">
            <v>0</v>
          </cell>
          <cell r="N55">
            <v>57</v>
          </cell>
        </row>
        <row r="56">
          <cell r="A56" t="str">
            <v>MY71115ZQXL</v>
          </cell>
          <cell r="B56">
            <v>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06-LI7A-IZ44</v>
          </cell>
          <cell r="B57">
            <v>186</v>
          </cell>
          <cell r="C57">
            <v>1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2</v>
          </cell>
          <cell r="K57">
            <v>160</v>
          </cell>
          <cell r="L57">
            <v>25</v>
          </cell>
          <cell r="M57">
            <v>0</v>
          </cell>
          <cell r="N57">
            <v>187</v>
          </cell>
        </row>
        <row r="58">
          <cell r="A58" t="str">
            <v>MY71107K0XXL</v>
          </cell>
          <cell r="B58">
            <v>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MY71115MSM</v>
          </cell>
          <cell r="B59">
            <v>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6</v>
          </cell>
          <cell r="K59">
            <v>0</v>
          </cell>
          <cell r="L59">
            <v>0</v>
          </cell>
          <cell r="M59">
            <v>0</v>
          </cell>
          <cell r="N59">
            <v>6</v>
          </cell>
        </row>
        <row r="60">
          <cell r="A60" t="str">
            <v>MY71115K0M</v>
          </cell>
          <cell r="B60">
            <v>12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12</v>
          </cell>
          <cell r="K60">
            <v>0</v>
          </cell>
          <cell r="L60">
            <v>0</v>
          </cell>
          <cell r="M60">
            <v>0</v>
          </cell>
          <cell r="N60">
            <v>12</v>
          </cell>
        </row>
        <row r="61">
          <cell r="A61" t="str">
            <v>MY71107MSXXL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MY71115K0L</v>
          </cell>
          <cell r="B62">
            <v>11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10</v>
          </cell>
          <cell r="K62">
            <v>0</v>
          </cell>
          <cell r="L62">
            <v>0</v>
          </cell>
          <cell r="M62">
            <v>0</v>
          </cell>
          <cell r="N62">
            <v>10</v>
          </cell>
        </row>
        <row r="63">
          <cell r="A63" t="str">
            <v>MY16055ZQXXL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</v>
          </cell>
          <cell r="L63">
            <v>0</v>
          </cell>
          <cell r="M63">
            <v>0</v>
          </cell>
          <cell r="N63">
            <v>4</v>
          </cell>
        </row>
        <row r="64">
          <cell r="A64" t="str">
            <v>MY16055ZQXL</v>
          </cell>
          <cell r="B64">
            <v>6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  <cell r="N64">
            <v>3</v>
          </cell>
        </row>
        <row r="65">
          <cell r="A65" t="str">
            <v>MY71107ZQXL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HF-a33e-LUHC</v>
          </cell>
          <cell r="B66">
            <v>57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56</v>
          </cell>
          <cell r="K66">
            <v>0</v>
          </cell>
          <cell r="L66">
            <v>0</v>
          </cell>
          <cell r="M66">
            <v>0</v>
          </cell>
          <cell r="N66">
            <v>56</v>
          </cell>
        </row>
        <row r="67">
          <cell r="A67" t="str">
            <v>MY71115ZQM</v>
          </cell>
          <cell r="B67">
            <v>6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6</v>
          </cell>
          <cell r="K67">
            <v>0</v>
          </cell>
          <cell r="L67">
            <v>0</v>
          </cell>
          <cell r="M67">
            <v>0</v>
          </cell>
          <cell r="N67">
            <v>6</v>
          </cell>
        </row>
        <row r="68">
          <cell r="A68" t="str">
            <v>3S-1QX9-6RRP</v>
          </cell>
          <cell r="B68">
            <v>39</v>
          </cell>
          <cell r="C68">
            <v>1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2</v>
          </cell>
          <cell r="K68">
            <v>36</v>
          </cell>
          <cell r="L68">
            <v>0</v>
          </cell>
          <cell r="M68">
            <v>0</v>
          </cell>
          <cell r="N68">
            <v>38</v>
          </cell>
        </row>
        <row r="69">
          <cell r="A69" t="str">
            <v>MY71107ZQS</v>
          </cell>
          <cell r="B69">
            <v>8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8</v>
          </cell>
          <cell r="K69">
            <v>0</v>
          </cell>
          <cell r="L69">
            <v>0</v>
          </cell>
          <cell r="M69">
            <v>0</v>
          </cell>
          <cell r="N69">
            <v>8</v>
          </cell>
        </row>
        <row r="70">
          <cell r="A70" t="str">
            <v>MY71115ZQS</v>
          </cell>
          <cell r="B70">
            <v>8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8</v>
          </cell>
          <cell r="K70">
            <v>0</v>
          </cell>
          <cell r="L70">
            <v>0</v>
          </cell>
          <cell r="M70">
            <v>0</v>
          </cell>
          <cell r="N70">
            <v>8</v>
          </cell>
        </row>
        <row r="71">
          <cell r="A71" t="str">
            <v>HF-a6e-LASS</v>
          </cell>
          <cell r="B71">
            <v>106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HF-b3e-PWCC</v>
          </cell>
          <cell r="B72">
            <v>48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48</v>
          </cell>
          <cell r="K72">
            <v>0</v>
          </cell>
          <cell r="L72">
            <v>0</v>
          </cell>
          <cell r="M72">
            <v>0</v>
          </cell>
          <cell r="N72">
            <v>48</v>
          </cell>
        </row>
        <row r="73">
          <cell r="A73" t="str">
            <v>MY16055K0M</v>
          </cell>
          <cell r="B73">
            <v>12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1</v>
          </cell>
          <cell r="K73">
            <v>11</v>
          </cell>
          <cell r="L73">
            <v>0</v>
          </cell>
          <cell r="M73">
            <v>0</v>
          </cell>
          <cell r="N73">
            <v>12</v>
          </cell>
        </row>
        <row r="74">
          <cell r="A74" t="str">
            <v>HF-a56e-EYES</v>
          </cell>
          <cell r="B74">
            <v>61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42</v>
          </cell>
          <cell r="K74">
            <v>0</v>
          </cell>
          <cell r="L74">
            <v>0</v>
          </cell>
          <cell r="M74">
            <v>0</v>
          </cell>
          <cell r="N74">
            <v>42</v>
          </cell>
        </row>
        <row r="75">
          <cell r="A75" t="str">
            <v>HF-a37e-FCMG</v>
          </cell>
          <cell r="B75">
            <v>74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73</v>
          </cell>
          <cell r="K75">
            <v>0</v>
          </cell>
          <cell r="L75">
            <v>0</v>
          </cell>
          <cell r="M75">
            <v>0</v>
          </cell>
          <cell r="N75">
            <v>73</v>
          </cell>
        </row>
        <row r="76">
          <cell r="A76" t="str">
            <v>HF-l3e-TEYG</v>
          </cell>
          <cell r="B76">
            <v>80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MY71107MSL</v>
          </cell>
          <cell r="B77">
            <v>6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6</v>
          </cell>
          <cell r="K77">
            <v>0</v>
          </cell>
          <cell r="L77">
            <v>0</v>
          </cell>
          <cell r="M77">
            <v>0</v>
          </cell>
          <cell r="N77">
            <v>6</v>
          </cell>
        </row>
        <row r="78">
          <cell r="A78" t="str">
            <v>HF-a85e-RFPM</v>
          </cell>
          <cell r="B78">
            <v>77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MY16055K0L</v>
          </cell>
          <cell r="B79">
            <v>11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11</v>
          </cell>
          <cell r="K79">
            <v>0</v>
          </cell>
          <cell r="L79">
            <v>0</v>
          </cell>
          <cell r="M79">
            <v>0</v>
          </cell>
          <cell r="N79">
            <v>11</v>
          </cell>
        </row>
        <row r="80">
          <cell r="A80" t="str">
            <v>MY16055K0S</v>
          </cell>
          <cell r="B80">
            <v>14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14</v>
          </cell>
          <cell r="L80">
            <v>0</v>
          </cell>
          <cell r="M80">
            <v>0</v>
          </cell>
          <cell r="N80">
            <v>14</v>
          </cell>
        </row>
        <row r="81">
          <cell r="A81" t="str">
            <v>PW-89MW-RR8Y</v>
          </cell>
          <cell r="B81">
            <v>130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</v>
          </cell>
          <cell r="L81">
            <v>129</v>
          </cell>
          <cell r="M81">
            <v>0</v>
          </cell>
          <cell r="N81">
            <v>130</v>
          </cell>
        </row>
        <row r="82">
          <cell r="A82" t="str">
            <v>MY16055MSXXL</v>
          </cell>
          <cell r="B82">
            <v>7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7</v>
          </cell>
          <cell r="L82">
            <v>0</v>
          </cell>
          <cell r="M82">
            <v>0</v>
          </cell>
          <cell r="N82">
            <v>7</v>
          </cell>
        </row>
        <row r="83">
          <cell r="A83" t="str">
            <v>MY71107ZQM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5</v>
          </cell>
          <cell r="K83">
            <v>0</v>
          </cell>
          <cell r="L83">
            <v>0</v>
          </cell>
          <cell r="M83">
            <v>0</v>
          </cell>
          <cell r="N83">
            <v>5</v>
          </cell>
        </row>
        <row r="84">
          <cell r="A84" t="str">
            <v>MY71107K0S</v>
          </cell>
          <cell r="B84">
            <v>13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13</v>
          </cell>
          <cell r="K84">
            <v>0</v>
          </cell>
          <cell r="L84">
            <v>0</v>
          </cell>
          <cell r="M84">
            <v>0</v>
          </cell>
          <cell r="N84">
            <v>13</v>
          </cell>
        </row>
        <row r="85">
          <cell r="A85" t="str">
            <v>MY71107K0L</v>
          </cell>
          <cell r="B85">
            <v>11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11</v>
          </cell>
          <cell r="K85">
            <v>0</v>
          </cell>
          <cell r="L85">
            <v>0</v>
          </cell>
          <cell r="M85">
            <v>0</v>
          </cell>
          <cell r="N85">
            <v>11</v>
          </cell>
        </row>
        <row r="86">
          <cell r="A86" t="str">
            <v>MY71107K0M</v>
          </cell>
          <cell r="B86">
            <v>10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9</v>
          </cell>
          <cell r="K86">
            <v>0</v>
          </cell>
          <cell r="L86">
            <v>0</v>
          </cell>
          <cell r="M86">
            <v>0</v>
          </cell>
          <cell r="N86">
            <v>9</v>
          </cell>
        </row>
        <row r="87">
          <cell r="A87" t="str">
            <v>MY71107MSS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4</v>
          </cell>
          <cell r="K87">
            <v>0</v>
          </cell>
          <cell r="L87">
            <v>0</v>
          </cell>
          <cell r="M87">
            <v>0</v>
          </cell>
          <cell r="N87">
            <v>4</v>
          </cell>
        </row>
        <row r="88">
          <cell r="A88" t="str">
            <v>MY71107ZQXXL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MY71115K0S</v>
          </cell>
          <cell r="B89">
            <v>15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15</v>
          </cell>
          <cell r="K89">
            <v>0</v>
          </cell>
          <cell r="L89">
            <v>0</v>
          </cell>
          <cell r="M89">
            <v>0</v>
          </cell>
          <cell r="N89">
            <v>15</v>
          </cell>
        </row>
        <row r="90">
          <cell r="A90" t="str">
            <v>HF-T9QA-X3JZ</v>
          </cell>
          <cell r="B90">
            <v>27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25</v>
          </cell>
          <cell r="K90">
            <v>0</v>
          </cell>
          <cell r="L90">
            <v>0</v>
          </cell>
          <cell r="M90">
            <v>0</v>
          </cell>
          <cell r="N90">
            <v>25</v>
          </cell>
        </row>
        <row r="91">
          <cell r="A91" t="str">
            <v>MY71115K0XL</v>
          </cell>
          <cell r="B91">
            <v>15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14</v>
          </cell>
          <cell r="K91">
            <v>0</v>
          </cell>
          <cell r="L91">
            <v>0</v>
          </cell>
          <cell r="M91">
            <v>0</v>
          </cell>
          <cell r="N91">
            <v>14</v>
          </cell>
        </row>
        <row r="92">
          <cell r="A92" t="str">
            <v>MY16055K0XL</v>
          </cell>
          <cell r="B92">
            <v>12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1</v>
          </cell>
          <cell r="K92">
            <v>10</v>
          </cell>
          <cell r="L92">
            <v>0</v>
          </cell>
          <cell r="M92">
            <v>0</v>
          </cell>
          <cell r="N92">
            <v>11</v>
          </cell>
        </row>
        <row r="93">
          <cell r="A93" t="str">
            <v>MY16055ZQS</v>
          </cell>
          <cell r="B93">
            <v>7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7</v>
          </cell>
          <cell r="L93">
            <v>0</v>
          </cell>
          <cell r="M93">
            <v>0</v>
          </cell>
          <cell r="N93">
            <v>7</v>
          </cell>
        </row>
        <row r="94">
          <cell r="A94" t="str">
            <v>00-1VZ1-IH69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1M-3M12-58YS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1N-I8OQ-5NL6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40-G0ZX-HJNG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5S-TEQM-ZWF1</v>
          </cell>
          <cell r="B98">
            <v>0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7K-XLQF-24PG</v>
          </cell>
          <cell r="B99">
            <v>0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8V-1JSS-5D7M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8X-ORFA-L07U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97-6SJH-1LTA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B000VEWF2Q</v>
          </cell>
          <cell r="B103">
            <v>0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BM-6KQ2-02X2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BU-8SVS-Q5LV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C3-311K-550X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DA-BINR-0UIS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DI-JC1L-4Y5S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DM-LSF9-NGGG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E8-GWV1-AJMB</v>
          </cell>
          <cell r="B110">
            <v>0</v>
          </cell>
          <cell r="C110">
            <v>48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EW-ERSE-5U59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GE-EMV6-4E4J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GX-HUMS-YACQ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HF-a136e-MHBB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HF-a14e-NICC</v>
          </cell>
          <cell r="B115">
            <v>0</v>
          </cell>
          <cell r="C115">
            <v>0</v>
          </cell>
          <cell r="D115">
            <v>0</v>
          </cell>
          <cell r="E115">
            <v>48</v>
          </cell>
          <cell r="F115">
            <v>48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HF-a18e-IADC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HF-a22e-EFCM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HF-a2e-STSP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HF-a36e-LMCM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HF-a49e-CBSM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HF-a53e-PRPM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HF-a69e-PEFGX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HF-a76e-GCSS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HF-a81e-MHBB</v>
          </cell>
          <cell r="B124">
            <v>0</v>
          </cell>
          <cell r="C124">
            <v>0</v>
          </cell>
          <cell r="D124">
            <v>0</v>
          </cell>
          <cell r="E124">
            <v>24</v>
          </cell>
          <cell r="F124">
            <v>24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HF-a82e-RPBB</v>
          </cell>
          <cell r="B125">
            <v>0</v>
          </cell>
          <cell r="C125">
            <v>0</v>
          </cell>
          <cell r="D125">
            <v>0</v>
          </cell>
          <cell r="E125">
            <v>72</v>
          </cell>
          <cell r="F125">
            <v>72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HF-f11a-HNCT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HF-f15b-EXBS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HF-f2-LIFT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HF-f6a-EXBS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HF-f6b-EXBS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HF-f9a-GSBB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HF-g1e-AFDM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HF-w1e-PSOR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KN-2B5X-YB0L</v>
          </cell>
          <cell r="B134">
            <v>0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L7-N9M4-0P6X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LF-QRR8-VUXE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LH-V26Y-FVKV</v>
          </cell>
          <cell r="B137">
            <v>0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LY-0LSI-94LS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M5-BNRC-2A6O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MY16055ZQL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MY16055ZQM</v>
          </cell>
          <cell r="B141">
            <v>0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MY71115ZQXXL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NL-JZZU-6KCF</v>
          </cell>
          <cell r="B143">
            <v>0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OL-FWF1-1Z13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PG-UDJF-U1WZ</v>
          </cell>
          <cell r="B145">
            <v>0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R5-W9D5-YCXW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U9-B86F-U3BU</v>
          </cell>
          <cell r="B147">
            <v>0</v>
          </cell>
          <cell r="C147">
            <v>1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UH-SMM5-RLVI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VR-3PK8-48QD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WS-NIZA-VBTG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ZV-TBFW-N9Y2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ZW-A85T-DGVQ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B003CEA88U</v>
          </cell>
          <cell r="B2">
            <v>13</v>
          </cell>
          <cell r="C2">
            <v>0</v>
          </cell>
          <cell r="D2">
            <v>0</v>
          </cell>
          <cell r="E2">
            <v>117</v>
          </cell>
        </row>
        <row r="3">
          <cell r="A3" t="str">
            <v>B0010BBCFK</v>
          </cell>
          <cell r="B3">
            <v>138</v>
          </cell>
          <cell r="C3">
            <v>123</v>
          </cell>
          <cell r="D3">
            <v>116</v>
          </cell>
          <cell r="E3">
            <v>569</v>
          </cell>
        </row>
        <row r="4">
          <cell r="A4" t="str">
            <v>B00115TXRE</v>
          </cell>
          <cell r="B4">
            <v>183</v>
          </cell>
          <cell r="C4">
            <v>177</v>
          </cell>
          <cell r="D4">
            <v>165</v>
          </cell>
          <cell r="E4">
            <v>660</v>
          </cell>
        </row>
        <row r="5">
          <cell r="A5" t="str">
            <v>B004H02GDI</v>
          </cell>
          <cell r="B5">
            <v>61</v>
          </cell>
          <cell r="C5">
            <v>95</v>
          </cell>
          <cell r="D5">
            <v>105</v>
          </cell>
          <cell r="E5">
            <v>77</v>
          </cell>
        </row>
        <row r="6">
          <cell r="A6" t="str">
            <v>B00022AUVA</v>
          </cell>
          <cell r="B6">
            <v>0</v>
          </cell>
          <cell r="C6">
            <v>0</v>
          </cell>
          <cell r="D6">
            <v>0</v>
          </cell>
          <cell r="E6">
            <v>12</v>
          </cell>
        </row>
        <row r="7">
          <cell r="A7" t="str">
            <v>B000V7DONW</v>
          </cell>
          <cell r="B7">
            <v>0</v>
          </cell>
          <cell r="C7">
            <v>11</v>
          </cell>
          <cell r="D7">
            <v>7</v>
          </cell>
          <cell r="E7">
            <v>59</v>
          </cell>
        </row>
        <row r="8">
          <cell r="A8" t="str">
            <v>B000VER1RU</v>
          </cell>
          <cell r="B8">
            <v>59</v>
          </cell>
          <cell r="C8">
            <v>0</v>
          </cell>
          <cell r="D8">
            <v>0</v>
          </cell>
          <cell r="E8">
            <v>35</v>
          </cell>
        </row>
        <row r="9">
          <cell r="A9" t="str">
            <v>B000VF5WVG</v>
          </cell>
          <cell r="B9">
            <v>81</v>
          </cell>
          <cell r="C9">
            <v>85</v>
          </cell>
          <cell r="D9">
            <v>76</v>
          </cell>
          <cell r="E9">
            <v>279</v>
          </cell>
        </row>
        <row r="10">
          <cell r="A10" t="str">
            <v>B0010OMN4G</v>
          </cell>
          <cell r="B10">
            <v>24</v>
          </cell>
          <cell r="C10">
            <v>19</v>
          </cell>
          <cell r="D10">
            <v>15</v>
          </cell>
          <cell r="E10">
            <v>61</v>
          </cell>
        </row>
        <row r="11">
          <cell r="A11" t="str">
            <v>B00117D9MW</v>
          </cell>
          <cell r="B11">
            <v>0</v>
          </cell>
          <cell r="C11">
            <v>0</v>
          </cell>
          <cell r="D11">
            <v>0</v>
          </cell>
          <cell r="E11">
            <v>90</v>
          </cell>
        </row>
        <row r="12">
          <cell r="A12" t="str">
            <v>B00117F5PG</v>
          </cell>
          <cell r="B12">
            <v>129</v>
          </cell>
          <cell r="C12">
            <v>106</v>
          </cell>
          <cell r="D12">
            <v>115</v>
          </cell>
          <cell r="E12">
            <v>414</v>
          </cell>
        </row>
        <row r="13">
          <cell r="A13" t="str">
            <v>B001278VEW</v>
          </cell>
          <cell r="B13">
            <v>23</v>
          </cell>
          <cell r="C13">
            <v>16</v>
          </cell>
          <cell r="D13">
            <v>20</v>
          </cell>
          <cell r="E13">
            <v>20</v>
          </cell>
        </row>
        <row r="14">
          <cell r="A14" t="str">
            <v>B0012IVH2O</v>
          </cell>
          <cell r="B14">
            <v>0</v>
          </cell>
          <cell r="C14">
            <v>0</v>
          </cell>
          <cell r="D14">
            <v>0</v>
          </cell>
          <cell r="E14">
            <v>21</v>
          </cell>
        </row>
        <row r="15">
          <cell r="A15" t="str">
            <v>B001561M00</v>
          </cell>
          <cell r="B15">
            <v>39</v>
          </cell>
          <cell r="C15">
            <v>33</v>
          </cell>
          <cell r="D15">
            <v>25</v>
          </cell>
          <cell r="E15">
            <v>108</v>
          </cell>
        </row>
        <row r="16">
          <cell r="A16" t="str">
            <v>B00157XFNQ</v>
          </cell>
          <cell r="B16">
            <v>38</v>
          </cell>
          <cell r="C16">
            <v>52</v>
          </cell>
          <cell r="D16">
            <v>51</v>
          </cell>
          <cell r="E16">
            <v>51</v>
          </cell>
        </row>
        <row r="17">
          <cell r="A17" t="str">
            <v>B00157ZFC0</v>
          </cell>
          <cell r="B17">
            <v>7</v>
          </cell>
          <cell r="C17">
            <v>4</v>
          </cell>
          <cell r="D17">
            <v>11</v>
          </cell>
          <cell r="E17">
            <v>34</v>
          </cell>
        </row>
        <row r="18">
          <cell r="A18" t="str">
            <v>B00158196K</v>
          </cell>
          <cell r="B18">
            <v>44</v>
          </cell>
          <cell r="C18">
            <v>26</v>
          </cell>
          <cell r="D18">
            <v>41</v>
          </cell>
          <cell r="E18">
            <v>105</v>
          </cell>
        </row>
        <row r="19">
          <cell r="A19" t="str">
            <v>B0016Q1RI6</v>
          </cell>
          <cell r="B19">
            <v>0</v>
          </cell>
          <cell r="C19">
            <v>28</v>
          </cell>
          <cell r="D19">
            <v>0</v>
          </cell>
          <cell r="E19">
            <v>258</v>
          </cell>
        </row>
        <row r="20">
          <cell r="A20" t="str">
            <v>B0016VW618</v>
          </cell>
          <cell r="B20">
            <v>29</v>
          </cell>
          <cell r="C20">
            <v>31</v>
          </cell>
          <cell r="D20">
            <v>20</v>
          </cell>
          <cell r="E20">
            <v>31</v>
          </cell>
        </row>
        <row r="21">
          <cell r="A21" t="str">
            <v>B001DXOWA2</v>
          </cell>
          <cell r="B21">
            <v>33</v>
          </cell>
          <cell r="C21">
            <v>16</v>
          </cell>
          <cell r="D21">
            <v>14</v>
          </cell>
          <cell r="E21">
            <v>87</v>
          </cell>
        </row>
        <row r="22">
          <cell r="A22" t="str">
            <v>B001DXQDL8</v>
          </cell>
          <cell r="B22">
            <v>2</v>
          </cell>
          <cell r="C22">
            <v>14</v>
          </cell>
          <cell r="D22">
            <v>13</v>
          </cell>
          <cell r="E22">
            <v>57</v>
          </cell>
        </row>
        <row r="23">
          <cell r="A23" t="str">
            <v>B002DL9M2G</v>
          </cell>
          <cell r="B23">
            <v>34</v>
          </cell>
          <cell r="C23">
            <v>39</v>
          </cell>
          <cell r="D23">
            <v>17</v>
          </cell>
          <cell r="E23">
            <v>83</v>
          </cell>
        </row>
        <row r="24">
          <cell r="A24" t="str">
            <v>B002DPS40I</v>
          </cell>
          <cell r="B24">
            <v>0</v>
          </cell>
          <cell r="C24">
            <v>0</v>
          </cell>
          <cell r="D24">
            <v>5</v>
          </cell>
          <cell r="E24">
            <v>77</v>
          </cell>
        </row>
        <row r="25">
          <cell r="A25" t="str">
            <v>B002DV0KDQ</v>
          </cell>
          <cell r="B25">
            <v>67</v>
          </cell>
          <cell r="C25">
            <v>30</v>
          </cell>
          <cell r="D25">
            <v>44</v>
          </cell>
          <cell r="E25">
            <v>113</v>
          </cell>
        </row>
        <row r="26">
          <cell r="A26" t="str">
            <v>B002DYY35Y</v>
          </cell>
          <cell r="B26">
            <v>23</v>
          </cell>
          <cell r="C26">
            <v>22</v>
          </cell>
          <cell r="D26">
            <v>20</v>
          </cell>
          <cell r="E26">
            <v>49</v>
          </cell>
        </row>
        <row r="27">
          <cell r="A27" t="str">
            <v>B002QSD1YQ</v>
          </cell>
          <cell r="B27">
            <v>0</v>
          </cell>
          <cell r="C27">
            <v>0</v>
          </cell>
          <cell r="D27">
            <v>3</v>
          </cell>
          <cell r="E27">
            <v>123</v>
          </cell>
        </row>
        <row r="28">
          <cell r="A28" t="str">
            <v>B00383XLTS</v>
          </cell>
          <cell r="B28">
            <v>25</v>
          </cell>
          <cell r="C28">
            <v>27</v>
          </cell>
          <cell r="D28">
            <v>27</v>
          </cell>
          <cell r="E28">
            <v>96</v>
          </cell>
        </row>
        <row r="29">
          <cell r="A29" t="str">
            <v>B00384AO7O</v>
          </cell>
          <cell r="B29">
            <v>45</v>
          </cell>
          <cell r="C29">
            <v>43</v>
          </cell>
          <cell r="D29">
            <v>15</v>
          </cell>
          <cell r="E29">
            <v>136</v>
          </cell>
        </row>
        <row r="30">
          <cell r="A30" t="str">
            <v>B003NJKS48</v>
          </cell>
          <cell r="B30">
            <v>12</v>
          </cell>
          <cell r="C30">
            <v>12</v>
          </cell>
          <cell r="D30">
            <v>8</v>
          </cell>
          <cell r="E30">
            <v>23</v>
          </cell>
        </row>
        <row r="31">
          <cell r="A31" t="str">
            <v>B003NQ7P0Q</v>
          </cell>
          <cell r="B31">
            <v>34</v>
          </cell>
          <cell r="C31">
            <v>0</v>
          </cell>
          <cell r="D31">
            <v>0</v>
          </cell>
          <cell r="E31">
            <v>137</v>
          </cell>
        </row>
        <row r="32">
          <cell r="A32" t="str">
            <v>B003Y7CMF2</v>
          </cell>
          <cell r="B32">
            <v>42</v>
          </cell>
          <cell r="C32">
            <v>60</v>
          </cell>
          <cell r="D32">
            <v>28</v>
          </cell>
          <cell r="E32">
            <v>74</v>
          </cell>
        </row>
        <row r="33">
          <cell r="A33" t="str">
            <v>B003Y7D0HQ</v>
          </cell>
          <cell r="B33">
            <v>31</v>
          </cell>
          <cell r="C33">
            <v>32</v>
          </cell>
          <cell r="D33">
            <v>17</v>
          </cell>
          <cell r="E33">
            <v>59</v>
          </cell>
        </row>
        <row r="34">
          <cell r="A34" t="str">
            <v>B003Y7EU16</v>
          </cell>
          <cell r="B34">
            <v>23</v>
          </cell>
          <cell r="C34">
            <v>36</v>
          </cell>
          <cell r="D34">
            <v>28</v>
          </cell>
          <cell r="E34">
            <v>88</v>
          </cell>
        </row>
        <row r="35">
          <cell r="A35" t="str">
            <v>B004H07J80</v>
          </cell>
          <cell r="B35">
            <v>0</v>
          </cell>
          <cell r="C35">
            <v>0</v>
          </cell>
          <cell r="D35">
            <v>98</v>
          </cell>
          <cell r="E35">
            <v>407</v>
          </cell>
        </row>
        <row r="36">
          <cell r="A36" t="str">
            <v>B004H07KKC</v>
          </cell>
          <cell r="B36">
            <v>3</v>
          </cell>
          <cell r="C36">
            <v>19</v>
          </cell>
          <cell r="D36">
            <v>9</v>
          </cell>
          <cell r="E36">
            <v>6</v>
          </cell>
        </row>
        <row r="37">
          <cell r="A37" t="str">
            <v>B004H09KEQ</v>
          </cell>
          <cell r="B37">
            <v>94</v>
          </cell>
          <cell r="C37">
            <v>58</v>
          </cell>
          <cell r="D37">
            <v>69</v>
          </cell>
          <cell r="E37">
            <v>335</v>
          </cell>
        </row>
        <row r="38">
          <cell r="A38" t="str">
            <v>B004HTXUNE</v>
          </cell>
          <cell r="B38">
            <v>0</v>
          </cell>
          <cell r="C38">
            <v>0</v>
          </cell>
          <cell r="D38">
            <v>0</v>
          </cell>
          <cell r="E38">
            <v>141</v>
          </cell>
        </row>
        <row r="39">
          <cell r="A39" t="str">
            <v>B004OEUPGM</v>
          </cell>
          <cell r="B39">
            <v>1</v>
          </cell>
          <cell r="C39">
            <v>18</v>
          </cell>
          <cell r="D39">
            <v>8</v>
          </cell>
          <cell r="E39">
            <v>21</v>
          </cell>
        </row>
        <row r="40">
          <cell r="A40" t="str">
            <v>B004OF47N8</v>
          </cell>
          <cell r="B40">
            <v>0</v>
          </cell>
          <cell r="C40">
            <v>10</v>
          </cell>
          <cell r="D40">
            <v>35</v>
          </cell>
          <cell r="E40">
            <v>149</v>
          </cell>
        </row>
        <row r="41">
          <cell r="A41" t="str">
            <v>B004OF9EPO</v>
          </cell>
          <cell r="B41">
            <v>55</v>
          </cell>
          <cell r="C41">
            <v>49</v>
          </cell>
          <cell r="D41">
            <v>54</v>
          </cell>
          <cell r="E41">
            <v>147</v>
          </cell>
        </row>
        <row r="42">
          <cell r="A42" t="str">
            <v>B004X9BSG4</v>
          </cell>
          <cell r="B42">
            <v>0</v>
          </cell>
          <cell r="C42">
            <v>0</v>
          </cell>
          <cell r="D42">
            <v>18</v>
          </cell>
          <cell r="E42">
            <v>59</v>
          </cell>
        </row>
        <row r="43">
          <cell r="A43" t="str">
            <v>B004X9BTFY</v>
          </cell>
          <cell r="B43">
            <v>8</v>
          </cell>
          <cell r="C43">
            <v>44</v>
          </cell>
          <cell r="D43">
            <v>41</v>
          </cell>
          <cell r="E43">
            <v>186</v>
          </cell>
        </row>
        <row r="44">
          <cell r="A44" t="str">
            <v>B0052K03KA</v>
          </cell>
          <cell r="B44">
            <v>20</v>
          </cell>
          <cell r="C44">
            <v>8</v>
          </cell>
          <cell r="D44">
            <v>22</v>
          </cell>
          <cell r="E44">
            <v>70</v>
          </cell>
        </row>
        <row r="45">
          <cell r="A45" t="str">
            <v>B00BD3OU72</v>
          </cell>
          <cell r="B45">
            <v>22</v>
          </cell>
          <cell r="C45">
            <v>21</v>
          </cell>
          <cell r="D45">
            <v>9</v>
          </cell>
          <cell r="E45">
            <v>52</v>
          </cell>
        </row>
        <row r="46">
          <cell r="A46" t="str">
            <v>B00G71LV3Q</v>
          </cell>
          <cell r="B46">
            <v>78</v>
          </cell>
          <cell r="C46">
            <v>97</v>
          </cell>
          <cell r="D46">
            <v>83</v>
          </cell>
          <cell r="E46">
            <v>368</v>
          </cell>
        </row>
        <row r="47">
          <cell r="A47" t="str">
            <v>B01G3AIYJO</v>
          </cell>
          <cell r="B47">
            <v>23</v>
          </cell>
          <cell r="C47">
            <v>29</v>
          </cell>
          <cell r="D47">
            <v>40</v>
          </cell>
          <cell r="E47">
            <v>103</v>
          </cell>
        </row>
        <row r="48">
          <cell r="A48" t="str">
            <v>B01JSONMH6</v>
          </cell>
          <cell r="B48">
            <v>46</v>
          </cell>
          <cell r="C48">
            <v>44</v>
          </cell>
          <cell r="D48">
            <v>57</v>
          </cell>
          <cell r="E48">
            <v>263</v>
          </cell>
        </row>
        <row r="49">
          <cell r="A49" t="str">
            <v>B0761MXCJB</v>
          </cell>
          <cell r="B49">
            <v>3</v>
          </cell>
          <cell r="C49">
            <v>9</v>
          </cell>
          <cell r="D49">
            <v>4</v>
          </cell>
          <cell r="E49">
            <v>12</v>
          </cell>
        </row>
        <row r="50">
          <cell r="A50" t="str">
            <v>B0761MXYJC</v>
          </cell>
          <cell r="B50">
            <v>0</v>
          </cell>
          <cell r="C50">
            <v>0</v>
          </cell>
          <cell r="D50">
            <v>0</v>
          </cell>
          <cell r="E50">
            <v>6</v>
          </cell>
        </row>
        <row r="51">
          <cell r="A51" t="str">
            <v>B0761N286T</v>
          </cell>
          <cell r="B51">
            <v>3</v>
          </cell>
          <cell r="C51">
            <v>15</v>
          </cell>
          <cell r="D51">
            <v>16</v>
          </cell>
          <cell r="E51">
            <v>9</v>
          </cell>
        </row>
        <row r="52">
          <cell r="A52" t="str">
            <v>B0761N3HJ3</v>
          </cell>
          <cell r="B52">
            <v>3</v>
          </cell>
          <cell r="C52">
            <v>6</v>
          </cell>
          <cell r="D52">
            <v>5</v>
          </cell>
          <cell r="E52">
            <v>13</v>
          </cell>
        </row>
        <row r="53">
          <cell r="A53" t="str">
            <v>B0761N46BN</v>
          </cell>
          <cell r="B53">
            <v>2</v>
          </cell>
          <cell r="C53">
            <v>14</v>
          </cell>
          <cell r="D53">
            <v>14</v>
          </cell>
          <cell r="E53">
            <v>9</v>
          </cell>
        </row>
        <row r="54">
          <cell r="A54" t="str">
            <v>B0761NFQMT</v>
          </cell>
          <cell r="B54">
            <v>0</v>
          </cell>
          <cell r="C54">
            <v>17</v>
          </cell>
          <cell r="D54">
            <v>11</v>
          </cell>
          <cell r="E54">
            <v>15</v>
          </cell>
        </row>
        <row r="55">
          <cell r="A55" t="str">
            <v>B0761NFTQC</v>
          </cell>
          <cell r="B55">
            <v>4</v>
          </cell>
          <cell r="C55">
            <v>5</v>
          </cell>
          <cell r="D55">
            <v>4</v>
          </cell>
          <cell r="E55">
            <v>4</v>
          </cell>
        </row>
        <row r="56">
          <cell r="A56" t="str">
            <v>B0761NG4W8</v>
          </cell>
          <cell r="B56">
            <v>5</v>
          </cell>
          <cell r="C56">
            <v>0</v>
          </cell>
          <cell r="D56">
            <v>0</v>
          </cell>
          <cell r="E56">
            <v>11</v>
          </cell>
        </row>
        <row r="57">
          <cell r="A57" t="str">
            <v>B0761NGWJD</v>
          </cell>
          <cell r="B57">
            <v>5</v>
          </cell>
          <cell r="C57">
            <v>6</v>
          </cell>
          <cell r="D57">
            <v>6</v>
          </cell>
          <cell r="E57">
            <v>9</v>
          </cell>
        </row>
        <row r="58">
          <cell r="A58" t="str">
            <v>B0761NGYTK</v>
          </cell>
          <cell r="B58">
            <v>3</v>
          </cell>
          <cell r="C58">
            <v>27</v>
          </cell>
          <cell r="D58">
            <v>19</v>
          </cell>
          <cell r="E58">
            <v>56</v>
          </cell>
        </row>
        <row r="59">
          <cell r="A59" t="str">
            <v>B0761NHB1Y</v>
          </cell>
          <cell r="B59">
            <v>3</v>
          </cell>
          <cell r="C59">
            <v>9</v>
          </cell>
          <cell r="D59">
            <v>6</v>
          </cell>
          <cell r="E59">
            <v>10</v>
          </cell>
        </row>
        <row r="60">
          <cell r="A60" t="str">
            <v>B0761NJH9L</v>
          </cell>
          <cell r="B60">
            <v>2</v>
          </cell>
          <cell r="C60">
            <v>6</v>
          </cell>
          <cell r="D60">
            <v>13</v>
          </cell>
          <cell r="E60">
            <v>9</v>
          </cell>
        </row>
        <row r="61">
          <cell r="A61" t="str">
            <v>B0761NJPNM</v>
          </cell>
          <cell r="B61">
            <v>11</v>
          </cell>
          <cell r="C61">
            <v>26</v>
          </cell>
          <cell r="D61">
            <v>17</v>
          </cell>
          <cell r="E61">
            <v>19</v>
          </cell>
        </row>
        <row r="62">
          <cell r="A62" t="str">
            <v>B0761NLN4R</v>
          </cell>
          <cell r="B62">
            <v>3</v>
          </cell>
          <cell r="C62">
            <v>0</v>
          </cell>
          <cell r="D62">
            <v>0</v>
          </cell>
          <cell r="E62">
            <v>1</v>
          </cell>
        </row>
        <row r="63">
          <cell r="A63" t="str">
            <v>B0761NM1NH</v>
          </cell>
          <cell r="B63">
            <v>8</v>
          </cell>
          <cell r="C63">
            <v>9</v>
          </cell>
          <cell r="D63">
            <v>6</v>
          </cell>
          <cell r="E63">
            <v>6</v>
          </cell>
        </row>
        <row r="64">
          <cell r="A64" t="str">
            <v>B0761NM3BZ</v>
          </cell>
          <cell r="B64">
            <v>52</v>
          </cell>
          <cell r="C64">
            <v>74</v>
          </cell>
          <cell r="D64">
            <v>69</v>
          </cell>
          <cell r="E64">
            <v>131</v>
          </cell>
        </row>
        <row r="65">
          <cell r="A65" t="str">
            <v>B0761NM3SZ</v>
          </cell>
          <cell r="B65">
            <v>8</v>
          </cell>
          <cell r="C65">
            <v>41</v>
          </cell>
          <cell r="D65">
            <v>23</v>
          </cell>
          <cell r="E65">
            <v>14</v>
          </cell>
        </row>
        <row r="66">
          <cell r="A66" t="str">
            <v>B0761NMRB4</v>
          </cell>
          <cell r="B66">
            <v>3</v>
          </cell>
          <cell r="C66">
            <v>7</v>
          </cell>
          <cell r="D66">
            <v>5</v>
          </cell>
          <cell r="E66">
            <v>5</v>
          </cell>
        </row>
        <row r="67">
          <cell r="A67" t="str">
            <v>B0761NNDWM</v>
          </cell>
          <cell r="B67">
            <v>6</v>
          </cell>
          <cell r="C67">
            <v>13</v>
          </cell>
          <cell r="D67">
            <v>17</v>
          </cell>
          <cell r="E67">
            <v>9</v>
          </cell>
        </row>
        <row r="68">
          <cell r="A68" t="str">
            <v>B0761NNM84</v>
          </cell>
          <cell r="B68">
            <v>3</v>
          </cell>
          <cell r="C68">
            <v>19</v>
          </cell>
          <cell r="D68">
            <v>7</v>
          </cell>
          <cell r="E68">
            <v>29</v>
          </cell>
        </row>
        <row r="69">
          <cell r="A69" t="str">
            <v>B0761P4LK2</v>
          </cell>
          <cell r="B69">
            <v>6</v>
          </cell>
          <cell r="C69">
            <v>34</v>
          </cell>
          <cell r="D69">
            <v>15</v>
          </cell>
          <cell r="E69">
            <v>58</v>
          </cell>
        </row>
        <row r="70">
          <cell r="A70" t="str">
            <v>B0761P4LKC</v>
          </cell>
          <cell r="B70">
            <v>4</v>
          </cell>
          <cell r="C70">
            <v>19</v>
          </cell>
          <cell r="D70">
            <v>30</v>
          </cell>
          <cell r="E70">
            <v>31</v>
          </cell>
        </row>
        <row r="71">
          <cell r="A71" t="str">
            <v>B0761PBXCV</v>
          </cell>
          <cell r="B71">
            <v>3</v>
          </cell>
          <cell r="C71">
            <v>12</v>
          </cell>
          <cell r="D71">
            <v>6</v>
          </cell>
          <cell r="E71">
            <v>12</v>
          </cell>
        </row>
        <row r="72">
          <cell r="A72" t="str">
            <v>B0761PDHV5</v>
          </cell>
          <cell r="B72">
            <v>4</v>
          </cell>
          <cell r="C72">
            <v>5</v>
          </cell>
          <cell r="D72">
            <v>8</v>
          </cell>
          <cell r="E72">
            <v>13</v>
          </cell>
        </row>
        <row r="73">
          <cell r="A73" t="str">
            <v>B0761PDMGN</v>
          </cell>
          <cell r="B73">
            <v>5</v>
          </cell>
          <cell r="C73">
            <v>23</v>
          </cell>
          <cell r="D73">
            <v>25</v>
          </cell>
          <cell r="E73">
            <v>4</v>
          </cell>
        </row>
        <row r="74">
          <cell r="A74" t="str">
            <v>B0761PL2N2</v>
          </cell>
          <cell r="B74">
            <v>5</v>
          </cell>
          <cell r="C74">
            <v>12</v>
          </cell>
          <cell r="D74">
            <v>5</v>
          </cell>
          <cell r="E74">
            <v>12</v>
          </cell>
        </row>
        <row r="75">
          <cell r="A75" t="str">
            <v>B0761PSPTJ</v>
          </cell>
          <cell r="B75">
            <v>12</v>
          </cell>
          <cell r="C75">
            <v>7</v>
          </cell>
          <cell r="D75">
            <v>5</v>
          </cell>
          <cell r="E75">
            <v>22</v>
          </cell>
        </row>
        <row r="76">
          <cell r="A76" t="str">
            <v>B0761PTZY2</v>
          </cell>
          <cell r="B76">
            <v>4</v>
          </cell>
          <cell r="C76">
            <v>19</v>
          </cell>
          <cell r="D76">
            <v>8</v>
          </cell>
          <cell r="E76">
            <v>14</v>
          </cell>
        </row>
        <row r="77">
          <cell r="A77" t="str">
            <v>B0761PV7ZS</v>
          </cell>
          <cell r="B77">
            <v>7</v>
          </cell>
          <cell r="C77">
            <v>0</v>
          </cell>
          <cell r="D77">
            <v>0</v>
          </cell>
          <cell r="E77">
            <v>12</v>
          </cell>
        </row>
        <row r="78">
          <cell r="A78" t="str">
            <v>B0761PV952</v>
          </cell>
          <cell r="B78">
            <v>6</v>
          </cell>
          <cell r="C78">
            <v>12</v>
          </cell>
          <cell r="D78">
            <v>7</v>
          </cell>
          <cell r="E78">
            <v>9</v>
          </cell>
        </row>
        <row r="79">
          <cell r="A79" t="str">
            <v>B0761PVQYZ</v>
          </cell>
          <cell r="B79">
            <v>2</v>
          </cell>
          <cell r="C79">
            <v>10</v>
          </cell>
          <cell r="D79">
            <v>11</v>
          </cell>
          <cell r="E79">
            <v>14</v>
          </cell>
        </row>
        <row r="80">
          <cell r="A80" t="str">
            <v>B0761PWB12</v>
          </cell>
          <cell r="B80">
            <v>2</v>
          </cell>
          <cell r="C80">
            <v>6</v>
          </cell>
          <cell r="D80">
            <v>2</v>
          </cell>
          <cell r="E80">
            <v>4</v>
          </cell>
        </row>
        <row r="81">
          <cell r="A81" t="str">
            <v>B0761PWSG1</v>
          </cell>
          <cell r="B81">
            <v>1</v>
          </cell>
          <cell r="C81">
            <v>10</v>
          </cell>
          <cell r="D81">
            <v>8</v>
          </cell>
          <cell r="E81">
            <v>18</v>
          </cell>
        </row>
        <row r="82">
          <cell r="A82" t="str">
            <v>B0761PXTK8</v>
          </cell>
          <cell r="B82">
            <v>0</v>
          </cell>
          <cell r="C82">
            <v>0</v>
          </cell>
          <cell r="D82">
            <v>9</v>
          </cell>
          <cell r="E82">
            <v>15</v>
          </cell>
        </row>
        <row r="83">
          <cell r="A83" t="str">
            <v>B0761Q1QWN</v>
          </cell>
          <cell r="B83">
            <v>0</v>
          </cell>
          <cell r="C83">
            <v>0</v>
          </cell>
          <cell r="D83">
            <v>0</v>
          </cell>
          <cell r="E83">
            <v>10</v>
          </cell>
        </row>
        <row r="84">
          <cell r="A84" t="str">
            <v>B0761Q4YF6</v>
          </cell>
          <cell r="B84">
            <v>0</v>
          </cell>
          <cell r="C84">
            <v>0</v>
          </cell>
          <cell r="D84">
            <v>0</v>
          </cell>
          <cell r="E84">
            <v>3</v>
          </cell>
        </row>
        <row r="85">
          <cell r="A85" t="str">
            <v>B0761Q7KPX</v>
          </cell>
          <cell r="B85">
            <v>5</v>
          </cell>
          <cell r="C85">
            <v>7</v>
          </cell>
          <cell r="D85">
            <v>10</v>
          </cell>
          <cell r="E85">
            <v>12</v>
          </cell>
        </row>
        <row r="86">
          <cell r="A86" t="str">
            <v>B0761Q9VPH</v>
          </cell>
          <cell r="B86">
            <v>9</v>
          </cell>
          <cell r="C86">
            <v>15</v>
          </cell>
          <cell r="D86">
            <v>5</v>
          </cell>
          <cell r="E86">
            <v>20</v>
          </cell>
        </row>
        <row r="87">
          <cell r="A87" t="str">
            <v>B0761QBHM9</v>
          </cell>
          <cell r="B87">
            <v>3</v>
          </cell>
          <cell r="C87">
            <v>5</v>
          </cell>
          <cell r="D87">
            <v>6</v>
          </cell>
          <cell r="E87">
            <v>9</v>
          </cell>
        </row>
        <row r="88">
          <cell r="A88" t="str">
            <v>B0761QW2JK</v>
          </cell>
          <cell r="B88">
            <v>7</v>
          </cell>
          <cell r="C88">
            <v>12</v>
          </cell>
          <cell r="D88">
            <v>4</v>
          </cell>
          <cell r="E88">
            <v>11</v>
          </cell>
        </row>
        <row r="89">
          <cell r="A89" t="str">
            <v>B0761R6ZG2</v>
          </cell>
          <cell r="B89">
            <v>6</v>
          </cell>
          <cell r="C89">
            <v>11</v>
          </cell>
          <cell r="D89">
            <v>11</v>
          </cell>
          <cell r="E89">
            <v>13</v>
          </cell>
        </row>
        <row r="90">
          <cell r="A90" t="str">
            <v>B0761R93J2</v>
          </cell>
          <cell r="B90">
            <v>3</v>
          </cell>
          <cell r="C90">
            <v>13</v>
          </cell>
          <cell r="D90">
            <v>9</v>
          </cell>
          <cell r="E90">
            <v>13</v>
          </cell>
        </row>
        <row r="91">
          <cell r="A91" t="str">
            <v>B0761RRL7M</v>
          </cell>
          <cell r="B91">
            <v>4</v>
          </cell>
          <cell r="C91">
            <v>13</v>
          </cell>
          <cell r="D91">
            <v>5</v>
          </cell>
          <cell r="E91">
            <v>4</v>
          </cell>
        </row>
        <row r="92">
          <cell r="A92" t="str">
            <v>B0761S2M63</v>
          </cell>
          <cell r="B92">
            <v>5</v>
          </cell>
          <cell r="C92">
            <v>7</v>
          </cell>
          <cell r="D92">
            <v>6</v>
          </cell>
          <cell r="E92">
            <v>20</v>
          </cell>
        </row>
        <row r="93">
          <cell r="A93" t="str">
            <v>B0761S4G52</v>
          </cell>
          <cell r="B93">
            <v>0</v>
          </cell>
          <cell r="C93">
            <v>0</v>
          </cell>
          <cell r="D93">
            <v>0</v>
          </cell>
          <cell r="E93">
            <v>48</v>
          </cell>
        </row>
        <row r="94">
          <cell r="A94" t="str">
            <v>B0761S59N6</v>
          </cell>
          <cell r="B94">
            <v>4</v>
          </cell>
          <cell r="C94">
            <v>6</v>
          </cell>
          <cell r="D94">
            <v>17</v>
          </cell>
          <cell r="E94">
            <v>10</v>
          </cell>
        </row>
        <row r="95">
          <cell r="A95" t="str">
            <v>B0761S8TXR</v>
          </cell>
          <cell r="B95">
            <v>3</v>
          </cell>
          <cell r="C95">
            <v>5</v>
          </cell>
          <cell r="D95">
            <v>4</v>
          </cell>
          <cell r="E95">
            <v>7</v>
          </cell>
        </row>
        <row r="96">
          <cell r="A96" t="str">
            <v>B0761SKR3P</v>
          </cell>
          <cell r="B96">
            <v>2</v>
          </cell>
          <cell r="C96">
            <v>17</v>
          </cell>
          <cell r="D96">
            <v>5</v>
          </cell>
          <cell r="E96">
            <v>8</v>
          </cell>
        </row>
        <row r="97">
          <cell r="A97" t="str">
            <v>B0761V7L2R</v>
          </cell>
          <cell r="B97">
            <v>3</v>
          </cell>
          <cell r="C97">
            <v>8</v>
          </cell>
          <cell r="D97">
            <v>4</v>
          </cell>
          <cell r="E97">
            <v>2</v>
          </cell>
        </row>
        <row r="98">
          <cell r="A98" t="str">
            <v>B004X9BRU6</v>
          </cell>
          <cell r="B98">
            <v>22</v>
          </cell>
          <cell r="C98">
            <v>0</v>
          </cell>
          <cell r="D98">
            <v>0</v>
          </cell>
          <cell r="E98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141</v>
          </cell>
          <cell r="C2">
            <v>105</v>
          </cell>
          <cell r="D2">
            <v>161</v>
          </cell>
          <cell r="E2">
            <v>148</v>
          </cell>
        </row>
        <row r="3">
          <cell r="A3" t="str">
            <v>MY71107MSL</v>
          </cell>
          <cell r="B3">
            <v>0</v>
          </cell>
          <cell r="C3">
            <v>0</v>
          </cell>
          <cell r="D3">
            <v>1</v>
          </cell>
          <cell r="E3">
            <v>1</v>
          </cell>
          <cell r="F3">
            <v>34.39</v>
          </cell>
        </row>
        <row r="4">
          <cell r="A4" t="str">
            <v>HF-a1e-LCMC</v>
          </cell>
          <cell r="B4">
            <v>2</v>
          </cell>
          <cell r="C4">
            <v>3</v>
          </cell>
          <cell r="D4">
            <v>6</v>
          </cell>
          <cell r="E4">
            <v>4</v>
          </cell>
          <cell r="F4">
            <v>26.79</v>
          </cell>
        </row>
        <row r="5">
          <cell r="A5" t="str">
            <v>3E-OBBY-DIEZ</v>
          </cell>
          <cell r="B5">
            <v>6</v>
          </cell>
          <cell r="C5">
            <v>4</v>
          </cell>
          <cell r="D5">
            <v>0</v>
          </cell>
          <cell r="E5">
            <v>5</v>
          </cell>
          <cell r="F5">
            <v>39.99</v>
          </cell>
        </row>
        <row r="6">
          <cell r="A6" t="str">
            <v>KP-1178-XPKV</v>
          </cell>
          <cell r="B6">
            <v>4</v>
          </cell>
          <cell r="C6">
            <v>7</v>
          </cell>
          <cell r="D6">
            <v>9</v>
          </cell>
          <cell r="E6">
            <v>8</v>
          </cell>
          <cell r="F6">
            <v>20.99</v>
          </cell>
        </row>
        <row r="7">
          <cell r="A7" t="str">
            <v>HF-n2ae-NBNK</v>
          </cell>
          <cell r="B7">
            <v>3</v>
          </cell>
          <cell r="C7">
            <v>12</v>
          </cell>
          <cell r="D7">
            <v>14</v>
          </cell>
          <cell r="E7">
            <v>13</v>
          </cell>
          <cell r="F7">
            <v>16.4780952380952</v>
          </cell>
        </row>
        <row r="8">
          <cell r="A8" t="str">
            <v>MY71115K0M</v>
          </cell>
          <cell r="B8">
            <v>0</v>
          </cell>
          <cell r="C8">
            <v>0</v>
          </cell>
          <cell r="D8">
            <v>2</v>
          </cell>
          <cell r="E8">
            <v>2</v>
          </cell>
          <cell r="F8">
            <v>34.39</v>
          </cell>
        </row>
        <row r="9">
          <cell r="A9" t="str">
            <v>HF-a37e-FCMG</v>
          </cell>
          <cell r="B9">
            <v>0</v>
          </cell>
          <cell r="C9">
            <v>0</v>
          </cell>
          <cell r="D9">
            <v>0</v>
          </cell>
          <cell r="E9">
            <v>4</v>
          </cell>
          <cell r="F9">
            <v>23.99</v>
          </cell>
        </row>
        <row r="10">
          <cell r="A10" t="str">
            <v>HF-a77e-TSSS</v>
          </cell>
          <cell r="B10">
            <v>0</v>
          </cell>
          <cell r="C10">
            <v>0</v>
          </cell>
          <cell r="D10">
            <v>14</v>
          </cell>
          <cell r="E10">
            <v>10</v>
          </cell>
          <cell r="F10">
            <v>17.98</v>
          </cell>
        </row>
        <row r="11">
          <cell r="A11" t="str">
            <v>0Z-KJNM-D56T</v>
          </cell>
          <cell r="B11">
            <v>3</v>
          </cell>
          <cell r="C11">
            <v>4</v>
          </cell>
          <cell r="D11">
            <v>2</v>
          </cell>
          <cell r="E11">
            <v>3</v>
          </cell>
          <cell r="F11">
            <v>19.99</v>
          </cell>
        </row>
        <row r="12">
          <cell r="A12" t="str">
            <v>MY16055ZQM</v>
          </cell>
          <cell r="B12">
            <v>0</v>
          </cell>
          <cell r="C12">
            <v>0</v>
          </cell>
          <cell r="D12">
            <v>0</v>
          </cell>
          <cell r="E12">
            <v>3</v>
          </cell>
          <cell r="F12">
            <v>34.39</v>
          </cell>
        </row>
        <row r="13">
          <cell r="A13" t="str">
            <v>1M-3M12-58YS</v>
          </cell>
          <cell r="B13">
            <v>0</v>
          </cell>
          <cell r="C13">
            <v>1</v>
          </cell>
          <cell r="D13">
            <v>1</v>
          </cell>
          <cell r="E13">
            <v>2</v>
          </cell>
          <cell r="F13">
            <v>17.39</v>
          </cell>
        </row>
        <row r="14">
          <cell r="A14" t="str">
            <v>DW-MG8E-BMQG</v>
          </cell>
          <cell r="B14">
            <v>6</v>
          </cell>
          <cell r="C14">
            <v>2</v>
          </cell>
          <cell r="D14">
            <v>4</v>
          </cell>
          <cell r="E14">
            <v>4</v>
          </cell>
          <cell r="F14">
            <v>19.99</v>
          </cell>
        </row>
        <row r="15">
          <cell r="A15" t="str">
            <v>MY16055K0XXL</v>
          </cell>
          <cell r="B15">
            <v>0</v>
          </cell>
          <cell r="C15">
            <v>0</v>
          </cell>
          <cell r="D15">
            <v>0</v>
          </cell>
          <cell r="E15">
            <v>1</v>
          </cell>
          <cell r="F15">
            <v>34.39</v>
          </cell>
        </row>
        <row r="16">
          <cell r="A16" t="str">
            <v>HF-c1e-MCND</v>
          </cell>
          <cell r="B16">
            <v>2</v>
          </cell>
          <cell r="C16">
            <v>0</v>
          </cell>
          <cell r="D16">
            <v>0</v>
          </cell>
          <cell r="E16">
            <v>2</v>
          </cell>
          <cell r="F16">
            <v>36.89</v>
          </cell>
        </row>
        <row r="17">
          <cell r="A17" t="str">
            <v>HF-f9a-GSBB</v>
          </cell>
          <cell r="B17">
            <v>0</v>
          </cell>
          <cell r="C17">
            <v>1</v>
          </cell>
          <cell r="D17">
            <v>22</v>
          </cell>
          <cell r="E17">
            <v>7</v>
          </cell>
          <cell r="F17">
            <v>10.85</v>
          </cell>
        </row>
        <row r="18">
          <cell r="A18" t="str">
            <v>L1-BT23-OVPU</v>
          </cell>
          <cell r="B18">
            <v>1</v>
          </cell>
          <cell r="C18">
            <v>3</v>
          </cell>
          <cell r="D18">
            <v>8</v>
          </cell>
          <cell r="E18">
            <v>1</v>
          </cell>
          <cell r="F18">
            <v>17.8361538461538</v>
          </cell>
        </row>
        <row r="19">
          <cell r="A19" t="str">
            <v>MY16055MSL</v>
          </cell>
          <cell r="B19">
            <v>0</v>
          </cell>
          <cell r="C19">
            <v>0</v>
          </cell>
          <cell r="D19">
            <v>0</v>
          </cell>
          <cell r="E19">
            <v>1</v>
          </cell>
          <cell r="F19">
            <v>42.99</v>
          </cell>
        </row>
        <row r="20">
          <cell r="A20" t="str">
            <v>HF-a02e-STSB-ZF</v>
          </cell>
          <cell r="B20">
            <v>0</v>
          </cell>
          <cell r="C20">
            <v>0</v>
          </cell>
          <cell r="D20">
            <v>4</v>
          </cell>
          <cell r="E20">
            <v>2</v>
          </cell>
          <cell r="F20">
            <v>23.3316666666667</v>
          </cell>
        </row>
        <row r="21">
          <cell r="A21" t="str">
            <v>HF-a80e-BTBM</v>
          </cell>
          <cell r="B21">
            <v>1</v>
          </cell>
          <cell r="C21">
            <v>0</v>
          </cell>
          <cell r="D21">
            <v>0</v>
          </cell>
          <cell r="E21">
            <v>3</v>
          </cell>
          <cell r="F21">
            <v>53.365</v>
          </cell>
        </row>
        <row r="22">
          <cell r="A22" t="str">
            <v>HF-g104e-PCFS</v>
          </cell>
          <cell r="B22">
            <v>9</v>
          </cell>
          <cell r="C22">
            <v>2</v>
          </cell>
          <cell r="D22">
            <v>2</v>
          </cell>
          <cell r="E22">
            <v>4</v>
          </cell>
          <cell r="F22">
            <v>63.9782352941177</v>
          </cell>
        </row>
        <row r="23">
          <cell r="A23" t="str">
            <v>HF-a136e-MHBB</v>
          </cell>
          <cell r="B23">
            <v>0</v>
          </cell>
          <cell r="C23">
            <v>0</v>
          </cell>
          <cell r="D23">
            <v>0</v>
          </cell>
          <cell r="E23">
            <v>5</v>
          </cell>
          <cell r="F23">
            <v>17.18</v>
          </cell>
        </row>
        <row r="24">
          <cell r="A24" t="str">
            <v>KN-QWP1-D5XB</v>
          </cell>
          <cell r="B24">
            <v>12</v>
          </cell>
          <cell r="C24">
            <v>8</v>
          </cell>
          <cell r="D24">
            <v>19</v>
          </cell>
          <cell r="E24">
            <v>12</v>
          </cell>
          <cell r="F24">
            <v>20.7264705882353</v>
          </cell>
        </row>
        <row r="25">
          <cell r="A25" t="str">
            <v>HF-a21e-SCFM-ZF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  <cell r="F25">
            <v>15.69</v>
          </cell>
        </row>
        <row r="26">
          <cell r="A26" t="str">
            <v>HF-a1e-LCMC-ZF</v>
          </cell>
          <cell r="B26">
            <v>0</v>
          </cell>
          <cell r="C26">
            <v>1</v>
          </cell>
          <cell r="D26">
            <v>1</v>
          </cell>
          <cell r="E26">
            <v>1</v>
          </cell>
          <cell r="F26">
            <v>28.95</v>
          </cell>
        </row>
        <row r="27">
          <cell r="A27" t="str">
            <v>HF-a69e-PEFG</v>
          </cell>
          <cell r="B27">
            <v>7</v>
          </cell>
          <cell r="C27">
            <v>5</v>
          </cell>
          <cell r="D27">
            <v>2</v>
          </cell>
          <cell r="E27">
            <v>5</v>
          </cell>
          <cell r="F27">
            <v>25.69</v>
          </cell>
        </row>
        <row r="28">
          <cell r="A28" t="str">
            <v>HF-a10e-MINM</v>
          </cell>
          <cell r="B28">
            <v>13</v>
          </cell>
          <cell r="C28">
            <v>7</v>
          </cell>
          <cell r="D28">
            <v>9</v>
          </cell>
          <cell r="E28">
            <v>6</v>
          </cell>
          <cell r="F28">
            <v>40.6685714285714</v>
          </cell>
        </row>
        <row r="29">
          <cell r="A29" t="str">
            <v>HF-f6b-EXBS-ZF</v>
          </cell>
          <cell r="B29">
            <v>0</v>
          </cell>
          <cell r="C29">
            <v>0</v>
          </cell>
          <cell r="D29">
            <v>0</v>
          </cell>
          <cell r="E29">
            <v>3</v>
          </cell>
          <cell r="F29">
            <v>27.92</v>
          </cell>
        </row>
        <row r="30">
          <cell r="A30" t="str">
            <v>HF-a56e-EYES-ZF</v>
          </cell>
          <cell r="B30">
            <v>0</v>
          </cell>
          <cell r="C30">
            <v>0</v>
          </cell>
          <cell r="D30">
            <v>0</v>
          </cell>
          <cell r="E30">
            <v>1</v>
          </cell>
          <cell r="F30">
            <v>46.99</v>
          </cell>
        </row>
        <row r="31">
          <cell r="A31" t="str">
            <v>06-LI7A-IZ44</v>
          </cell>
          <cell r="B31">
            <v>7</v>
          </cell>
          <cell r="C31">
            <v>4</v>
          </cell>
          <cell r="D31">
            <v>2</v>
          </cell>
          <cell r="E31">
            <v>8</v>
          </cell>
          <cell r="F31">
            <v>13.7561904761905</v>
          </cell>
        </row>
        <row r="32">
          <cell r="A32" t="str">
            <v>A5-X9GB-M912</v>
          </cell>
          <cell r="B32">
            <v>1</v>
          </cell>
          <cell r="C32">
            <v>2</v>
          </cell>
          <cell r="D32">
            <v>0</v>
          </cell>
          <cell r="E32">
            <v>3</v>
          </cell>
          <cell r="F32">
            <v>39.21</v>
          </cell>
        </row>
        <row r="33">
          <cell r="A33" t="str">
            <v>HF-f12-FACL-ZF</v>
          </cell>
          <cell r="B33">
            <v>0</v>
          </cell>
          <cell r="C33">
            <v>0</v>
          </cell>
          <cell r="D33">
            <v>0</v>
          </cell>
          <cell r="E33">
            <v>2</v>
          </cell>
          <cell r="F33">
            <v>20.59</v>
          </cell>
        </row>
        <row r="34">
          <cell r="A34" t="str">
            <v>HF-a56e-EYES</v>
          </cell>
          <cell r="B34">
            <v>1</v>
          </cell>
          <cell r="C34">
            <v>0</v>
          </cell>
          <cell r="D34">
            <v>0</v>
          </cell>
          <cell r="E34">
            <v>2</v>
          </cell>
          <cell r="F34">
            <v>47.99</v>
          </cell>
        </row>
        <row r="35">
          <cell r="A35" t="str">
            <v>R0-9P3N-MM7G</v>
          </cell>
          <cell r="B35">
            <v>5</v>
          </cell>
          <cell r="C35">
            <v>2</v>
          </cell>
          <cell r="D35">
            <v>2</v>
          </cell>
          <cell r="E35">
            <v>4</v>
          </cell>
          <cell r="F35">
            <v>14.6638461538462</v>
          </cell>
        </row>
        <row r="36">
          <cell r="A36" t="str">
            <v>YI-LW70-5D1O</v>
          </cell>
          <cell r="B36">
            <v>8</v>
          </cell>
          <cell r="C36">
            <v>4</v>
          </cell>
          <cell r="D36">
            <v>4</v>
          </cell>
          <cell r="E36">
            <v>1</v>
          </cell>
          <cell r="F36">
            <v>38.59</v>
          </cell>
        </row>
        <row r="37">
          <cell r="A37" t="str">
            <v>MY16055K0L</v>
          </cell>
          <cell r="B37">
            <v>0</v>
          </cell>
          <cell r="C37">
            <v>1</v>
          </cell>
          <cell r="D37">
            <v>0</v>
          </cell>
          <cell r="E37">
            <v>1</v>
          </cell>
          <cell r="F37">
            <v>34.39</v>
          </cell>
        </row>
        <row r="38">
          <cell r="A38" t="str">
            <v>PJ-CPH7-5MXE</v>
          </cell>
          <cell r="B38">
            <v>0</v>
          </cell>
          <cell r="C38">
            <v>1</v>
          </cell>
          <cell r="D38">
            <v>6</v>
          </cell>
          <cell r="E38">
            <v>1</v>
          </cell>
          <cell r="F38">
            <v>15.115</v>
          </cell>
        </row>
        <row r="39">
          <cell r="A39" t="str">
            <v>MY16055ZQXL</v>
          </cell>
          <cell r="B39">
            <v>0</v>
          </cell>
          <cell r="C39">
            <v>0</v>
          </cell>
          <cell r="D39">
            <v>0</v>
          </cell>
          <cell r="E39">
            <v>1</v>
          </cell>
          <cell r="F39">
            <v>34.39</v>
          </cell>
        </row>
        <row r="40">
          <cell r="A40" t="str">
            <v>HF-a36e-LMCM</v>
          </cell>
          <cell r="B40">
            <v>0</v>
          </cell>
          <cell r="C40">
            <v>2</v>
          </cell>
          <cell r="D40">
            <v>0</v>
          </cell>
          <cell r="E40">
            <v>1</v>
          </cell>
          <cell r="F40">
            <v>17.49</v>
          </cell>
        </row>
        <row r="41">
          <cell r="A41" t="str">
            <v>MY71107K0XXL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 t="e">
            <v>#DIV/0!</v>
          </cell>
        </row>
        <row r="42">
          <cell r="A42" t="str">
            <v>2N-C2ZT-YSNI</v>
          </cell>
          <cell r="B42">
            <v>6</v>
          </cell>
          <cell r="C42">
            <v>2</v>
          </cell>
          <cell r="D42">
            <v>3</v>
          </cell>
          <cell r="E42">
            <v>1</v>
          </cell>
          <cell r="F42">
            <v>14.48</v>
          </cell>
        </row>
        <row r="43">
          <cell r="A43" t="str">
            <v>3S-1QX9-6RRP</v>
          </cell>
          <cell r="B43">
            <v>3</v>
          </cell>
          <cell r="C43">
            <v>1</v>
          </cell>
          <cell r="D43">
            <v>2</v>
          </cell>
          <cell r="E43">
            <v>1</v>
          </cell>
          <cell r="F43">
            <v>53.5728571428571</v>
          </cell>
        </row>
        <row r="44">
          <cell r="A44" t="str">
            <v>DM-LSF9-NGGG</v>
          </cell>
          <cell r="B44">
            <v>0</v>
          </cell>
          <cell r="C44">
            <v>0</v>
          </cell>
          <cell r="D44">
            <v>1</v>
          </cell>
          <cell r="E44">
            <v>3</v>
          </cell>
          <cell r="F44">
            <v>39.6175</v>
          </cell>
        </row>
        <row r="45">
          <cell r="A45" t="str">
            <v>HF-c7e-LANC</v>
          </cell>
          <cell r="B45">
            <v>1</v>
          </cell>
          <cell r="C45">
            <v>3</v>
          </cell>
          <cell r="D45">
            <v>4</v>
          </cell>
          <cell r="E45">
            <v>1</v>
          </cell>
          <cell r="F45">
            <v>38.8522222222222</v>
          </cell>
        </row>
        <row r="46">
          <cell r="A46" t="str">
            <v>IM-YEIX-VVX8</v>
          </cell>
          <cell r="B46">
            <v>3</v>
          </cell>
          <cell r="C46">
            <v>3</v>
          </cell>
          <cell r="D46">
            <v>7</v>
          </cell>
          <cell r="E46">
            <v>2</v>
          </cell>
          <cell r="F46">
            <v>13.514</v>
          </cell>
        </row>
        <row r="47">
          <cell r="A47" t="str">
            <v>JQ-N6LK-OQ03</v>
          </cell>
          <cell r="B47">
            <v>4</v>
          </cell>
          <cell r="C47">
            <v>3</v>
          </cell>
          <cell r="D47">
            <v>1</v>
          </cell>
          <cell r="E47">
            <v>1</v>
          </cell>
          <cell r="F47">
            <v>46.99</v>
          </cell>
        </row>
        <row r="48">
          <cell r="A48" t="str">
            <v>MY71107K0S</v>
          </cell>
          <cell r="B48">
            <v>1</v>
          </cell>
          <cell r="C48">
            <v>0</v>
          </cell>
          <cell r="D48">
            <v>0</v>
          </cell>
          <cell r="E48">
            <v>1</v>
          </cell>
          <cell r="F48">
            <v>39.05</v>
          </cell>
        </row>
        <row r="49">
          <cell r="A49" t="str">
            <v>58-6A0P-DRT9</v>
          </cell>
          <cell r="B49">
            <v>2</v>
          </cell>
          <cell r="C49">
            <v>0</v>
          </cell>
          <cell r="D49">
            <v>1</v>
          </cell>
          <cell r="E49">
            <v>0</v>
          </cell>
          <cell r="F49">
            <v>38.83</v>
          </cell>
        </row>
        <row r="50">
          <cell r="A50" t="str">
            <v>MY71107K0L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38.99</v>
          </cell>
        </row>
        <row r="51">
          <cell r="A51" t="str">
            <v>MY71115MSM</v>
          </cell>
          <cell r="B51">
            <v>0</v>
          </cell>
          <cell r="C51">
            <v>0</v>
          </cell>
          <cell r="D51">
            <v>1</v>
          </cell>
          <cell r="E51">
            <v>0</v>
          </cell>
          <cell r="F51">
            <v>34.39</v>
          </cell>
        </row>
        <row r="52">
          <cell r="A52" t="str">
            <v>MY16055ZQXXL</v>
          </cell>
          <cell r="B52">
            <v>0</v>
          </cell>
          <cell r="C52">
            <v>0</v>
          </cell>
          <cell r="D52">
            <v>2</v>
          </cell>
          <cell r="E52">
            <v>0</v>
          </cell>
          <cell r="F52">
            <v>42.49</v>
          </cell>
        </row>
        <row r="53">
          <cell r="A53" t="str">
            <v>5X-E8TX-UKIW</v>
          </cell>
          <cell r="B53">
            <v>2</v>
          </cell>
          <cell r="C53">
            <v>2</v>
          </cell>
          <cell r="D53">
            <v>1</v>
          </cell>
          <cell r="E53">
            <v>0</v>
          </cell>
          <cell r="F53">
            <v>17.19</v>
          </cell>
        </row>
        <row r="54">
          <cell r="A54" t="str">
            <v>MY71107K0M</v>
          </cell>
          <cell r="B54">
            <v>0</v>
          </cell>
          <cell r="C54">
            <v>0</v>
          </cell>
          <cell r="D54">
            <v>1</v>
          </cell>
          <cell r="E54">
            <v>0</v>
          </cell>
          <cell r="F54">
            <v>42.99</v>
          </cell>
        </row>
        <row r="55">
          <cell r="A55" t="str">
            <v>KN-2B5X-YB0L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 t="e">
            <v>#DIV/0!</v>
          </cell>
        </row>
        <row r="56">
          <cell r="A56" t="str">
            <v>MY71107MSS</v>
          </cell>
          <cell r="B56">
            <v>0</v>
          </cell>
          <cell r="C56">
            <v>1</v>
          </cell>
          <cell r="D56">
            <v>1</v>
          </cell>
          <cell r="E56">
            <v>0</v>
          </cell>
          <cell r="F56">
            <v>42.74</v>
          </cell>
        </row>
        <row r="57">
          <cell r="A57" t="str">
            <v>MY16055ZQL</v>
          </cell>
          <cell r="B57">
            <v>0</v>
          </cell>
          <cell r="C57">
            <v>0</v>
          </cell>
          <cell r="D57">
            <v>1</v>
          </cell>
          <cell r="E57">
            <v>0</v>
          </cell>
          <cell r="F57">
            <v>42.49</v>
          </cell>
        </row>
        <row r="58">
          <cell r="A58" t="str">
            <v>HF-T9QA-X3JZ</v>
          </cell>
          <cell r="B58">
            <v>1</v>
          </cell>
          <cell r="C58">
            <v>0</v>
          </cell>
          <cell r="D58">
            <v>1</v>
          </cell>
          <cell r="E58">
            <v>0</v>
          </cell>
          <cell r="F58">
            <v>53.49</v>
          </cell>
        </row>
        <row r="59">
          <cell r="A59" t="str">
            <v>SM-LSLQ-C3QE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 t="e">
            <v>#DIV/0!</v>
          </cell>
        </row>
        <row r="60">
          <cell r="A60" t="str">
            <v>HF-a11e-MCND</v>
          </cell>
          <cell r="B60">
            <v>0</v>
          </cell>
          <cell r="C60">
            <v>3</v>
          </cell>
          <cell r="D60">
            <v>0</v>
          </cell>
          <cell r="E60">
            <v>0</v>
          </cell>
          <cell r="F60">
            <v>39.49</v>
          </cell>
        </row>
        <row r="61">
          <cell r="A61" t="str">
            <v>HF-a6e-LASS</v>
          </cell>
          <cell r="B61">
            <v>4</v>
          </cell>
          <cell r="C61">
            <v>2</v>
          </cell>
          <cell r="D61">
            <v>0</v>
          </cell>
          <cell r="E61">
            <v>0</v>
          </cell>
          <cell r="F61">
            <v>17.3566666666667</v>
          </cell>
        </row>
        <row r="62">
          <cell r="A62" t="str">
            <v>MY71107MSXXL</v>
          </cell>
          <cell r="B62">
            <v>0</v>
          </cell>
          <cell r="C62">
            <v>2</v>
          </cell>
          <cell r="D62">
            <v>0</v>
          </cell>
          <cell r="E62">
            <v>0</v>
          </cell>
          <cell r="F62">
            <v>42.99</v>
          </cell>
        </row>
        <row r="63">
          <cell r="A63" t="str">
            <v>PW-89MW-RR8Y</v>
          </cell>
          <cell r="B63">
            <v>0</v>
          </cell>
          <cell r="C63">
            <v>2</v>
          </cell>
          <cell r="D63">
            <v>0</v>
          </cell>
          <cell r="E63">
            <v>0</v>
          </cell>
          <cell r="F63">
            <v>40.99</v>
          </cell>
        </row>
        <row r="64">
          <cell r="A64" t="str">
            <v>QW-6H25-PV48</v>
          </cell>
          <cell r="B64">
            <v>2</v>
          </cell>
          <cell r="C64">
            <v>3</v>
          </cell>
          <cell r="D64">
            <v>0</v>
          </cell>
          <cell r="E64">
            <v>0</v>
          </cell>
          <cell r="F64">
            <v>30.15</v>
          </cell>
        </row>
        <row r="65">
          <cell r="A65" t="str">
            <v>HF-a69e-PEFGX</v>
          </cell>
          <cell r="B65">
            <v>0</v>
          </cell>
          <cell r="C65">
            <v>1</v>
          </cell>
          <cell r="D65">
            <v>0</v>
          </cell>
          <cell r="E65">
            <v>0</v>
          </cell>
          <cell r="F65">
            <v>25.69</v>
          </cell>
        </row>
        <row r="66">
          <cell r="A66" t="str">
            <v>MY16055K0S</v>
          </cell>
          <cell r="B66">
            <v>0</v>
          </cell>
          <cell r="C66">
            <v>1</v>
          </cell>
          <cell r="D66">
            <v>0</v>
          </cell>
          <cell r="E66">
            <v>0</v>
          </cell>
          <cell r="F66">
            <v>38.8</v>
          </cell>
        </row>
        <row r="67">
          <cell r="A67" t="str">
            <v>HF-a21e-SCFM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18.19</v>
          </cell>
        </row>
        <row r="68">
          <cell r="A68" t="str">
            <v>HF-f15b-EXBS-ZF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32.89</v>
          </cell>
        </row>
        <row r="69">
          <cell r="A69" t="str">
            <v>HF-a5e-NCFM</v>
          </cell>
          <cell r="B69">
            <v>4</v>
          </cell>
          <cell r="C69">
            <v>0</v>
          </cell>
          <cell r="D69">
            <v>0</v>
          </cell>
          <cell r="E69">
            <v>0</v>
          </cell>
          <cell r="F69">
            <v>15.99</v>
          </cell>
        </row>
        <row r="70">
          <cell r="A70" t="str">
            <v>HF-f12-FACL</v>
          </cell>
          <cell r="B70">
            <v>7</v>
          </cell>
          <cell r="C70">
            <v>0</v>
          </cell>
          <cell r="D70">
            <v>0</v>
          </cell>
          <cell r="E70">
            <v>0</v>
          </cell>
          <cell r="F70">
            <v>20.99</v>
          </cell>
        </row>
        <row r="71">
          <cell r="A71" t="str">
            <v>HF-I2e-AABS</v>
          </cell>
          <cell r="B71">
            <v>4</v>
          </cell>
          <cell r="C71">
            <v>0</v>
          </cell>
          <cell r="D71">
            <v>0</v>
          </cell>
          <cell r="E71">
            <v>0</v>
          </cell>
          <cell r="F71">
            <v>63.99</v>
          </cell>
        </row>
        <row r="501">
          <cell r="A501" t="str">
            <v>KP-1178-XPKV</v>
          </cell>
        </row>
        <row r="553">
          <cell r="A553" t="str">
            <v>QW-6H25-PV48</v>
          </cell>
        </row>
        <row r="590">
          <cell r="A590" t="str">
            <v>HF-a77e-TSSS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43289</v>
          </cell>
          <cell r="C1" t="str">
            <v>一周开始时间</v>
          </cell>
          <cell r="D1">
            <v>43283</v>
          </cell>
          <cell r="E1" t="str">
            <v>二周结束时间</v>
          </cell>
          <cell r="F1">
            <v>43282</v>
          </cell>
          <cell r="G1" t="str">
            <v>二周开始时间</v>
          </cell>
          <cell r="H1">
            <v>43276</v>
          </cell>
          <cell r="I1" t="str">
            <v>三周结束时间</v>
          </cell>
          <cell r="J1">
            <v>43275</v>
          </cell>
          <cell r="K1" t="str">
            <v>三周开始时间</v>
          </cell>
          <cell r="L1">
            <v>43269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MY16055K0L</v>
          </cell>
          <cell r="B4">
            <v>0</v>
          </cell>
          <cell r="C4">
            <v>0</v>
          </cell>
          <cell r="D4">
            <v>0</v>
          </cell>
          <cell r="E4">
            <v>1284</v>
          </cell>
          <cell r="F4">
            <v>2</v>
          </cell>
          <cell r="G4">
            <v>0.99</v>
          </cell>
          <cell r="H4">
            <v>761</v>
          </cell>
          <cell r="I4">
            <v>1</v>
          </cell>
          <cell r="J4">
            <v>0.5</v>
          </cell>
          <cell r="K4">
            <v>605</v>
          </cell>
          <cell r="L4">
            <v>2</v>
          </cell>
          <cell r="M4">
            <v>1.21</v>
          </cell>
        </row>
        <row r="5">
          <cell r="A5" t="str">
            <v>MY16055K0M</v>
          </cell>
          <cell r="B5">
            <v>0</v>
          </cell>
          <cell r="C5">
            <v>0</v>
          </cell>
          <cell r="D5">
            <v>0</v>
          </cell>
          <cell r="E5">
            <v>451</v>
          </cell>
          <cell r="F5">
            <v>0</v>
          </cell>
          <cell r="G5">
            <v>0</v>
          </cell>
          <cell r="H5">
            <v>215</v>
          </cell>
          <cell r="I5">
            <v>0</v>
          </cell>
          <cell r="J5">
            <v>0</v>
          </cell>
          <cell r="K5">
            <v>253</v>
          </cell>
          <cell r="L5">
            <v>0</v>
          </cell>
          <cell r="M5">
            <v>0</v>
          </cell>
        </row>
        <row r="6">
          <cell r="A6" t="str">
            <v>MY16055K0S</v>
          </cell>
          <cell r="B6">
            <v>0</v>
          </cell>
          <cell r="C6">
            <v>0</v>
          </cell>
          <cell r="D6">
            <v>0</v>
          </cell>
          <cell r="E6">
            <v>759</v>
          </cell>
          <cell r="F6">
            <v>2</v>
          </cell>
          <cell r="G6">
            <v>1.07</v>
          </cell>
          <cell r="H6">
            <v>277</v>
          </cell>
          <cell r="I6">
            <v>0</v>
          </cell>
          <cell r="J6">
            <v>0</v>
          </cell>
          <cell r="K6">
            <v>318</v>
          </cell>
          <cell r="L6">
            <v>1</v>
          </cell>
          <cell r="M6">
            <v>0.52</v>
          </cell>
        </row>
        <row r="7">
          <cell r="A7" t="str">
            <v>MY16055K0XL</v>
          </cell>
          <cell r="B7">
            <v>0</v>
          </cell>
          <cell r="C7">
            <v>0</v>
          </cell>
          <cell r="D7">
            <v>0</v>
          </cell>
          <cell r="E7">
            <v>1992</v>
          </cell>
          <cell r="F7">
            <v>3</v>
          </cell>
          <cell r="G7">
            <v>1.91</v>
          </cell>
          <cell r="H7">
            <v>1681</v>
          </cell>
          <cell r="I7">
            <v>3</v>
          </cell>
          <cell r="J7">
            <v>1.39</v>
          </cell>
          <cell r="K7">
            <v>1279</v>
          </cell>
          <cell r="L7">
            <v>6</v>
          </cell>
          <cell r="M7">
            <v>2.98</v>
          </cell>
        </row>
        <row r="8">
          <cell r="A8" t="str">
            <v>MY16055K0XXL</v>
          </cell>
          <cell r="B8">
            <v>0</v>
          </cell>
          <cell r="C8">
            <v>0</v>
          </cell>
          <cell r="D8">
            <v>0</v>
          </cell>
          <cell r="E8">
            <v>2349</v>
          </cell>
          <cell r="F8">
            <v>2</v>
          </cell>
          <cell r="G8">
            <v>0.93</v>
          </cell>
          <cell r="H8">
            <v>1198</v>
          </cell>
          <cell r="I8">
            <v>2</v>
          </cell>
          <cell r="J8">
            <v>0.53</v>
          </cell>
          <cell r="K8">
            <v>1098</v>
          </cell>
          <cell r="L8">
            <v>3</v>
          </cell>
          <cell r="M8">
            <v>1.79</v>
          </cell>
        </row>
        <row r="9">
          <cell r="A9" t="str">
            <v>MY16055MSL</v>
          </cell>
          <cell r="B9">
            <v>0</v>
          </cell>
          <cell r="C9">
            <v>0</v>
          </cell>
          <cell r="D9">
            <v>0</v>
          </cell>
          <cell r="E9">
            <v>922</v>
          </cell>
          <cell r="F9">
            <v>4</v>
          </cell>
          <cell r="G9">
            <v>1.83</v>
          </cell>
          <cell r="H9">
            <v>471</v>
          </cell>
          <cell r="I9">
            <v>1</v>
          </cell>
          <cell r="J9">
            <v>0.77</v>
          </cell>
          <cell r="K9">
            <v>672</v>
          </cell>
          <cell r="L9">
            <v>0</v>
          </cell>
          <cell r="M9">
            <v>0</v>
          </cell>
        </row>
        <row r="10">
          <cell r="A10" t="str">
            <v>MY16055MSM</v>
          </cell>
          <cell r="B10">
            <v>0</v>
          </cell>
          <cell r="C10">
            <v>0</v>
          </cell>
          <cell r="D10">
            <v>0</v>
          </cell>
          <cell r="E10">
            <v>194</v>
          </cell>
          <cell r="F10">
            <v>0</v>
          </cell>
          <cell r="G10">
            <v>0</v>
          </cell>
          <cell r="H10">
            <v>107</v>
          </cell>
          <cell r="I10">
            <v>1</v>
          </cell>
          <cell r="J10">
            <v>0.64</v>
          </cell>
          <cell r="K10">
            <v>171</v>
          </cell>
          <cell r="L10">
            <v>2</v>
          </cell>
          <cell r="M10">
            <v>0.97</v>
          </cell>
        </row>
        <row r="11">
          <cell r="A11" t="str">
            <v>MY16055MSS</v>
          </cell>
          <cell r="B11">
            <v>0</v>
          </cell>
          <cell r="C11">
            <v>0</v>
          </cell>
          <cell r="D11">
            <v>0</v>
          </cell>
          <cell r="E11">
            <v>913</v>
          </cell>
          <cell r="F11">
            <v>3</v>
          </cell>
          <cell r="G11">
            <v>1.22</v>
          </cell>
          <cell r="H11">
            <v>249</v>
          </cell>
          <cell r="I11">
            <v>1</v>
          </cell>
          <cell r="J11">
            <v>0.25</v>
          </cell>
          <cell r="K11">
            <v>135</v>
          </cell>
          <cell r="L11">
            <v>1</v>
          </cell>
          <cell r="M11">
            <v>0.55</v>
          </cell>
        </row>
        <row r="12">
          <cell r="A12" t="str">
            <v>MY16055MSXL</v>
          </cell>
          <cell r="B12">
            <v>0</v>
          </cell>
          <cell r="C12">
            <v>0</v>
          </cell>
          <cell r="D12">
            <v>0</v>
          </cell>
          <cell r="E12">
            <v>2747</v>
          </cell>
          <cell r="F12">
            <v>8</v>
          </cell>
          <cell r="G12">
            <v>3.61</v>
          </cell>
          <cell r="H12">
            <v>1712</v>
          </cell>
          <cell r="I12">
            <v>3</v>
          </cell>
          <cell r="J12">
            <v>0.99</v>
          </cell>
          <cell r="K12">
            <v>1294</v>
          </cell>
          <cell r="L12">
            <v>3</v>
          </cell>
          <cell r="M12">
            <v>0.98</v>
          </cell>
        </row>
        <row r="13">
          <cell r="A13" t="str">
            <v>MY16055MSXXL</v>
          </cell>
          <cell r="B13">
            <v>0</v>
          </cell>
          <cell r="C13">
            <v>0</v>
          </cell>
          <cell r="D13">
            <v>0</v>
          </cell>
          <cell r="E13">
            <v>1129</v>
          </cell>
          <cell r="F13">
            <v>3</v>
          </cell>
          <cell r="G13">
            <v>1.5</v>
          </cell>
          <cell r="H13">
            <v>643</v>
          </cell>
          <cell r="I13">
            <v>2</v>
          </cell>
          <cell r="J13">
            <v>1.26</v>
          </cell>
          <cell r="K13">
            <v>483</v>
          </cell>
          <cell r="L13">
            <v>1</v>
          </cell>
          <cell r="M13">
            <v>0.37</v>
          </cell>
        </row>
        <row r="14">
          <cell r="A14" t="str">
            <v>MY16055ZQL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6636</v>
          </cell>
          <cell r="I14">
            <v>8</v>
          </cell>
          <cell r="J14">
            <v>4.04</v>
          </cell>
          <cell r="K14">
            <v>5463</v>
          </cell>
          <cell r="L14">
            <v>5</v>
          </cell>
          <cell r="M14">
            <v>2.59</v>
          </cell>
        </row>
        <row r="15">
          <cell r="A15" t="str">
            <v>MY16055ZQM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272</v>
          </cell>
          <cell r="L15">
            <v>1</v>
          </cell>
          <cell r="M15">
            <v>0.37</v>
          </cell>
        </row>
        <row r="16">
          <cell r="A16" t="str">
            <v>MY16055ZQS</v>
          </cell>
          <cell r="B16">
            <v>0</v>
          </cell>
          <cell r="C16">
            <v>0</v>
          </cell>
          <cell r="D16">
            <v>0</v>
          </cell>
          <cell r="E16">
            <v>824</v>
          </cell>
          <cell r="F16">
            <v>2</v>
          </cell>
          <cell r="G16">
            <v>1.27</v>
          </cell>
          <cell r="H16">
            <v>1118</v>
          </cell>
          <cell r="I16">
            <v>8</v>
          </cell>
          <cell r="J16">
            <v>4.82</v>
          </cell>
          <cell r="K16">
            <v>322</v>
          </cell>
          <cell r="L16">
            <v>1</v>
          </cell>
          <cell r="M16">
            <v>0.28</v>
          </cell>
        </row>
        <row r="17">
          <cell r="A17" t="str">
            <v>MY16055ZQXL</v>
          </cell>
          <cell r="B17">
            <v>0</v>
          </cell>
          <cell r="C17">
            <v>0</v>
          </cell>
          <cell r="D17">
            <v>0</v>
          </cell>
          <cell r="E17">
            <v>1928</v>
          </cell>
          <cell r="F17">
            <v>12</v>
          </cell>
          <cell r="G17">
            <v>7.49</v>
          </cell>
          <cell r="H17">
            <v>473</v>
          </cell>
          <cell r="I17">
            <v>3</v>
          </cell>
          <cell r="J17">
            <v>2</v>
          </cell>
          <cell r="K17">
            <v>440</v>
          </cell>
          <cell r="L17">
            <v>0</v>
          </cell>
          <cell r="M17">
            <v>0</v>
          </cell>
        </row>
        <row r="18">
          <cell r="A18" t="str">
            <v>MY16055ZQXXL</v>
          </cell>
          <cell r="B18">
            <v>0</v>
          </cell>
          <cell r="C18">
            <v>0</v>
          </cell>
          <cell r="D18">
            <v>0</v>
          </cell>
          <cell r="E18">
            <v>11069</v>
          </cell>
          <cell r="F18">
            <v>28</v>
          </cell>
          <cell r="G18">
            <v>13.42</v>
          </cell>
          <cell r="H18">
            <v>8204</v>
          </cell>
          <cell r="I18">
            <v>18</v>
          </cell>
          <cell r="J18">
            <v>7.74</v>
          </cell>
          <cell r="K18">
            <v>7863</v>
          </cell>
          <cell r="L18">
            <v>31</v>
          </cell>
          <cell r="M18">
            <v>14.51</v>
          </cell>
        </row>
        <row r="19">
          <cell r="A19" t="str">
            <v>MY71107K0L</v>
          </cell>
          <cell r="B19">
            <v>0</v>
          </cell>
          <cell r="C19">
            <v>0</v>
          </cell>
          <cell r="D19">
            <v>0</v>
          </cell>
          <cell r="E19">
            <v>3541</v>
          </cell>
          <cell r="F19">
            <v>6</v>
          </cell>
          <cell r="G19">
            <v>3.08</v>
          </cell>
          <cell r="H19">
            <v>3245</v>
          </cell>
          <cell r="I19">
            <v>2</v>
          </cell>
          <cell r="J19">
            <v>0.52</v>
          </cell>
          <cell r="K19">
            <v>3327</v>
          </cell>
          <cell r="L19">
            <v>5</v>
          </cell>
          <cell r="M19">
            <v>2.18</v>
          </cell>
        </row>
        <row r="20">
          <cell r="A20" t="str">
            <v>MY71107K0M</v>
          </cell>
          <cell r="B20">
            <v>0</v>
          </cell>
          <cell r="C20">
            <v>0</v>
          </cell>
          <cell r="D20">
            <v>0</v>
          </cell>
          <cell r="E20">
            <v>902</v>
          </cell>
          <cell r="F20">
            <v>3</v>
          </cell>
          <cell r="G20">
            <v>0.99</v>
          </cell>
          <cell r="H20">
            <v>1366</v>
          </cell>
          <cell r="I20">
            <v>0</v>
          </cell>
          <cell r="J20">
            <v>0</v>
          </cell>
          <cell r="K20">
            <v>1665</v>
          </cell>
          <cell r="L20">
            <v>2</v>
          </cell>
          <cell r="M20">
            <v>0.64</v>
          </cell>
        </row>
        <row r="21">
          <cell r="A21" t="str">
            <v>MY71107K0S</v>
          </cell>
          <cell r="B21">
            <v>0</v>
          </cell>
          <cell r="C21">
            <v>0</v>
          </cell>
          <cell r="D21">
            <v>0</v>
          </cell>
          <cell r="E21">
            <v>5568</v>
          </cell>
          <cell r="F21">
            <v>19</v>
          </cell>
          <cell r="G21">
            <v>7.72</v>
          </cell>
          <cell r="H21">
            <v>4532</v>
          </cell>
          <cell r="I21">
            <v>23</v>
          </cell>
          <cell r="J21">
            <v>10.29</v>
          </cell>
          <cell r="K21">
            <v>636</v>
          </cell>
          <cell r="L21">
            <v>8</v>
          </cell>
          <cell r="M21">
            <v>3.51</v>
          </cell>
        </row>
        <row r="22">
          <cell r="A22" t="str">
            <v>MY71107K0XL</v>
          </cell>
          <cell r="B22">
            <v>0</v>
          </cell>
          <cell r="C22">
            <v>0</v>
          </cell>
          <cell r="D22">
            <v>0</v>
          </cell>
          <cell r="E22">
            <v>2235</v>
          </cell>
          <cell r="F22">
            <v>5</v>
          </cell>
          <cell r="G22">
            <v>2.23</v>
          </cell>
          <cell r="H22">
            <v>1638</v>
          </cell>
          <cell r="I22">
            <v>9</v>
          </cell>
          <cell r="J22">
            <v>3.4</v>
          </cell>
          <cell r="K22">
            <v>1849</v>
          </cell>
          <cell r="L22">
            <v>8</v>
          </cell>
          <cell r="M22">
            <v>2.85</v>
          </cell>
        </row>
        <row r="23">
          <cell r="A23" t="str">
            <v>MY71107MSL</v>
          </cell>
          <cell r="B23">
            <v>0</v>
          </cell>
          <cell r="C23">
            <v>0</v>
          </cell>
          <cell r="D23">
            <v>0</v>
          </cell>
          <cell r="E23">
            <v>4970</v>
          </cell>
          <cell r="F23">
            <v>22</v>
          </cell>
          <cell r="G23">
            <v>7.15</v>
          </cell>
          <cell r="H23">
            <v>4126</v>
          </cell>
          <cell r="I23">
            <v>20</v>
          </cell>
          <cell r="J23">
            <v>6.82</v>
          </cell>
          <cell r="K23">
            <v>6337</v>
          </cell>
          <cell r="L23">
            <v>31</v>
          </cell>
          <cell r="M23">
            <v>12.18</v>
          </cell>
        </row>
        <row r="24">
          <cell r="A24" t="str">
            <v>MY71107MSM</v>
          </cell>
          <cell r="B24">
            <v>0</v>
          </cell>
          <cell r="C24">
            <v>0</v>
          </cell>
          <cell r="D24">
            <v>0</v>
          </cell>
          <cell r="E24">
            <v>6677</v>
          </cell>
          <cell r="F24">
            <v>24</v>
          </cell>
          <cell r="G24">
            <v>10.53</v>
          </cell>
          <cell r="H24">
            <v>4647</v>
          </cell>
          <cell r="I24">
            <v>20</v>
          </cell>
          <cell r="J24">
            <v>7.34</v>
          </cell>
          <cell r="K24">
            <v>2281</v>
          </cell>
          <cell r="L24">
            <v>14</v>
          </cell>
          <cell r="M24">
            <v>6.48</v>
          </cell>
        </row>
        <row r="25">
          <cell r="A25" t="str">
            <v>MY71107MSS</v>
          </cell>
          <cell r="B25">
            <v>0</v>
          </cell>
          <cell r="C25">
            <v>0</v>
          </cell>
          <cell r="D25">
            <v>0</v>
          </cell>
          <cell r="E25">
            <v>28104</v>
          </cell>
          <cell r="F25">
            <v>60</v>
          </cell>
          <cell r="G25">
            <v>35.15</v>
          </cell>
          <cell r="H25">
            <v>8258</v>
          </cell>
          <cell r="I25">
            <v>18</v>
          </cell>
          <cell r="J25">
            <v>5.44</v>
          </cell>
          <cell r="K25">
            <v>7135</v>
          </cell>
          <cell r="L25">
            <v>11</v>
          </cell>
          <cell r="M25">
            <v>4.34</v>
          </cell>
        </row>
        <row r="26">
          <cell r="A26" t="str">
            <v>MY71107MSXL</v>
          </cell>
          <cell r="B26">
            <v>0</v>
          </cell>
          <cell r="C26">
            <v>0</v>
          </cell>
          <cell r="D26">
            <v>0</v>
          </cell>
          <cell r="E26">
            <v>6139</v>
          </cell>
          <cell r="F26">
            <v>25</v>
          </cell>
          <cell r="G26">
            <v>13.5</v>
          </cell>
          <cell r="H26">
            <v>3975</v>
          </cell>
          <cell r="I26">
            <v>29</v>
          </cell>
          <cell r="J26">
            <v>14.9</v>
          </cell>
          <cell r="K26">
            <v>3902</v>
          </cell>
          <cell r="L26">
            <v>17</v>
          </cell>
          <cell r="M26">
            <v>7.29</v>
          </cell>
        </row>
        <row r="27">
          <cell r="A27" t="str">
            <v>MY71107MSXXL</v>
          </cell>
          <cell r="B27">
            <v>0</v>
          </cell>
          <cell r="C27">
            <v>0</v>
          </cell>
          <cell r="D27">
            <v>0</v>
          </cell>
          <cell r="E27">
            <v>1812</v>
          </cell>
          <cell r="F27">
            <v>13</v>
          </cell>
          <cell r="G27">
            <v>7.43</v>
          </cell>
          <cell r="H27">
            <v>947</v>
          </cell>
          <cell r="I27">
            <v>2</v>
          </cell>
          <cell r="J27">
            <v>1.79</v>
          </cell>
          <cell r="K27">
            <v>1679</v>
          </cell>
          <cell r="L27">
            <v>7</v>
          </cell>
          <cell r="M27">
            <v>3.16</v>
          </cell>
        </row>
        <row r="28">
          <cell r="A28" t="str">
            <v>MY71107ZQL</v>
          </cell>
          <cell r="B28">
            <v>0</v>
          </cell>
          <cell r="C28">
            <v>0</v>
          </cell>
          <cell r="D28">
            <v>0</v>
          </cell>
          <cell r="E28">
            <v>1721</v>
          </cell>
          <cell r="F28">
            <v>9</v>
          </cell>
          <cell r="G28">
            <v>5.41</v>
          </cell>
          <cell r="H28">
            <v>1005</v>
          </cell>
          <cell r="I28">
            <v>4</v>
          </cell>
          <cell r="J28">
            <v>2.01</v>
          </cell>
          <cell r="K28">
            <v>1904</v>
          </cell>
          <cell r="L28">
            <v>6</v>
          </cell>
          <cell r="M28">
            <v>2.45</v>
          </cell>
        </row>
        <row r="29">
          <cell r="A29" t="str">
            <v>MY71107ZQM</v>
          </cell>
          <cell r="B29">
            <v>0</v>
          </cell>
          <cell r="C29">
            <v>0</v>
          </cell>
          <cell r="D29">
            <v>0</v>
          </cell>
          <cell r="E29">
            <v>28269</v>
          </cell>
          <cell r="F29">
            <v>41</v>
          </cell>
          <cell r="G29">
            <v>19.31</v>
          </cell>
          <cell r="H29">
            <v>8981</v>
          </cell>
          <cell r="I29">
            <v>26</v>
          </cell>
          <cell r="J29">
            <v>10.68</v>
          </cell>
          <cell r="K29">
            <v>8222</v>
          </cell>
          <cell r="L29">
            <v>16</v>
          </cell>
          <cell r="M29">
            <v>7.36</v>
          </cell>
        </row>
        <row r="30">
          <cell r="A30" t="str">
            <v>MY71107ZQS</v>
          </cell>
          <cell r="B30">
            <v>0</v>
          </cell>
          <cell r="C30">
            <v>0</v>
          </cell>
          <cell r="D30">
            <v>0</v>
          </cell>
          <cell r="E30">
            <v>1568</v>
          </cell>
          <cell r="F30">
            <v>8</v>
          </cell>
          <cell r="G30">
            <v>3.45</v>
          </cell>
          <cell r="H30">
            <v>2118</v>
          </cell>
          <cell r="I30">
            <v>11</v>
          </cell>
          <cell r="J30">
            <v>6.31</v>
          </cell>
          <cell r="K30">
            <v>1727</v>
          </cell>
          <cell r="L30">
            <v>8</v>
          </cell>
          <cell r="M30">
            <v>3.32</v>
          </cell>
        </row>
        <row r="31">
          <cell r="A31" t="str">
            <v>MY71115K0L</v>
          </cell>
          <cell r="B31">
            <v>0</v>
          </cell>
          <cell r="C31">
            <v>0</v>
          </cell>
          <cell r="D31">
            <v>0</v>
          </cell>
          <cell r="E31">
            <v>2728</v>
          </cell>
          <cell r="F31">
            <v>10</v>
          </cell>
          <cell r="G31">
            <v>5.48</v>
          </cell>
          <cell r="H31">
            <v>1270</v>
          </cell>
          <cell r="I31">
            <v>6</v>
          </cell>
          <cell r="J31">
            <v>3.21</v>
          </cell>
          <cell r="K31">
            <v>668</v>
          </cell>
          <cell r="L31">
            <v>4</v>
          </cell>
          <cell r="M31">
            <v>1.81</v>
          </cell>
        </row>
        <row r="32">
          <cell r="A32" t="str">
            <v>MY71115K0M</v>
          </cell>
          <cell r="B32">
            <v>0</v>
          </cell>
          <cell r="C32">
            <v>0</v>
          </cell>
          <cell r="D32">
            <v>0</v>
          </cell>
          <cell r="E32">
            <v>4125</v>
          </cell>
          <cell r="F32">
            <v>5</v>
          </cell>
          <cell r="G32">
            <v>2.78</v>
          </cell>
          <cell r="H32">
            <v>1899</v>
          </cell>
          <cell r="I32">
            <v>6</v>
          </cell>
          <cell r="J32">
            <v>2.06</v>
          </cell>
          <cell r="K32">
            <v>2639</v>
          </cell>
          <cell r="L32">
            <v>7</v>
          </cell>
          <cell r="M32">
            <v>2.92</v>
          </cell>
        </row>
        <row r="33">
          <cell r="A33" t="str">
            <v>MY71115K0S</v>
          </cell>
          <cell r="B33">
            <v>0</v>
          </cell>
          <cell r="C33">
            <v>0</v>
          </cell>
          <cell r="D33">
            <v>0</v>
          </cell>
          <cell r="E33">
            <v>1270</v>
          </cell>
          <cell r="F33">
            <v>1</v>
          </cell>
          <cell r="G33">
            <v>0.27</v>
          </cell>
          <cell r="H33">
            <v>806</v>
          </cell>
          <cell r="I33">
            <v>2</v>
          </cell>
          <cell r="J33">
            <v>0.91</v>
          </cell>
          <cell r="K33">
            <v>605</v>
          </cell>
          <cell r="L33">
            <v>2</v>
          </cell>
          <cell r="M33">
            <v>0.59</v>
          </cell>
        </row>
        <row r="34">
          <cell r="A34" t="str">
            <v>MY71115K0XL</v>
          </cell>
          <cell r="B34">
            <v>0</v>
          </cell>
          <cell r="C34">
            <v>0</v>
          </cell>
          <cell r="D34">
            <v>0</v>
          </cell>
          <cell r="E34">
            <v>1089</v>
          </cell>
          <cell r="F34">
            <v>1</v>
          </cell>
          <cell r="G34">
            <v>0.39</v>
          </cell>
          <cell r="H34">
            <v>1924</v>
          </cell>
          <cell r="I34">
            <v>2</v>
          </cell>
          <cell r="J34">
            <v>0.85</v>
          </cell>
          <cell r="K34">
            <v>2342</v>
          </cell>
          <cell r="L34">
            <v>3</v>
          </cell>
          <cell r="M34">
            <v>1.41</v>
          </cell>
        </row>
        <row r="35">
          <cell r="A35" t="str">
            <v>MY71115K0XXL</v>
          </cell>
          <cell r="B35">
            <v>0</v>
          </cell>
          <cell r="C35">
            <v>0</v>
          </cell>
          <cell r="D35">
            <v>0</v>
          </cell>
          <cell r="E35">
            <v>1800</v>
          </cell>
          <cell r="F35">
            <v>3</v>
          </cell>
          <cell r="G35">
            <v>1.78</v>
          </cell>
          <cell r="H35">
            <v>2081</v>
          </cell>
          <cell r="I35">
            <v>4</v>
          </cell>
          <cell r="J35">
            <v>1.51</v>
          </cell>
          <cell r="K35">
            <v>4462</v>
          </cell>
          <cell r="L35">
            <v>3</v>
          </cell>
          <cell r="M35">
            <v>1.56</v>
          </cell>
        </row>
        <row r="36">
          <cell r="A36" t="str">
            <v>MY71115MSL</v>
          </cell>
          <cell r="B36">
            <v>0</v>
          </cell>
          <cell r="C36">
            <v>0</v>
          </cell>
          <cell r="D36">
            <v>0</v>
          </cell>
          <cell r="E36">
            <v>765</v>
          </cell>
          <cell r="F36">
            <v>2</v>
          </cell>
          <cell r="G36">
            <v>0.88</v>
          </cell>
          <cell r="H36">
            <v>462</v>
          </cell>
          <cell r="I36">
            <v>1</v>
          </cell>
          <cell r="J36">
            <v>0.08</v>
          </cell>
          <cell r="K36">
            <v>228</v>
          </cell>
          <cell r="L36">
            <v>2</v>
          </cell>
          <cell r="M36">
            <v>1.04</v>
          </cell>
        </row>
        <row r="37">
          <cell r="A37" t="str">
            <v>MY71115MSM</v>
          </cell>
          <cell r="B37">
            <v>0</v>
          </cell>
          <cell r="C37">
            <v>0</v>
          </cell>
          <cell r="D37">
            <v>0</v>
          </cell>
          <cell r="E37">
            <v>1846</v>
          </cell>
          <cell r="F37">
            <v>5</v>
          </cell>
          <cell r="G37">
            <v>2.77</v>
          </cell>
          <cell r="H37">
            <v>2409</v>
          </cell>
          <cell r="I37">
            <v>1</v>
          </cell>
          <cell r="J37">
            <v>0.78</v>
          </cell>
          <cell r="K37">
            <v>1702</v>
          </cell>
          <cell r="L37">
            <v>0</v>
          </cell>
          <cell r="M37">
            <v>0</v>
          </cell>
        </row>
        <row r="38">
          <cell r="A38" t="str">
            <v>MY71115MSS</v>
          </cell>
          <cell r="B38">
            <v>0</v>
          </cell>
          <cell r="C38">
            <v>0</v>
          </cell>
          <cell r="D38">
            <v>0</v>
          </cell>
          <cell r="E38">
            <v>972</v>
          </cell>
          <cell r="F38">
            <v>3</v>
          </cell>
          <cell r="G38">
            <v>1.67</v>
          </cell>
          <cell r="H38">
            <v>143</v>
          </cell>
          <cell r="I38">
            <v>0</v>
          </cell>
          <cell r="J38">
            <v>0</v>
          </cell>
          <cell r="K38">
            <v>105</v>
          </cell>
          <cell r="L38">
            <v>1</v>
          </cell>
          <cell r="M38">
            <v>0.49</v>
          </cell>
        </row>
        <row r="39">
          <cell r="A39" t="str">
            <v>MY71115MSXL</v>
          </cell>
          <cell r="B39">
            <v>0</v>
          </cell>
          <cell r="C39">
            <v>0</v>
          </cell>
          <cell r="D39">
            <v>0</v>
          </cell>
          <cell r="E39">
            <v>321</v>
          </cell>
          <cell r="F39">
            <v>1</v>
          </cell>
          <cell r="G39">
            <v>0.39</v>
          </cell>
          <cell r="H39">
            <v>752</v>
          </cell>
          <cell r="I39">
            <v>0</v>
          </cell>
          <cell r="J39">
            <v>0</v>
          </cell>
          <cell r="K39">
            <v>1279</v>
          </cell>
          <cell r="L39">
            <v>4</v>
          </cell>
          <cell r="M39">
            <v>1.84</v>
          </cell>
        </row>
        <row r="40">
          <cell r="A40" t="str">
            <v>MY71115MSXXL</v>
          </cell>
          <cell r="B40">
            <v>0</v>
          </cell>
          <cell r="C40">
            <v>0</v>
          </cell>
          <cell r="D40">
            <v>0</v>
          </cell>
          <cell r="E40">
            <v>7262</v>
          </cell>
          <cell r="F40">
            <v>15</v>
          </cell>
          <cell r="G40">
            <v>6.18</v>
          </cell>
          <cell r="H40">
            <v>4564</v>
          </cell>
          <cell r="I40">
            <v>18</v>
          </cell>
          <cell r="J40">
            <v>7.99</v>
          </cell>
          <cell r="K40">
            <v>1546</v>
          </cell>
          <cell r="L40">
            <v>2</v>
          </cell>
          <cell r="M40">
            <v>1.06</v>
          </cell>
        </row>
        <row r="41">
          <cell r="A41" t="str">
            <v>MY71115ZQL</v>
          </cell>
          <cell r="B41">
            <v>0</v>
          </cell>
          <cell r="C41">
            <v>0</v>
          </cell>
          <cell r="D41">
            <v>0</v>
          </cell>
          <cell r="E41">
            <v>602</v>
          </cell>
          <cell r="F41">
            <v>1</v>
          </cell>
          <cell r="G41">
            <v>0.34</v>
          </cell>
          <cell r="H41">
            <v>547</v>
          </cell>
          <cell r="I41">
            <v>1</v>
          </cell>
          <cell r="J41">
            <v>0.46</v>
          </cell>
          <cell r="K41">
            <v>425</v>
          </cell>
          <cell r="L41">
            <v>1</v>
          </cell>
          <cell r="M41">
            <v>0.4</v>
          </cell>
        </row>
        <row r="42">
          <cell r="A42" t="str">
            <v>MY71115ZQM</v>
          </cell>
          <cell r="B42">
            <v>0</v>
          </cell>
          <cell r="C42">
            <v>0</v>
          </cell>
          <cell r="D42">
            <v>0</v>
          </cell>
          <cell r="E42">
            <v>1489</v>
          </cell>
          <cell r="F42">
            <v>6</v>
          </cell>
          <cell r="G42">
            <v>3.29</v>
          </cell>
          <cell r="H42">
            <v>759</v>
          </cell>
          <cell r="I42">
            <v>1</v>
          </cell>
          <cell r="J42">
            <v>0.33</v>
          </cell>
          <cell r="K42">
            <v>826</v>
          </cell>
          <cell r="L42">
            <v>7</v>
          </cell>
          <cell r="M42">
            <v>3.34</v>
          </cell>
        </row>
        <row r="43">
          <cell r="A43" t="str">
            <v>MY71115ZQS</v>
          </cell>
          <cell r="B43">
            <v>0</v>
          </cell>
          <cell r="C43">
            <v>0</v>
          </cell>
          <cell r="D43">
            <v>0</v>
          </cell>
          <cell r="E43">
            <v>6806</v>
          </cell>
          <cell r="F43">
            <v>8</v>
          </cell>
          <cell r="G43">
            <v>3.56</v>
          </cell>
          <cell r="H43">
            <v>2610</v>
          </cell>
          <cell r="I43">
            <v>3</v>
          </cell>
          <cell r="J43">
            <v>1.46</v>
          </cell>
          <cell r="K43">
            <v>1224</v>
          </cell>
          <cell r="L43">
            <v>5</v>
          </cell>
          <cell r="M43">
            <v>2.41</v>
          </cell>
        </row>
        <row r="44">
          <cell r="A44" t="str">
            <v>MY71115ZQXL</v>
          </cell>
          <cell r="B44">
            <v>0</v>
          </cell>
          <cell r="C44">
            <v>0</v>
          </cell>
          <cell r="D44">
            <v>0</v>
          </cell>
          <cell r="E44">
            <v>6117</v>
          </cell>
          <cell r="F44">
            <v>15</v>
          </cell>
          <cell r="G44">
            <v>6.96</v>
          </cell>
          <cell r="H44">
            <v>5203</v>
          </cell>
          <cell r="I44">
            <v>7</v>
          </cell>
          <cell r="J44">
            <v>4.05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06-LI7A-IZ44</v>
          </cell>
          <cell r="B45">
            <v>304</v>
          </cell>
          <cell r="C45">
            <v>3</v>
          </cell>
          <cell r="D45">
            <v>1.38</v>
          </cell>
          <cell r="E45">
            <v>132</v>
          </cell>
          <cell r="F45">
            <v>0</v>
          </cell>
          <cell r="G45">
            <v>0</v>
          </cell>
          <cell r="H45">
            <v>1311</v>
          </cell>
          <cell r="I45">
            <v>2</v>
          </cell>
          <cell r="J45">
            <v>0.75</v>
          </cell>
          <cell r="K45">
            <v>458</v>
          </cell>
          <cell r="L45">
            <v>1</v>
          </cell>
          <cell r="M45">
            <v>0.42</v>
          </cell>
        </row>
        <row r="46">
          <cell r="A46" t="str">
            <v>0Z-KJNM-D56T</v>
          </cell>
          <cell r="B46">
            <v>162</v>
          </cell>
          <cell r="C46">
            <v>0</v>
          </cell>
          <cell r="D46">
            <v>0</v>
          </cell>
          <cell r="E46">
            <v>669</v>
          </cell>
          <cell r="F46">
            <v>1</v>
          </cell>
          <cell r="G46">
            <v>1.47</v>
          </cell>
          <cell r="H46">
            <v>1123</v>
          </cell>
          <cell r="I46">
            <v>0</v>
          </cell>
          <cell r="J46">
            <v>0</v>
          </cell>
          <cell r="K46">
            <v>1409</v>
          </cell>
          <cell r="L46">
            <v>4</v>
          </cell>
          <cell r="M46">
            <v>2.8</v>
          </cell>
        </row>
        <row r="47">
          <cell r="A47" t="str">
            <v>1M-3M12-58YS</v>
          </cell>
          <cell r="B47">
            <v>0</v>
          </cell>
          <cell r="C47">
            <v>0</v>
          </cell>
          <cell r="D47">
            <v>0</v>
          </cell>
          <cell r="E47">
            <v>185</v>
          </cell>
          <cell r="F47">
            <v>0</v>
          </cell>
          <cell r="G47">
            <v>0</v>
          </cell>
          <cell r="H47">
            <v>540</v>
          </cell>
          <cell r="I47">
            <v>3</v>
          </cell>
          <cell r="J47">
            <v>2.62</v>
          </cell>
          <cell r="K47">
            <v>1103</v>
          </cell>
          <cell r="L47">
            <v>1</v>
          </cell>
          <cell r="M47">
            <v>0.8</v>
          </cell>
        </row>
        <row r="48">
          <cell r="A48" t="str">
            <v>2N-C2ZT-YSNI</v>
          </cell>
          <cell r="B48">
            <v>420</v>
          </cell>
          <cell r="C48">
            <v>1</v>
          </cell>
          <cell r="D48">
            <v>0.69</v>
          </cell>
          <cell r="E48">
            <v>300</v>
          </cell>
          <cell r="F48">
            <v>0</v>
          </cell>
          <cell r="G48">
            <v>0</v>
          </cell>
          <cell r="H48">
            <v>345</v>
          </cell>
          <cell r="I48">
            <v>3</v>
          </cell>
          <cell r="J48">
            <v>3.1</v>
          </cell>
          <cell r="K48">
            <v>364</v>
          </cell>
          <cell r="L48">
            <v>1</v>
          </cell>
          <cell r="M48">
            <v>1.45</v>
          </cell>
        </row>
        <row r="49">
          <cell r="A49" t="str">
            <v>3E-OBBY-DIEZ</v>
          </cell>
          <cell r="B49">
            <v>4300</v>
          </cell>
          <cell r="C49">
            <v>14</v>
          </cell>
          <cell r="D49">
            <v>11.54</v>
          </cell>
          <cell r="E49">
            <v>20029</v>
          </cell>
          <cell r="F49">
            <v>41</v>
          </cell>
          <cell r="G49">
            <v>44.44</v>
          </cell>
          <cell r="H49">
            <v>42031</v>
          </cell>
          <cell r="I49">
            <v>38</v>
          </cell>
          <cell r="J49">
            <v>37.96</v>
          </cell>
          <cell r="K49">
            <v>6070</v>
          </cell>
          <cell r="L49">
            <v>10</v>
          </cell>
          <cell r="M49">
            <v>4.19</v>
          </cell>
        </row>
        <row r="50">
          <cell r="A50" t="str">
            <v>3S-1QX9-6RRP</v>
          </cell>
          <cell r="B50">
            <v>359</v>
          </cell>
          <cell r="C50">
            <v>1</v>
          </cell>
          <cell r="D50">
            <v>1.46</v>
          </cell>
          <cell r="E50">
            <v>1373</v>
          </cell>
          <cell r="F50">
            <v>1</v>
          </cell>
          <cell r="G50">
            <v>0.83</v>
          </cell>
          <cell r="H50">
            <v>643</v>
          </cell>
          <cell r="I50">
            <v>1</v>
          </cell>
          <cell r="J50">
            <v>0.47</v>
          </cell>
          <cell r="K50">
            <v>439</v>
          </cell>
          <cell r="L50">
            <v>0</v>
          </cell>
          <cell r="M50">
            <v>0</v>
          </cell>
        </row>
        <row r="51">
          <cell r="A51" t="str">
            <v>58-6A0P-DRT9</v>
          </cell>
          <cell r="B51">
            <v>2198</v>
          </cell>
          <cell r="C51">
            <v>8</v>
          </cell>
          <cell r="D51">
            <v>4.9</v>
          </cell>
          <cell r="E51">
            <v>4067</v>
          </cell>
          <cell r="F51">
            <v>12</v>
          </cell>
          <cell r="G51">
            <v>10.95</v>
          </cell>
          <cell r="H51">
            <v>4010</v>
          </cell>
          <cell r="I51">
            <v>14</v>
          </cell>
          <cell r="J51">
            <v>8.25</v>
          </cell>
          <cell r="K51">
            <v>1388</v>
          </cell>
          <cell r="L51">
            <v>8</v>
          </cell>
          <cell r="M51">
            <v>5.25</v>
          </cell>
        </row>
        <row r="52">
          <cell r="A52" t="str">
            <v>A5-X9GB-M912</v>
          </cell>
          <cell r="B52">
            <v>18</v>
          </cell>
          <cell r="C52">
            <v>0</v>
          </cell>
          <cell r="D52">
            <v>0</v>
          </cell>
          <cell r="E52">
            <v>299</v>
          </cell>
          <cell r="F52">
            <v>1</v>
          </cell>
          <cell r="G52">
            <v>0.42</v>
          </cell>
          <cell r="H52">
            <v>1575</v>
          </cell>
          <cell r="I52">
            <v>0</v>
          </cell>
          <cell r="J52">
            <v>0</v>
          </cell>
          <cell r="K52">
            <v>5106</v>
          </cell>
          <cell r="L52">
            <v>8</v>
          </cell>
          <cell r="M52">
            <v>4.08</v>
          </cell>
        </row>
        <row r="53">
          <cell r="A53" t="str">
            <v>CF-7C1X-596L</v>
          </cell>
          <cell r="B53">
            <v>6105</v>
          </cell>
          <cell r="C53">
            <v>15</v>
          </cell>
          <cell r="D53">
            <v>9.79</v>
          </cell>
          <cell r="E53">
            <v>2062</v>
          </cell>
          <cell r="F53">
            <v>12</v>
          </cell>
          <cell r="G53">
            <v>8.98</v>
          </cell>
          <cell r="H53">
            <v>3076</v>
          </cell>
          <cell r="I53">
            <v>16</v>
          </cell>
          <cell r="J53">
            <v>10.26</v>
          </cell>
          <cell r="K53">
            <v>9102</v>
          </cell>
          <cell r="L53">
            <v>18</v>
          </cell>
          <cell r="M53">
            <v>10.03</v>
          </cell>
        </row>
        <row r="54">
          <cell r="A54" t="str">
            <v>DM-LSF9-NGGG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1290</v>
          </cell>
          <cell r="I54">
            <v>2</v>
          </cell>
          <cell r="J54">
            <v>1.79</v>
          </cell>
          <cell r="K54">
            <v>29401</v>
          </cell>
          <cell r="L54">
            <v>42</v>
          </cell>
          <cell r="M54">
            <v>33.75</v>
          </cell>
        </row>
        <row r="55">
          <cell r="A55" t="str">
            <v>DW-MG8E-BMQG</v>
          </cell>
          <cell r="B55">
            <v>806</v>
          </cell>
          <cell r="C55">
            <v>2</v>
          </cell>
          <cell r="D55">
            <v>1.49</v>
          </cell>
          <cell r="E55">
            <v>266</v>
          </cell>
          <cell r="F55">
            <v>0</v>
          </cell>
          <cell r="G55">
            <v>0</v>
          </cell>
          <cell r="H55">
            <v>236</v>
          </cell>
          <cell r="I55">
            <v>0</v>
          </cell>
          <cell r="J55">
            <v>0</v>
          </cell>
          <cell r="K55">
            <v>1014</v>
          </cell>
          <cell r="L55">
            <v>2</v>
          </cell>
          <cell r="M55">
            <v>1.84</v>
          </cell>
        </row>
        <row r="56">
          <cell r="A56" t="str">
            <v>HF-T9QA-X3JZ</v>
          </cell>
          <cell r="B56">
            <v>535</v>
          </cell>
          <cell r="C56">
            <v>0</v>
          </cell>
          <cell r="D56">
            <v>0</v>
          </cell>
          <cell r="E56">
            <v>1791</v>
          </cell>
          <cell r="F56">
            <v>5</v>
          </cell>
          <cell r="G56">
            <v>4.15</v>
          </cell>
          <cell r="H56">
            <v>832</v>
          </cell>
          <cell r="I56">
            <v>1</v>
          </cell>
          <cell r="J56">
            <v>0.36</v>
          </cell>
          <cell r="K56">
            <v>1699</v>
          </cell>
          <cell r="L56">
            <v>3</v>
          </cell>
          <cell r="M56">
            <v>1.43</v>
          </cell>
        </row>
        <row r="57">
          <cell r="A57" t="str">
            <v>HF-a10e-MINM</v>
          </cell>
          <cell r="B57">
            <v>17035</v>
          </cell>
          <cell r="C57">
            <v>35</v>
          </cell>
          <cell r="D57">
            <v>28.94</v>
          </cell>
          <cell r="E57">
            <v>13472</v>
          </cell>
          <cell r="F57">
            <v>31</v>
          </cell>
          <cell r="G57">
            <v>26.43</v>
          </cell>
          <cell r="H57">
            <v>10438</v>
          </cell>
          <cell r="I57">
            <v>21</v>
          </cell>
          <cell r="J57">
            <v>12.83</v>
          </cell>
          <cell r="K57">
            <v>29000</v>
          </cell>
          <cell r="L57">
            <v>49</v>
          </cell>
          <cell r="M57">
            <v>37.39</v>
          </cell>
        </row>
        <row r="58">
          <cell r="A58" t="str">
            <v>HF-a136e-MHBB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1613</v>
          </cell>
          <cell r="L58">
            <v>6</v>
          </cell>
          <cell r="M58">
            <v>2.56</v>
          </cell>
        </row>
        <row r="59">
          <cell r="A59" t="str">
            <v>HF-a1e-LCMC</v>
          </cell>
          <cell r="B59">
            <v>391</v>
          </cell>
          <cell r="C59">
            <v>1</v>
          </cell>
          <cell r="D59">
            <v>0.02</v>
          </cell>
          <cell r="E59">
            <v>7916</v>
          </cell>
          <cell r="F59">
            <v>15</v>
          </cell>
          <cell r="G59">
            <v>16.79</v>
          </cell>
          <cell r="H59">
            <v>1644</v>
          </cell>
          <cell r="I59">
            <v>1</v>
          </cell>
          <cell r="J59">
            <v>0.74</v>
          </cell>
          <cell r="K59">
            <v>198</v>
          </cell>
          <cell r="L59">
            <v>0</v>
          </cell>
          <cell r="M59">
            <v>0</v>
          </cell>
        </row>
        <row r="60">
          <cell r="A60" t="str">
            <v>HF-a21e-SCFM</v>
          </cell>
          <cell r="B60">
            <v>1436</v>
          </cell>
          <cell r="C60">
            <v>1</v>
          </cell>
          <cell r="D60">
            <v>1.5</v>
          </cell>
          <cell r="E60">
            <v>1426</v>
          </cell>
          <cell r="F60">
            <v>0</v>
          </cell>
          <cell r="G60">
            <v>0</v>
          </cell>
          <cell r="H60">
            <v>1690</v>
          </cell>
          <cell r="I60">
            <v>0</v>
          </cell>
          <cell r="J60">
            <v>0</v>
          </cell>
          <cell r="K60">
            <v>71</v>
          </cell>
          <cell r="L60">
            <v>0</v>
          </cell>
          <cell r="M60">
            <v>0</v>
          </cell>
        </row>
        <row r="61">
          <cell r="A61" t="str">
            <v>HF-a37e-FCMG</v>
          </cell>
          <cell r="B61">
            <v>4345</v>
          </cell>
          <cell r="C61">
            <v>5</v>
          </cell>
          <cell r="D61">
            <v>4.74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1588</v>
          </cell>
          <cell r="L61">
            <v>3</v>
          </cell>
          <cell r="M61">
            <v>1.74</v>
          </cell>
        </row>
        <row r="62">
          <cell r="A62" t="str">
            <v>HF-a69e-PEFG</v>
          </cell>
          <cell r="B62">
            <v>7458</v>
          </cell>
          <cell r="C62">
            <v>11</v>
          </cell>
          <cell r="D62">
            <v>9.59</v>
          </cell>
          <cell r="E62">
            <v>3680</v>
          </cell>
          <cell r="F62">
            <v>7</v>
          </cell>
          <cell r="G62">
            <v>5.34</v>
          </cell>
          <cell r="H62">
            <v>1047</v>
          </cell>
          <cell r="I62">
            <v>1</v>
          </cell>
          <cell r="J62">
            <v>0.75</v>
          </cell>
          <cell r="K62">
            <v>461</v>
          </cell>
          <cell r="L62">
            <v>4</v>
          </cell>
          <cell r="M62">
            <v>2.36</v>
          </cell>
        </row>
        <row r="63">
          <cell r="A63" t="str">
            <v>HF-a77e-TSSS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4045</v>
          </cell>
          <cell r="I63">
            <v>8</v>
          </cell>
          <cell r="J63">
            <v>5.34</v>
          </cell>
          <cell r="K63">
            <v>2130</v>
          </cell>
          <cell r="L63">
            <v>4</v>
          </cell>
          <cell r="M63">
            <v>3.55</v>
          </cell>
        </row>
        <row r="64">
          <cell r="A64" t="str">
            <v>HF-a80e-BTBM</v>
          </cell>
          <cell r="B64">
            <v>2479</v>
          </cell>
          <cell r="C64">
            <v>5</v>
          </cell>
          <cell r="D64">
            <v>4.1</v>
          </cell>
          <cell r="E64">
            <v>1644</v>
          </cell>
          <cell r="F64">
            <v>8</v>
          </cell>
          <cell r="G64">
            <v>5.14</v>
          </cell>
          <cell r="H64">
            <v>1445</v>
          </cell>
          <cell r="I64">
            <v>6</v>
          </cell>
          <cell r="J64">
            <v>2.94</v>
          </cell>
          <cell r="K64">
            <v>1487</v>
          </cell>
          <cell r="L64">
            <v>2</v>
          </cell>
          <cell r="M64">
            <v>1.81</v>
          </cell>
        </row>
        <row r="65">
          <cell r="A65" t="str">
            <v>HF-a85e-RFPM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684</v>
          </cell>
          <cell r="L65">
            <v>1</v>
          </cell>
          <cell r="M65">
            <v>0.45</v>
          </cell>
        </row>
        <row r="66">
          <cell r="A66" t="str">
            <v>HF-b3e-PWCC</v>
          </cell>
          <cell r="B66">
            <v>0</v>
          </cell>
          <cell r="C66">
            <v>0</v>
          </cell>
          <cell r="D66">
            <v>0</v>
          </cell>
          <cell r="E66">
            <v>394</v>
          </cell>
          <cell r="F66">
            <v>2</v>
          </cell>
          <cell r="G66">
            <v>1.4</v>
          </cell>
          <cell r="H66">
            <v>789</v>
          </cell>
          <cell r="I66">
            <v>9</v>
          </cell>
          <cell r="J66">
            <v>9.19</v>
          </cell>
          <cell r="K66">
            <v>2435</v>
          </cell>
          <cell r="L66">
            <v>6</v>
          </cell>
          <cell r="M66">
            <v>4.01</v>
          </cell>
        </row>
        <row r="67">
          <cell r="A67" t="str">
            <v>HF-c1e-MCND</v>
          </cell>
          <cell r="B67">
            <v>33516</v>
          </cell>
          <cell r="C67">
            <v>30</v>
          </cell>
          <cell r="D67">
            <v>29.77</v>
          </cell>
          <cell r="E67">
            <v>11558</v>
          </cell>
          <cell r="F67">
            <v>21</v>
          </cell>
          <cell r="G67">
            <v>18.9</v>
          </cell>
          <cell r="H67">
            <v>1543</v>
          </cell>
          <cell r="I67">
            <v>4</v>
          </cell>
          <cell r="J67">
            <v>3.7</v>
          </cell>
          <cell r="K67">
            <v>1389</v>
          </cell>
          <cell r="L67">
            <v>11</v>
          </cell>
          <cell r="M67">
            <v>6.68</v>
          </cell>
        </row>
        <row r="68">
          <cell r="A68" t="str">
            <v>HF-c7e-LANC</v>
          </cell>
          <cell r="B68">
            <v>8721</v>
          </cell>
          <cell r="C68">
            <v>8</v>
          </cell>
          <cell r="D68">
            <v>7.67</v>
          </cell>
          <cell r="E68">
            <v>3272</v>
          </cell>
          <cell r="F68">
            <v>11</v>
          </cell>
          <cell r="G68">
            <v>10.26</v>
          </cell>
          <cell r="H68">
            <v>1094</v>
          </cell>
          <cell r="I68">
            <v>2</v>
          </cell>
          <cell r="J68">
            <v>0.63</v>
          </cell>
          <cell r="K68">
            <v>4853</v>
          </cell>
          <cell r="L68">
            <v>9</v>
          </cell>
          <cell r="M68">
            <v>3.81</v>
          </cell>
        </row>
        <row r="69">
          <cell r="A69" t="str">
            <v>HF-f2-LIFT</v>
          </cell>
          <cell r="B69">
            <v>0</v>
          </cell>
          <cell r="C69">
            <v>0</v>
          </cell>
          <cell r="D69">
            <v>0</v>
          </cell>
          <cell r="E69">
            <v>23</v>
          </cell>
          <cell r="F69">
            <v>0</v>
          </cell>
          <cell r="G69">
            <v>0</v>
          </cell>
          <cell r="H69">
            <v>5905</v>
          </cell>
          <cell r="I69">
            <v>9</v>
          </cell>
          <cell r="J69">
            <v>9.53</v>
          </cell>
          <cell r="K69">
            <v>4648</v>
          </cell>
          <cell r="L69">
            <v>9</v>
          </cell>
          <cell r="M69">
            <v>3.88</v>
          </cell>
        </row>
        <row r="70">
          <cell r="A70" t="str">
            <v>HF-f9a-GSBB</v>
          </cell>
          <cell r="B70">
            <v>0</v>
          </cell>
          <cell r="C70">
            <v>0</v>
          </cell>
          <cell r="D70">
            <v>0</v>
          </cell>
          <cell r="E70">
            <v>21</v>
          </cell>
          <cell r="F70">
            <v>1</v>
          </cell>
          <cell r="G70">
            <v>0.85</v>
          </cell>
          <cell r="H70">
            <v>2853</v>
          </cell>
          <cell r="I70">
            <v>3</v>
          </cell>
          <cell r="J70">
            <v>2.26</v>
          </cell>
          <cell r="K70">
            <v>13061</v>
          </cell>
          <cell r="L70">
            <v>17</v>
          </cell>
          <cell r="M70">
            <v>8.42</v>
          </cell>
        </row>
        <row r="71">
          <cell r="A71" t="str">
            <v>HF-l3e-TEYG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131</v>
          </cell>
          <cell r="L71">
            <v>0</v>
          </cell>
          <cell r="M71">
            <v>0</v>
          </cell>
        </row>
        <row r="72">
          <cell r="A72" t="str">
            <v>HF-n2ae-NBNK</v>
          </cell>
          <cell r="B72">
            <v>41555</v>
          </cell>
          <cell r="C72">
            <v>45</v>
          </cell>
          <cell r="D72">
            <v>66.98</v>
          </cell>
          <cell r="E72">
            <v>14070</v>
          </cell>
          <cell r="F72">
            <v>47</v>
          </cell>
          <cell r="G72">
            <v>59.43</v>
          </cell>
          <cell r="H72">
            <v>1790</v>
          </cell>
          <cell r="I72">
            <v>8</v>
          </cell>
          <cell r="J72">
            <v>5.52</v>
          </cell>
          <cell r="K72">
            <v>3099</v>
          </cell>
          <cell r="L72">
            <v>10</v>
          </cell>
          <cell r="M72">
            <v>6.44</v>
          </cell>
        </row>
        <row r="73">
          <cell r="A73" t="str">
            <v>IM-YEIX-VVX8</v>
          </cell>
          <cell r="B73">
            <v>317</v>
          </cell>
          <cell r="C73">
            <v>0</v>
          </cell>
          <cell r="D73">
            <v>0</v>
          </cell>
          <cell r="E73">
            <v>200</v>
          </cell>
          <cell r="F73">
            <v>1</v>
          </cell>
          <cell r="G73">
            <v>0.69</v>
          </cell>
          <cell r="H73">
            <v>324</v>
          </cell>
          <cell r="I73">
            <v>0</v>
          </cell>
          <cell r="J73">
            <v>0</v>
          </cell>
          <cell r="K73">
            <v>358</v>
          </cell>
          <cell r="L73">
            <v>2</v>
          </cell>
          <cell r="M73">
            <v>2.82</v>
          </cell>
        </row>
        <row r="74">
          <cell r="A74" t="str">
            <v>JQ-N6LK-OQ03</v>
          </cell>
          <cell r="B74">
            <v>165</v>
          </cell>
          <cell r="C74">
            <v>0</v>
          </cell>
          <cell r="D74">
            <v>0</v>
          </cell>
          <cell r="E74">
            <v>167</v>
          </cell>
          <cell r="F74">
            <v>1</v>
          </cell>
          <cell r="G74">
            <v>0.4</v>
          </cell>
          <cell r="H74">
            <v>184</v>
          </cell>
          <cell r="I74">
            <v>0</v>
          </cell>
          <cell r="J74">
            <v>0</v>
          </cell>
          <cell r="K74">
            <v>185</v>
          </cell>
          <cell r="L74">
            <v>0</v>
          </cell>
          <cell r="M74">
            <v>0</v>
          </cell>
        </row>
        <row r="75">
          <cell r="A75" t="str">
            <v>KN-QWP1-D5XB</v>
          </cell>
          <cell r="B75">
            <v>4728</v>
          </cell>
          <cell r="C75">
            <v>24</v>
          </cell>
          <cell r="D75">
            <v>15.66</v>
          </cell>
          <cell r="E75">
            <v>5355</v>
          </cell>
          <cell r="F75">
            <v>12</v>
          </cell>
          <cell r="G75">
            <v>4</v>
          </cell>
          <cell r="H75">
            <v>26584</v>
          </cell>
          <cell r="I75">
            <v>42</v>
          </cell>
          <cell r="J75">
            <v>40.65</v>
          </cell>
          <cell r="K75">
            <v>2067</v>
          </cell>
          <cell r="L75">
            <v>13</v>
          </cell>
          <cell r="M75">
            <v>4.5</v>
          </cell>
        </row>
        <row r="76">
          <cell r="A76" t="str">
            <v>KP-1178-XPKV</v>
          </cell>
          <cell r="B76">
            <v>6749</v>
          </cell>
          <cell r="C76">
            <v>23</v>
          </cell>
          <cell r="D76">
            <v>16.08</v>
          </cell>
          <cell r="E76">
            <v>14352</v>
          </cell>
          <cell r="F76">
            <v>21</v>
          </cell>
          <cell r="G76">
            <v>18.23</v>
          </cell>
          <cell r="H76">
            <v>18063</v>
          </cell>
          <cell r="I76">
            <v>21</v>
          </cell>
          <cell r="J76">
            <v>18.93</v>
          </cell>
          <cell r="K76">
            <v>13356</v>
          </cell>
          <cell r="L76">
            <v>25</v>
          </cell>
          <cell r="M76">
            <v>18.94</v>
          </cell>
        </row>
        <row r="77">
          <cell r="A77" t="str">
            <v>L1-BT23-OVPU</v>
          </cell>
          <cell r="B77">
            <v>1056</v>
          </cell>
          <cell r="C77">
            <v>5</v>
          </cell>
          <cell r="D77">
            <v>5.47</v>
          </cell>
          <cell r="E77">
            <v>1157</v>
          </cell>
          <cell r="F77">
            <v>8</v>
          </cell>
          <cell r="G77">
            <v>5.82</v>
          </cell>
          <cell r="H77">
            <v>1502</v>
          </cell>
          <cell r="I77">
            <v>3</v>
          </cell>
          <cell r="J77">
            <v>1.77</v>
          </cell>
          <cell r="K77">
            <v>2375</v>
          </cell>
          <cell r="L77">
            <v>5</v>
          </cell>
          <cell r="M77">
            <v>3.32</v>
          </cell>
        </row>
        <row r="78">
          <cell r="A78" t="str">
            <v>PJ-CPH7-5MXE</v>
          </cell>
          <cell r="B78">
            <v>916</v>
          </cell>
          <cell r="C78">
            <v>3</v>
          </cell>
          <cell r="D78">
            <v>0.51</v>
          </cell>
          <cell r="E78">
            <v>402</v>
          </cell>
          <cell r="F78">
            <v>1</v>
          </cell>
          <cell r="G78">
            <v>0.16</v>
          </cell>
          <cell r="H78">
            <v>5783</v>
          </cell>
          <cell r="I78">
            <v>7</v>
          </cell>
          <cell r="J78">
            <v>3.32</v>
          </cell>
          <cell r="K78">
            <v>3528</v>
          </cell>
          <cell r="L78">
            <v>13</v>
          </cell>
          <cell r="M78">
            <v>4.07</v>
          </cell>
        </row>
        <row r="79">
          <cell r="A79" t="str">
            <v>PW-89MW-RR8Y</v>
          </cell>
          <cell r="B79">
            <v>1394</v>
          </cell>
          <cell r="C79">
            <v>1</v>
          </cell>
          <cell r="D79">
            <v>0.32</v>
          </cell>
          <cell r="E79">
            <v>558</v>
          </cell>
          <cell r="F79">
            <v>2</v>
          </cell>
          <cell r="G79">
            <v>1.27</v>
          </cell>
          <cell r="H79">
            <v>510</v>
          </cell>
          <cell r="I79">
            <v>4</v>
          </cell>
          <cell r="J79">
            <v>2.9</v>
          </cell>
          <cell r="K79">
            <v>290</v>
          </cell>
          <cell r="L79">
            <v>1</v>
          </cell>
          <cell r="M79">
            <v>0.39</v>
          </cell>
        </row>
        <row r="80">
          <cell r="A80" t="str">
            <v>QW-6H25-PV48</v>
          </cell>
          <cell r="B80">
            <v>630</v>
          </cell>
          <cell r="C80">
            <v>3</v>
          </cell>
          <cell r="D80">
            <v>3.9</v>
          </cell>
          <cell r="E80">
            <v>410</v>
          </cell>
          <cell r="F80">
            <v>3</v>
          </cell>
          <cell r="G80">
            <v>3.3</v>
          </cell>
          <cell r="H80">
            <v>807</v>
          </cell>
          <cell r="I80">
            <v>2</v>
          </cell>
          <cell r="J80">
            <v>1.11</v>
          </cell>
          <cell r="K80">
            <v>442</v>
          </cell>
          <cell r="L80">
            <v>3</v>
          </cell>
          <cell r="M80">
            <v>1.22</v>
          </cell>
        </row>
        <row r="81">
          <cell r="A81" t="str">
            <v>R0-9P3N-MM7G</v>
          </cell>
          <cell r="B81">
            <v>418</v>
          </cell>
          <cell r="C81">
            <v>0</v>
          </cell>
          <cell r="D81">
            <v>0</v>
          </cell>
          <cell r="E81">
            <v>311</v>
          </cell>
          <cell r="F81">
            <v>1</v>
          </cell>
          <cell r="G81">
            <v>1.44</v>
          </cell>
          <cell r="H81">
            <v>266</v>
          </cell>
          <cell r="I81">
            <v>2</v>
          </cell>
          <cell r="J81">
            <v>2.73</v>
          </cell>
          <cell r="K81">
            <v>323</v>
          </cell>
          <cell r="L81">
            <v>1</v>
          </cell>
          <cell r="M81">
            <v>1.48</v>
          </cell>
        </row>
        <row r="82">
          <cell r="A82" t="str">
            <v>YI-LW70-5D1O</v>
          </cell>
          <cell r="B82">
            <v>38308</v>
          </cell>
          <cell r="C82">
            <v>40</v>
          </cell>
          <cell r="D82">
            <v>35.09</v>
          </cell>
          <cell r="E82">
            <v>32438</v>
          </cell>
          <cell r="F82">
            <v>39</v>
          </cell>
          <cell r="G82">
            <v>36.31</v>
          </cell>
          <cell r="H82">
            <v>17486</v>
          </cell>
          <cell r="I82">
            <v>25</v>
          </cell>
          <cell r="J82">
            <v>27.66</v>
          </cell>
          <cell r="K82">
            <v>5929</v>
          </cell>
          <cell r="L82">
            <v>11</v>
          </cell>
          <cell r="M82">
            <v>7.69</v>
          </cell>
        </row>
        <row r="83">
          <cell r="A83" t="str">
            <v>HF-a49e-CBSM-ZF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192</v>
          </cell>
          <cell r="L83">
            <v>2</v>
          </cell>
          <cell r="M83">
            <v>0.57</v>
          </cell>
        </row>
        <row r="84">
          <cell r="A84" t="str">
            <v>HF-g1e-AFDM-ZF</v>
          </cell>
          <cell r="B84">
            <v>680</v>
          </cell>
          <cell r="C84">
            <v>0</v>
          </cell>
          <cell r="D84">
            <v>0</v>
          </cell>
          <cell r="E84">
            <v>2846</v>
          </cell>
          <cell r="F84">
            <v>7</v>
          </cell>
          <cell r="G84">
            <v>8.27</v>
          </cell>
          <cell r="H84">
            <v>1062</v>
          </cell>
          <cell r="I84">
            <v>2</v>
          </cell>
          <cell r="J84">
            <v>0.67</v>
          </cell>
          <cell r="K84">
            <v>953</v>
          </cell>
          <cell r="L84">
            <v>0</v>
          </cell>
          <cell r="M84">
            <v>0</v>
          </cell>
        </row>
        <row r="85">
          <cell r="A85" t="str">
            <v>HF-f12-FACL-ZF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3298</v>
          </cell>
          <cell r="L85">
            <v>4</v>
          </cell>
          <cell r="M85">
            <v>2.24</v>
          </cell>
        </row>
        <row r="86">
          <cell r="A86" t="str">
            <v>HF-a02e-STSB-ZF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111</v>
          </cell>
          <cell r="I86">
            <v>2</v>
          </cell>
          <cell r="J86">
            <v>0.71</v>
          </cell>
          <cell r="K86">
            <v>462</v>
          </cell>
          <cell r="L86">
            <v>0</v>
          </cell>
          <cell r="M86">
            <v>0</v>
          </cell>
        </row>
        <row r="87">
          <cell r="A87" t="str">
            <v>HF-f15b-EXBS-ZF</v>
          </cell>
          <cell r="B87">
            <v>2857</v>
          </cell>
          <cell r="C87">
            <v>2</v>
          </cell>
          <cell r="D87">
            <v>1.01</v>
          </cell>
          <cell r="E87">
            <v>12417</v>
          </cell>
          <cell r="F87">
            <v>16</v>
          </cell>
          <cell r="G87">
            <v>15.25</v>
          </cell>
          <cell r="H87">
            <v>366</v>
          </cell>
          <cell r="I87">
            <v>3</v>
          </cell>
          <cell r="J87">
            <v>1.7</v>
          </cell>
          <cell r="K87">
            <v>286</v>
          </cell>
          <cell r="L87">
            <v>3</v>
          </cell>
          <cell r="M87">
            <v>0.24</v>
          </cell>
        </row>
        <row r="88">
          <cell r="A88" t="str">
            <v>HF-g104e-PCFS</v>
          </cell>
          <cell r="B88">
            <v>16512</v>
          </cell>
          <cell r="C88">
            <v>22</v>
          </cell>
          <cell r="D88">
            <v>17.85</v>
          </cell>
          <cell r="E88">
            <v>10317</v>
          </cell>
          <cell r="F88">
            <v>21</v>
          </cell>
          <cell r="G88">
            <v>22.09</v>
          </cell>
          <cell r="H88">
            <v>2346</v>
          </cell>
          <cell r="I88">
            <v>4</v>
          </cell>
          <cell r="J88">
            <v>2.73</v>
          </cell>
          <cell r="K88">
            <v>3194</v>
          </cell>
          <cell r="L88">
            <v>4</v>
          </cell>
          <cell r="M88">
            <v>2.9</v>
          </cell>
        </row>
        <row r="89">
          <cell r="A89" t="str">
            <v>HF-a56e-EYES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251</v>
          </cell>
          <cell r="L89">
            <v>1</v>
          </cell>
          <cell r="M89">
            <v>0.69</v>
          </cell>
        </row>
        <row r="90">
          <cell r="A90" t="str">
            <v>5X-E8TX-UKIW</v>
          </cell>
          <cell r="B90">
            <v>923</v>
          </cell>
          <cell r="C90">
            <v>1</v>
          </cell>
          <cell r="D90">
            <v>0.02</v>
          </cell>
          <cell r="E90">
            <v>551</v>
          </cell>
          <cell r="F90">
            <v>3</v>
          </cell>
          <cell r="G90">
            <v>1.57</v>
          </cell>
          <cell r="H90">
            <v>244</v>
          </cell>
          <cell r="I90">
            <v>1</v>
          </cell>
          <cell r="J90">
            <v>0.03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HF-a6e-LASS</v>
          </cell>
          <cell r="B91">
            <v>11858</v>
          </cell>
          <cell r="C91">
            <v>7</v>
          </cell>
          <cell r="D91">
            <v>7.32</v>
          </cell>
          <cell r="E91">
            <v>8798</v>
          </cell>
          <cell r="F91">
            <v>8</v>
          </cell>
          <cell r="G91">
            <v>7.5</v>
          </cell>
          <cell r="H91">
            <v>828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HF-a69e-PEFGX</v>
          </cell>
          <cell r="B92">
            <v>0</v>
          </cell>
          <cell r="C92">
            <v>0</v>
          </cell>
          <cell r="D92">
            <v>0</v>
          </cell>
          <cell r="E92">
            <v>3539</v>
          </cell>
          <cell r="F92">
            <v>6</v>
          </cell>
          <cell r="G92">
            <v>7.03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HF-I2e-AABS</v>
          </cell>
          <cell r="B93">
            <v>983</v>
          </cell>
          <cell r="C93">
            <v>1</v>
          </cell>
          <cell r="D93">
            <v>1.36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HF-a5e-NCFM</v>
          </cell>
          <cell r="B94">
            <v>5291</v>
          </cell>
          <cell r="C94">
            <v>15</v>
          </cell>
          <cell r="D94">
            <v>16.61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HF-f12-FACL</v>
          </cell>
          <cell r="B95">
            <v>2335</v>
          </cell>
          <cell r="C95">
            <v>3</v>
          </cell>
          <cell r="D95">
            <v>3.32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HF-f24-ACPF</v>
          </cell>
          <cell r="B96">
            <v>6330</v>
          </cell>
          <cell r="C96">
            <v>6</v>
          </cell>
          <cell r="D96">
            <v>3.9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HF-g2e-ACRC</v>
          </cell>
          <cell r="B97">
            <v>651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MY71107K0XXL</v>
          </cell>
          <cell r="B98">
            <v>3175</v>
          </cell>
          <cell r="C98">
            <v>11</v>
          </cell>
          <cell r="D98">
            <v>6.13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MY71107ZQXXL</v>
          </cell>
          <cell r="B99">
            <v>11310</v>
          </cell>
          <cell r="C99">
            <v>28</v>
          </cell>
          <cell r="D99">
            <v>14.28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B6" sqref="B6:AV165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3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IFERROR(VLOOKUP(A2,[4]库存报告使用数据处理!$A:$B,2,0),0)</f>
        <v>3</v>
      </c>
      <c r="E2" s="12">
        <f>IFERROR(VLOOKUP(A2,[4]库存报告使用数据处理!$A:$C,3,0),0)</f>
        <v>1</v>
      </c>
      <c r="F2" s="12">
        <f>IFERROR(VLOOKUP(A2,[4]库存报告使用数据处理!$A:$D,4,0),0)</f>
        <v>2</v>
      </c>
      <c r="G2" s="12">
        <f>IFERROR(VLOOKUP(A2,[4]库存报告使用数据处理!$A:$E,5,0),0)</f>
        <v>1</v>
      </c>
      <c r="H2" s="12">
        <f>IFERROR(VLOOKUP(A2,[4]库存报告使用数据处理!$A:$F,6,0),0)</f>
        <v>53.5728571428571</v>
      </c>
      <c r="I2" s="12">
        <f>IFERROR(VLOOKUP($A2,[2]数据处理!$A:$B,2,0),0)</f>
        <v>39</v>
      </c>
      <c r="J2" s="12">
        <f>IFERROR(VLOOKUP($A2,[2]数据处理!$A:$D,4,0),0)</f>
        <v>0</v>
      </c>
      <c r="K2" s="12">
        <f>IFERROR(VLOOKUP($A2,[2]数据处理!$A:$E,5,0),0)</f>
        <v>0</v>
      </c>
      <c r="L2" s="12">
        <f>IFERROR(VLOOKUP($A2,[2]数据处理!$A:$G,7,0),0)</f>
        <v>0</v>
      </c>
      <c r="M2" s="19">
        <f t="shared" ref="M2:M68" si="0">SUM(I2:L2)</f>
        <v>39</v>
      </c>
      <c r="N2" s="12">
        <f>IFERROR(VLOOKUP($A2,[2]数据处理!$A:$N,14,0),0)</f>
        <v>38</v>
      </c>
      <c r="O2">
        <f>IFERROR(VLOOKUP(D2,[2]数据处理!$A:$C,3,0),0)</f>
        <v>0</v>
      </c>
      <c r="P2">
        <f ca="1">IFERROR(VLOOKUP($A2,[5]库存报告使用数据!$A$1:$B$65536,2,0),0)</f>
        <v>359</v>
      </c>
      <c r="Q2">
        <f ca="1">IFERROR(VLOOKUP($A2,[5]库存报告使用数据!$A$1:$E$65536,5,0),0)</f>
        <v>1373</v>
      </c>
      <c r="R2">
        <f ca="1">IFERROR(VLOOKUP($A2,[5]库存报告使用数据!$A$1:$H$65536,8,0),0)</f>
        <v>643</v>
      </c>
      <c r="S2">
        <f ca="1">IFERROR(VLOOKUP($A2,[5]库存报告使用数据!$A$1:$K$65536,11,0),0)</f>
        <v>439</v>
      </c>
      <c r="T2">
        <f ca="1">IFERROR(VLOOKUP($A2,[5]库存报告使用数据!$A$1:$C$65536,3,0),"")</f>
        <v>1</v>
      </c>
      <c r="U2">
        <f ca="1">IFERROR(VLOOKUP($A2,[5]库存报告使用数据!$A$1:$F$65536,6,0),"")</f>
        <v>1</v>
      </c>
      <c r="V2">
        <f ca="1">IFERROR(VLOOKUP($A2,[5]库存报告使用数据!$A$1:$I$65536,9,0),"")</f>
        <v>1</v>
      </c>
      <c r="W2">
        <f ca="1">IFERROR(VLOOKUP($A2,[5]库存报告使用数据!$A$1:$L$65536,12,0),"")</f>
        <v>0</v>
      </c>
      <c r="X2" s="6">
        <f ca="1" t="shared" ref="X2:X68" si="1">IF(P2=0,"",T2/P2)</f>
        <v>0.00278551532033426</v>
      </c>
      <c r="Y2" s="6">
        <f ca="1" t="shared" ref="Y2:Y68" si="2">IF(Q2=0,"",U2/Q2)</f>
        <v>0.000728332119446468</v>
      </c>
      <c r="Z2" s="6">
        <f ca="1" t="shared" ref="Z2:Z68" si="3">IF(R2=0,"",V2/R2)</f>
        <v>0.0015552099533437</v>
      </c>
      <c r="AA2" s="6">
        <f ca="1" t="shared" ref="AA2:AA68" si="4">IF(S2=0,"",W2/S2)</f>
        <v>0</v>
      </c>
      <c r="AB2">
        <f ca="1">IFERROR(VLOOKUP($A2,[5]库存报告使用数据!$A$1:$D$65536,4,0),"")</f>
        <v>1.46</v>
      </c>
      <c r="AC2">
        <f ca="1">IFERROR(VLOOKUP($A2,[5]库存报告使用数据!$A$1:$G$65536,7,0),"")</f>
        <v>0.83</v>
      </c>
      <c r="AD2">
        <f ca="1">IFERROR(VLOOKUP($A2,[5]库存报告使用数据!$A$1:$J$65536,10,0),"")</f>
        <v>0.47</v>
      </c>
      <c r="AE2">
        <f ca="1">IFERROR(VLOOKUP($A2,[5]库存报告使用数据!$A$1:$M$65536,13,0),"")</f>
        <v>0</v>
      </c>
      <c r="AF2" s="6">
        <f ca="1" t="shared" ref="AF2:AI2" si="5">IF(AND(AB2&gt;0,D2=0),"有广告无销售广告费为"&amp;AB2,IF(D2=0,"",IF(AB2=0,0,IFERROR(AB2/(D2*$H2),""))))</f>
        <v>0.00908420219905248</v>
      </c>
      <c r="AG2" s="6">
        <f ca="1" t="shared" si="5"/>
        <v>0.015492920188795</v>
      </c>
      <c r="AH2" s="6">
        <f ca="1" t="shared" si="5"/>
        <v>0.00438654969200822</v>
      </c>
      <c r="AI2" s="6">
        <f ca="1" t="shared" si="5"/>
        <v>0</v>
      </c>
      <c r="AJ2" t="str">
        <f>IFERROR(VLOOKUP($B2,'[3]浏览量处理(勿删)'!$A:$B,2,0),"")</f>
        <v/>
      </c>
      <c r="AK2" t="str">
        <f>IFERROR(VLOOKUP($B2,'[3]浏览量处理(勿删)'!$A:$C,3,0),"")</f>
        <v/>
      </c>
      <c r="AL2" t="str">
        <f>IFERROR(VLOOKUP($B2,'[3]浏览量处理(勿删)'!$A:$D,4,0),"")</f>
        <v/>
      </c>
      <c r="AM2" t="str">
        <f>IFERROR(VLOOKUP($B2,'[3]浏览量处理(勿删)'!$A:$E,5,0),"")</f>
        <v/>
      </c>
      <c r="AN2" s="6" t="str">
        <f t="shared" ref="AN2:AN68" si="6">IFERROR(D2/AJ2,"")</f>
        <v/>
      </c>
      <c r="AO2" s="6" t="str">
        <f t="shared" ref="AO2:AO68" si="7">IFERROR(E2/AK2,"")</f>
        <v/>
      </c>
      <c r="AP2" s="6" t="str">
        <f t="shared" ref="AP2:AP68" si="8">IFERROR(F2/AL2,"")</f>
        <v/>
      </c>
      <c r="AQ2" s="6" t="str">
        <f t="shared" ref="AQ2:AQ68" si="9">IFERROR(G2/AM2,"")</f>
        <v/>
      </c>
      <c r="AR2" s="28">
        <f t="shared" ref="AR2:AR68" si="10">IFERROR(D2/7,"")</f>
        <v>0.428571428571429</v>
      </c>
      <c r="AS2" s="28">
        <f t="shared" ref="AS2:AS68" si="11">IF(AR2="","上周无销量",60*AR2)</f>
        <v>25.7142857142857</v>
      </c>
      <c r="AT2" s="28">
        <f t="shared" ref="AT2:AT68" si="12">IF(AS2="上周无销量","上周无销量/总库存"&amp;M2,M2-AS2)</f>
        <v>13.2857142857143</v>
      </c>
      <c r="AU2" s="12">
        <f t="shared" ref="AU2:AU68" si="13">IF(AR2="","库存为"&amp;M2,IF(AS2=0,"库存为"&amp;M2,INT(M2/AR2)))</f>
        <v>91</v>
      </c>
      <c r="AV2" s="29" t="str">
        <f>IFERROR($A$2+AU2,"上周无销量")</f>
        <v>上周无销量</v>
      </c>
      <c r="AW2" s="29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2018/7/2-2018/7/8</v>
      </c>
      <c r="E3" s="14" t="str">
        <f>TEXT(时间!$B$8,"yyyy/M/d")&amp;"-"&amp;TEXT(时间!$B$7,"yyyy/Md")</f>
        <v>2018/6/25-2018/71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3"/>
      <c r="J3" s="13"/>
      <c r="K3" s="13"/>
      <c r="L3" s="13"/>
      <c r="M3" s="13"/>
      <c r="N3" s="13"/>
      <c r="O3" s="20" t="s">
        <v>13</v>
      </c>
      <c r="P3" s="13"/>
      <c r="Q3" s="24"/>
      <c r="R3" s="24"/>
      <c r="S3" s="24"/>
      <c r="T3" s="24"/>
      <c r="U3" s="24"/>
      <c r="V3" s="24"/>
      <c r="W3" s="24"/>
      <c r="X3" s="25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21" t="s">
        <v>29</v>
      </c>
      <c r="Q4" s="21" t="s">
        <v>30</v>
      </c>
      <c r="R4" s="21" t="s">
        <v>31</v>
      </c>
      <c r="S4" s="21" t="s">
        <v>32</v>
      </c>
      <c r="T4" s="21" t="s">
        <v>33</v>
      </c>
      <c r="U4" s="21" t="s">
        <v>34</v>
      </c>
      <c r="V4" s="21" t="s">
        <v>35</v>
      </c>
      <c r="W4" s="21" t="s">
        <v>36</v>
      </c>
      <c r="X4" s="26" t="s">
        <v>37</v>
      </c>
      <c r="Y4" s="21" t="s">
        <v>38</v>
      </c>
      <c r="Z4" s="21" t="s">
        <v>39</v>
      </c>
      <c r="AA4" s="21" t="s">
        <v>40</v>
      </c>
      <c r="AB4" s="21" t="s">
        <v>41</v>
      </c>
      <c r="AC4" s="21" t="s">
        <v>42</v>
      </c>
      <c r="AD4" s="21" t="s">
        <v>43</v>
      </c>
      <c r="AE4" s="21" t="s">
        <v>44</v>
      </c>
      <c r="AF4" s="21">
        <f>时间!$B$6</f>
        <v>43283</v>
      </c>
      <c r="AG4" s="21">
        <f>时间!$B$7</f>
        <v>43282</v>
      </c>
      <c r="AH4" s="21">
        <f>时间!$B$8</f>
        <v>43276</v>
      </c>
      <c r="AI4" s="21">
        <f>时间!$B$9</f>
        <v>43275</v>
      </c>
      <c r="AJ4" s="21">
        <f>时间!$B$6</f>
        <v>43283</v>
      </c>
      <c r="AK4" s="21">
        <f>时间!$B$7</f>
        <v>43282</v>
      </c>
      <c r="AL4" s="21">
        <f>时间!$B$8</f>
        <v>43276</v>
      </c>
      <c r="AM4" s="21">
        <f>时间!$B$9</f>
        <v>43275</v>
      </c>
      <c r="AN4" s="21">
        <f>时间!$B$6</f>
        <v>43283</v>
      </c>
      <c r="AO4" s="21">
        <f>时间!$B$7</f>
        <v>43282</v>
      </c>
      <c r="AP4" s="21">
        <f>时间!$B$8</f>
        <v>43276</v>
      </c>
      <c r="AQ4" s="21">
        <f>时间!$B$9</f>
        <v>43275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141</v>
      </c>
      <c r="E5" s="15">
        <f>SUM(E6:E65536)</f>
        <v>105</v>
      </c>
      <c r="F5" s="15">
        <f>SUM(F6:F65536)</f>
        <v>161</v>
      </c>
      <c r="G5" s="15">
        <f>SUM(G6:G65536)</f>
        <v>148</v>
      </c>
      <c r="H5" s="15"/>
      <c r="I5" s="15">
        <f t="shared" ref="I5:O5" si="14">SUM(I6:I65536)</f>
        <v>2892</v>
      </c>
      <c r="J5" s="15">
        <f t="shared" si="14"/>
        <v>0</v>
      </c>
      <c r="K5" s="15">
        <f t="shared" si="14"/>
        <v>145</v>
      </c>
      <c r="L5" s="15">
        <f t="shared" si="14"/>
        <v>175</v>
      </c>
      <c r="M5" s="15">
        <f t="shared" si="14"/>
        <v>3212</v>
      </c>
      <c r="N5" s="15">
        <f t="shared" si="14"/>
        <v>81</v>
      </c>
      <c r="O5" s="15">
        <f t="shared" si="14"/>
        <v>2097</v>
      </c>
      <c r="P5" s="17"/>
      <c r="R5" s="17"/>
      <c r="S5" s="17"/>
      <c r="T5" s="17"/>
      <c r="U5" s="17"/>
      <c r="V5" s="17"/>
      <c r="W5" s="17"/>
      <c r="X5" s="17"/>
      <c r="Y5" s="27"/>
      <c r="Z5" s="27"/>
      <c r="AA5" s="27"/>
      <c r="AB5" s="15">
        <f ca="1">SUM(AB6:AB65536)</f>
        <v>333.39</v>
      </c>
      <c r="AC5" s="15">
        <f ca="1">SUM(AC6:AC65536)</f>
        <v>537.04</v>
      </c>
      <c r="AD5" s="15">
        <f ca="1">SUM(AD6:AD65536)</f>
        <v>342.02</v>
      </c>
      <c r="AE5" s="15">
        <f ca="1">SUM(AE6:AE65536)</f>
        <v>301.96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30"/>
      <c r="AS5" s="17"/>
      <c r="AT5" s="17"/>
      <c r="AU5" s="31"/>
      <c r="AV5" s="31"/>
    </row>
    <row r="6" spans="1:48">
      <c r="A6" s="16" t="s">
        <v>51</v>
      </c>
      <c r="B6" s="17" t="str">
        <f>VLOOKUP(A6,[1]sku_fnsku_asin_产品名称!$A:$C,3,0)</f>
        <v>B004H09KEQ</v>
      </c>
      <c r="C6" s="17">
        <f>VLOOKUP(A6,[1]sku_fnsku_asin_产品名称!$A:$D,4,0)</f>
        <v>0</v>
      </c>
      <c r="D6" s="18">
        <f>IFERROR(VLOOKUP(A6,[4]库存报告使用数据处理!$A:$B,2,0),0)</f>
        <v>0</v>
      </c>
      <c r="E6" s="18">
        <f>IFERROR(VLOOKUP(A6,[4]库存报告使用数据处理!$A:$C,3,0),0)</f>
        <v>0</v>
      </c>
      <c r="F6" s="18">
        <f>IFERROR(VLOOKUP(A6,[4]库存报告使用数据处理!$A:$D,4,0),0)</f>
        <v>0</v>
      </c>
      <c r="G6" s="18">
        <f>IFERROR(VLOOKUP(A6,[4]库存报告使用数据处理!$A:$E,5,0),0)</f>
        <v>0</v>
      </c>
      <c r="H6" s="18">
        <f>IFERROR(VLOOKUP(A6,[4]库存报告使用数据处理!$A:$F,6,0),0)</f>
        <v>0</v>
      </c>
      <c r="I6" s="18">
        <f>IFERROR(VLOOKUP($A6,[2]数据处理!$A:$B,2,0),0)</f>
        <v>0</v>
      </c>
      <c r="J6" s="18">
        <f>IFERROR(VLOOKUP($A6,[2]数据处理!$A:$D,4,0),0)</f>
        <v>0</v>
      </c>
      <c r="K6" s="18">
        <f>IFERROR(VLOOKUP($A6,[2]数据处理!$A:$E,5,0),0)</f>
        <v>0</v>
      </c>
      <c r="L6" s="18">
        <f>IFERROR(VLOOKUP($A6,[2]数据处理!$A:$N,7,0),0)</f>
        <v>0</v>
      </c>
      <c r="M6" s="22">
        <f t="shared" si="0"/>
        <v>0</v>
      </c>
      <c r="N6" s="18">
        <f>IFERROR(VLOOKUP($A6,[2]数据处理!$A:$N,3,0),0)</f>
        <v>0</v>
      </c>
      <c r="O6" s="17">
        <f>IFERROR(VLOOKUP($A6,[2]数据处理!$A:$N,14,0),0)</f>
        <v>0</v>
      </c>
      <c r="P6" s="17">
        <f>IFERROR(VLOOKUP($A6,[5]库存报告使用数据!$A$1:$B$65536,2,0),0)</f>
        <v>0</v>
      </c>
      <c r="Q6" s="17">
        <f>IFERROR(VLOOKUP($A6,[5]库存报告使用数据!$A$1:$E$65536,5,0),0)</f>
        <v>0</v>
      </c>
      <c r="R6" s="17">
        <f>IFERROR(VLOOKUP($A6,[5]库存报告使用数据!$A$1:$H$65536,8,0),0)</f>
        <v>0</v>
      </c>
      <c r="S6" s="17">
        <f>IFERROR(VLOOKUP($A6,[5]库存报告使用数据!$A$1:$K$65536,11,0),0)</f>
        <v>0</v>
      </c>
      <c r="T6" s="17" t="str">
        <f>IFERROR(VLOOKUP($A6,[5]库存报告使用数据!$A$1:$C$65536,3,0),"")</f>
        <v/>
      </c>
      <c r="U6" s="17" t="str">
        <f>IFERROR(VLOOKUP($A6,[5]库存报告使用数据!$A$1:$F$65536,6,0),"")</f>
        <v/>
      </c>
      <c r="V6" s="17" t="str">
        <f>IFERROR(VLOOKUP($A6,[5]库存报告使用数据!$A$1:$I$65536,9,0),"")</f>
        <v/>
      </c>
      <c r="W6" s="17" t="str">
        <f>IFERROR(VLOOKUP($A6,[5]库存报告使用数据!$A$1:$L$65536,12,0),"")</f>
        <v/>
      </c>
      <c r="X6" s="27" t="str">
        <f t="shared" si="1"/>
        <v/>
      </c>
      <c r="Y6" s="27" t="str">
        <f t="shared" si="2"/>
        <v/>
      </c>
      <c r="Z6" s="27" t="str">
        <f t="shared" si="3"/>
        <v/>
      </c>
      <c r="AA6" s="27" t="str">
        <f t="shared" si="4"/>
        <v/>
      </c>
      <c r="AB6" s="17" t="str">
        <f>IFERROR(VLOOKUP($A6,[5]库存报告使用数据!$A$1:$D$65536,4,0),"")</f>
        <v/>
      </c>
      <c r="AC6" s="17" t="str">
        <f>IFERROR(VLOOKUP($A6,[5]库存报告使用数据!$A$1:$G$65536,7,0),"")</f>
        <v/>
      </c>
      <c r="AD6" s="17" t="str">
        <f>IFERROR(VLOOKUP($A6,[5]库存报告使用数据!$A$1:$J$65536,10,0),"")</f>
        <v/>
      </c>
      <c r="AE6" s="17" t="str">
        <f>IFERROR(VLOOKUP($A6,[5]库存报告使用数据!$A$1:$M$65536,13,0),"")</f>
        <v/>
      </c>
      <c r="AF6" s="27" t="str">
        <f t="shared" ref="AF6:AF69" si="15">IF(AND(AB6&gt;0,D6=0),"有广告无销售广告费为"&amp;AB6,IF(D6=0,"",IF(AB6=0,0,IFERROR(AB6/(D6*$H6),""))))</f>
        <v>有广告无销售广告费为</v>
      </c>
      <c r="AG6" s="27" t="str">
        <f t="shared" ref="AG6:AG69" si="16">IF(AND(AC6&gt;0,E6=0),"有广告无销售广告费为"&amp;AC6,IF(E6=0,"",IF(AC6=0,0,IFERROR(AC6/(E6*$H6),""))))</f>
        <v>有广告无销售广告费为</v>
      </c>
      <c r="AH6" s="27" t="str">
        <f t="shared" ref="AH6:AH69" si="17">IF(AND(AD6&gt;0,F6=0),"有广告无销售广告费为"&amp;AD6,IF(F6=0,"",IF(AD6=0,0,IFERROR(AD6/(F6*$H6),""))))</f>
        <v>有广告无销售广告费为</v>
      </c>
      <c r="AI6" s="27" t="str">
        <f t="shared" ref="AI6:AI69" si="18">IF(AND(AE6&gt;0,G6=0),"有广告无销售广告费为"&amp;AE6,IF(G6=0,"",IF(AE6=0,0,IFERROR(AE6/(G6*$H6),""))))</f>
        <v>有广告无销售广告费为</v>
      </c>
      <c r="AJ6" s="17">
        <f>IFERROR(VLOOKUP($B6,'[3]浏览量处理(勿删)'!$A:$B,2,0),"")</f>
        <v>94</v>
      </c>
      <c r="AK6" s="17">
        <f>IFERROR(VLOOKUP($B6,'[3]浏览量处理(勿删)'!$A:$C,3,0),"")</f>
        <v>58</v>
      </c>
      <c r="AL6" s="17">
        <f>IFERROR(VLOOKUP($B6,'[3]浏览量处理(勿删)'!$A:$D,4,0),"")</f>
        <v>69</v>
      </c>
      <c r="AM6" s="17">
        <f>IFERROR(VLOOKUP($B6,'[3]浏览量处理(勿删)'!$A:$E,5,0),"")</f>
        <v>335</v>
      </c>
      <c r="AN6" s="27">
        <f t="shared" si="6"/>
        <v>0</v>
      </c>
      <c r="AO6" s="27">
        <f t="shared" si="7"/>
        <v>0</v>
      </c>
      <c r="AP6" s="27">
        <f t="shared" si="8"/>
        <v>0</v>
      </c>
      <c r="AQ6" s="27">
        <f t="shared" si="9"/>
        <v>0</v>
      </c>
      <c r="AR6" s="32">
        <f t="shared" si="10"/>
        <v>0</v>
      </c>
      <c r="AS6" s="32">
        <f t="shared" si="11"/>
        <v>0</v>
      </c>
      <c r="AT6" s="32">
        <f t="shared" si="12"/>
        <v>0</v>
      </c>
      <c r="AU6" s="18" t="str">
        <f t="shared" si="13"/>
        <v>库存为0</v>
      </c>
      <c r="AV6" s="33" t="str">
        <f>IFERROR(时间!$B$4+AU6,"上周无销量")</f>
        <v>上周无销量</v>
      </c>
    </row>
    <row r="7" spans="1:48">
      <c r="A7" s="16" t="s">
        <v>52</v>
      </c>
      <c r="B7" s="17" t="str">
        <f>VLOOKUP(A7,[1]sku_fnsku_asin_产品名称!$A:$C,3,0)</f>
        <v>B0052K03KA</v>
      </c>
      <c r="C7" s="17" t="str">
        <f>VLOOKUP(A7,[1]sku_fnsku_asin_产品名称!$A:$D,4,0)</f>
        <v>Premier Dead Sea Essential Face Cleanser for Men</v>
      </c>
      <c r="D7" s="18">
        <f>IFERROR(VLOOKUP(A7,[4]库存报告使用数据处理!$A:$B,2,0),0)</f>
        <v>7</v>
      </c>
      <c r="E7" s="18">
        <f>IFERROR(VLOOKUP(A7,[4]库存报告使用数据处理!$A:$C,3,0),0)</f>
        <v>4</v>
      </c>
      <c r="F7" s="18">
        <f>IFERROR(VLOOKUP(A7,[4]库存报告使用数据处理!$A:$D,4,0),0)</f>
        <v>2</v>
      </c>
      <c r="G7" s="18">
        <f>IFERROR(VLOOKUP(A7,[4]库存报告使用数据处理!$A:$E,5,0),0)</f>
        <v>8</v>
      </c>
      <c r="H7" s="18">
        <f>IFERROR(VLOOKUP(A7,[4]库存报告使用数据处理!$A:$F,6,0),0)</f>
        <v>13.7561904761905</v>
      </c>
      <c r="I7" s="18">
        <f>IFERROR(VLOOKUP($A7,[2]数据处理!$A:$B,2,0),0)</f>
        <v>186</v>
      </c>
      <c r="J7" s="18">
        <f>IFERROR(VLOOKUP($A7,[2]数据处理!$A:$D,4,0),0)</f>
        <v>0</v>
      </c>
      <c r="K7" s="18">
        <f>IFERROR(VLOOKUP($A7,[2]数据处理!$A:$E,5,0),0)</f>
        <v>0</v>
      </c>
      <c r="L7" s="18">
        <f>IFERROR(VLOOKUP($A7,[2]数据处理!$A:$N,7,0),0)</f>
        <v>0</v>
      </c>
      <c r="M7" s="22">
        <f t="shared" si="0"/>
        <v>186</v>
      </c>
      <c r="N7" s="18">
        <f>IFERROR(VLOOKUP($A7,[2]数据处理!$A:$N,3,0),0)</f>
        <v>1</v>
      </c>
      <c r="O7" s="17">
        <f>IFERROR(VLOOKUP($A7,[2]数据处理!$A:$N,14,0),0)</f>
        <v>187</v>
      </c>
      <c r="P7" s="17">
        <f>IFERROR(VLOOKUP($A7,[5]库存报告使用数据!$A$1:$B$65536,2,0),0)</f>
        <v>304</v>
      </c>
      <c r="Q7" s="17">
        <f>IFERROR(VLOOKUP($A7,[5]库存报告使用数据!$A$1:$E$65536,5,0),0)</f>
        <v>132</v>
      </c>
      <c r="R7" s="17">
        <f>IFERROR(VLOOKUP($A7,[5]库存报告使用数据!$A$1:$H$65536,8,0),0)</f>
        <v>1311</v>
      </c>
      <c r="S7" s="17">
        <f>IFERROR(VLOOKUP($A7,[5]库存报告使用数据!$A$1:$K$65536,11,0),0)</f>
        <v>458</v>
      </c>
      <c r="T7" s="17">
        <f>IFERROR(VLOOKUP($A7,[5]库存报告使用数据!$A$1:$C$65536,3,0),"")</f>
        <v>3</v>
      </c>
      <c r="U7" s="17">
        <f>IFERROR(VLOOKUP($A7,[5]库存报告使用数据!$A$1:$F$65536,6,0),"")</f>
        <v>0</v>
      </c>
      <c r="V7" s="17">
        <f>IFERROR(VLOOKUP($A7,[5]库存报告使用数据!$A$1:$I$65536,9,0),"")</f>
        <v>2</v>
      </c>
      <c r="W7" s="17">
        <f>IFERROR(VLOOKUP($A7,[5]库存报告使用数据!$A$1:$L$65536,12,0),"")</f>
        <v>1</v>
      </c>
      <c r="X7" s="27">
        <f t="shared" si="1"/>
        <v>0.00986842105263158</v>
      </c>
      <c r="Y7" s="27">
        <f t="shared" si="2"/>
        <v>0</v>
      </c>
      <c r="Z7" s="27">
        <f t="shared" si="3"/>
        <v>0.0015255530129672</v>
      </c>
      <c r="AA7" s="27">
        <f t="shared" si="4"/>
        <v>0.00218340611353712</v>
      </c>
      <c r="AB7" s="17">
        <f>IFERROR(VLOOKUP($A7,[5]库存报告使用数据!$A$1:$D$65536,4,0),"")</f>
        <v>1.38</v>
      </c>
      <c r="AC7" s="17">
        <f>IFERROR(VLOOKUP($A7,[5]库存报告使用数据!$A$1:$G$65536,7,0),"")</f>
        <v>0</v>
      </c>
      <c r="AD7" s="17">
        <f>IFERROR(VLOOKUP($A7,[5]库存报告使用数据!$A$1:$J$65536,10,0),"")</f>
        <v>0.75</v>
      </c>
      <c r="AE7" s="17">
        <f>IFERROR(VLOOKUP($A7,[5]库存报告使用数据!$A$1:$M$65536,13,0),"")</f>
        <v>0.42</v>
      </c>
      <c r="AF7" s="27">
        <f t="shared" si="15"/>
        <v>0.0143312101910828</v>
      </c>
      <c r="AG7" s="27">
        <f t="shared" si="16"/>
        <v>0</v>
      </c>
      <c r="AH7" s="27">
        <f t="shared" si="17"/>
        <v>0.0272604541678205</v>
      </c>
      <c r="AI7" s="27">
        <f t="shared" si="18"/>
        <v>0.00381646358349487</v>
      </c>
      <c r="AJ7" s="17">
        <f>IFERROR(VLOOKUP($B7,'[3]浏览量处理(勿删)'!$A:$B,2,0),"")</f>
        <v>20</v>
      </c>
      <c r="AK7" s="17">
        <f>IFERROR(VLOOKUP($B7,'[3]浏览量处理(勿删)'!$A:$C,3,0),"")</f>
        <v>8</v>
      </c>
      <c r="AL7" s="17">
        <f>IFERROR(VLOOKUP($B7,'[3]浏览量处理(勿删)'!$A:$D,4,0),"")</f>
        <v>22</v>
      </c>
      <c r="AM7" s="17">
        <f>IFERROR(VLOOKUP($B7,'[3]浏览量处理(勿删)'!$A:$E,5,0),"")</f>
        <v>70</v>
      </c>
      <c r="AN7" s="27">
        <f t="shared" si="6"/>
        <v>0.35</v>
      </c>
      <c r="AO7" s="27">
        <f t="shared" si="7"/>
        <v>0.5</v>
      </c>
      <c r="AP7" s="27">
        <f t="shared" si="8"/>
        <v>0.0909090909090909</v>
      </c>
      <c r="AQ7" s="27">
        <f t="shared" si="9"/>
        <v>0.114285714285714</v>
      </c>
      <c r="AR7" s="32">
        <f t="shared" si="10"/>
        <v>1</v>
      </c>
      <c r="AS7" s="32">
        <f t="shared" si="11"/>
        <v>60</v>
      </c>
      <c r="AT7" s="32">
        <f t="shared" si="12"/>
        <v>126</v>
      </c>
      <c r="AU7" s="18">
        <f t="shared" si="13"/>
        <v>186</v>
      </c>
      <c r="AV7" s="33">
        <f>IFERROR(时间!$B$4+AU7,"上周无销量")</f>
        <v>43476</v>
      </c>
    </row>
    <row r="8" spans="1:48">
      <c r="A8" s="16" t="s">
        <v>53</v>
      </c>
      <c r="B8" s="17" t="str">
        <f>VLOOKUP(A8,[1]sku_fnsku_asin_产品名称!$A:$C,3,0)</f>
        <v>B00157ZFC0</v>
      </c>
      <c r="C8" s="17" t="str">
        <f>VLOOKUP(A8,[1]sku_fnsku_asin_产品名称!$A:$D,4,0)</f>
        <v>Premier Dead Sea Body Butter Herbal Scent</v>
      </c>
      <c r="D8" s="18">
        <f>IFERROR(VLOOKUP(A8,[4]库存报告使用数据处理!$A:$B,2,0),0)</f>
        <v>3</v>
      </c>
      <c r="E8" s="18">
        <f>IFERROR(VLOOKUP(A8,[4]库存报告使用数据处理!$A:$C,3,0),0)</f>
        <v>4</v>
      </c>
      <c r="F8" s="18">
        <f>IFERROR(VLOOKUP(A8,[4]库存报告使用数据处理!$A:$D,4,0),0)</f>
        <v>2</v>
      </c>
      <c r="G8" s="18">
        <f>IFERROR(VLOOKUP(A8,[4]库存报告使用数据处理!$A:$E,5,0),0)</f>
        <v>3</v>
      </c>
      <c r="H8" s="18">
        <f>IFERROR(VLOOKUP(A8,[4]库存报告使用数据处理!$A:$F,6,0),0)</f>
        <v>19.99</v>
      </c>
      <c r="I8" s="18">
        <f>IFERROR(VLOOKUP($A8,[2]数据处理!$A:$B,2,0),0)</f>
        <v>111</v>
      </c>
      <c r="J8" s="18">
        <f>IFERROR(VLOOKUP($A8,[2]数据处理!$A:$D,4,0),0)</f>
        <v>0</v>
      </c>
      <c r="K8" s="18">
        <f>IFERROR(VLOOKUP($A8,[2]数据处理!$A:$E,5,0),0)</f>
        <v>0</v>
      </c>
      <c r="L8" s="18">
        <f>IFERROR(VLOOKUP($A8,[2]数据处理!$A:$N,7,0),0)</f>
        <v>0</v>
      </c>
      <c r="M8" s="22">
        <f t="shared" si="0"/>
        <v>111</v>
      </c>
      <c r="N8" s="18">
        <f>IFERROR(VLOOKUP($A8,[2]数据处理!$A:$N,3,0),0)</f>
        <v>0</v>
      </c>
      <c r="O8" s="17">
        <f>IFERROR(VLOOKUP($A8,[2]数据处理!$A:$N,14,0),0)</f>
        <v>110</v>
      </c>
      <c r="P8" s="17">
        <f>IFERROR(VLOOKUP($A8,[5]库存报告使用数据!$A$1:$B$65536,2,0),0)</f>
        <v>162</v>
      </c>
      <c r="Q8" s="17">
        <f>IFERROR(VLOOKUP($A8,[5]库存报告使用数据!$A$1:$E$65536,5,0),0)</f>
        <v>669</v>
      </c>
      <c r="R8" s="17">
        <f>IFERROR(VLOOKUP($A8,[5]库存报告使用数据!$A$1:$H$65536,8,0),0)</f>
        <v>1123</v>
      </c>
      <c r="S8" s="17">
        <f>IFERROR(VLOOKUP($A8,[5]库存报告使用数据!$A$1:$K$65536,11,0),0)</f>
        <v>1409</v>
      </c>
      <c r="T8" s="17">
        <f>IFERROR(VLOOKUP($A8,[5]库存报告使用数据!$A$1:$C$65536,3,0),"")</f>
        <v>0</v>
      </c>
      <c r="U8" s="17">
        <f>IFERROR(VLOOKUP($A8,[5]库存报告使用数据!$A$1:$F$65536,6,0),"")</f>
        <v>1</v>
      </c>
      <c r="V8" s="17">
        <f>IFERROR(VLOOKUP($A8,[5]库存报告使用数据!$A$1:$I$65536,9,0),"")</f>
        <v>0</v>
      </c>
      <c r="W8" s="17">
        <f>IFERROR(VLOOKUP($A8,[5]库存报告使用数据!$A$1:$L$65536,12,0),"")</f>
        <v>4</v>
      </c>
      <c r="X8" s="27">
        <f t="shared" si="1"/>
        <v>0</v>
      </c>
      <c r="Y8" s="27">
        <f t="shared" si="2"/>
        <v>0.00149476831091181</v>
      </c>
      <c r="Z8" s="27">
        <f t="shared" si="3"/>
        <v>0</v>
      </c>
      <c r="AA8" s="27">
        <f t="shared" si="4"/>
        <v>0.0028388928317956</v>
      </c>
      <c r="AB8" s="17">
        <f>IFERROR(VLOOKUP($A8,[5]库存报告使用数据!$A$1:$D$65536,4,0),"")</f>
        <v>0</v>
      </c>
      <c r="AC8" s="17">
        <f>IFERROR(VLOOKUP($A8,[5]库存报告使用数据!$A$1:$G$65536,7,0),"")</f>
        <v>1.47</v>
      </c>
      <c r="AD8" s="17">
        <f>IFERROR(VLOOKUP($A8,[5]库存报告使用数据!$A$1:$J$65536,10,0),"")</f>
        <v>0</v>
      </c>
      <c r="AE8" s="17">
        <f>IFERROR(VLOOKUP($A8,[5]库存报告使用数据!$A$1:$M$65536,13,0),"")</f>
        <v>2.8</v>
      </c>
      <c r="AF8" s="27">
        <f t="shared" si="15"/>
        <v>0</v>
      </c>
      <c r="AG8" s="27">
        <f t="shared" si="16"/>
        <v>0.018384192096048</v>
      </c>
      <c r="AH8" s="27">
        <f t="shared" si="17"/>
        <v>0</v>
      </c>
      <c r="AI8" s="27">
        <f t="shared" si="18"/>
        <v>0.0466900116725029</v>
      </c>
      <c r="AJ8" s="17">
        <f>IFERROR(VLOOKUP($B8,'[3]浏览量处理(勿删)'!$A:$B,2,0),"")</f>
        <v>7</v>
      </c>
      <c r="AK8" s="17">
        <f>IFERROR(VLOOKUP($B8,'[3]浏览量处理(勿删)'!$A:$C,3,0),"")</f>
        <v>4</v>
      </c>
      <c r="AL8" s="17">
        <f>IFERROR(VLOOKUP($B8,'[3]浏览量处理(勿删)'!$A:$D,4,0),"")</f>
        <v>11</v>
      </c>
      <c r="AM8" s="17">
        <f>IFERROR(VLOOKUP($B8,'[3]浏览量处理(勿删)'!$A:$E,5,0),"")</f>
        <v>34</v>
      </c>
      <c r="AN8" s="27">
        <f t="shared" si="6"/>
        <v>0.428571428571429</v>
      </c>
      <c r="AO8" s="27">
        <f t="shared" si="7"/>
        <v>1</v>
      </c>
      <c r="AP8" s="27">
        <f t="shared" si="8"/>
        <v>0.181818181818182</v>
      </c>
      <c r="AQ8" s="27">
        <f t="shared" si="9"/>
        <v>0.0882352941176471</v>
      </c>
      <c r="AR8" s="32">
        <f t="shared" si="10"/>
        <v>0.428571428571429</v>
      </c>
      <c r="AS8" s="32">
        <f t="shared" si="11"/>
        <v>25.7142857142857</v>
      </c>
      <c r="AT8" s="32">
        <f t="shared" si="12"/>
        <v>85.2857142857143</v>
      </c>
      <c r="AU8" s="18">
        <f t="shared" si="13"/>
        <v>259</v>
      </c>
      <c r="AV8" s="33">
        <f>IFERROR(时间!$B$4+AU8,"上周无销量")</f>
        <v>43549</v>
      </c>
    </row>
    <row r="9" spans="1:48">
      <c r="A9" s="16" t="s">
        <v>54</v>
      </c>
      <c r="B9" s="17" t="str">
        <f>VLOOKUP(A9,[1]sku_fnsku_asin_产品名称!$A:$C,3,0)</f>
        <v>B002DYY35Y</v>
      </c>
      <c r="C9" s="17" t="str">
        <f>VLOOKUP(A9,[1]sku_fnsku_asin_产品名称!$A:$D,4,0)</f>
        <v>Premier Dead Sea Mineral Body Treatment - Salt Scrub - Lemon Aroma</v>
      </c>
      <c r="D9" s="18">
        <f>IFERROR(VLOOKUP(A9,[4]库存报告使用数据处理!$A:$B,2,0),0)</f>
        <v>0</v>
      </c>
      <c r="E9" s="18">
        <f>IFERROR(VLOOKUP(A9,[4]库存报告使用数据处理!$A:$C,3,0),0)</f>
        <v>1</v>
      </c>
      <c r="F9" s="18">
        <f>IFERROR(VLOOKUP(A9,[4]库存报告使用数据处理!$A:$D,4,0),0)</f>
        <v>1</v>
      </c>
      <c r="G9" s="18">
        <f>IFERROR(VLOOKUP(A9,[4]库存报告使用数据处理!$A:$E,5,0),0)</f>
        <v>2</v>
      </c>
      <c r="H9" s="18">
        <f>IFERROR(VLOOKUP(A9,[4]库存报告使用数据处理!$A:$F,6,0),0)</f>
        <v>17.39</v>
      </c>
      <c r="I9" s="18">
        <f>IFERROR(VLOOKUP($A9,[2]数据处理!$A:$B,2,0),0)</f>
        <v>0</v>
      </c>
      <c r="J9" s="18">
        <f>IFERROR(VLOOKUP($A9,[2]数据处理!$A:$D,4,0),0)</f>
        <v>0</v>
      </c>
      <c r="K9" s="18">
        <f>IFERROR(VLOOKUP($A9,[2]数据处理!$A:$E,5,0),0)</f>
        <v>0</v>
      </c>
      <c r="L9" s="18">
        <f>IFERROR(VLOOKUP($A9,[2]数据处理!$A:$N,7,0),0)</f>
        <v>0</v>
      </c>
      <c r="M9" s="22">
        <f t="shared" si="0"/>
        <v>0</v>
      </c>
      <c r="N9" s="18">
        <f>IFERROR(VLOOKUP($A9,[2]数据处理!$A:$N,3,0),0)</f>
        <v>0</v>
      </c>
      <c r="O9" s="17">
        <f>IFERROR(VLOOKUP($A9,[2]数据处理!$A:$N,14,0),0)</f>
        <v>0</v>
      </c>
      <c r="P9" s="17">
        <f>IFERROR(VLOOKUP($A9,[5]库存报告使用数据!$A$1:$B$65536,2,0),0)</f>
        <v>0</v>
      </c>
      <c r="Q9" s="17">
        <f>IFERROR(VLOOKUP($A9,[5]库存报告使用数据!$A$1:$E$65536,5,0),0)</f>
        <v>185</v>
      </c>
      <c r="R9" s="17">
        <f>IFERROR(VLOOKUP($A9,[5]库存报告使用数据!$A$1:$H$65536,8,0),0)</f>
        <v>540</v>
      </c>
      <c r="S9" s="17">
        <f>IFERROR(VLOOKUP($A9,[5]库存报告使用数据!$A$1:$K$65536,11,0),0)</f>
        <v>1103</v>
      </c>
      <c r="T9" s="17">
        <f>IFERROR(VLOOKUP($A9,[5]库存报告使用数据!$A$1:$C$65536,3,0),"")</f>
        <v>0</v>
      </c>
      <c r="U9" s="17">
        <f>IFERROR(VLOOKUP($A9,[5]库存报告使用数据!$A$1:$F$65536,6,0),"")</f>
        <v>0</v>
      </c>
      <c r="V9" s="17">
        <f>IFERROR(VLOOKUP($A9,[5]库存报告使用数据!$A$1:$I$65536,9,0),"")</f>
        <v>3</v>
      </c>
      <c r="W9" s="17">
        <f>IFERROR(VLOOKUP($A9,[5]库存报告使用数据!$A$1:$L$65536,12,0),"")</f>
        <v>1</v>
      </c>
      <c r="X9" s="27" t="str">
        <f t="shared" si="1"/>
        <v/>
      </c>
      <c r="Y9" s="27">
        <f t="shared" si="2"/>
        <v>0</v>
      </c>
      <c r="Z9" s="27">
        <f t="shared" si="3"/>
        <v>0.00555555555555556</v>
      </c>
      <c r="AA9" s="27">
        <f t="shared" si="4"/>
        <v>0.000906618313689937</v>
      </c>
      <c r="AB9" s="17">
        <f>IFERROR(VLOOKUP($A9,[5]库存报告使用数据!$A$1:$D$65536,4,0),"")</f>
        <v>0</v>
      </c>
      <c r="AC9" s="17">
        <f>IFERROR(VLOOKUP($A9,[5]库存报告使用数据!$A$1:$G$65536,7,0),"")</f>
        <v>0</v>
      </c>
      <c r="AD9" s="17">
        <f>IFERROR(VLOOKUP($A9,[5]库存报告使用数据!$A$1:$J$65536,10,0),"")</f>
        <v>2.62</v>
      </c>
      <c r="AE9" s="17">
        <f>IFERROR(VLOOKUP($A9,[5]库存报告使用数据!$A$1:$M$65536,13,0),"")</f>
        <v>0.8</v>
      </c>
      <c r="AF9" s="27" t="str">
        <f t="shared" si="15"/>
        <v/>
      </c>
      <c r="AG9" s="27">
        <f t="shared" si="16"/>
        <v>0</v>
      </c>
      <c r="AH9" s="27">
        <f t="shared" si="17"/>
        <v>0.15066129959747</v>
      </c>
      <c r="AI9" s="27">
        <f t="shared" si="18"/>
        <v>0.0230017251293847</v>
      </c>
      <c r="AJ9" s="17">
        <f>IFERROR(VLOOKUP($B9,'[3]浏览量处理(勿删)'!$A:$B,2,0),"")</f>
        <v>23</v>
      </c>
      <c r="AK9" s="17">
        <f>IFERROR(VLOOKUP($B9,'[3]浏览量处理(勿删)'!$A:$C,3,0),"")</f>
        <v>22</v>
      </c>
      <c r="AL9" s="17">
        <f>IFERROR(VLOOKUP($B9,'[3]浏览量处理(勿删)'!$A:$D,4,0),"")</f>
        <v>20</v>
      </c>
      <c r="AM9" s="17">
        <f>IFERROR(VLOOKUP($B9,'[3]浏览量处理(勿删)'!$A:$E,5,0),"")</f>
        <v>49</v>
      </c>
      <c r="AN9" s="27">
        <f t="shared" si="6"/>
        <v>0</v>
      </c>
      <c r="AO9" s="27">
        <f t="shared" si="7"/>
        <v>0.0454545454545455</v>
      </c>
      <c r="AP9" s="27">
        <f t="shared" si="8"/>
        <v>0.05</v>
      </c>
      <c r="AQ9" s="27">
        <f t="shared" si="9"/>
        <v>0.0408163265306122</v>
      </c>
      <c r="AR9" s="32">
        <f t="shared" si="10"/>
        <v>0</v>
      </c>
      <c r="AS9" s="32">
        <f t="shared" si="11"/>
        <v>0</v>
      </c>
      <c r="AT9" s="32">
        <f t="shared" si="12"/>
        <v>0</v>
      </c>
      <c r="AU9" s="18" t="str">
        <f t="shared" si="13"/>
        <v>库存为0</v>
      </c>
      <c r="AV9" s="33" t="str">
        <f>IFERROR(时间!$B$4+AU9,"上周无销量")</f>
        <v>上周无销量</v>
      </c>
    </row>
    <row r="10" spans="1:48">
      <c r="A10" s="16" t="s">
        <v>55</v>
      </c>
      <c r="B10" s="17" t="str">
        <f>VLOOKUP(A10,[1]sku_fnsku_asin_产品名称!$A:$C,3,0)</f>
        <v>B00D6L6NY2</v>
      </c>
      <c r="C10" s="17" t="str">
        <f>VLOOKUP(A10,[1]sku_fnsku_asin_产品名称!$A:$D,4,0)</f>
        <v>Premier Dead Sea Para-pharmaceutical Exfoliating Facial Gel 125 ML/ 4.25 FL.OZ</v>
      </c>
      <c r="D10" s="18">
        <f>IFERROR(VLOOKUP(A10,[4]库存报告使用数据处理!$A:$B,2,0),0)</f>
        <v>0</v>
      </c>
      <c r="E10" s="18">
        <f>IFERROR(VLOOKUP(A10,[4]库存报告使用数据处理!$A:$C,3,0),0)</f>
        <v>0</v>
      </c>
      <c r="F10" s="18">
        <f>IFERROR(VLOOKUP(A10,[4]库存报告使用数据处理!$A:$D,4,0),0)</f>
        <v>0</v>
      </c>
      <c r="G10" s="18">
        <f>IFERROR(VLOOKUP(A10,[4]库存报告使用数据处理!$A:$E,5,0),0)</f>
        <v>0</v>
      </c>
      <c r="H10" s="18">
        <f>IFERROR(VLOOKUP(A10,[4]库存报告使用数据处理!$A:$F,6,0),0)</f>
        <v>0</v>
      </c>
      <c r="I10" s="18">
        <f>IFERROR(VLOOKUP($A10,[2]数据处理!$A:$B,2,0),0)</f>
        <v>0</v>
      </c>
      <c r="J10" s="18">
        <f>IFERROR(VLOOKUP($A10,[2]数据处理!$A:$D,4,0),0)</f>
        <v>0</v>
      </c>
      <c r="K10" s="18">
        <f>IFERROR(VLOOKUP($A10,[2]数据处理!$A:$E,5,0),0)</f>
        <v>0</v>
      </c>
      <c r="L10" s="18">
        <f>IFERROR(VLOOKUP($A10,[2]数据处理!$A:$N,7,0),0)</f>
        <v>0</v>
      </c>
      <c r="M10" s="22">
        <f t="shared" si="0"/>
        <v>0</v>
      </c>
      <c r="N10" s="18">
        <f>IFERROR(VLOOKUP($A10,[2]数据处理!$A:$N,3,0),0)</f>
        <v>0</v>
      </c>
      <c r="O10" s="17">
        <f>IFERROR(VLOOKUP($A10,[2]数据处理!$A:$N,14,0),0)</f>
        <v>0</v>
      </c>
      <c r="P10" s="17">
        <f>IFERROR(VLOOKUP($A10,[5]库存报告使用数据!$A$1:$B$65536,2,0),0)</f>
        <v>0</v>
      </c>
      <c r="Q10" s="17">
        <f>IFERROR(VLOOKUP($A10,[5]库存报告使用数据!$A$1:$E$65536,5,0),0)</f>
        <v>0</v>
      </c>
      <c r="R10" s="17">
        <f>IFERROR(VLOOKUP($A10,[5]库存报告使用数据!$A$1:$H$65536,8,0),0)</f>
        <v>0</v>
      </c>
      <c r="S10" s="17">
        <f>IFERROR(VLOOKUP($A10,[5]库存报告使用数据!$A$1:$K$65536,11,0),0)</f>
        <v>0</v>
      </c>
      <c r="T10" s="17" t="str">
        <f>IFERROR(VLOOKUP($A10,[5]库存报告使用数据!$A$1:$C$65536,3,0),"")</f>
        <v/>
      </c>
      <c r="U10" s="17" t="str">
        <f>IFERROR(VLOOKUP($A10,[5]库存报告使用数据!$A$1:$F$65536,6,0),"")</f>
        <v/>
      </c>
      <c r="V10" s="17" t="str">
        <f>IFERROR(VLOOKUP($A10,[5]库存报告使用数据!$A$1:$I$65536,9,0),"")</f>
        <v/>
      </c>
      <c r="W10" s="17" t="str">
        <f>IFERROR(VLOOKUP($A10,[5]库存报告使用数据!$A$1:$L$65536,12,0),"")</f>
        <v/>
      </c>
      <c r="X10" s="27" t="str">
        <f t="shared" si="1"/>
        <v/>
      </c>
      <c r="Y10" s="27" t="str">
        <f t="shared" si="2"/>
        <v/>
      </c>
      <c r="Z10" s="27" t="str">
        <f t="shared" si="3"/>
        <v/>
      </c>
      <c r="AA10" s="27" t="str">
        <f t="shared" si="4"/>
        <v/>
      </c>
      <c r="AB10" s="17" t="str">
        <f>IFERROR(VLOOKUP($A10,[5]库存报告使用数据!$A$1:$D$65536,4,0),"")</f>
        <v/>
      </c>
      <c r="AC10" s="17" t="str">
        <f>IFERROR(VLOOKUP($A10,[5]库存报告使用数据!$A$1:$G$65536,7,0),"")</f>
        <v/>
      </c>
      <c r="AD10" s="17" t="str">
        <f>IFERROR(VLOOKUP($A10,[5]库存报告使用数据!$A$1:$J$65536,10,0),"")</f>
        <v/>
      </c>
      <c r="AE10" s="17" t="str">
        <f>IFERROR(VLOOKUP($A10,[5]库存报告使用数据!$A$1:$M$65536,13,0),"")</f>
        <v/>
      </c>
      <c r="AF10" s="27" t="str">
        <f t="shared" si="15"/>
        <v>有广告无销售广告费为</v>
      </c>
      <c r="AG10" s="27" t="str">
        <f t="shared" si="16"/>
        <v>有广告无销售广告费为</v>
      </c>
      <c r="AH10" s="27" t="str">
        <f t="shared" si="17"/>
        <v>有广告无销售广告费为</v>
      </c>
      <c r="AI10" s="27" t="str">
        <f t="shared" si="18"/>
        <v>有广告无销售广告费为</v>
      </c>
      <c r="AJ10" s="17" t="str">
        <f>IFERROR(VLOOKUP($B10,'[3]浏览量处理(勿删)'!$A:$B,2,0),"")</f>
        <v/>
      </c>
      <c r="AK10" s="17" t="str">
        <f>IFERROR(VLOOKUP($B10,'[3]浏览量处理(勿删)'!$A:$C,3,0),"")</f>
        <v/>
      </c>
      <c r="AL10" s="17" t="str">
        <f>IFERROR(VLOOKUP($B10,'[3]浏览量处理(勿删)'!$A:$D,4,0),"")</f>
        <v/>
      </c>
      <c r="AM10" s="17" t="str">
        <f>IFERROR(VLOOKUP($B10,'[3]浏览量处理(勿删)'!$A:$E,5,0),"")</f>
        <v/>
      </c>
      <c r="AN10" s="27" t="str">
        <f t="shared" si="6"/>
        <v/>
      </c>
      <c r="AO10" s="27" t="str">
        <f t="shared" si="7"/>
        <v/>
      </c>
      <c r="AP10" s="27" t="str">
        <f t="shared" si="8"/>
        <v/>
      </c>
      <c r="AQ10" s="27" t="str">
        <f t="shared" si="9"/>
        <v/>
      </c>
      <c r="AR10" s="32">
        <f t="shared" si="10"/>
        <v>0</v>
      </c>
      <c r="AS10" s="32">
        <f t="shared" si="11"/>
        <v>0</v>
      </c>
      <c r="AT10" s="32">
        <f t="shared" si="12"/>
        <v>0</v>
      </c>
      <c r="AU10" s="18" t="str">
        <f t="shared" si="13"/>
        <v>库存为0</v>
      </c>
      <c r="AV10" s="33" t="str">
        <f>IFERROR(时间!$B$4+AU10,"上周无销量")</f>
        <v>上周无销量</v>
      </c>
    </row>
    <row r="11" spans="1:48">
      <c r="A11" s="16" t="s">
        <v>56</v>
      </c>
      <c r="B11" s="17" t="str">
        <f>VLOOKUP(A11,[1]sku_fnsku_asin_产品名称!$A:$C,3,0)</f>
        <v>B0016VW618</v>
      </c>
      <c r="C11" s="17" t="str">
        <f>VLOOKUP(A11,[1]sku_fnsku_asin_产品名称!$A:$D,4,0)</f>
        <v>Premier Usa Dead Sea shaving Cream for Men All Skin</v>
      </c>
      <c r="D11" s="18">
        <f>IFERROR(VLOOKUP(A11,[4]库存报告使用数据处理!$A:$B,2,0),0)</f>
        <v>6</v>
      </c>
      <c r="E11" s="18">
        <f>IFERROR(VLOOKUP(A11,[4]库存报告使用数据处理!$A:$C,3,0),0)</f>
        <v>2</v>
      </c>
      <c r="F11" s="18">
        <f>IFERROR(VLOOKUP(A11,[4]库存报告使用数据处理!$A:$D,4,0),0)</f>
        <v>3</v>
      </c>
      <c r="G11" s="18">
        <f>IFERROR(VLOOKUP(A11,[4]库存报告使用数据处理!$A:$E,5,0),0)</f>
        <v>1</v>
      </c>
      <c r="H11" s="18">
        <f>IFERROR(VLOOKUP(A11,[4]库存报告使用数据处理!$A:$F,6,0),0)</f>
        <v>14.48</v>
      </c>
      <c r="I11" s="18">
        <f>IFERROR(VLOOKUP($A11,[2]数据处理!$A:$B,2,0),0)</f>
        <v>35</v>
      </c>
      <c r="J11" s="18">
        <f>IFERROR(VLOOKUP($A11,[2]数据处理!$A:$D,4,0),0)</f>
        <v>0</v>
      </c>
      <c r="K11" s="18">
        <f>IFERROR(VLOOKUP($A11,[2]数据处理!$A:$E,5,0),0)</f>
        <v>0</v>
      </c>
      <c r="L11" s="18">
        <f>IFERROR(VLOOKUP($A11,[2]数据处理!$A:$N,7,0),0)</f>
        <v>0</v>
      </c>
      <c r="M11" s="22">
        <f t="shared" si="0"/>
        <v>35</v>
      </c>
      <c r="N11" s="18">
        <f>IFERROR(VLOOKUP($A11,[2]数据处理!$A:$N,3,0),0)</f>
        <v>0</v>
      </c>
      <c r="O11" s="17">
        <f>IFERROR(VLOOKUP($A11,[2]数据处理!$A:$N,14,0),0)</f>
        <v>40</v>
      </c>
      <c r="P11" s="17">
        <f>IFERROR(VLOOKUP($A11,[5]库存报告使用数据!$A$1:$B$65536,2,0),0)</f>
        <v>420</v>
      </c>
      <c r="Q11" s="17">
        <f>IFERROR(VLOOKUP($A11,[5]库存报告使用数据!$A$1:$E$65536,5,0),0)</f>
        <v>300</v>
      </c>
      <c r="R11" s="17">
        <f>IFERROR(VLOOKUP($A11,[5]库存报告使用数据!$A$1:$H$65536,8,0),0)</f>
        <v>345</v>
      </c>
      <c r="S11" s="17">
        <f>IFERROR(VLOOKUP($A11,[5]库存报告使用数据!$A$1:$K$65536,11,0),0)</f>
        <v>364</v>
      </c>
      <c r="T11" s="17">
        <f>IFERROR(VLOOKUP($A11,[5]库存报告使用数据!$A$1:$C$65536,3,0),"")</f>
        <v>1</v>
      </c>
      <c r="U11" s="17">
        <f>IFERROR(VLOOKUP($A11,[5]库存报告使用数据!$A$1:$F$65536,6,0),"")</f>
        <v>0</v>
      </c>
      <c r="V11" s="17">
        <f>IFERROR(VLOOKUP($A11,[5]库存报告使用数据!$A$1:$I$65536,9,0),"")</f>
        <v>3</v>
      </c>
      <c r="W11" s="17">
        <f>IFERROR(VLOOKUP($A11,[5]库存报告使用数据!$A$1:$L$65536,12,0),"")</f>
        <v>1</v>
      </c>
      <c r="X11" s="27">
        <f t="shared" si="1"/>
        <v>0.00238095238095238</v>
      </c>
      <c r="Y11" s="27">
        <f t="shared" si="2"/>
        <v>0</v>
      </c>
      <c r="Z11" s="27">
        <f t="shared" si="3"/>
        <v>0.00869565217391304</v>
      </c>
      <c r="AA11" s="27">
        <f t="shared" si="4"/>
        <v>0.00274725274725275</v>
      </c>
      <c r="AB11" s="17">
        <f>IFERROR(VLOOKUP($A11,[5]库存报告使用数据!$A$1:$D$65536,4,0),"")</f>
        <v>0.69</v>
      </c>
      <c r="AC11" s="17">
        <f>IFERROR(VLOOKUP($A11,[5]库存报告使用数据!$A$1:$G$65536,7,0),"")</f>
        <v>0</v>
      </c>
      <c r="AD11" s="17">
        <f>IFERROR(VLOOKUP($A11,[5]库存报告使用数据!$A$1:$J$65536,10,0),"")</f>
        <v>3.1</v>
      </c>
      <c r="AE11" s="17">
        <f>IFERROR(VLOOKUP($A11,[5]库存报告使用数据!$A$1:$M$65536,13,0),"")</f>
        <v>1.45</v>
      </c>
      <c r="AF11" s="27">
        <f t="shared" si="15"/>
        <v>0.00794198895027624</v>
      </c>
      <c r="AG11" s="27">
        <f t="shared" si="16"/>
        <v>0</v>
      </c>
      <c r="AH11" s="27">
        <f t="shared" si="17"/>
        <v>0.0713627992633518</v>
      </c>
      <c r="AI11" s="27">
        <f t="shared" si="18"/>
        <v>0.100138121546961</v>
      </c>
      <c r="AJ11" s="17">
        <f>IFERROR(VLOOKUP($B11,'[3]浏览量处理(勿删)'!$A:$B,2,0),"")</f>
        <v>29</v>
      </c>
      <c r="AK11" s="17">
        <f>IFERROR(VLOOKUP($B11,'[3]浏览量处理(勿删)'!$A:$C,3,0),"")</f>
        <v>31</v>
      </c>
      <c r="AL11" s="17">
        <f>IFERROR(VLOOKUP($B11,'[3]浏览量处理(勿删)'!$A:$D,4,0),"")</f>
        <v>20</v>
      </c>
      <c r="AM11" s="17">
        <f>IFERROR(VLOOKUP($B11,'[3]浏览量处理(勿删)'!$A:$E,5,0),"")</f>
        <v>31</v>
      </c>
      <c r="AN11" s="27">
        <f t="shared" si="6"/>
        <v>0.206896551724138</v>
      </c>
      <c r="AO11" s="27">
        <f t="shared" si="7"/>
        <v>0.0645161290322581</v>
      </c>
      <c r="AP11" s="27">
        <f t="shared" si="8"/>
        <v>0.15</v>
      </c>
      <c r="AQ11" s="27">
        <f t="shared" si="9"/>
        <v>0.032258064516129</v>
      </c>
      <c r="AR11" s="32">
        <f t="shared" si="10"/>
        <v>0.857142857142857</v>
      </c>
      <c r="AS11" s="32">
        <f t="shared" si="11"/>
        <v>51.4285714285714</v>
      </c>
      <c r="AT11" s="32">
        <f t="shared" si="12"/>
        <v>-16.4285714285714</v>
      </c>
      <c r="AU11" s="18">
        <f t="shared" si="13"/>
        <v>40</v>
      </c>
      <c r="AV11" s="33">
        <f>IFERROR(时间!$B$4+AU11,"上周无销量")</f>
        <v>43330</v>
      </c>
    </row>
    <row r="12" spans="1:48">
      <c r="A12" s="16" t="s">
        <v>57</v>
      </c>
      <c r="B12" s="17" t="str">
        <f>VLOOKUP(A12,[1]sku_fnsku_asin_产品名称!$A:$C,3,0)</f>
        <v>B00157XFNQ</v>
      </c>
      <c r="C12" s="17" t="str">
        <f>VLOOKUP(A12,[1]sku_fnsku_asin_产品名称!$A:$D,4,0)</f>
        <v>Premier Active Moisture Complex - Normal to Dry Skin</v>
      </c>
      <c r="D12" s="18">
        <f>IFERROR(VLOOKUP(A12,[4]库存报告使用数据处理!$A:$B,2,0),0)</f>
        <v>6</v>
      </c>
      <c r="E12" s="18">
        <f>IFERROR(VLOOKUP(A12,[4]库存报告使用数据处理!$A:$C,3,0),0)</f>
        <v>4</v>
      </c>
      <c r="F12" s="18">
        <f>IFERROR(VLOOKUP(A12,[4]库存报告使用数据处理!$A:$D,4,0),0)</f>
        <v>0</v>
      </c>
      <c r="G12" s="18">
        <f>IFERROR(VLOOKUP(A12,[4]库存报告使用数据处理!$A:$E,5,0),0)</f>
        <v>5</v>
      </c>
      <c r="H12" s="18">
        <f>IFERROR(VLOOKUP(A12,[4]库存报告使用数据处理!$A:$F,6,0),0)</f>
        <v>39.99</v>
      </c>
      <c r="I12" s="18">
        <f>IFERROR(VLOOKUP($A12,[2]数据处理!$A:$B,2,0),0)</f>
        <v>51</v>
      </c>
      <c r="J12" s="18">
        <f>IFERROR(VLOOKUP($A12,[2]数据处理!$A:$D,4,0),0)</f>
        <v>0</v>
      </c>
      <c r="K12" s="18">
        <f>IFERROR(VLOOKUP($A12,[2]数据处理!$A:$E,5,0),0)</f>
        <v>0</v>
      </c>
      <c r="L12" s="18">
        <f>IFERROR(VLOOKUP($A12,[2]数据处理!$A:$N,7,0),0)</f>
        <v>1</v>
      </c>
      <c r="M12" s="22">
        <f t="shared" si="0"/>
        <v>52</v>
      </c>
      <c r="N12" s="18">
        <f>IFERROR(VLOOKUP($A12,[2]数据处理!$A:$N,3,0),0)</f>
        <v>1</v>
      </c>
      <c r="O12" s="17">
        <f>IFERROR(VLOOKUP($A12,[2]数据处理!$A:$N,14,0),0)</f>
        <v>52</v>
      </c>
      <c r="P12" s="17">
        <f>IFERROR(VLOOKUP($A12,[5]库存报告使用数据!$A$1:$B$65536,2,0),0)</f>
        <v>4300</v>
      </c>
      <c r="Q12" s="17">
        <f>IFERROR(VLOOKUP($A12,[5]库存报告使用数据!$A$1:$E$65536,5,0),0)</f>
        <v>20029</v>
      </c>
      <c r="R12" s="17">
        <f>IFERROR(VLOOKUP($A12,[5]库存报告使用数据!$A$1:$H$65536,8,0),0)</f>
        <v>42031</v>
      </c>
      <c r="S12" s="17">
        <f>IFERROR(VLOOKUP($A12,[5]库存报告使用数据!$A$1:$K$65536,11,0),0)</f>
        <v>6070</v>
      </c>
      <c r="T12" s="17">
        <f>IFERROR(VLOOKUP($A12,[5]库存报告使用数据!$A$1:$C$65536,3,0),"")</f>
        <v>14</v>
      </c>
      <c r="U12" s="17">
        <f>IFERROR(VLOOKUP($A12,[5]库存报告使用数据!$A$1:$F$65536,6,0),"")</f>
        <v>41</v>
      </c>
      <c r="V12" s="17">
        <f>IFERROR(VLOOKUP($A12,[5]库存报告使用数据!$A$1:$I$65536,9,0),"")</f>
        <v>38</v>
      </c>
      <c r="W12" s="17">
        <f>IFERROR(VLOOKUP($A12,[5]库存报告使用数据!$A$1:$L$65536,12,0),"")</f>
        <v>10</v>
      </c>
      <c r="X12" s="27">
        <f t="shared" si="1"/>
        <v>0.00325581395348837</v>
      </c>
      <c r="Y12" s="27">
        <f t="shared" si="2"/>
        <v>0.00204703180388437</v>
      </c>
      <c r="Z12" s="27">
        <f t="shared" si="3"/>
        <v>0.000904094596845186</v>
      </c>
      <c r="AA12" s="27">
        <f t="shared" si="4"/>
        <v>0.00164744645799012</v>
      </c>
      <c r="AB12" s="17">
        <f>IFERROR(VLOOKUP($A12,[5]库存报告使用数据!$A$1:$D$65536,4,0),"")</f>
        <v>11.54</v>
      </c>
      <c r="AC12" s="17">
        <f>IFERROR(VLOOKUP($A12,[5]库存报告使用数据!$A$1:$G$65536,7,0),"")</f>
        <v>44.44</v>
      </c>
      <c r="AD12" s="17">
        <f>IFERROR(VLOOKUP($A12,[5]库存报告使用数据!$A$1:$J$65536,10,0),"")</f>
        <v>37.96</v>
      </c>
      <c r="AE12" s="17">
        <f>IFERROR(VLOOKUP($A12,[5]库存报告使用数据!$A$1:$M$65536,13,0),"")</f>
        <v>4.19</v>
      </c>
      <c r="AF12" s="27">
        <f t="shared" si="15"/>
        <v>0.0480953571726265</v>
      </c>
      <c r="AG12" s="27">
        <f t="shared" si="16"/>
        <v>0.277819454863716</v>
      </c>
      <c r="AH12" s="27" t="str">
        <f t="shared" si="17"/>
        <v>有广告无销售广告费为37.96</v>
      </c>
      <c r="AI12" s="27">
        <f t="shared" si="18"/>
        <v>0.0209552388097024</v>
      </c>
      <c r="AJ12" s="17">
        <f>IFERROR(VLOOKUP($B12,'[3]浏览量处理(勿删)'!$A:$B,2,0),"")</f>
        <v>38</v>
      </c>
      <c r="AK12" s="17">
        <f>IFERROR(VLOOKUP($B12,'[3]浏览量处理(勿删)'!$A:$C,3,0),"")</f>
        <v>52</v>
      </c>
      <c r="AL12" s="17">
        <f>IFERROR(VLOOKUP($B12,'[3]浏览量处理(勿删)'!$A:$D,4,0),"")</f>
        <v>51</v>
      </c>
      <c r="AM12" s="17">
        <f>IFERROR(VLOOKUP($B12,'[3]浏览量处理(勿删)'!$A:$E,5,0),"")</f>
        <v>51</v>
      </c>
      <c r="AN12" s="27">
        <f t="shared" si="6"/>
        <v>0.157894736842105</v>
      </c>
      <c r="AO12" s="27">
        <f t="shared" si="7"/>
        <v>0.0769230769230769</v>
      </c>
      <c r="AP12" s="27">
        <f t="shared" si="8"/>
        <v>0</v>
      </c>
      <c r="AQ12" s="27">
        <f t="shared" si="9"/>
        <v>0.0980392156862745</v>
      </c>
      <c r="AR12" s="32">
        <f t="shared" si="10"/>
        <v>0.857142857142857</v>
      </c>
      <c r="AS12" s="32">
        <f t="shared" si="11"/>
        <v>51.4285714285714</v>
      </c>
      <c r="AT12" s="32">
        <f t="shared" si="12"/>
        <v>0.571428571428577</v>
      </c>
      <c r="AU12" s="18">
        <f t="shared" si="13"/>
        <v>60</v>
      </c>
      <c r="AV12" s="33">
        <f>IFERROR(时间!$B$4+AU12,"上周无销量")</f>
        <v>43350</v>
      </c>
    </row>
    <row r="13" spans="1:48">
      <c r="A13" s="16" t="s">
        <v>11</v>
      </c>
      <c r="B13" s="17" t="str">
        <f>VLOOKUP(A13,[1]sku_fnsku_asin_产品名称!$A:$C,3,0)</f>
        <v>B001DXOWA2</v>
      </c>
      <c r="C13" s="17" t="str">
        <f>VLOOKUP(A13,[1]sku_fnsku_asin_产品名称!$A:$D,4,0)</f>
        <v>Premier Dead Sea Ageless Future Cell Renewal Cream</v>
      </c>
      <c r="D13" s="18">
        <f>IFERROR(VLOOKUP(A13,[4]库存报告使用数据处理!$A:$B,2,0),0)</f>
        <v>3</v>
      </c>
      <c r="E13" s="18">
        <f>IFERROR(VLOOKUP(A13,[4]库存报告使用数据处理!$A:$C,3,0),0)</f>
        <v>1</v>
      </c>
      <c r="F13" s="18">
        <f>IFERROR(VLOOKUP(A13,[4]库存报告使用数据处理!$A:$D,4,0),0)</f>
        <v>2</v>
      </c>
      <c r="G13" s="18">
        <f>IFERROR(VLOOKUP(A13,[4]库存报告使用数据处理!$A:$E,5,0),0)</f>
        <v>1</v>
      </c>
      <c r="H13" s="18">
        <f>IFERROR(VLOOKUP(A13,[4]库存报告使用数据处理!$A:$F,6,0),0)</f>
        <v>53.5728571428571</v>
      </c>
      <c r="I13" s="18">
        <f>IFERROR(VLOOKUP($A13,[2]数据处理!$A:$B,2,0),0)</f>
        <v>39</v>
      </c>
      <c r="J13" s="18">
        <f>IFERROR(VLOOKUP($A13,[2]数据处理!$A:$D,4,0),0)</f>
        <v>0</v>
      </c>
      <c r="K13" s="18">
        <f>IFERROR(VLOOKUP($A13,[2]数据处理!$A:$E,5,0),0)</f>
        <v>0</v>
      </c>
      <c r="L13" s="18">
        <f>IFERROR(VLOOKUP($A13,[2]数据处理!$A:$N,7,0),0)</f>
        <v>0</v>
      </c>
      <c r="M13" s="22">
        <f t="shared" si="0"/>
        <v>39</v>
      </c>
      <c r="N13" s="18">
        <f>IFERROR(VLOOKUP($A13,[2]数据处理!$A:$N,3,0),0)</f>
        <v>1</v>
      </c>
      <c r="O13" s="17">
        <f>IFERROR(VLOOKUP($A13,[2]数据处理!$A:$N,14,0),0)</f>
        <v>38</v>
      </c>
      <c r="P13" s="17">
        <f>IFERROR(VLOOKUP($A13,[5]库存报告使用数据!$A$1:$B$65536,2,0),0)</f>
        <v>359</v>
      </c>
      <c r="Q13" s="17">
        <f>IFERROR(VLOOKUP($A13,[5]库存报告使用数据!$A$1:$E$65536,5,0),0)</f>
        <v>1373</v>
      </c>
      <c r="R13" s="17">
        <f>IFERROR(VLOOKUP($A13,[5]库存报告使用数据!$A$1:$H$65536,8,0),0)</f>
        <v>643</v>
      </c>
      <c r="S13" s="17">
        <f>IFERROR(VLOOKUP($A13,[5]库存报告使用数据!$A$1:$K$65536,11,0),0)</f>
        <v>439</v>
      </c>
      <c r="T13" s="17">
        <f>IFERROR(VLOOKUP($A13,[5]库存报告使用数据!$A$1:$C$65536,3,0),"")</f>
        <v>1</v>
      </c>
      <c r="U13" s="17">
        <f>IFERROR(VLOOKUP($A13,[5]库存报告使用数据!$A$1:$F$65536,6,0),"")</f>
        <v>1</v>
      </c>
      <c r="V13" s="17">
        <f>IFERROR(VLOOKUP($A13,[5]库存报告使用数据!$A$1:$I$65536,9,0),"")</f>
        <v>1</v>
      </c>
      <c r="W13" s="17">
        <f>IFERROR(VLOOKUP($A13,[5]库存报告使用数据!$A$1:$L$65536,12,0),"")</f>
        <v>0</v>
      </c>
      <c r="X13" s="27">
        <f t="shared" si="1"/>
        <v>0.00278551532033426</v>
      </c>
      <c r="Y13" s="27">
        <f t="shared" si="2"/>
        <v>0.000728332119446468</v>
      </c>
      <c r="Z13" s="27">
        <f t="shared" si="3"/>
        <v>0.0015552099533437</v>
      </c>
      <c r="AA13" s="27">
        <f t="shared" si="4"/>
        <v>0</v>
      </c>
      <c r="AB13" s="17">
        <f>IFERROR(VLOOKUP($A13,[5]库存报告使用数据!$A$1:$D$65536,4,0),"")</f>
        <v>1.46</v>
      </c>
      <c r="AC13" s="17">
        <f>IFERROR(VLOOKUP($A13,[5]库存报告使用数据!$A$1:$G$65536,7,0),"")</f>
        <v>0.83</v>
      </c>
      <c r="AD13" s="17">
        <f>IFERROR(VLOOKUP($A13,[5]库存报告使用数据!$A$1:$J$65536,10,0),"")</f>
        <v>0.47</v>
      </c>
      <c r="AE13" s="17">
        <f>IFERROR(VLOOKUP($A13,[5]库存报告使用数据!$A$1:$M$65536,13,0),"")</f>
        <v>0</v>
      </c>
      <c r="AF13" s="27">
        <f t="shared" si="15"/>
        <v>0.00908420219905248</v>
      </c>
      <c r="AG13" s="27">
        <f t="shared" si="16"/>
        <v>0.015492920188795</v>
      </c>
      <c r="AH13" s="27">
        <f t="shared" si="17"/>
        <v>0.00438654969200822</v>
      </c>
      <c r="AI13" s="27">
        <f t="shared" si="18"/>
        <v>0</v>
      </c>
      <c r="AJ13" s="17">
        <f>IFERROR(VLOOKUP($B13,'[3]浏览量处理(勿删)'!$A:$B,2,0),"")</f>
        <v>33</v>
      </c>
      <c r="AK13" s="17">
        <f>IFERROR(VLOOKUP($B13,'[3]浏览量处理(勿删)'!$A:$C,3,0),"")</f>
        <v>16</v>
      </c>
      <c r="AL13" s="17">
        <f>IFERROR(VLOOKUP($B13,'[3]浏览量处理(勿删)'!$A:$D,4,0),"")</f>
        <v>14</v>
      </c>
      <c r="AM13" s="17">
        <f>IFERROR(VLOOKUP($B13,'[3]浏览量处理(勿删)'!$A:$E,5,0),"")</f>
        <v>87</v>
      </c>
      <c r="AN13" s="27">
        <f t="shared" si="6"/>
        <v>0.0909090909090909</v>
      </c>
      <c r="AO13" s="27">
        <f t="shared" si="7"/>
        <v>0.0625</v>
      </c>
      <c r="AP13" s="27">
        <f t="shared" si="8"/>
        <v>0.142857142857143</v>
      </c>
      <c r="AQ13" s="27">
        <f t="shared" si="9"/>
        <v>0.0114942528735632</v>
      </c>
      <c r="AR13" s="32">
        <f t="shared" si="10"/>
        <v>0.428571428571429</v>
      </c>
      <c r="AS13" s="32">
        <f t="shared" si="11"/>
        <v>25.7142857142857</v>
      </c>
      <c r="AT13" s="32">
        <f t="shared" si="12"/>
        <v>13.2857142857143</v>
      </c>
      <c r="AU13" s="18">
        <f t="shared" si="13"/>
        <v>91</v>
      </c>
      <c r="AV13" s="33">
        <f>IFERROR(时间!$B$4+AU13,"上周无销量")</f>
        <v>43381</v>
      </c>
    </row>
    <row r="14" spans="1:48">
      <c r="A14" s="16" t="s">
        <v>58</v>
      </c>
      <c r="B14" s="17" t="str">
        <f>VLOOKUP(A14,[1]sku_fnsku_asin_产品名称!$A:$C,3,0)</f>
        <v>B00022AUVA</v>
      </c>
      <c r="C14" s="17" t="str">
        <f>VLOOKUP(A14,[1]sku_fnsku_asin_产品名称!$A:$D,4,0)</f>
        <v>Premier Dead Sea Age Defying/Anti Age Cream</v>
      </c>
      <c r="D14" s="18">
        <f>IFERROR(VLOOKUP(A14,[4]库存报告使用数据处理!$A:$B,2,0),0)</f>
        <v>0</v>
      </c>
      <c r="E14" s="18">
        <f>IFERROR(VLOOKUP(A14,[4]库存报告使用数据处理!$A:$C,3,0),0)</f>
        <v>0</v>
      </c>
      <c r="F14" s="18">
        <f>IFERROR(VLOOKUP(A14,[4]库存报告使用数据处理!$A:$D,4,0),0)</f>
        <v>0</v>
      </c>
      <c r="G14" s="18">
        <f>IFERROR(VLOOKUP(A14,[4]库存报告使用数据处理!$A:$E,5,0),0)</f>
        <v>0</v>
      </c>
      <c r="H14" s="18">
        <f>IFERROR(VLOOKUP(A14,[4]库存报告使用数据处理!$A:$F,6,0),0)</f>
        <v>0</v>
      </c>
      <c r="I14" s="18">
        <f>IFERROR(VLOOKUP($A14,[2]数据处理!$A:$B,2,0),0)</f>
        <v>0</v>
      </c>
      <c r="J14" s="18">
        <f>IFERROR(VLOOKUP($A14,[2]数据处理!$A:$D,4,0),0)</f>
        <v>0</v>
      </c>
      <c r="K14" s="18">
        <f>IFERROR(VLOOKUP($A14,[2]数据处理!$A:$E,5,0),0)</f>
        <v>0</v>
      </c>
      <c r="L14" s="18">
        <f>IFERROR(VLOOKUP($A14,[2]数据处理!$A:$N,7,0),0)</f>
        <v>0</v>
      </c>
      <c r="M14" s="22">
        <f t="shared" si="0"/>
        <v>0</v>
      </c>
      <c r="N14" s="18">
        <f>IFERROR(VLOOKUP($A14,[2]数据处理!$A:$N,3,0),0)</f>
        <v>0</v>
      </c>
      <c r="O14" s="17">
        <f>IFERROR(VLOOKUP($A14,[2]数据处理!$A:$N,14,0),0)</f>
        <v>0</v>
      </c>
      <c r="P14" s="17">
        <f>IFERROR(VLOOKUP($A14,[5]库存报告使用数据!$A$1:$B$65536,2,0),0)</f>
        <v>0</v>
      </c>
      <c r="Q14" s="17">
        <f>IFERROR(VLOOKUP($A14,[5]库存报告使用数据!$A$1:$E$65536,5,0),0)</f>
        <v>0</v>
      </c>
      <c r="R14" s="17">
        <f>IFERROR(VLOOKUP($A14,[5]库存报告使用数据!$A$1:$H$65536,8,0),0)</f>
        <v>0</v>
      </c>
      <c r="S14" s="17">
        <f>IFERROR(VLOOKUP($A14,[5]库存报告使用数据!$A$1:$K$65536,11,0),0)</f>
        <v>0</v>
      </c>
      <c r="T14" s="17" t="str">
        <f>IFERROR(VLOOKUP($A14,[5]库存报告使用数据!$A$1:$C$65536,3,0),"")</f>
        <v/>
      </c>
      <c r="U14" s="17" t="str">
        <f>IFERROR(VLOOKUP($A14,[5]库存报告使用数据!$A$1:$F$65536,6,0),"")</f>
        <v/>
      </c>
      <c r="V14" s="17" t="str">
        <f>IFERROR(VLOOKUP($A14,[5]库存报告使用数据!$A$1:$I$65536,9,0),"")</f>
        <v/>
      </c>
      <c r="W14" s="17" t="str">
        <f>IFERROR(VLOOKUP($A14,[5]库存报告使用数据!$A$1:$L$65536,12,0),"")</f>
        <v/>
      </c>
      <c r="X14" s="27" t="str">
        <f t="shared" si="1"/>
        <v/>
      </c>
      <c r="Y14" s="27" t="str">
        <f t="shared" si="2"/>
        <v/>
      </c>
      <c r="Z14" s="27" t="str">
        <f t="shared" si="3"/>
        <v/>
      </c>
      <c r="AA14" s="27" t="str">
        <f t="shared" si="4"/>
        <v/>
      </c>
      <c r="AB14" s="17" t="str">
        <f>IFERROR(VLOOKUP($A14,[5]库存报告使用数据!$A$1:$D$65536,4,0),"")</f>
        <v/>
      </c>
      <c r="AC14" s="17" t="str">
        <f>IFERROR(VLOOKUP($A14,[5]库存报告使用数据!$A$1:$G$65536,7,0),"")</f>
        <v/>
      </c>
      <c r="AD14" s="17" t="str">
        <f>IFERROR(VLOOKUP($A14,[5]库存报告使用数据!$A$1:$J$65536,10,0),"")</f>
        <v/>
      </c>
      <c r="AE14" s="17" t="str">
        <f>IFERROR(VLOOKUP($A14,[5]库存报告使用数据!$A$1:$M$65536,13,0),"")</f>
        <v/>
      </c>
      <c r="AF14" s="27" t="str">
        <f t="shared" si="15"/>
        <v>有广告无销售广告费为</v>
      </c>
      <c r="AG14" s="27" t="str">
        <f t="shared" si="16"/>
        <v>有广告无销售广告费为</v>
      </c>
      <c r="AH14" s="27" t="str">
        <f t="shared" si="17"/>
        <v>有广告无销售广告费为</v>
      </c>
      <c r="AI14" s="27" t="str">
        <f t="shared" si="18"/>
        <v>有广告无销售广告费为</v>
      </c>
      <c r="AJ14" s="17">
        <f>IFERROR(VLOOKUP($B14,'[3]浏览量处理(勿删)'!$A:$B,2,0),"")</f>
        <v>0</v>
      </c>
      <c r="AK14" s="17">
        <f>IFERROR(VLOOKUP($B14,'[3]浏览量处理(勿删)'!$A:$C,3,0),"")</f>
        <v>0</v>
      </c>
      <c r="AL14" s="17">
        <f>IFERROR(VLOOKUP($B14,'[3]浏览量处理(勿删)'!$A:$D,4,0),"")</f>
        <v>0</v>
      </c>
      <c r="AM14" s="17">
        <f>IFERROR(VLOOKUP($B14,'[3]浏览量处理(勿删)'!$A:$E,5,0),"")</f>
        <v>12</v>
      </c>
      <c r="AN14" s="27" t="str">
        <f t="shared" si="6"/>
        <v/>
      </c>
      <c r="AO14" s="27" t="str">
        <f t="shared" si="7"/>
        <v/>
      </c>
      <c r="AP14" s="27" t="str">
        <f t="shared" si="8"/>
        <v/>
      </c>
      <c r="AQ14" s="27">
        <f t="shared" si="9"/>
        <v>0</v>
      </c>
      <c r="AR14" s="32">
        <f t="shared" si="10"/>
        <v>0</v>
      </c>
      <c r="AS14" s="32">
        <f t="shared" si="11"/>
        <v>0</v>
      </c>
      <c r="AT14" s="32">
        <f t="shared" si="12"/>
        <v>0</v>
      </c>
      <c r="AU14" s="18" t="str">
        <f t="shared" si="13"/>
        <v>库存为0</v>
      </c>
      <c r="AV14" s="33" t="str">
        <f>IFERROR(时间!$B$4+AU14,"上周无销量")</f>
        <v>上周无销量</v>
      </c>
    </row>
    <row r="15" spans="1:48">
      <c r="A15" s="16" t="s">
        <v>59</v>
      </c>
      <c r="B15" s="17" t="str">
        <f>VLOOKUP(A15,[1]sku_fnsku_asin_产品名称!$A:$C,3,0)</f>
        <v>B00115TXRE</v>
      </c>
      <c r="C15" s="17">
        <f>VLOOKUP(A15,[1]sku_fnsku_asin_产品名称!$A:$D,4,0)</f>
        <v>0</v>
      </c>
      <c r="D15" s="18">
        <f>IFERROR(VLOOKUP(A15,[4]库存报告使用数据处理!$A:$B,2,0),0)</f>
        <v>0</v>
      </c>
      <c r="E15" s="18">
        <f>IFERROR(VLOOKUP(A15,[4]库存报告使用数据处理!$A:$C,3,0),0)</f>
        <v>0</v>
      </c>
      <c r="F15" s="18">
        <f>IFERROR(VLOOKUP(A15,[4]库存报告使用数据处理!$A:$D,4,0),0)</f>
        <v>0</v>
      </c>
      <c r="G15" s="18">
        <f>IFERROR(VLOOKUP(A15,[4]库存报告使用数据处理!$A:$E,5,0),0)</f>
        <v>0</v>
      </c>
      <c r="H15" s="18">
        <f>IFERROR(VLOOKUP(A15,[4]库存报告使用数据处理!$A:$F,6,0),0)</f>
        <v>0</v>
      </c>
      <c r="I15" s="18">
        <f>IFERROR(VLOOKUP($A15,[2]数据处理!$A:$B,2,0),0)</f>
        <v>0</v>
      </c>
      <c r="J15" s="18">
        <f>IFERROR(VLOOKUP($A15,[2]数据处理!$A:$D,4,0),0)</f>
        <v>0</v>
      </c>
      <c r="K15" s="18">
        <f>IFERROR(VLOOKUP($A15,[2]数据处理!$A:$E,5,0),0)</f>
        <v>0</v>
      </c>
      <c r="L15" s="18">
        <f>IFERROR(VLOOKUP($A15,[2]数据处理!$A:$N,7,0),0)</f>
        <v>0</v>
      </c>
      <c r="M15" s="22">
        <f t="shared" si="0"/>
        <v>0</v>
      </c>
      <c r="N15" s="18">
        <f>IFERROR(VLOOKUP($A15,[2]数据处理!$A:$N,3,0),0)</f>
        <v>0</v>
      </c>
      <c r="O15" s="17">
        <f>IFERROR(VLOOKUP($A15,[2]数据处理!$A:$N,14,0),0)</f>
        <v>0</v>
      </c>
      <c r="P15" s="17">
        <f>IFERROR(VLOOKUP($A15,[5]库存报告使用数据!$A$1:$B$65536,2,0),0)</f>
        <v>0</v>
      </c>
      <c r="Q15" s="17">
        <f>IFERROR(VLOOKUP($A15,[5]库存报告使用数据!$A$1:$E$65536,5,0),0)</f>
        <v>0</v>
      </c>
      <c r="R15" s="17">
        <f>IFERROR(VLOOKUP($A15,[5]库存报告使用数据!$A$1:$H$65536,8,0),0)</f>
        <v>0</v>
      </c>
      <c r="S15" s="17">
        <f>IFERROR(VLOOKUP($A15,[5]库存报告使用数据!$A$1:$K$65536,11,0),0)</f>
        <v>0</v>
      </c>
      <c r="T15" s="17" t="str">
        <f>IFERROR(VLOOKUP($A15,[5]库存报告使用数据!$A$1:$C$65536,3,0),"")</f>
        <v/>
      </c>
      <c r="U15" s="17" t="str">
        <f>IFERROR(VLOOKUP($A15,[5]库存报告使用数据!$A$1:$F$65536,6,0),"")</f>
        <v/>
      </c>
      <c r="V15" s="17" t="str">
        <f>IFERROR(VLOOKUP($A15,[5]库存报告使用数据!$A$1:$I$65536,9,0),"")</f>
        <v/>
      </c>
      <c r="W15" s="17" t="str">
        <f>IFERROR(VLOOKUP($A15,[5]库存报告使用数据!$A$1:$L$65536,12,0),"")</f>
        <v/>
      </c>
      <c r="X15" s="27" t="str">
        <f t="shared" si="1"/>
        <v/>
      </c>
      <c r="Y15" s="27" t="str">
        <f t="shared" si="2"/>
        <v/>
      </c>
      <c r="Z15" s="27" t="str">
        <f t="shared" si="3"/>
        <v/>
      </c>
      <c r="AA15" s="27" t="str">
        <f t="shared" si="4"/>
        <v/>
      </c>
      <c r="AB15" s="17" t="str">
        <f>IFERROR(VLOOKUP($A15,[5]库存报告使用数据!$A$1:$D$65536,4,0),"")</f>
        <v/>
      </c>
      <c r="AC15" s="17" t="str">
        <f>IFERROR(VLOOKUP($A15,[5]库存报告使用数据!$A$1:$G$65536,7,0),"")</f>
        <v/>
      </c>
      <c r="AD15" s="17" t="str">
        <f>IFERROR(VLOOKUP($A15,[5]库存报告使用数据!$A$1:$J$65536,10,0),"")</f>
        <v/>
      </c>
      <c r="AE15" s="17" t="str">
        <f>IFERROR(VLOOKUP($A15,[5]库存报告使用数据!$A$1:$M$65536,13,0),"")</f>
        <v/>
      </c>
      <c r="AF15" s="27" t="str">
        <f t="shared" si="15"/>
        <v>有广告无销售广告费为</v>
      </c>
      <c r="AG15" s="27" t="str">
        <f t="shared" si="16"/>
        <v>有广告无销售广告费为</v>
      </c>
      <c r="AH15" s="27" t="str">
        <f t="shared" si="17"/>
        <v>有广告无销售广告费为</v>
      </c>
      <c r="AI15" s="27" t="str">
        <f t="shared" si="18"/>
        <v>有广告无销售广告费为</v>
      </c>
      <c r="AJ15" s="17">
        <f>IFERROR(VLOOKUP($B15,'[3]浏览量处理(勿删)'!$A:$B,2,0),"")</f>
        <v>183</v>
      </c>
      <c r="AK15" s="17">
        <f>IFERROR(VLOOKUP($B15,'[3]浏览量处理(勿删)'!$A:$C,3,0),"")</f>
        <v>177</v>
      </c>
      <c r="AL15" s="17">
        <f>IFERROR(VLOOKUP($B15,'[3]浏览量处理(勿删)'!$A:$D,4,0),"")</f>
        <v>165</v>
      </c>
      <c r="AM15" s="17">
        <f>IFERROR(VLOOKUP($B15,'[3]浏览量处理(勿删)'!$A:$E,5,0),"")</f>
        <v>660</v>
      </c>
      <c r="AN15" s="27">
        <f t="shared" si="6"/>
        <v>0</v>
      </c>
      <c r="AO15" s="27">
        <f t="shared" si="7"/>
        <v>0</v>
      </c>
      <c r="AP15" s="27">
        <f t="shared" si="8"/>
        <v>0</v>
      </c>
      <c r="AQ15" s="27">
        <f t="shared" si="9"/>
        <v>0</v>
      </c>
      <c r="AR15" s="32">
        <f t="shared" si="10"/>
        <v>0</v>
      </c>
      <c r="AS15" s="32">
        <f t="shared" si="11"/>
        <v>0</v>
      </c>
      <c r="AT15" s="32">
        <f t="shared" si="12"/>
        <v>0</v>
      </c>
      <c r="AU15" s="18" t="str">
        <f t="shared" si="13"/>
        <v>库存为0</v>
      </c>
      <c r="AV15" s="33" t="str">
        <f>IFERROR(时间!$B$4+AU15,"上周无销量")</f>
        <v>上周无销量</v>
      </c>
    </row>
    <row r="16" spans="1:48">
      <c r="A16" s="16" t="s">
        <v>60</v>
      </c>
      <c r="B16" s="17" t="str">
        <f>VLOOKUP(A16,[1]sku_fnsku_asin_产品名称!$A:$C,3,0)</f>
        <v>B001278VEW</v>
      </c>
      <c r="C16" s="17" t="str">
        <f>VLOOKUP(A16,[1]sku_fnsku_asin_产品名称!$A:$D,4,0)</f>
        <v>Premier Dead Sea Professional Peeling Mask</v>
      </c>
      <c r="D16" s="18">
        <f>IFERROR(VLOOKUP(A16,[4]库存报告使用数据处理!$A:$B,2,0),0)</f>
        <v>2</v>
      </c>
      <c r="E16" s="18">
        <f>IFERROR(VLOOKUP(A16,[4]库存报告使用数据处理!$A:$C,3,0),0)</f>
        <v>0</v>
      </c>
      <c r="F16" s="18">
        <f>IFERROR(VLOOKUP(A16,[4]库存报告使用数据处理!$A:$D,4,0),0)</f>
        <v>1</v>
      </c>
      <c r="G16" s="18">
        <f>IFERROR(VLOOKUP(A16,[4]库存报告使用数据处理!$A:$E,5,0),0)</f>
        <v>0</v>
      </c>
      <c r="H16" s="18">
        <f>IFERROR(VLOOKUP(A16,[4]库存报告使用数据处理!$A:$F,6,0),0)</f>
        <v>38.83</v>
      </c>
      <c r="I16" s="18">
        <f>IFERROR(VLOOKUP($A16,[2]数据处理!$A:$B,2,0),0)</f>
        <v>59</v>
      </c>
      <c r="J16" s="18">
        <f>IFERROR(VLOOKUP($A16,[2]数据处理!$A:$D,4,0),0)</f>
        <v>0</v>
      </c>
      <c r="K16" s="18">
        <f>IFERROR(VLOOKUP($A16,[2]数据处理!$A:$E,5,0),0)</f>
        <v>0</v>
      </c>
      <c r="L16" s="18">
        <f>IFERROR(VLOOKUP($A16,[2]数据处理!$A:$N,7,0),0)</f>
        <v>0</v>
      </c>
      <c r="M16" s="22">
        <f t="shared" si="0"/>
        <v>59</v>
      </c>
      <c r="N16" s="18">
        <f>IFERROR(VLOOKUP($A16,[2]数据处理!$A:$N,3,0),0)</f>
        <v>0</v>
      </c>
      <c r="O16" s="17">
        <f>IFERROR(VLOOKUP($A16,[2]数据处理!$A:$N,14,0),0)</f>
        <v>60</v>
      </c>
      <c r="P16" s="17">
        <f>IFERROR(VLOOKUP($A16,[5]库存报告使用数据!$A$1:$B$65536,2,0),0)</f>
        <v>2198</v>
      </c>
      <c r="Q16" s="17">
        <f>IFERROR(VLOOKUP($A16,[5]库存报告使用数据!$A$1:$E$65536,5,0),0)</f>
        <v>4067</v>
      </c>
      <c r="R16" s="17">
        <f>IFERROR(VLOOKUP($A16,[5]库存报告使用数据!$A$1:$H$65536,8,0),0)</f>
        <v>4010</v>
      </c>
      <c r="S16" s="17">
        <f>IFERROR(VLOOKUP($A16,[5]库存报告使用数据!$A$1:$K$65536,11,0),0)</f>
        <v>1388</v>
      </c>
      <c r="T16" s="17">
        <f>IFERROR(VLOOKUP($A16,[5]库存报告使用数据!$A$1:$C$65536,3,0),"")</f>
        <v>8</v>
      </c>
      <c r="U16" s="17">
        <f>IFERROR(VLOOKUP($A16,[5]库存报告使用数据!$A$1:$F$65536,6,0),"")</f>
        <v>12</v>
      </c>
      <c r="V16" s="17">
        <f>IFERROR(VLOOKUP($A16,[5]库存报告使用数据!$A$1:$I$65536,9,0),"")</f>
        <v>14</v>
      </c>
      <c r="W16" s="17">
        <f>IFERROR(VLOOKUP($A16,[5]库存报告使用数据!$A$1:$L$65536,12,0),"")</f>
        <v>8</v>
      </c>
      <c r="X16" s="27">
        <f t="shared" si="1"/>
        <v>0.00363967242948135</v>
      </c>
      <c r="Y16" s="27">
        <f t="shared" si="2"/>
        <v>0.00295057782149004</v>
      </c>
      <c r="Z16" s="27">
        <f t="shared" si="3"/>
        <v>0.00349127182044888</v>
      </c>
      <c r="AA16" s="27">
        <f t="shared" si="4"/>
        <v>0.00576368876080692</v>
      </c>
      <c r="AB16" s="17">
        <f>IFERROR(VLOOKUP($A16,[5]库存报告使用数据!$A$1:$D$65536,4,0),"")</f>
        <v>4.9</v>
      </c>
      <c r="AC16" s="17">
        <f>IFERROR(VLOOKUP($A16,[5]库存报告使用数据!$A$1:$G$65536,7,0),"")</f>
        <v>10.95</v>
      </c>
      <c r="AD16" s="17">
        <f>IFERROR(VLOOKUP($A16,[5]库存报告使用数据!$A$1:$J$65536,10,0),"")</f>
        <v>8.25</v>
      </c>
      <c r="AE16" s="17">
        <f>IFERROR(VLOOKUP($A16,[5]库存报告使用数据!$A$1:$M$65536,13,0),"")</f>
        <v>5.25</v>
      </c>
      <c r="AF16" s="27">
        <f t="shared" si="15"/>
        <v>0.063095544681947</v>
      </c>
      <c r="AG16" s="27" t="str">
        <f t="shared" si="16"/>
        <v>有广告无销售广告费为10.95</v>
      </c>
      <c r="AH16" s="27">
        <f t="shared" si="17"/>
        <v>0.212464589235127</v>
      </c>
      <c r="AI16" s="27" t="str">
        <f t="shared" si="18"/>
        <v>有广告无销售广告费为5.25</v>
      </c>
      <c r="AJ16" s="17">
        <f>IFERROR(VLOOKUP($B16,'[3]浏览量处理(勿删)'!$A:$B,2,0),"")</f>
        <v>23</v>
      </c>
      <c r="AK16" s="17">
        <f>IFERROR(VLOOKUP($B16,'[3]浏览量处理(勿删)'!$A:$C,3,0),"")</f>
        <v>16</v>
      </c>
      <c r="AL16" s="17">
        <f>IFERROR(VLOOKUP($B16,'[3]浏览量处理(勿删)'!$A:$D,4,0),"")</f>
        <v>20</v>
      </c>
      <c r="AM16" s="17">
        <f>IFERROR(VLOOKUP($B16,'[3]浏览量处理(勿删)'!$A:$E,5,0),"")</f>
        <v>20</v>
      </c>
      <c r="AN16" s="27">
        <f t="shared" si="6"/>
        <v>0.0869565217391304</v>
      </c>
      <c r="AO16" s="27">
        <f t="shared" si="7"/>
        <v>0</v>
      </c>
      <c r="AP16" s="27">
        <f t="shared" si="8"/>
        <v>0.05</v>
      </c>
      <c r="AQ16" s="27">
        <f t="shared" si="9"/>
        <v>0</v>
      </c>
      <c r="AR16" s="32">
        <f t="shared" si="10"/>
        <v>0.285714285714286</v>
      </c>
      <c r="AS16" s="32">
        <f t="shared" si="11"/>
        <v>17.1428571428571</v>
      </c>
      <c r="AT16" s="32">
        <f t="shared" si="12"/>
        <v>41.8571428571429</v>
      </c>
      <c r="AU16" s="18">
        <f t="shared" si="13"/>
        <v>206</v>
      </c>
      <c r="AV16" s="33">
        <f>IFERROR(时间!$B$4+AU16,"上周无销量")</f>
        <v>43496</v>
      </c>
    </row>
    <row r="17" spans="1:48">
      <c r="A17" s="16" t="s">
        <v>61</v>
      </c>
      <c r="B17" s="17" t="str">
        <f>VLOOKUP(A17,[1]sku_fnsku_asin_产品名称!$A:$C,3,0)</f>
        <v>B003Y7D0HQ</v>
      </c>
      <c r="C17" s="17" t="str">
        <f>VLOOKUP(A17,[1]sku_fnsku_asin_产品名称!$A:$D,4,0)</f>
        <v>Premier Dead Sea Pearl White Cream Complex, 2.04-Fluid Ounce</v>
      </c>
      <c r="D17" s="18">
        <f>IFERROR(VLOOKUP(A17,[4]库存报告使用数据处理!$A:$B,2,0),0)</f>
        <v>0</v>
      </c>
      <c r="E17" s="18">
        <f>IFERROR(VLOOKUP(A17,[4]库存报告使用数据处理!$A:$C,3,0),0)</f>
        <v>0</v>
      </c>
      <c r="F17" s="18">
        <f>IFERROR(VLOOKUP(A17,[4]库存报告使用数据处理!$A:$D,4,0),0)</f>
        <v>0</v>
      </c>
      <c r="G17" s="18">
        <f>IFERROR(VLOOKUP(A17,[4]库存报告使用数据处理!$A:$E,5,0),0)</f>
        <v>0</v>
      </c>
      <c r="H17" s="18">
        <f>IFERROR(VLOOKUP(A17,[4]库存报告使用数据处理!$A:$F,6,0),0)</f>
        <v>0</v>
      </c>
      <c r="I17" s="18">
        <f>IFERROR(VLOOKUP($A17,[2]数据处理!$A:$B,2,0),0)</f>
        <v>2</v>
      </c>
      <c r="J17" s="18">
        <f>IFERROR(VLOOKUP($A17,[2]数据处理!$A:$D,4,0),0)</f>
        <v>0</v>
      </c>
      <c r="K17" s="18">
        <f>IFERROR(VLOOKUP($A17,[2]数据处理!$A:$E,5,0),0)</f>
        <v>0</v>
      </c>
      <c r="L17" s="18">
        <f>IFERROR(VLOOKUP($A17,[2]数据处理!$A:$N,7,0),0)</f>
        <v>0</v>
      </c>
      <c r="M17" s="22">
        <f t="shared" si="0"/>
        <v>2</v>
      </c>
      <c r="N17" s="18">
        <f>IFERROR(VLOOKUP($A17,[2]数据处理!$A:$N,3,0),0)</f>
        <v>0</v>
      </c>
      <c r="O17" s="17">
        <f>IFERROR(VLOOKUP($A17,[2]数据处理!$A:$N,14,0),0)</f>
        <v>2</v>
      </c>
      <c r="P17" s="17">
        <f>IFERROR(VLOOKUP($A17,[5]库存报告使用数据!$A$1:$B$65536,2,0),0)</f>
        <v>0</v>
      </c>
      <c r="Q17" s="17">
        <f>IFERROR(VLOOKUP($A17,[5]库存报告使用数据!$A$1:$E$65536,5,0),0)</f>
        <v>0</v>
      </c>
      <c r="R17" s="17">
        <f>IFERROR(VLOOKUP($A17,[5]库存报告使用数据!$A$1:$H$65536,8,0),0)</f>
        <v>0</v>
      </c>
      <c r="S17" s="17">
        <f>IFERROR(VLOOKUP($A17,[5]库存报告使用数据!$A$1:$K$65536,11,0),0)</f>
        <v>0</v>
      </c>
      <c r="T17" s="17" t="str">
        <f>IFERROR(VLOOKUP($A17,[5]库存报告使用数据!$A$1:$C$65536,3,0),"")</f>
        <v/>
      </c>
      <c r="U17" s="17" t="str">
        <f>IFERROR(VLOOKUP($A17,[5]库存报告使用数据!$A$1:$F$65536,6,0),"")</f>
        <v/>
      </c>
      <c r="V17" s="17" t="str">
        <f>IFERROR(VLOOKUP($A17,[5]库存报告使用数据!$A$1:$I$65536,9,0),"")</f>
        <v/>
      </c>
      <c r="W17" s="17" t="str">
        <f>IFERROR(VLOOKUP($A17,[5]库存报告使用数据!$A$1:$L$65536,12,0),"")</f>
        <v/>
      </c>
      <c r="X17" s="27" t="str">
        <f t="shared" si="1"/>
        <v/>
      </c>
      <c r="Y17" s="27" t="str">
        <f t="shared" si="2"/>
        <v/>
      </c>
      <c r="Z17" s="27" t="str">
        <f t="shared" si="3"/>
        <v/>
      </c>
      <c r="AA17" s="27" t="str">
        <f t="shared" si="4"/>
        <v/>
      </c>
      <c r="AB17" s="17" t="str">
        <f>IFERROR(VLOOKUP($A17,[5]库存报告使用数据!$A$1:$D$65536,4,0),"")</f>
        <v/>
      </c>
      <c r="AC17" s="17" t="str">
        <f>IFERROR(VLOOKUP($A17,[5]库存报告使用数据!$A$1:$G$65536,7,0),"")</f>
        <v/>
      </c>
      <c r="AD17" s="17" t="str">
        <f>IFERROR(VLOOKUP($A17,[5]库存报告使用数据!$A$1:$J$65536,10,0),"")</f>
        <v/>
      </c>
      <c r="AE17" s="17" t="str">
        <f>IFERROR(VLOOKUP($A17,[5]库存报告使用数据!$A$1:$M$65536,13,0),"")</f>
        <v/>
      </c>
      <c r="AF17" s="27" t="str">
        <f t="shared" si="15"/>
        <v>有广告无销售广告费为</v>
      </c>
      <c r="AG17" s="27" t="str">
        <f t="shared" si="16"/>
        <v>有广告无销售广告费为</v>
      </c>
      <c r="AH17" s="27" t="str">
        <f t="shared" si="17"/>
        <v>有广告无销售广告费为</v>
      </c>
      <c r="AI17" s="27" t="str">
        <f t="shared" si="18"/>
        <v>有广告无销售广告费为</v>
      </c>
      <c r="AJ17" s="17">
        <f>IFERROR(VLOOKUP($B17,'[3]浏览量处理(勿删)'!$A:$B,2,0),"")</f>
        <v>31</v>
      </c>
      <c r="AK17" s="17">
        <f>IFERROR(VLOOKUP($B17,'[3]浏览量处理(勿删)'!$A:$C,3,0),"")</f>
        <v>32</v>
      </c>
      <c r="AL17" s="17">
        <f>IFERROR(VLOOKUP($B17,'[3]浏览量处理(勿删)'!$A:$D,4,0),"")</f>
        <v>17</v>
      </c>
      <c r="AM17" s="17">
        <f>IFERROR(VLOOKUP($B17,'[3]浏览量处理(勿删)'!$A:$E,5,0),"")</f>
        <v>59</v>
      </c>
      <c r="AN17" s="27">
        <f t="shared" si="6"/>
        <v>0</v>
      </c>
      <c r="AO17" s="27">
        <f t="shared" si="7"/>
        <v>0</v>
      </c>
      <c r="AP17" s="27">
        <f t="shared" si="8"/>
        <v>0</v>
      </c>
      <c r="AQ17" s="27">
        <f t="shared" si="9"/>
        <v>0</v>
      </c>
      <c r="AR17" s="32">
        <f t="shared" si="10"/>
        <v>0</v>
      </c>
      <c r="AS17" s="32">
        <f t="shared" si="11"/>
        <v>0</v>
      </c>
      <c r="AT17" s="32">
        <f t="shared" si="12"/>
        <v>2</v>
      </c>
      <c r="AU17" s="18" t="str">
        <f t="shared" si="13"/>
        <v>库存为2</v>
      </c>
      <c r="AV17" s="33" t="str">
        <f>IFERROR(时间!$B$4+AU17,"上周无销量")</f>
        <v>上周无销量</v>
      </c>
    </row>
    <row r="18" spans="1:48">
      <c r="A18" s="16" t="s">
        <v>62</v>
      </c>
      <c r="B18" s="17" t="str">
        <f>VLOOKUP(A18,[1]sku_fnsku_asin_产品名称!$A:$C,3,0)</f>
        <v>B000VEWF2Q</v>
      </c>
      <c r="C18" s="17">
        <f>VLOOKUP(A18,[1]sku_fnsku_asin_产品名称!$A:$D,4,0)</f>
        <v>0</v>
      </c>
      <c r="D18" s="18">
        <f>IFERROR(VLOOKUP(A18,[4]库存报告使用数据处理!$A:$B,2,0),0)</f>
        <v>0</v>
      </c>
      <c r="E18" s="18">
        <f>IFERROR(VLOOKUP(A18,[4]库存报告使用数据处理!$A:$C,3,0),0)</f>
        <v>0</v>
      </c>
      <c r="F18" s="18">
        <f>IFERROR(VLOOKUP(A18,[4]库存报告使用数据处理!$A:$D,4,0),0)</f>
        <v>0</v>
      </c>
      <c r="G18" s="18">
        <f>IFERROR(VLOOKUP(A18,[4]库存报告使用数据处理!$A:$E,5,0),0)</f>
        <v>0</v>
      </c>
      <c r="H18" s="18">
        <f>IFERROR(VLOOKUP(A18,[4]库存报告使用数据处理!$A:$F,6,0),0)</f>
        <v>0</v>
      </c>
      <c r="I18" s="18">
        <f>IFERROR(VLOOKUP($A18,[2]数据处理!$A:$B,2,0),0)</f>
        <v>0</v>
      </c>
      <c r="J18" s="18">
        <f>IFERROR(VLOOKUP($A18,[2]数据处理!$A:$D,4,0),0)</f>
        <v>0</v>
      </c>
      <c r="K18" s="18">
        <f>IFERROR(VLOOKUP($A18,[2]数据处理!$A:$E,5,0),0)</f>
        <v>0</v>
      </c>
      <c r="L18" s="18">
        <f>IFERROR(VLOOKUP($A18,[2]数据处理!$A:$N,7,0),0)</f>
        <v>0</v>
      </c>
      <c r="M18" s="22">
        <f t="shared" si="0"/>
        <v>0</v>
      </c>
      <c r="N18" s="18">
        <f>IFERROR(VLOOKUP($A18,[2]数据处理!$A:$N,3,0),0)</f>
        <v>1</v>
      </c>
      <c r="O18" s="17">
        <f>IFERROR(VLOOKUP($A18,[2]数据处理!$A:$N,14,0),0)</f>
        <v>0</v>
      </c>
      <c r="P18" s="17">
        <f>IFERROR(VLOOKUP($A18,[5]库存报告使用数据!$A$1:$B$65536,2,0),0)</f>
        <v>0</v>
      </c>
      <c r="Q18" s="17">
        <f>IFERROR(VLOOKUP($A18,[5]库存报告使用数据!$A$1:$E$65536,5,0),0)</f>
        <v>0</v>
      </c>
      <c r="R18" s="17">
        <f>IFERROR(VLOOKUP($A18,[5]库存报告使用数据!$A$1:$H$65536,8,0),0)</f>
        <v>0</v>
      </c>
      <c r="S18" s="17">
        <f>IFERROR(VLOOKUP($A18,[5]库存报告使用数据!$A$1:$K$65536,11,0),0)</f>
        <v>0</v>
      </c>
      <c r="T18" s="17" t="str">
        <f>IFERROR(VLOOKUP($A18,[5]库存报告使用数据!$A$1:$C$65536,3,0),"")</f>
        <v/>
      </c>
      <c r="U18" s="17" t="str">
        <f>IFERROR(VLOOKUP($A18,[5]库存报告使用数据!$A$1:$F$65536,6,0),"")</f>
        <v/>
      </c>
      <c r="V18" s="17" t="str">
        <f>IFERROR(VLOOKUP($A18,[5]库存报告使用数据!$A$1:$I$65536,9,0),"")</f>
        <v/>
      </c>
      <c r="W18" s="17" t="str">
        <f>IFERROR(VLOOKUP($A18,[5]库存报告使用数据!$A$1:$L$65536,12,0),"")</f>
        <v/>
      </c>
      <c r="X18" s="27" t="str">
        <f t="shared" si="1"/>
        <v/>
      </c>
      <c r="Y18" s="27" t="str">
        <f t="shared" si="2"/>
        <v/>
      </c>
      <c r="Z18" s="27" t="str">
        <f t="shared" si="3"/>
        <v/>
      </c>
      <c r="AA18" s="27" t="str">
        <f t="shared" si="4"/>
        <v/>
      </c>
      <c r="AB18" s="17" t="str">
        <f>IFERROR(VLOOKUP($A18,[5]库存报告使用数据!$A$1:$D$65536,4,0),"")</f>
        <v/>
      </c>
      <c r="AC18" s="17" t="str">
        <f>IFERROR(VLOOKUP($A18,[5]库存报告使用数据!$A$1:$G$65536,7,0),"")</f>
        <v/>
      </c>
      <c r="AD18" s="17" t="str">
        <f>IFERROR(VLOOKUP($A18,[5]库存报告使用数据!$A$1:$J$65536,10,0),"")</f>
        <v/>
      </c>
      <c r="AE18" s="17" t="str">
        <f>IFERROR(VLOOKUP($A18,[5]库存报告使用数据!$A$1:$M$65536,13,0),"")</f>
        <v/>
      </c>
      <c r="AF18" s="27" t="str">
        <f t="shared" si="15"/>
        <v>有广告无销售广告费为</v>
      </c>
      <c r="AG18" s="27" t="str">
        <f t="shared" si="16"/>
        <v>有广告无销售广告费为</v>
      </c>
      <c r="AH18" s="27" t="str">
        <f t="shared" si="17"/>
        <v>有广告无销售广告费为</v>
      </c>
      <c r="AI18" s="27" t="str">
        <f t="shared" si="18"/>
        <v>有广告无销售广告费为</v>
      </c>
      <c r="AJ18" s="17" t="str">
        <f>IFERROR(VLOOKUP($B18,'[3]浏览量处理(勿删)'!$A:$B,2,0),"")</f>
        <v/>
      </c>
      <c r="AK18" s="17" t="str">
        <f>IFERROR(VLOOKUP($B18,'[3]浏览量处理(勿删)'!$A:$C,3,0),"")</f>
        <v/>
      </c>
      <c r="AL18" s="17" t="str">
        <f>IFERROR(VLOOKUP($B18,'[3]浏览量处理(勿删)'!$A:$D,4,0),"")</f>
        <v/>
      </c>
      <c r="AM18" s="17" t="str">
        <f>IFERROR(VLOOKUP($B18,'[3]浏览量处理(勿删)'!$A:$E,5,0),"")</f>
        <v/>
      </c>
      <c r="AN18" s="27" t="str">
        <f t="shared" si="6"/>
        <v/>
      </c>
      <c r="AO18" s="27" t="str">
        <f t="shared" si="7"/>
        <v/>
      </c>
      <c r="AP18" s="27" t="str">
        <f t="shared" si="8"/>
        <v/>
      </c>
      <c r="AQ18" s="27" t="str">
        <f t="shared" si="9"/>
        <v/>
      </c>
      <c r="AR18" s="32">
        <f t="shared" si="10"/>
        <v>0</v>
      </c>
      <c r="AS18" s="32">
        <f t="shared" si="11"/>
        <v>0</v>
      </c>
      <c r="AT18" s="32">
        <f t="shared" si="12"/>
        <v>0</v>
      </c>
      <c r="AU18" s="18" t="str">
        <f t="shared" si="13"/>
        <v>库存为0</v>
      </c>
      <c r="AV18" s="33" t="str">
        <f>IFERROR(时间!$B$4+AU18,"上周无销量")</f>
        <v>上周无销量</v>
      </c>
    </row>
    <row r="19" spans="1:48">
      <c r="A19" s="16" t="s">
        <v>63</v>
      </c>
      <c r="B19" s="17" t="str">
        <f>VLOOKUP(A19,[1]sku_fnsku_asin_产品名称!$A:$C,3,0)</f>
        <v>B002DYY35Y</v>
      </c>
      <c r="C19" s="17" t="str">
        <f>VLOOKUP(A19,[1]sku_fnsku_asin_产品名称!$A:$D,4,0)</f>
        <v>Premier Dead Sea Mineral Body Treatment - Salt Scrub - Lemon Aroma</v>
      </c>
      <c r="D19" s="18">
        <f>IFERROR(VLOOKUP(A19,[4]库存报告使用数据处理!$A:$B,2,0),0)</f>
        <v>2</v>
      </c>
      <c r="E19" s="18">
        <f>IFERROR(VLOOKUP(A19,[4]库存报告使用数据处理!$A:$C,3,0),0)</f>
        <v>2</v>
      </c>
      <c r="F19" s="18">
        <f>IFERROR(VLOOKUP(A19,[4]库存报告使用数据处理!$A:$D,4,0),0)</f>
        <v>1</v>
      </c>
      <c r="G19" s="18">
        <f>IFERROR(VLOOKUP(A19,[4]库存报告使用数据处理!$A:$E,5,0),0)</f>
        <v>0</v>
      </c>
      <c r="H19" s="18">
        <f>IFERROR(VLOOKUP(A19,[4]库存报告使用数据处理!$A:$F,6,0),0)</f>
        <v>17.19</v>
      </c>
      <c r="I19" s="18">
        <f>IFERROR(VLOOKUP($A19,[2]数据处理!$A:$B,2,0),0)</f>
        <v>13</v>
      </c>
      <c r="J19" s="18">
        <f>IFERROR(VLOOKUP($A19,[2]数据处理!$A:$D,4,0),0)</f>
        <v>0</v>
      </c>
      <c r="K19" s="18">
        <f>IFERROR(VLOOKUP($A19,[2]数据处理!$A:$E,5,0),0)</f>
        <v>0</v>
      </c>
      <c r="L19" s="18">
        <f>IFERROR(VLOOKUP($A19,[2]数据处理!$A:$N,7,0),0)</f>
        <v>1</v>
      </c>
      <c r="M19" s="22">
        <f t="shared" si="0"/>
        <v>14</v>
      </c>
      <c r="N19" s="18">
        <f>IFERROR(VLOOKUP($A19,[2]数据处理!$A:$N,3,0),0)</f>
        <v>0</v>
      </c>
      <c r="O19" s="17">
        <f>IFERROR(VLOOKUP($A19,[2]数据处理!$A:$N,14,0),0)</f>
        <v>15</v>
      </c>
      <c r="P19" s="17">
        <f>IFERROR(VLOOKUP($A19,[5]库存报告使用数据!$A$1:$B$65536,2,0),0)</f>
        <v>923</v>
      </c>
      <c r="Q19" s="17">
        <f>IFERROR(VLOOKUP($A19,[5]库存报告使用数据!$A$1:$E$65536,5,0),0)</f>
        <v>551</v>
      </c>
      <c r="R19" s="17">
        <f>IFERROR(VLOOKUP($A19,[5]库存报告使用数据!$A$1:$H$65536,8,0),0)</f>
        <v>244</v>
      </c>
      <c r="S19" s="17">
        <f>IFERROR(VLOOKUP($A19,[5]库存报告使用数据!$A$1:$K$65536,11,0),0)</f>
        <v>0</v>
      </c>
      <c r="T19" s="17">
        <f>IFERROR(VLOOKUP($A19,[5]库存报告使用数据!$A$1:$C$65536,3,0),"")</f>
        <v>1</v>
      </c>
      <c r="U19" s="17">
        <f>IFERROR(VLOOKUP($A19,[5]库存报告使用数据!$A$1:$F$65536,6,0),"")</f>
        <v>3</v>
      </c>
      <c r="V19" s="17">
        <f>IFERROR(VLOOKUP($A19,[5]库存报告使用数据!$A$1:$I$65536,9,0),"")</f>
        <v>1</v>
      </c>
      <c r="W19" s="17">
        <f>IFERROR(VLOOKUP($A19,[5]库存报告使用数据!$A$1:$L$65536,12,0),"")</f>
        <v>0</v>
      </c>
      <c r="X19" s="27">
        <f t="shared" si="1"/>
        <v>0.00108342361863489</v>
      </c>
      <c r="Y19" s="27">
        <f t="shared" si="2"/>
        <v>0.00544464609800363</v>
      </c>
      <c r="Z19" s="27">
        <f t="shared" si="3"/>
        <v>0.00409836065573771</v>
      </c>
      <c r="AA19" s="27" t="str">
        <f t="shared" si="4"/>
        <v/>
      </c>
      <c r="AB19" s="17">
        <f>IFERROR(VLOOKUP($A19,[5]库存报告使用数据!$A$1:$D$65536,4,0),"")</f>
        <v>0.02</v>
      </c>
      <c r="AC19" s="17">
        <f>IFERROR(VLOOKUP($A19,[5]库存报告使用数据!$A$1:$G$65536,7,0),"")</f>
        <v>1.57</v>
      </c>
      <c r="AD19" s="17">
        <f>IFERROR(VLOOKUP($A19,[5]库存报告使用数据!$A$1:$J$65536,10,0),"")</f>
        <v>0.03</v>
      </c>
      <c r="AE19" s="17">
        <f>IFERROR(VLOOKUP($A19,[5]库存报告使用数据!$A$1:$M$65536,13,0),"")</f>
        <v>0</v>
      </c>
      <c r="AF19" s="27">
        <f t="shared" si="15"/>
        <v>0.00058173356602676</v>
      </c>
      <c r="AG19" s="27">
        <f t="shared" si="16"/>
        <v>0.0456660849331006</v>
      </c>
      <c r="AH19" s="27">
        <f t="shared" si="17"/>
        <v>0.00174520069808028</v>
      </c>
      <c r="AI19" s="27" t="str">
        <f t="shared" si="18"/>
        <v/>
      </c>
      <c r="AJ19" s="17">
        <f>IFERROR(VLOOKUP($B19,'[3]浏览量处理(勿删)'!$A:$B,2,0),"")</f>
        <v>23</v>
      </c>
      <c r="AK19" s="17">
        <f>IFERROR(VLOOKUP($B19,'[3]浏览量处理(勿删)'!$A:$C,3,0),"")</f>
        <v>22</v>
      </c>
      <c r="AL19" s="17">
        <f>IFERROR(VLOOKUP($B19,'[3]浏览量处理(勿删)'!$A:$D,4,0),"")</f>
        <v>20</v>
      </c>
      <c r="AM19" s="17">
        <f>IFERROR(VLOOKUP($B19,'[3]浏览量处理(勿删)'!$A:$E,5,0),"")</f>
        <v>49</v>
      </c>
      <c r="AN19" s="27">
        <f t="shared" si="6"/>
        <v>0.0869565217391304</v>
      </c>
      <c r="AO19" s="27">
        <f t="shared" si="7"/>
        <v>0.0909090909090909</v>
      </c>
      <c r="AP19" s="27">
        <f t="shared" si="8"/>
        <v>0.05</v>
      </c>
      <c r="AQ19" s="27">
        <f t="shared" si="9"/>
        <v>0</v>
      </c>
      <c r="AR19" s="32">
        <f t="shared" si="10"/>
        <v>0.285714285714286</v>
      </c>
      <c r="AS19" s="32">
        <f t="shared" si="11"/>
        <v>17.1428571428571</v>
      </c>
      <c r="AT19" s="32">
        <f t="shared" si="12"/>
        <v>-3.14285714285714</v>
      </c>
      <c r="AU19" s="18">
        <f t="shared" si="13"/>
        <v>49</v>
      </c>
      <c r="AV19" s="33">
        <f>IFERROR(时间!$B$4+AU19,"上周无销量")</f>
        <v>43339</v>
      </c>
    </row>
    <row r="20" spans="1:48">
      <c r="A20" s="16" t="s">
        <v>64</v>
      </c>
      <c r="B20" s="17" t="str">
        <f>VLOOKUP(A20,[1]sku_fnsku_asin_产品名称!$A:$C,3,0)</f>
        <v>B000VF5WVG</v>
      </c>
      <c r="C20" s="17" t="str">
        <f>VLOOKUP(A20,[1]sku_fnsku_asin_产品名称!$A:$D,4,0)</f>
        <v>Premier by Dead Sea Premier Luxury Collection Milk Cleanser, 8.5 fl oz</v>
      </c>
      <c r="D20" s="18">
        <f>IFERROR(VLOOKUP(A20,[4]库存报告使用数据处理!$A:$B,2,0),0)</f>
        <v>0</v>
      </c>
      <c r="E20" s="18">
        <f>IFERROR(VLOOKUP(A20,[4]库存报告使用数据处理!$A:$C,3,0),0)</f>
        <v>0</v>
      </c>
      <c r="F20" s="18">
        <f>IFERROR(VLOOKUP(A20,[4]库存报告使用数据处理!$A:$D,4,0),0)</f>
        <v>0</v>
      </c>
      <c r="G20" s="18">
        <f>IFERROR(VLOOKUP(A20,[4]库存报告使用数据处理!$A:$E,5,0),0)</f>
        <v>0</v>
      </c>
      <c r="H20" s="18">
        <f>IFERROR(VLOOKUP(A20,[4]库存报告使用数据处理!$A:$F,6,0),0)</f>
        <v>0</v>
      </c>
      <c r="I20" s="18">
        <f>IFERROR(VLOOKUP($A20,[2]数据处理!$A:$B,2,0),0)</f>
        <v>0</v>
      </c>
      <c r="J20" s="18">
        <f>IFERROR(VLOOKUP($A20,[2]数据处理!$A:$D,4,0),0)</f>
        <v>0</v>
      </c>
      <c r="K20" s="18">
        <f>IFERROR(VLOOKUP($A20,[2]数据处理!$A:$E,5,0),0)</f>
        <v>0</v>
      </c>
      <c r="L20" s="18">
        <f>IFERROR(VLOOKUP($A20,[2]数据处理!$A:$N,7,0),0)</f>
        <v>0</v>
      </c>
      <c r="M20" s="22">
        <f t="shared" si="0"/>
        <v>0</v>
      </c>
      <c r="N20" s="18">
        <f>IFERROR(VLOOKUP($A20,[2]数据处理!$A:$N,3,0),0)</f>
        <v>0</v>
      </c>
      <c r="O20" s="17">
        <f>IFERROR(VLOOKUP($A20,[2]数据处理!$A:$N,14,0),0)</f>
        <v>0</v>
      </c>
      <c r="P20" s="17">
        <f>IFERROR(VLOOKUP($A20,[5]库存报告使用数据!$A$1:$B$65536,2,0),0)</f>
        <v>0</v>
      </c>
      <c r="Q20" s="17">
        <f>IFERROR(VLOOKUP($A20,[5]库存报告使用数据!$A$1:$E$65536,5,0),0)</f>
        <v>0</v>
      </c>
      <c r="R20" s="17">
        <f>IFERROR(VLOOKUP($A20,[5]库存报告使用数据!$A$1:$H$65536,8,0),0)</f>
        <v>0</v>
      </c>
      <c r="S20" s="17">
        <f>IFERROR(VLOOKUP($A20,[5]库存报告使用数据!$A$1:$K$65536,11,0),0)</f>
        <v>0</v>
      </c>
      <c r="T20" s="17" t="str">
        <f>IFERROR(VLOOKUP($A20,[5]库存报告使用数据!$A$1:$C$65536,3,0),"")</f>
        <v/>
      </c>
      <c r="U20" s="17" t="str">
        <f>IFERROR(VLOOKUP($A20,[5]库存报告使用数据!$A$1:$F$65536,6,0),"")</f>
        <v/>
      </c>
      <c r="V20" s="17" t="str">
        <f>IFERROR(VLOOKUP($A20,[5]库存报告使用数据!$A$1:$I$65536,9,0),"")</f>
        <v/>
      </c>
      <c r="W20" s="17" t="str">
        <f>IFERROR(VLOOKUP($A20,[5]库存报告使用数据!$A$1:$L$65536,12,0),"")</f>
        <v/>
      </c>
      <c r="X20" s="27" t="str">
        <f t="shared" si="1"/>
        <v/>
      </c>
      <c r="Y20" s="27" t="str">
        <f t="shared" si="2"/>
        <v/>
      </c>
      <c r="Z20" s="27" t="str">
        <f t="shared" si="3"/>
        <v/>
      </c>
      <c r="AA20" s="27" t="str">
        <f t="shared" si="4"/>
        <v/>
      </c>
      <c r="AB20" s="17" t="str">
        <f>IFERROR(VLOOKUP($A20,[5]库存报告使用数据!$A$1:$D$65536,4,0),"")</f>
        <v/>
      </c>
      <c r="AC20" s="17" t="str">
        <f>IFERROR(VLOOKUP($A20,[5]库存报告使用数据!$A$1:$G$65536,7,0),"")</f>
        <v/>
      </c>
      <c r="AD20" s="17" t="str">
        <f>IFERROR(VLOOKUP($A20,[5]库存报告使用数据!$A$1:$J$65536,10,0),"")</f>
        <v/>
      </c>
      <c r="AE20" s="17" t="str">
        <f>IFERROR(VLOOKUP($A20,[5]库存报告使用数据!$A$1:$M$65536,13,0),"")</f>
        <v/>
      </c>
      <c r="AF20" s="27" t="str">
        <f t="shared" si="15"/>
        <v>有广告无销售广告费为</v>
      </c>
      <c r="AG20" s="27" t="str">
        <f t="shared" si="16"/>
        <v>有广告无销售广告费为</v>
      </c>
      <c r="AH20" s="27" t="str">
        <f t="shared" si="17"/>
        <v>有广告无销售广告费为</v>
      </c>
      <c r="AI20" s="27" t="str">
        <f t="shared" si="18"/>
        <v>有广告无销售广告费为</v>
      </c>
      <c r="AJ20" s="17">
        <f>IFERROR(VLOOKUP($B20,'[3]浏览量处理(勿删)'!$A:$B,2,0),"")</f>
        <v>81</v>
      </c>
      <c r="AK20" s="17">
        <f>IFERROR(VLOOKUP($B20,'[3]浏览量处理(勿删)'!$A:$C,3,0),"")</f>
        <v>85</v>
      </c>
      <c r="AL20" s="17">
        <f>IFERROR(VLOOKUP($B20,'[3]浏览量处理(勿删)'!$A:$D,4,0),"")</f>
        <v>76</v>
      </c>
      <c r="AM20" s="17">
        <f>IFERROR(VLOOKUP($B20,'[3]浏览量处理(勿删)'!$A:$E,5,0),"")</f>
        <v>279</v>
      </c>
      <c r="AN20" s="27">
        <f t="shared" si="6"/>
        <v>0</v>
      </c>
      <c r="AO20" s="27">
        <f t="shared" si="7"/>
        <v>0</v>
      </c>
      <c r="AP20" s="27">
        <f t="shared" si="8"/>
        <v>0</v>
      </c>
      <c r="AQ20" s="27">
        <f t="shared" si="9"/>
        <v>0</v>
      </c>
      <c r="AR20" s="32">
        <f t="shared" si="10"/>
        <v>0</v>
      </c>
      <c r="AS20" s="32">
        <f t="shared" si="11"/>
        <v>0</v>
      </c>
      <c r="AT20" s="32">
        <f t="shared" si="12"/>
        <v>0</v>
      </c>
      <c r="AU20" s="18" t="str">
        <f t="shared" si="13"/>
        <v>库存为0</v>
      </c>
      <c r="AV20" s="33" t="str">
        <f>IFERROR(时间!$B$4+AU20,"上周无销量")</f>
        <v>上周无销量</v>
      </c>
    </row>
    <row r="21" spans="1:48">
      <c r="A21" s="16" t="s">
        <v>65</v>
      </c>
      <c r="B21" s="17" t="str">
        <f>VLOOKUP(A21,[1]sku_fnsku_asin_产品名称!$A:$C,3,0)</f>
        <v>B000VEWF2Q</v>
      </c>
      <c r="C21" s="17">
        <f>VLOOKUP(A21,[1]sku_fnsku_asin_产品名称!$A:$D,4,0)</f>
        <v>0</v>
      </c>
      <c r="D21" s="18">
        <f>IFERROR(VLOOKUP(A21,[4]库存报告使用数据处理!$A:$B,2,0),0)</f>
        <v>0</v>
      </c>
      <c r="E21" s="18">
        <f>IFERROR(VLOOKUP(A21,[4]库存报告使用数据处理!$A:$C,3,0),0)</f>
        <v>0</v>
      </c>
      <c r="F21" s="18">
        <f>IFERROR(VLOOKUP(A21,[4]库存报告使用数据处理!$A:$D,4,0),0)</f>
        <v>0</v>
      </c>
      <c r="G21" s="18">
        <f>IFERROR(VLOOKUP(A21,[4]库存报告使用数据处理!$A:$E,5,0),0)</f>
        <v>0</v>
      </c>
      <c r="H21" s="18">
        <f>IFERROR(VLOOKUP(A21,[4]库存报告使用数据处理!$A:$F,6,0),0)</f>
        <v>0</v>
      </c>
      <c r="I21" s="18">
        <f>IFERROR(VLOOKUP($A21,[2]数据处理!$A:$B,2,0),0)</f>
        <v>0</v>
      </c>
      <c r="J21" s="18">
        <f>IFERROR(VLOOKUP($A21,[2]数据处理!$A:$D,4,0),0)</f>
        <v>0</v>
      </c>
      <c r="K21" s="18">
        <f>IFERROR(VLOOKUP($A21,[2]数据处理!$A:$E,5,0),0)</f>
        <v>0</v>
      </c>
      <c r="L21" s="18">
        <f>IFERROR(VLOOKUP($A21,[2]数据处理!$A:$N,7,0),0)</f>
        <v>0</v>
      </c>
      <c r="M21" s="22">
        <f t="shared" si="0"/>
        <v>0</v>
      </c>
      <c r="N21" s="18">
        <f>IFERROR(VLOOKUP($A21,[2]数据处理!$A:$N,3,0),0)</f>
        <v>1</v>
      </c>
      <c r="O21" s="17">
        <f>IFERROR(VLOOKUP($A21,[2]数据处理!$A:$N,14,0),0)</f>
        <v>0</v>
      </c>
      <c r="P21" s="17">
        <f>IFERROR(VLOOKUP($A21,[5]库存报告使用数据!$A$1:$B$65536,2,0),0)</f>
        <v>0</v>
      </c>
      <c r="Q21" s="17">
        <f>IFERROR(VLOOKUP($A21,[5]库存报告使用数据!$A$1:$E$65536,5,0),0)</f>
        <v>0</v>
      </c>
      <c r="R21" s="17">
        <f>IFERROR(VLOOKUP($A21,[5]库存报告使用数据!$A$1:$H$65536,8,0),0)</f>
        <v>0</v>
      </c>
      <c r="S21" s="17">
        <f>IFERROR(VLOOKUP($A21,[5]库存报告使用数据!$A$1:$K$65536,11,0),0)</f>
        <v>0</v>
      </c>
      <c r="T21" s="17" t="str">
        <f>IFERROR(VLOOKUP($A21,[5]库存报告使用数据!$A$1:$C$65536,3,0),"")</f>
        <v/>
      </c>
      <c r="U21" s="17" t="str">
        <f>IFERROR(VLOOKUP($A21,[5]库存报告使用数据!$A$1:$F$65536,6,0),"")</f>
        <v/>
      </c>
      <c r="V21" s="17" t="str">
        <f>IFERROR(VLOOKUP($A21,[5]库存报告使用数据!$A$1:$I$65536,9,0),"")</f>
        <v/>
      </c>
      <c r="W21" s="17" t="str">
        <f>IFERROR(VLOOKUP($A21,[5]库存报告使用数据!$A$1:$L$65536,12,0),"")</f>
        <v/>
      </c>
      <c r="X21" s="27" t="str">
        <f t="shared" si="1"/>
        <v/>
      </c>
      <c r="Y21" s="27" t="str">
        <f t="shared" si="2"/>
        <v/>
      </c>
      <c r="Z21" s="27" t="str">
        <f t="shared" si="3"/>
        <v/>
      </c>
      <c r="AA21" s="27" t="str">
        <f t="shared" si="4"/>
        <v/>
      </c>
      <c r="AB21" s="17" t="str">
        <f>IFERROR(VLOOKUP($A21,[5]库存报告使用数据!$A$1:$D$65536,4,0),"")</f>
        <v/>
      </c>
      <c r="AC21" s="17" t="str">
        <f>IFERROR(VLOOKUP($A21,[5]库存报告使用数据!$A$1:$G$65536,7,0),"")</f>
        <v/>
      </c>
      <c r="AD21" s="17" t="str">
        <f>IFERROR(VLOOKUP($A21,[5]库存报告使用数据!$A$1:$J$65536,10,0),"")</f>
        <v/>
      </c>
      <c r="AE21" s="17" t="str">
        <f>IFERROR(VLOOKUP($A21,[5]库存报告使用数据!$A$1:$M$65536,13,0),"")</f>
        <v/>
      </c>
      <c r="AF21" s="27" t="str">
        <f t="shared" si="15"/>
        <v>有广告无销售广告费为</v>
      </c>
      <c r="AG21" s="27" t="str">
        <f t="shared" si="16"/>
        <v>有广告无销售广告费为</v>
      </c>
      <c r="AH21" s="27" t="str">
        <f t="shared" si="17"/>
        <v>有广告无销售广告费为</v>
      </c>
      <c r="AI21" s="27" t="str">
        <f t="shared" si="18"/>
        <v>有广告无销售广告费为</v>
      </c>
      <c r="AJ21" s="17" t="str">
        <f>IFERROR(VLOOKUP($B21,'[3]浏览量处理(勿删)'!$A:$B,2,0),"")</f>
        <v/>
      </c>
      <c r="AK21" s="17" t="str">
        <f>IFERROR(VLOOKUP($B21,'[3]浏览量处理(勿删)'!$A:$C,3,0),"")</f>
        <v/>
      </c>
      <c r="AL21" s="17" t="str">
        <f>IFERROR(VLOOKUP($B21,'[3]浏览量处理(勿删)'!$A:$D,4,0),"")</f>
        <v/>
      </c>
      <c r="AM21" s="17" t="str">
        <f>IFERROR(VLOOKUP($B21,'[3]浏览量处理(勿删)'!$A:$E,5,0),"")</f>
        <v/>
      </c>
      <c r="AN21" s="27" t="str">
        <f t="shared" si="6"/>
        <v/>
      </c>
      <c r="AO21" s="27" t="str">
        <f t="shared" si="7"/>
        <v/>
      </c>
      <c r="AP21" s="27" t="str">
        <f t="shared" si="8"/>
        <v/>
      </c>
      <c r="AQ21" s="27" t="str">
        <f t="shared" si="9"/>
        <v/>
      </c>
      <c r="AR21" s="32">
        <f t="shared" si="10"/>
        <v>0</v>
      </c>
      <c r="AS21" s="32">
        <f t="shared" si="11"/>
        <v>0</v>
      </c>
      <c r="AT21" s="32">
        <f t="shared" si="12"/>
        <v>0</v>
      </c>
      <c r="AU21" s="18" t="str">
        <f t="shared" si="13"/>
        <v>库存为0</v>
      </c>
      <c r="AV21" s="33" t="str">
        <f>IFERROR(时间!$B$4+AU21,"上周无销量")</f>
        <v>上周无销量</v>
      </c>
    </row>
    <row r="22" spans="1:48">
      <c r="A22" s="16" t="s">
        <v>66</v>
      </c>
      <c r="B22" s="17" t="str">
        <f>VLOOKUP(A22,[1]sku_fnsku_asin_产品名称!$A:$C,3,0)</f>
        <v>B004H02GDI</v>
      </c>
      <c r="C22" s="17">
        <f>VLOOKUP(A22,[1]sku_fnsku_asin_产品名称!$A:$D,4,0)</f>
        <v>0</v>
      </c>
      <c r="D22" s="18">
        <f>IFERROR(VLOOKUP(A22,[4]库存报告使用数据处理!$A:$B,2,0),0)</f>
        <v>0</v>
      </c>
      <c r="E22" s="18">
        <f>IFERROR(VLOOKUP(A22,[4]库存报告使用数据处理!$A:$C,3,0),0)</f>
        <v>0</v>
      </c>
      <c r="F22" s="18">
        <f>IFERROR(VLOOKUP(A22,[4]库存报告使用数据处理!$A:$D,4,0),0)</f>
        <v>0</v>
      </c>
      <c r="G22" s="18">
        <f>IFERROR(VLOOKUP(A22,[4]库存报告使用数据处理!$A:$E,5,0),0)</f>
        <v>0</v>
      </c>
      <c r="H22" s="18">
        <f>IFERROR(VLOOKUP(A22,[4]库存报告使用数据处理!$A:$F,6,0),0)</f>
        <v>0</v>
      </c>
      <c r="I22" s="18">
        <f>IFERROR(VLOOKUP($A22,[2]数据处理!$A:$B,2,0),0)</f>
        <v>0</v>
      </c>
      <c r="J22" s="18">
        <f>IFERROR(VLOOKUP($A22,[2]数据处理!$A:$D,4,0),0)</f>
        <v>0</v>
      </c>
      <c r="K22" s="18">
        <f>IFERROR(VLOOKUP($A22,[2]数据处理!$A:$E,5,0),0)</f>
        <v>0</v>
      </c>
      <c r="L22" s="18">
        <f>IFERROR(VLOOKUP($A22,[2]数据处理!$A:$N,7,0),0)</f>
        <v>0</v>
      </c>
      <c r="M22" s="22">
        <f t="shared" si="0"/>
        <v>0</v>
      </c>
      <c r="N22" s="18">
        <f>IFERROR(VLOOKUP($A22,[2]数据处理!$A:$N,3,0),0)</f>
        <v>0</v>
      </c>
      <c r="O22" s="17">
        <f>IFERROR(VLOOKUP($A22,[2]数据处理!$A:$N,14,0),0)</f>
        <v>0</v>
      </c>
      <c r="P22" s="17">
        <f>IFERROR(VLOOKUP($A22,[5]库存报告使用数据!$A$1:$B$65536,2,0),0)</f>
        <v>0</v>
      </c>
      <c r="Q22" s="17">
        <f>IFERROR(VLOOKUP($A22,[5]库存报告使用数据!$A$1:$E$65536,5,0),0)</f>
        <v>0</v>
      </c>
      <c r="R22" s="17">
        <f>IFERROR(VLOOKUP($A22,[5]库存报告使用数据!$A$1:$H$65536,8,0),0)</f>
        <v>0</v>
      </c>
      <c r="S22" s="17">
        <f>IFERROR(VLOOKUP($A22,[5]库存报告使用数据!$A$1:$K$65536,11,0),0)</f>
        <v>0</v>
      </c>
      <c r="T22" s="17" t="str">
        <f>IFERROR(VLOOKUP($A22,[5]库存报告使用数据!$A$1:$C$65536,3,0),"")</f>
        <v/>
      </c>
      <c r="U22" s="17" t="str">
        <f>IFERROR(VLOOKUP($A22,[5]库存报告使用数据!$A$1:$F$65536,6,0),"")</f>
        <v/>
      </c>
      <c r="V22" s="17" t="str">
        <f>IFERROR(VLOOKUP($A22,[5]库存报告使用数据!$A$1:$I$65536,9,0),"")</f>
        <v/>
      </c>
      <c r="W22" s="17" t="str">
        <f>IFERROR(VLOOKUP($A22,[5]库存报告使用数据!$A$1:$L$65536,12,0),"")</f>
        <v/>
      </c>
      <c r="X22" s="27" t="str">
        <f t="shared" si="1"/>
        <v/>
      </c>
      <c r="Y22" s="27" t="str">
        <f t="shared" si="2"/>
        <v/>
      </c>
      <c r="Z22" s="27" t="str">
        <f t="shared" si="3"/>
        <v/>
      </c>
      <c r="AA22" s="27" t="str">
        <f t="shared" si="4"/>
        <v/>
      </c>
      <c r="AB22" s="17" t="str">
        <f>IFERROR(VLOOKUP($A22,[5]库存报告使用数据!$A$1:$D$65536,4,0),"")</f>
        <v/>
      </c>
      <c r="AC22" s="17" t="str">
        <f>IFERROR(VLOOKUP($A22,[5]库存报告使用数据!$A$1:$G$65536,7,0),"")</f>
        <v/>
      </c>
      <c r="AD22" s="17" t="str">
        <f>IFERROR(VLOOKUP($A22,[5]库存报告使用数据!$A$1:$J$65536,10,0),"")</f>
        <v/>
      </c>
      <c r="AE22" s="17" t="str">
        <f>IFERROR(VLOOKUP($A22,[5]库存报告使用数据!$A$1:$M$65536,13,0),"")</f>
        <v/>
      </c>
      <c r="AF22" s="27" t="str">
        <f t="shared" si="15"/>
        <v>有广告无销售广告费为</v>
      </c>
      <c r="AG22" s="27" t="str">
        <f t="shared" si="16"/>
        <v>有广告无销售广告费为</v>
      </c>
      <c r="AH22" s="27" t="str">
        <f t="shared" si="17"/>
        <v>有广告无销售广告费为</v>
      </c>
      <c r="AI22" s="27" t="str">
        <f t="shared" si="18"/>
        <v>有广告无销售广告费为</v>
      </c>
      <c r="AJ22" s="17">
        <f>IFERROR(VLOOKUP($B22,'[3]浏览量处理(勿删)'!$A:$B,2,0),"")</f>
        <v>61</v>
      </c>
      <c r="AK22" s="17">
        <f>IFERROR(VLOOKUP($B22,'[3]浏览量处理(勿删)'!$A:$C,3,0),"")</f>
        <v>95</v>
      </c>
      <c r="AL22" s="17">
        <f>IFERROR(VLOOKUP($B22,'[3]浏览量处理(勿删)'!$A:$D,4,0),"")</f>
        <v>105</v>
      </c>
      <c r="AM22" s="17">
        <f>IFERROR(VLOOKUP($B22,'[3]浏览量处理(勿删)'!$A:$E,5,0),"")</f>
        <v>77</v>
      </c>
      <c r="AN22" s="27">
        <f t="shared" si="6"/>
        <v>0</v>
      </c>
      <c r="AO22" s="27">
        <f t="shared" si="7"/>
        <v>0</v>
      </c>
      <c r="AP22" s="27">
        <f t="shared" si="8"/>
        <v>0</v>
      </c>
      <c r="AQ22" s="27">
        <f t="shared" si="9"/>
        <v>0</v>
      </c>
      <c r="AR22" s="32">
        <f t="shared" si="10"/>
        <v>0</v>
      </c>
      <c r="AS22" s="32">
        <f t="shared" si="11"/>
        <v>0</v>
      </c>
      <c r="AT22" s="32">
        <f t="shared" si="12"/>
        <v>0</v>
      </c>
      <c r="AU22" s="18" t="str">
        <f t="shared" si="13"/>
        <v>库存为0</v>
      </c>
      <c r="AV22" s="33" t="str">
        <f>IFERROR(时间!$B$4+AU22,"上周无销量")</f>
        <v>上周无销量</v>
      </c>
    </row>
    <row r="23" spans="1:48">
      <c r="A23" s="16" t="s">
        <v>67</v>
      </c>
      <c r="B23" s="17" t="str">
        <f>VLOOKUP(A23,[1]sku_fnsku_asin_产品名称!$A:$C,3,0)</f>
        <v>B003CEA88U</v>
      </c>
      <c r="C23" s="17">
        <f>VLOOKUP(A23,[1]sku_fnsku_asin_产品名称!$A:$D,4,0)</f>
        <v>0</v>
      </c>
      <c r="D23" s="18">
        <f>IFERROR(VLOOKUP(A23,[4]库存报告使用数据处理!$A:$B,2,0),0)</f>
        <v>0</v>
      </c>
      <c r="E23" s="18">
        <f>IFERROR(VLOOKUP(A23,[4]库存报告使用数据处理!$A:$C,3,0),0)</f>
        <v>0</v>
      </c>
      <c r="F23" s="18">
        <f>IFERROR(VLOOKUP(A23,[4]库存报告使用数据处理!$A:$D,4,0),0)</f>
        <v>0</v>
      </c>
      <c r="G23" s="18">
        <f>IFERROR(VLOOKUP(A23,[4]库存报告使用数据处理!$A:$E,5,0),0)</f>
        <v>0</v>
      </c>
      <c r="H23" s="18">
        <f>IFERROR(VLOOKUP(A23,[4]库存报告使用数据处理!$A:$F,6,0),0)</f>
        <v>0</v>
      </c>
      <c r="I23" s="18">
        <f>IFERROR(VLOOKUP($A23,[2]数据处理!$A:$B,2,0),0)</f>
        <v>0</v>
      </c>
      <c r="J23" s="18">
        <f>IFERROR(VLOOKUP($A23,[2]数据处理!$A:$D,4,0),0)</f>
        <v>0</v>
      </c>
      <c r="K23" s="18">
        <f>IFERROR(VLOOKUP($A23,[2]数据处理!$A:$E,5,0),0)</f>
        <v>0</v>
      </c>
      <c r="L23" s="18">
        <f>IFERROR(VLOOKUP($A23,[2]数据处理!$A:$N,7,0),0)</f>
        <v>0</v>
      </c>
      <c r="M23" s="22">
        <f t="shared" si="0"/>
        <v>0</v>
      </c>
      <c r="N23" s="18">
        <f>IFERROR(VLOOKUP($A23,[2]数据处理!$A:$N,3,0),0)</f>
        <v>0</v>
      </c>
      <c r="O23" s="17">
        <f>IFERROR(VLOOKUP($A23,[2]数据处理!$A:$N,14,0),0)</f>
        <v>0</v>
      </c>
      <c r="P23" s="17">
        <f>IFERROR(VLOOKUP($A23,[5]库存报告使用数据!$A$1:$B$65536,2,0),0)</f>
        <v>0</v>
      </c>
      <c r="Q23" s="17">
        <f>IFERROR(VLOOKUP($A23,[5]库存报告使用数据!$A$1:$E$65536,5,0),0)</f>
        <v>0</v>
      </c>
      <c r="R23" s="17">
        <f>IFERROR(VLOOKUP($A23,[5]库存报告使用数据!$A$1:$H$65536,8,0),0)</f>
        <v>0</v>
      </c>
      <c r="S23" s="17">
        <f>IFERROR(VLOOKUP($A23,[5]库存报告使用数据!$A$1:$K$65536,11,0),0)</f>
        <v>0</v>
      </c>
      <c r="T23" s="17" t="str">
        <f>IFERROR(VLOOKUP($A23,[5]库存报告使用数据!$A$1:$C$65536,3,0),"")</f>
        <v/>
      </c>
      <c r="U23" s="17" t="str">
        <f>IFERROR(VLOOKUP($A23,[5]库存报告使用数据!$A$1:$F$65536,6,0),"")</f>
        <v/>
      </c>
      <c r="V23" s="17" t="str">
        <f>IFERROR(VLOOKUP($A23,[5]库存报告使用数据!$A$1:$I$65536,9,0),"")</f>
        <v/>
      </c>
      <c r="W23" s="17" t="str">
        <f>IFERROR(VLOOKUP($A23,[5]库存报告使用数据!$A$1:$L$65536,12,0),"")</f>
        <v/>
      </c>
      <c r="X23" s="27" t="str">
        <f t="shared" si="1"/>
        <v/>
      </c>
      <c r="Y23" s="27" t="str">
        <f t="shared" si="2"/>
        <v/>
      </c>
      <c r="Z23" s="27" t="str">
        <f t="shared" si="3"/>
        <v/>
      </c>
      <c r="AA23" s="27" t="str">
        <f t="shared" si="4"/>
        <v/>
      </c>
      <c r="AB23" s="17" t="str">
        <f>IFERROR(VLOOKUP($A23,[5]库存报告使用数据!$A$1:$D$65536,4,0),"")</f>
        <v/>
      </c>
      <c r="AC23" s="17" t="str">
        <f>IFERROR(VLOOKUP($A23,[5]库存报告使用数据!$A$1:$G$65536,7,0),"")</f>
        <v/>
      </c>
      <c r="AD23" s="17" t="str">
        <f>IFERROR(VLOOKUP($A23,[5]库存报告使用数据!$A$1:$J$65536,10,0),"")</f>
        <v/>
      </c>
      <c r="AE23" s="17" t="str">
        <f>IFERROR(VLOOKUP($A23,[5]库存报告使用数据!$A$1:$M$65536,13,0),"")</f>
        <v/>
      </c>
      <c r="AF23" s="27" t="str">
        <f t="shared" si="15"/>
        <v>有广告无销售广告费为</v>
      </c>
      <c r="AG23" s="27" t="str">
        <f t="shared" si="16"/>
        <v>有广告无销售广告费为</v>
      </c>
      <c r="AH23" s="27" t="str">
        <f t="shared" si="17"/>
        <v>有广告无销售广告费为</v>
      </c>
      <c r="AI23" s="27" t="str">
        <f t="shared" si="18"/>
        <v>有广告无销售广告费为</v>
      </c>
      <c r="AJ23" s="17">
        <f>IFERROR(VLOOKUP($B23,'[3]浏览量处理(勿删)'!$A:$B,2,0),"")</f>
        <v>13</v>
      </c>
      <c r="AK23" s="17">
        <f>IFERROR(VLOOKUP($B23,'[3]浏览量处理(勿删)'!$A:$C,3,0),"")</f>
        <v>0</v>
      </c>
      <c r="AL23" s="17">
        <f>IFERROR(VLOOKUP($B23,'[3]浏览量处理(勿删)'!$A:$D,4,0),"")</f>
        <v>0</v>
      </c>
      <c r="AM23" s="17">
        <f>IFERROR(VLOOKUP($B23,'[3]浏览量处理(勿删)'!$A:$E,5,0),"")</f>
        <v>117</v>
      </c>
      <c r="AN23" s="27">
        <f t="shared" si="6"/>
        <v>0</v>
      </c>
      <c r="AO23" s="27" t="str">
        <f t="shared" si="7"/>
        <v/>
      </c>
      <c r="AP23" s="27" t="str">
        <f t="shared" si="8"/>
        <v/>
      </c>
      <c r="AQ23" s="27">
        <f t="shared" si="9"/>
        <v>0</v>
      </c>
      <c r="AR23" s="32">
        <f t="shared" si="10"/>
        <v>0</v>
      </c>
      <c r="AS23" s="32">
        <f t="shared" si="11"/>
        <v>0</v>
      </c>
      <c r="AT23" s="32">
        <f t="shared" si="12"/>
        <v>0</v>
      </c>
      <c r="AU23" s="18" t="str">
        <f t="shared" si="13"/>
        <v>库存为0</v>
      </c>
      <c r="AV23" s="33" t="str">
        <f>IFERROR(时间!$B$4+AU23,"上周无销量")</f>
        <v>上周无销量</v>
      </c>
    </row>
    <row r="24" spans="1:48">
      <c r="A24" s="16" t="s">
        <v>68</v>
      </c>
      <c r="B24" s="17" t="str">
        <f>VLOOKUP(A24,[1]sku_fnsku_asin_产品名称!$A:$C,3,0)</f>
        <v>B001561M00</v>
      </c>
      <c r="C24" s="17" t="str">
        <f>VLOOKUP(A24,[1]sku_fnsku_asin_产品名称!$A:$D,4,0)</f>
        <v>Premier Dead Sea Intensive Biox Thermal Beauty Mask**NEW IN BOX**SAME IN MALL**</v>
      </c>
      <c r="D24" s="18">
        <f>IFERROR(VLOOKUP(A24,[4]库存报告使用数据处理!$A:$B,2,0),0)</f>
        <v>0</v>
      </c>
      <c r="E24" s="18">
        <f>IFERROR(VLOOKUP(A24,[4]库存报告使用数据处理!$A:$C,3,0),0)</f>
        <v>0</v>
      </c>
      <c r="F24" s="18">
        <f>IFERROR(VLOOKUP(A24,[4]库存报告使用数据处理!$A:$D,4,0),0)</f>
        <v>0</v>
      </c>
      <c r="G24" s="18">
        <f>IFERROR(VLOOKUP(A24,[4]库存报告使用数据处理!$A:$E,5,0),0)</f>
        <v>0</v>
      </c>
      <c r="H24" s="18">
        <f>IFERROR(VLOOKUP(A24,[4]库存报告使用数据处理!$A:$F,6,0),0)</f>
        <v>0</v>
      </c>
      <c r="I24" s="18">
        <f>IFERROR(VLOOKUP($A24,[2]数据处理!$A:$B,2,0),0)</f>
        <v>0</v>
      </c>
      <c r="J24" s="18">
        <f>IFERROR(VLOOKUP($A24,[2]数据处理!$A:$D,4,0),0)</f>
        <v>0</v>
      </c>
      <c r="K24" s="18">
        <f>IFERROR(VLOOKUP($A24,[2]数据处理!$A:$E,5,0),0)</f>
        <v>0</v>
      </c>
      <c r="L24" s="18">
        <f>IFERROR(VLOOKUP($A24,[2]数据处理!$A:$N,7,0),0)</f>
        <v>0</v>
      </c>
      <c r="M24" s="22">
        <f t="shared" si="0"/>
        <v>0</v>
      </c>
      <c r="N24" s="18">
        <f>IFERROR(VLOOKUP($A24,[2]数据处理!$A:$N,3,0),0)</f>
        <v>0</v>
      </c>
      <c r="O24" s="17">
        <f>IFERROR(VLOOKUP($A24,[2]数据处理!$A:$N,14,0),0)</f>
        <v>0</v>
      </c>
      <c r="P24" s="17">
        <f>IFERROR(VLOOKUP($A24,[5]库存报告使用数据!$A$1:$B$65536,2,0),0)</f>
        <v>0</v>
      </c>
      <c r="Q24" s="17">
        <f>IFERROR(VLOOKUP($A24,[5]库存报告使用数据!$A$1:$E$65536,5,0),0)</f>
        <v>0</v>
      </c>
      <c r="R24" s="17">
        <f>IFERROR(VLOOKUP($A24,[5]库存报告使用数据!$A$1:$H$65536,8,0),0)</f>
        <v>0</v>
      </c>
      <c r="S24" s="17">
        <f>IFERROR(VLOOKUP($A24,[5]库存报告使用数据!$A$1:$K$65536,11,0),0)</f>
        <v>0</v>
      </c>
      <c r="T24" s="17" t="str">
        <f>IFERROR(VLOOKUP($A24,[5]库存报告使用数据!$A$1:$C$65536,3,0),"")</f>
        <v/>
      </c>
      <c r="U24" s="17" t="str">
        <f>IFERROR(VLOOKUP($A24,[5]库存报告使用数据!$A$1:$F$65536,6,0),"")</f>
        <v/>
      </c>
      <c r="V24" s="17" t="str">
        <f>IFERROR(VLOOKUP($A24,[5]库存报告使用数据!$A$1:$I$65536,9,0),"")</f>
        <v/>
      </c>
      <c r="W24" s="17" t="str">
        <f>IFERROR(VLOOKUP($A24,[5]库存报告使用数据!$A$1:$L$65536,12,0),"")</f>
        <v/>
      </c>
      <c r="X24" s="27" t="str">
        <f t="shared" si="1"/>
        <v/>
      </c>
      <c r="Y24" s="27" t="str">
        <f t="shared" si="2"/>
        <v/>
      </c>
      <c r="Z24" s="27" t="str">
        <f t="shared" si="3"/>
        <v/>
      </c>
      <c r="AA24" s="27" t="str">
        <f t="shared" si="4"/>
        <v/>
      </c>
      <c r="AB24" s="17" t="str">
        <f>IFERROR(VLOOKUP($A24,[5]库存报告使用数据!$A$1:$D$65536,4,0),"")</f>
        <v/>
      </c>
      <c r="AC24" s="17" t="str">
        <f>IFERROR(VLOOKUP($A24,[5]库存报告使用数据!$A$1:$G$65536,7,0),"")</f>
        <v/>
      </c>
      <c r="AD24" s="17" t="str">
        <f>IFERROR(VLOOKUP($A24,[5]库存报告使用数据!$A$1:$J$65536,10,0),"")</f>
        <v/>
      </c>
      <c r="AE24" s="17" t="str">
        <f>IFERROR(VLOOKUP($A24,[5]库存报告使用数据!$A$1:$M$65536,13,0),"")</f>
        <v/>
      </c>
      <c r="AF24" s="27" t="str">
        <f t="shared" si="15"/>
        <v>有广告无销售广告费为</v>
      </c>
      <c r="AG24" s="27" t="str">
        <f t="shared" si="16"/>
        <v>有广告无销售广告费为</v>
      </c>
      <c r="AH24" s="27" t="str">
        <f t="shared" si="17"/>
        <v>有广告无销售广告费为</v>
      </c>
      <c r="AI24" s="27" t="str">
        <f t="shared" si="18"/>
        <v>有广告无销售广告费为</v>
      </c>
      <c r="AJ24" s="17">
        <f>IFERROR(VLOOKUP($B24,'[3]浏览量处理(勿删)'!$A:$B,2,0),"")</f>
        <v>39</v>
      </c>
      <c r="AK24" s="17">
        <f>IFERROR(VLOOKUP($B24,'[3]浏览量处理(勿删)'!$A:$C,3,0),"")</f>
        <v>33</v>
      </c>
      <c r="AL24" s="17">
        <f>IFERROR(VLOOKUP($B24,'[3]浏览量处理(勿删)'!$A:$D,4,0),"")</f>
        <v>25</v>
      </c>
      <c r="AM24" s="17">
        <f>IFERROR(VLOOKUP($B24,'[3]浏览量处理(勿删)'!$A:$E,5,0),"")</f>
        <v>108</v>
      </c>
      <c r="AN24" s="27">
        <f t="shared" si="6"/>
        <v>0</v>
      </c>
      <c r="AO24" s="27">
        <f t="shared" si="7"/>
        <v>0</v>
      </c>
      <c r="AP24" s="27">
        <f t="shared" si="8"/>
        <v>0</v>
      </c>
      <c r="AQ24" s="27">
        <f t="shared" si="9"/>
        <v>0</v>
      </c>
      <c r="AR24" s="32">
        <f t="shared" si="10"/>
        <v>0</v>
      </c>
      <c r="AS24" s="32">
        <f t="shared" si="11"/>
        <v>0</v>
      </c>
      <c r="AT24" s="32">
        <f t="shared" si="12"/>
        <v>0</v>
      </c>
      <c r="AU24" s="18" t="str">
        <f t="shared" si="13"/>
        <v>库存为0</v>
      </c>
      <c r="AV24" s="33" t="str">
        <f>IFERROR(时间!$B$4+AU24,"上周无销量")</f>
        <v>上周无销量</v>
      </c>
    </row>
    <row r="25" spans="1:48">
      <c r="A25" s="16" t="s">
        <v>69</v>
      </c>
      <c r="B25" s="17" t="str">
        <f>VLOOKUP(A25,[1]sku_fnsku_asin_产品名称!$A:$C,3,0)</f>
        <v>B002DL9M2G</v>
      </c>
      <c r="C25" s="17" t="str">
        <f>VLOOKUP(A25,[1]sku_fnsku_asin_产品名称!$A:$D,4,0)</f>
        <v>Premier Dead Sea Luxurious Anti-aging Neck Cream, 2.04 oz</v>
      </c>
      <c r="D25" s="18">
        <f>IFERROR(VLOOKUP(A25,[4]库存报告使用数据处理!$A:$B,2,0),0)</f>
        <v>1</v>
      </c>
      <c r="E25" s="18">
        <f>IFERROR(VLOOKUP(A25,[4]库存报告使用数据处理!$A:$C,3,0),0)</f>
        <v>2</v>
      </c>
      <c r="F25" s="18">
        <f>IFERROR(VLOOKUP(A25,[4]库存报告使用数据处理!$A:$D,4,0),0)</f>
        <v>0</v>
      </c>
      <c r="G25" s="18">
        <f>IFERROR(VLOOKUP(A25,[4]库存报告使用数据处理!$A:$E,5,0),0)</f>
        <v>3</v>
      </c>
      <c r="H25" s="18">
        <f>IFERROR(VLOOKUP(A25,[4]库存报告使用数据处理!$A:$F,6,0),0)</f>
        <v>39.21</v>
      </c>
      <c r="I25" s="18">
        <f>IFERROR(VLOOKUP($A25,[2]数据处理!$A:$B,2,0),0)</f>
        <v>1</v>
      </c>
      <c r="J25" s="18">
        <f>IFERROR(VLOOKUP($A25,[2]数据处理!$A:$D,4,0),0)</f>
        <v>0</v>
      </c>
      <c r="K25" s="18">
        <f>IFERROR(VLOOKUP($A25,[2]数据处理!$A:$E,5,0),0)</f>
        <v>0</v>
      </c>
      <c r="L25" s="18">
        <f>IFERROR(VLOOKUP($A25,[2]数据处理!$A:$N,7,0),0)</f>
        <v>0</v>
      </c>
      <c r="M25" s="22">
        <f t="shared" si="0"/>
        <v>1</v>
      </c>
      <c r="N25" s="18">
        <f>IFERROR(VLOOKUP($A25,[2]数据处理!$A:$N,3,0),0)</f>
        <v>0</v>
      </c>
      <c r="O25" s="17">
        <f>IFERROR(VLOOKUP($A25,[2]数据处理!$A:$N,14,0),0)</f>
        <v>1</v>
      </c>
      <c r="P25" s="17">
        <f>IFERROR(VLOOKUP($A25,[5]库存报告使用数据!$A$1:$B$65536,2,0),0)</f>
        <v>18</v>
      </c>
      <c r="Q25" s="17">
        <f>IFERROR(VLOOKUP($A25,[5]库存报告使用数据!$A$1:$E$65536,5,0),0)</f>
        <v>299</v>
      </c>
      <c r="R25" s="17">
        <f>IFERROR(VLOOKUP($A25,[5]库存报告使用数据!$A$1:$H$65536,8,0),0)</f>
        <v>1575</v>
      </c>
      <c r="S25" s="17">
        <f>IFERROR(VLOOKUP($A25,[5]库存报告使用数据!$A$1:$K$65536,11,0),0)</f>
        <v>5106</v>
      </c>
      <c r="T25" s="17">
        <f>IFERROR(VLOOKUP($A25,[5]库存报告使用数据!$A$1:$C$65536,3,0),"")</f>
        <v>0</v>
      </c>
      <c r="U25" s="17">
        <f>IFERROR(VLOOKUP($A25,[5]库存报告使用数据!$A$1:$F$65536,6,0),"")</f>
        <v>1</v>
      </c>
      <c r="V25" s="17">
        <f>IFERROR(VLOOKUP($A25,[5]库存报告使用数据!$A$1:$I$65536,9,0),"")</f>
        <v>0</v>
      </c>
      <c r="W25" s="17">
        <f>IFERROR(VLOOKUP($A25,[5]库存报告使用数据!$A$1:$L$65536,12,0),"")</f>
        <v>8</v>
      </c>
      <c r="X25" s="27">
        <f t="shared" si="1"/>
        <v>0</v>
      </c>
      <c r="Y25" s="27">
        <f t="shared" si="2"/>
        <v>0.00334448160535117</v>
      </c>
      <c r="Z25" s="27">
        <f t="shared" si="3"/>
        <v>0</v>
      </c>
      <c r="AA25" s="27">
        <f t="shared" si="4"/>
        <v>0.00156678417547983</v>
      </c>
      <c r="AB25" s="17">
        <f>IFERROR(VLOOKUP($A25,[5]库存报告使用数据!$A$1:$D$65536,4,0),"")</f>
        <v>0</v>
      </c>
      <c r="AC25" s="17">
        <f>IFERROR(VLOOKUP($A25,[5]库存报告使用数据!$A$1:$G$65536,7,0),"")</f>
        <v>0.42</v>
      </c>
      <c r="AD25" s="17">
        <f>IFERROR(VLOOKUP($A25,[5]库存报告使用数据!$A$1:$J$65536,10,0),"")</f>
        <v>0</v>
      </c>
      <c r="AE25" s="17">
        <f>IFERROR(VLOOKUP($A25,[5]库存报告使用数据!$A$1:$M$65536,13,0),"")</f>
        <v>4.08</v>
      </c>
      <c r="AF25" s="27">
        <f t="shared" si="15"/>
        <v>0</v>
      </c>
      <c r="AG25" s="27">
        <f t="shared" si="16"/>
        <v>0.0053557765876052</v>
      </c>
      <c r="AH25" s="27" t="str">
        <f t="shared" si="17"/>
        <v/>
      </c>
      <c r="AI25" s="27">
        <f t="shared" si="18"/>
        <v>0.0346850293292527</v>
      </c>
      <c r="AJ25" s="17">
        <f>IFERROR(VLOOKUP($B25,'[3]浏览量处理(勿删)'!$A:$B,2,0),"")</f>
        <v>34</v>
      </c>
      <c r="AK25" s="17">
        <f>IFERROR(VLOOKUP($B25,'[3]浏览量处理(勿删)'!$A:$C,3,0),"")</f>
        <v>39</v>
      </c>
      <c r="AL25" s="17">
        <f>IFERROR(VLOOKUP($B25,'[3]浏览量处理(勿删)'!$A:$D,4,0),"")</f>
        <v>17</v>
      </c>
      <c r="AM25" s="17">
        <f>IFERROR(VLOOKUP($B25,'[3]浏览量处理(勿删)'!$A:$E,5,0),"")</f>
        <v>83</v>
      </c>
      <c r="AN25" s="27">
        <f t="shared" si="6"/>
        <v>0.0294117647058824</v>
      </c>
      <c r="AO25" s="27">
        <f t="shared" si="7"/>
        <v>0.0512820512820513</v>
      </c>
      <c r="AP25" s="27">
        <f t="shared" si="8"/>
        <v>0</v>
      </c>
      <c r="AQ25" s="27">
        <f t="shared" si="9"/>
        <v>0.036144578313253</v>
      </c>
      <c r="AR25" s="32">
        <f t="shared" si="10"/>
        <v>0.142857142857143</v>
      </c>
      <c r="AS25" s="32">
        <f t="shared" si="11"/>
        <v>8.57142857142857</v>
      </c>
      <c r="AT25" s="32">
        <f t="shared" si="12"/>
        <v>-7.57142857142857</v>
      </c>
      <c r="AU25" s="18">
        <f t="shared" si="13"/>
        <v>7</v>
      </c>
      <c r="AV25" s="33">
        <f>IFERROR(时间!$B$4+AU25,"上周无销量")</f>
        <v>43297</v>
      </c>
    </row>
    <row r="26" spans="1:48">
      <c r="A26" s="16" t="s">
        <v>70</v>
      </c>
      <c r="B26" s="17" t="str">
        <f>VLOOKUP(A26,[1]sku_fnsku_asin_产品名称!$A:$C,3,0)</f>
        <v>B000VEWF2Q</v>
      </c>
      <c r="C26" s="17">
        <f>VLOOKUP(A26,[1]sku_fnsku_asin_产品名称!$A:$D,4,0)</f>
        <v>0</v>
      </c>
      <c r="D26" s="18">
        <f>IFERROR(VLOOKUP(A26,[4]库存报告使用数据处理!$A:$B,2,0),0)</f>
        <v>0</v>
      </c>
      <c r="E26" s="18">
        <f>IFERROR(VLOOKUP(A26,[4]库存报告使用数据处理!$A:$C,3,0),0)</f>
        <v>0</v>
      </c>
      <c r="F26" s="18">
        <f>IFERROR(VLOOKUP(A26,[4]库存报告使用数据处理!$A:$D,4,0),0)</f>
        <v>0</v>
      </c>
      <c r="G26" s="18">
        <f>IFERROR(VLOOKUP(A26,[4]库存报告使用数据处理!$A:$E,5,0),0)</f>
        <v>0</v>
      </c>
      <c r="H26" s="18">
        <f>IFERROR(VLOOKUP(A26,[4]库存报告使用数据处理!$A:$F,6,0),0)</f>
        <v>0</v>
      </c>
      <c r="I26" s="18">
        <f>IFERROR(VLOOKUP($A26,[2]数据处理!$A:$B,2,0),0)</f>
        <v>0</v>
      </c>
      <c r="J26" s="18">
        <f>IFERROR(VLOOKUP($A26,[2]数据处理!$A:$D,4,0),0)</f>
        <v>0</v>
      </c>
      <c r="K26" s="18">
        <f>IFERROR(VLOOKUP($A26,[2]数据处理!$A:$E,5,0),0)</f>
        <v>0</v>
      </c>
      <c r="L26" s="18">
        <f>IFERROR(VLOOKUP($A26,[2]数据处理!$A:$N,7,0),0)</f>
        <v>0</v>
      </c>
      <c r="M26" s="22">
        <f t="shared" si="0"/>
        <v>0</v>
      </c>
      <c r="N26" s="18">
        <f>IFERROR(VLOOKUP($A26,[2]数据处理!$A:$N,3,0),0)</f>
        <v>1</v>
      </c>
      <c r="O26" s="17">
        <f>IFERROR(VLOOKUP($A26,[2]数据处理!$A:$N,14,0),0)</f>
        <v>0</v>
      </c>
      <c r="P26" s="17">
        <f>IFERROR(VLOOKUP($A26,[5]库存报告使用数据!$A$1:$B$65536,2,0),0)</f>
        <v>0</v>
      </c>
      <c r="Q26" s="17">
        <f>IFERROR(VLOOKUP($A26,[5]库存报告使用数据!$A$1:$E$65536,5,0),0)</f>
        <v>0</v>
      </c>
      <c r="R26" s="17">
        <f>IFERROR(VLOOKUP($A26,[5]库存报告使用数据!$A$1:$H$65536,8,0),0)</f>
        <v>0</v>
      </c>
      <c r="S26" s="17">
        <f>IFERROR(VLOOKUP($A26,[5]库存报告使用数据!$A$1:$K$65536,11,0),0)</f>
        <v>0</v>
      </c>
      <c r="T26" s="17" t="str">
        <f>IFERROR(VLOOKUP($A26,[5]库存报告使用数据!$A$1:$C$65536,3,0),"")</f>
        <v/>
      </c>
      <c r="U26" s="17" t="str">
        <f>IFERROR(VLOOKUP($A26,[5]库存报告使用数据!$A$1:$F$65536,6,0),"")</f>
        <v/>
      </c>
      <c r="V26" s="17" t="str">
        <f>IFERROR(VLOOKUP($A26,[5]库存报告使用数据!$A$1:$I$65536,9,0),"")</f>
        <v/>
      </c>
      <c r="W26" s="17" t="str">
        <f>IFERROR(VLOOKUP($A26,[5]库存报告使用数据!$A$1:$L$65536,12,0),"")</f>
        <v/>
      </c>
      <c r="X26" s="27" t="str">
        <f t="shared" si="1"/>
        <v/>
      </c>
      <c r="Y26" s="27" t="str">
        <f t="shared" si="2"/>
        <v/>
      </c>
      <c r="Z26" s="27" t="str">
        <f t="shared" si="3"/>
        <v/>
      </c>
      <c r="AA26" s="27" t="str">
        <f t="shared" si="4"/>
        <v/>
      </c>
      <c r="AB26" s="17" t="str">
        <f>IFERROR(VLOOKUP($A26,[5]库存报告使用数据!$A$1:$D$65536,4,0),"")</f>
        <v/>
      </c>
      <c r="AC26" s="17" t="str">
        <f>IFERROR(VLOOKUP($A26,[5]库存报告使用数据!$A$1:$G$65536,7,0),"")</f>
        <v/>
      </c>
      <c r="AD26" s="17" t="str">
        <f>IFERROR(VLOOKUP($A26,[5]库存报告使用数据!$A$1:$J$65536,10,0),"")</f>
        <v/>
      </c>
      <c r="AE26" s="17" t="str">
        <f>IFERROR(VLOOKUP($A26,[5]库存报告使用数据!$A$1:$M$65536,13,0),"")</f>
        <v/>
      </c>
      <c r="AF26" s="27" t="str">
        <f t="shared" si="15"/>
        <v>有广告无销售广告费为</v>
      </c>
      <c r="AG26" s="27" t="str">
        <f t="shared" si="16"/>
        <v>有广告无销售广告费为</v>
      </c>
      <c r="AH26" s="27" t="str">
        <f t="shared" si="17"/>
        <v>有广告无销售广告费为</v>
      </c>
      <c r="AI26" s="27" t="str">
        <f t="shared" si="18"/>
        <v>有广告无销售广告费为</v>
      </c>
      <c r="AJ26" s="17" t="str">
        <f>IFERROR(VLOOKUP($B26,'[3]浏览量处理(勿删)'!$A:$B,2,0),"")</f>
        <v/>
      </c>
      <c r="AK26" s="17" t="str">
        <f>IFERROR(VLOOKUP($B26,'[3]浏览量处理(勿删)'!$A:$C,3,0),"")</f>
        <v/>
      </c>
      <c r="AL26" s="17" t="str">
        <f>IFERROR(VLOOKUP($B26,'[3]浏览量处理(勿删)'!$A:$D,4,0),"")</f>
        <v/>
      </c>
      <c r="AM26" s="17" t="str">
        <f>IFERROR(VLOOKUP($B26,'[3]浏览量处理(勿删)'!$A:$E,5,0),"")</f>
        <v/>
      </c>
      <c r="AN26" s="27" t="str">
        <f t="shared" si="6"/>
        <v/>
      </c>
      <c r="AO26" s="27" t="str">
        <f t="shared" si="7"/>
        <v/>
      </c>
      <c r="AP26" s="27" t="str">
        <f t="shared" si="8"/>
        <v/>
      </c>
      <c r="AQ26" s="27" t="str">
        <f t="shared" si="9"/>
        <v/>
      </c>
      <c r="AR26" s="32">
        <f t="shared" si="10"/>
        <v>0</v>
      </c>
      <c r="AS26" s="32">
        <f t="shared" si="11"/>
        <v>0</v>
      </c>
      <c r="AT26" s="32">
        <f t="shared" si="12"/>
        <v>0</v>
      </c>
      <c r="AU26" s="18" t="str">
        <f t="shared" si="13"/>
        <v>库存为0</v>
      </c>
      <c r="AV26" s="33" t="str">
        <f>IFERROR(时间!$B$4+AU26,"上周无销量")</f>
        <v>上周无销量</v>
      </c>
    </row>
    <row r="27" spans="1:48">
      <c r="A27" s="16" t="s">
        <v>71</v>
      </c>
      <c r="B27" s="17" t="str">
        <f>VLOOKUP(A27,[1]sku_fnsku_asin_产品名称!$A:$C,3,0)</f>
        <v>B004HFNFU6</v>
      </c>
      <c r="C27" s="17">
        <f>VLOOKUP(A27,[1]sku_fnsku_asin_产品名称!$A:$D,4,0)</f>
        <v>0</v>
      </c>
      <c r="D27" s="18">
        <f>IFERROR(VLOOKUP(A27,[4]库存报告使用数据处理!$A:$B,2,0),0)</f>
        <v>0</v>
      </c>
      <c r="E27" s="18">
        <f>IFERROR(VLOOKUP(A27,[4]库存报告使用数据处理!$A:$C,3,0),0)</f>
        <v>0</v>
      </c>
      <c r="F27" s="18">
        <f>IFERROR(VLOOKUP(A27,[4]库存报告使用数据处理!$A:$D,4,0),0)</f>
        <v>0</v>
      </c>
      <c r="G27" s="18">
        <f>IFERROR(VLOOKUP(A27,[4]库存报告使用数据处理!$A:$E,5,0),0)</f>
        <v>0</v>
      </c>
      <c r="H27" s="18">
        <f>IFERROR(VLOOKUP(A27,[4]库存报告使用数据处理!$A:$F,6,0),0)</f>
        <v>0</v>
      </c>
      <c r="I27" s="18">
        <f>IFERROR(VLOOKUP($A27,[2]数据处理!$A:$B,2,0),0)</f>
        <v>0</v>
      </c>
      <c r="J27" s="18">
        <f>IFERROR(VLOOKUP($A27,[2]数据处理!$A:$D,4,0),0)</f>
        <v>0</v>
      </c>
      <c r="K27" s="18">
        <f>IFERROR(VLOOKUP($A27,[2]数据处理!$A:$E,5,0),0)</f>
        <v>0</v>
      </c>
      <c r="L27" s="18">
        <f>IFERROR(VLOOKUP($A27,[2]数据处理!$A:$N,7,0),0)</f>
        <v>0</v>
      </c>
      <c r="M27" s="22">
        <f t="shared" si="0"/>
        <v>0</v>
      </c>
      <c r="N27" s="18">
        <f>IFERROR(VLOOKUP($A27,[2]数据处理!$A:$N,3,0),0)</f>
        <v>0</v>
      </c>
      <c r="O27" s="17">
        <f>IFERROR(VLOOKUP($A27,[2]数据处理!$A:$N,14,0),0)</f>
        <v>0</v>
      </c>
      <c r="P27" s="17">
        <f>IFERROR(VLOOKUP($A27,[5]库存报告使用数据!$A$1:$B$65536,2,0),0)</f>
        <v>0</v>
      </c>
      <c r="Q27" s="17">
        <f>IFERROR(VLOOKUP($A27,[5]库存报告使用数据!$A$1:$E$65536,5,0),0)</f>
        <v>0</v>
      </c>
      <c r="R27" s="17">
        <f>IFERROR(VLOOKUP($A27,[5]库存报告使用数据!$A$1:$H$65536,8,0),0)</f>
        <v>0</v>
      </c>
      <c r="S27" s="17">
        <f>IFERROR(VLOOKUP($A27,[5]库存报告使用数据!$A$1:$K$65536,11,0),0)</f>
        <v>0</v>
      </c>
      <c r="T27" s="17" t="str">
        <f>IFERROR(VLOOKUP($A27,[5]库存报告使用数据!$A$1:$C$65536,3,0),"")</f>
        <v/>
      </c>
      <c r="U27" s="17" t="str">
        <f>IFERROR(VLOOKUP($A27,[5]库存报告使用数据!$A$1:$F$65536,6,0),"")</f>
        <v/>
      </c>
      <c r="V27" s="17" t="str">
        <f>IFERROR(VLOOKUP($A27,[5]库存报告使用数据!$A$1:$I$65536,9,0),"")</f>
        <v/>
      </c>
      <c r="W27" s="17" t="str">
        <f>IFERROR(VLOOKUP($A27,[5]库存报告使用数据!$A$1:$L$65536,12,0),"")</f>
        <v/>
      </c>
      <c r="X27" s="27" t="str">
        <f t="shared" si="1"/>
        <v/>
      </c>
      <c r="Y27" s="27" t="str">
        <f t="shared" si="2"/>
        <v/>
      </c>
      <c r="Z27" s="27" t="str">
        <f t="shared" si="3"/>
        <v/>
      </c>
      <c r="AA27" s="27" t="str">
        <f t="shared" si="4"/>
        <v/>
      </c>
      <c r="AB27" s="17" t="str">
        <f>IFERROR(VLOOKUP($A27,[5]库存报告使用数据!$A$1:$D$65536,4,0),"")</f>
        <v/>
      </c>
      <c r="AC27" s="17" t="str">
        <f>IFERROR(VLOOKUP($A27,[5]库存报告使用数据!$A$1:$G$65536,7,0),"")</f>
        <v/>
      </c>
      <c r="AD27" s="17" t="str">
        <f>IFERROR(VLOOKUP($A27,[5]库存报告使用数据!$A$1:$J$65536,10,0),"")</f>
        <v/>
      </c>
      <c r="AE27" s="17" t="str">
        <f>IFERROR(VLOOKUP($A27,[5]库存报告使用数据!$A$1:$M$65536,13,0),"")</f>
        <v/>
      </c>
      <c r="AF27" s="27" t="str">
        <f t="shared" si="15"/>
        <v>有广告无销售广告费为</v>
      </c>
      <c r="AG27" s="27" t="str">
        <f t="shared" si="16"/>
        <v>有广告无销售广告费为</v>
      </c>
      <c r="AH27" s="27" t="str">
        <f t="shared" si="17"/>
        <v>有广告无销售广告费为</v>
      </c>
      <c r="AI27" s="27" t="str">
        <f t="shared" si="18"/>
        <v>有广告无销售广告费为</v>
      </c>
      <c r="AJ27" s="17" t="str">
        <f>IFERROR(VLOOKUP($B27,'[3]浏览量处理(勿删)'!$A:$B,2,0),"")</f>
        <v/>
      </c>
      <c r="AK27" s="17" t="str">
        <f>IFERROR(VLOOKUP($B27,'[3]浏览量处理(勿删)'!$A:$C,3,0),"")</f>
        <v/>
      </c>
      <c r="AL27" s="17" t="str">
        <f>IFERROR(VLOOKUP($B27,'[3]浏览量处理(勿删)'!$A:$D,4,0),"")</f>
        <v/>
      </c>
      <c r="AM27" s="17" t="str">
        <f>IFERROR(VLOOKUP($B27,'[3]浏览量处理(勿删)'!$A:$E,5,0),"")</f>
        <v/>
      </c>
      <c r="AN27" s="27" t="str">
        <f t="shared" si="6"/>
        <v/>
      </c>
      <c r="AO27" s="27" t="str">
        <f t="shared" si="7"/>
        <v/>
      </c>
      <c r="AP27" s="27" t="str">
        <f t="shared" si="8"/>
        <v/>
      </c>
      <c r="AQ27" s="27" t="str">
        <f t="shared" si="9"/>
        <v/>
      </c>
      <c r="AR27" s="32">
        <f t="shared" si="10"/>
        <v>0</v>
      </c>
      <c r="AS27" s="32">
        <f t="shared" si="11"/>
        <v>0</v>
      </c>
      <c r="AT27" s="32">
        <f t="shared" si="12"/>
        <v>0</v>
      </c>
      <c r="AU27" s="18" t="str">
        <f t="shared" si="13"/>
        <v>库存为0</v>
      </c>
      <c r="AV27" s="33" t="str">
        <f>IFERROR(时间!$B$4+AU27,"上周无销量")</f>
        <v>上周无销量</v>
      </c>
    </row>
    <row r="28" spans="1:48">
      <c r="A28" s="16" t="s">
        <v>72</v>
      </c>
      <c r="B28" s="17" t="str">
        <f>VLOOKUP(A28,[1]sku_fnsku_asin_产品名称!$A:$C,3,0)</f>
        <v>B008YFY9TQ</v>
      </c>
      <c r="C28" s="17">
        <f>VLOOKUP(A28,[1]sku_fnsku_asin_产品名称!$A:$D,4,0)</f>
        <v>0</v>
      </c>
      <c r="D28" s="18">
        <f>IFERROR(VLOOKUP(A28,[4]库存报告使用数据处理!$A:$B,2,0),0)</f>
        <v>0</v>
      </c>
      <c r="E28" s="18">
        <f>IFERROR(VLOOKUP(A28,[4]库存报告使用数据处理!$A:$C,3,0),0)</f>
        <v>0</v>
      </c>
      <c r="F28" s="18">
        <f>IFERROR(VLOOKUP(A28,[4]库存报告使用数据处理!$A:$D,4,0),0)</f>
        <v>0</v>
      </c>
      <c r="G28" s="18">
        <f>IFERROR(VLOOKUP(A28,[4]库存报告使用数据处理!$A:$E,5,0),0)</f>
        <v>0</v>
      </c>
      <c r="H28" s="18">
        <f>IFERROR(VLOOKUP(A28,[4]库存报告使用数据处理!$A:$F,6,0),0)</f>
        <v>0</v>
      </c>
      <c r="I28" s="18">
        <f>IFERROR(VLOOKUP($A28,[2]数据处理!$A:$B,2,0),0)</f>
        <v>0</v>
      </c>
      <c r="J28" s="18">
        <f>IFERROR(VLOOKUP($A28,[2]数据处理!$A:$D,4,0),0)</f>
        <v>0</v>
      </c>
      <c r="K28" s="18">
        <f>IFERROR(VLOOKUP($A28,[2]数据处理!$A:$E,5,0),0)</f>
        <v>0</v>
      </c>
      <c r="L28" s="18">
        <f>IFERROR(VLOOKUP($A28,[2]数据处理!$A:$N,7,0),0)</f>
        <v>0</v>
      </c>
      <c r="M28" s="22">
        <f t="shared" si="0"/>
        <v>0</v>
      </c>
      <c r="N28" s="18">
        <f>IFERROR(VLOOKUP($A28,[2]数据处理!$A:$N,3,0),0)</f>
        <v>0</v>
      </c>
      <c r="O28" s="17">
        <f>IFERROR(VLOOKUP($A28,[2]数据处理!$A:$N,14,0),0)</f>
        <v>0</v>
      </c>
      <c r="P28" s="17">
        <f>IFERROR(VLOOKUP($A28,[5]库存报告使用数据!$A$1:$B$65536,2,0),0)</f>
        <v>0</v>
      </c>
      <c r="Q28" s="17">
        <f>IFERROR(VLOOKUP($A28,[5]库存报告使用数据!$A$1:$E$65536,5,0),0)</f>
        <v>0</v>
      </c>
      <c r="R28" s="17">
        <f>IFERROR(VLOOKUP($A28,[5]库存报告使用数据!$A$1:$H$65536,8,0),0)</f>
        <v>0</v>
      </c>
      <c r="S28" s="17">
        <f>IFERROR(VLOOKUP($A28,[5]库存报告使用数据!$A$1:$K$65536,11,0),0)</f>
        <v>0</v>
      </c>
      <c r="T28" s="17" t="str">
        <f>IFERROR(VLOOKUP($A28,[5]库存报告使用数据!$A$1:$C$65536,3,0),"")</f>
        <v/>
      </c>
      <c r="U28" s="17" t="str">
        <f>IFERROR(VLOOKUP($A28,[5]库存报告使用数据!$A$1:$F$65536,6,0),"")</f>
        <v/>
      </c>
      <c r="V28" s="17" t="str">
        <f>IFERROR(VLOOKUP($A28,[5]库存报告使用数据!$A$1:$I$65536,9,0),"")</f>
        <v/>
      </c>
      <c r="W28" s="17" t="str">
        <f>IFERROR(VLOOKUP($A28,[5]库存报告使用数据!$A$1:$L$65536,12,0),"")</f>
        <v/>
      </c>
      <c r="X28" s="27" t="str">
        <f t="shared" si="1"/>
        <v/>
      </c>
      <c r="Y28" s="27" t="str">
        <f t="shared" si="2"/>
        <v/>
      </c>
      <c r="Z28" s="27" t="str">
        <f t="shared" si="3"/>
        <v/>
      </c>
      <c r="AA28" s="27" t="str">
        <f t="shared" si="4"/>
        <v/>
      </c>
      <c r="AB28" s="17" t="str">
        <f>IFERROR(VLOOKUP($A28,[5]库存报告使用数据!$A$1:$D$65536,4,0),"")</f>
        <v/>
      </c>
      <c r="AC28" s="17" t="str">
        <f>IFERROR(VLOOKUP($A28,[5]库存报告使用数据!$A$1:$G$65536,7,0),"")</f>
        <v/>
      </c>
      <c r="AD28" s="17" t="str">
        <f>IFERROR(VLOOKUP($A28,[5]库存报告使用数据!$A$1:$J$65536,10,0),"")</f>
        <v/>
      </c>
      <c r="AE28" s="17" t="str">
        <f>IFERROR(VLOOKUP($A28,[5]库存报告使用数据!$A$1:$M$65536,13,0),"")</f>
        <v/>
      </c>
      <c r="AF28" s="27" t="str">
        <f t="shared" si="15"/>
        <v>有广告无销售广告费为</v>
      </c>
      <c r="AG28" s="27" t="str">
        <f t="shared" si="16"/>
        <v>有广告无销售广告费为</v>
      </c>
      <c r="AH28" s="27" t="str">
        <f t="shared" si="17"/>
        <v>有广告无销售广告费为</v>
      </c>
      <c r="AI28" s="27" t="str">
        <f t="shared" si="18"/>
        <v>有广告无销售广告费为</v>
      </c>
      <c r="AJ28" s="17" t="str">
        <f>IFERROR(VLOOKUP($B28,'[3]浏览量处理(勿删)'!$A:$B,2,0),"")</f>
        <v/>
      </c>
      <c r="AK28" s="17" t="str">
        <f>IFERROR(VLOOKUP($B28,'[3]浏览量处理(勿删)'!$A:$C,3,0),"")</f>
        <v/>
      </c>
      <c r="AL28" s="17" t="str">
        <f>IFERROR(VLOOKUP($B28,'[3]浏览量处理(勿删)'!$A:$D,4,0),"")</f>
        <v/>
      </c>
      <c r="AM28" s="17" t="str">
        <f>IFERROR(VLOOKUP($B28,'[3]浏览量处理(勿删)'!$A:$E,5,0),"")</f>
        <v/>
      </c>
      <c r="AN28" s="27" t="str">
        <f t="shared" si="6"/>
        <v/>
      </c>
      <c r="AO28" s="27" t="str">
        <f t="shared" si="7"/>
        <v/>
      </c>
      <c r="AP28" s="27" t="str">
        <f t="shared" si="8"/>
        <v/>
      </c>
      <c r="AQ28" s="27" t="str">
        <f t="shared" si="9"/>
        <v/>
      </c>
      <c r="AR28" s="32">
        <f t="shared" si="10"/>
        <v>0</v>
      </c>
      <c r="AS28" s="32">
        <f t="shared" si="11"/>
        <v>0</v>
      </c>
      <c r="AT28" s="32">
        <f t="shared" si="12"/>
        <v>0</v>
      </c>
      <c r="AU28" s="18" t="str">
        <f t="shared" si="13"/>
        <v>库存为0</v>
      </c>
      <c r="AV28" s="33" t="str">
        <f>IFERROR(时间!$B$4+AU28,"上周无销量")</f>
        <v>上周无销量</v>
      </c>
    </row>
    <row r="29" spans="1:48">
      <c r="A29" s="16" t="s">
        <v>73</v>
      </c>
      <c r="B29" s="17" t="str">
        <f>VLOOKUP(A29,[1]sku_fnsku_asin_产品名称!$A:$C,3,0)</f>
        <v>B00115TXRE</v>
      </c>
      <c r="C29" s="17">
        <f>VLOOKUP(A29,[1]sku_fnsku_asin_产品名称!$A:$D,4,0)</f>
        <v>0</v>
      </c>
      <c r="D29" s="18">
        <f>IFERROR(VLOOKUP(A29,[4]库存报告使用数据处理!$A:$B,2,0),0)</f>
        <v>0</v>
      </c>
      <c r="E29" s="18">
        <f>IFERROR(VLOOKUP(A29,[4]库存报告使用数据处理!$A:$C,3,0),0)</f>
        <v>0</v>
      </c>
      <c r="F29" s="18">
        <f>IFERROR(VLOOKUP(A29,[4]库存报告使用数据处理!$A:$D,4,0),0)</f>
        <v>0</v>
      </c>
      <c r="G29" s="18">
        <f>IFERROR(VLOOKUP(A29,[4]库存报告使用数据处理!$A:$E,5,0),0)</f>
        <v>0</v>
      </c>
      <c r="H29" s="18">
        <f>IFERROR(VLOOKUP(A29,[4]库存报告使用数据处理!$A:$F,6,0),0)</f>
        <v>0</v>
      </c>
      <c r="I29" s="18">
        <f>IFERROR(VLOOKUP($A29,[2]数据处理!$A:$B,2,0),0)</f>
        <v>0</v>
      </c>
      <c r="J29" s="18">
        <f>IFERROR(VLOOKUP($A29,[2]数据处理!$A:$D,4,0),0)</f>
        <v>0</v>
      </c>
      <c r="K29" s="18">
        <f>IFERROR(VLOOKUP($A29,[2]数据处理!$A:$E,5,0),0)</f>
        <v>0</v>
      </c>
      <c r="L29" s="18">
        <f>IFERROR(VLOOKUP($A29,[2]数据处理!$A:$N,7,0),0)</f>
        <v>0</v>
      </c>
      <c r="M29" s="22">
        <f t="shared" si="0"/>
        <v>0</v>
      </c>
      <c r="N29" s="18">
        <f>IFERROR(VLOOKUP($A29,[2]数据处理!$A:$N,3,0),0)</f>
        <v>0</v>
      </c>
      <c r="O29" s="17">
        <f>IFERROR(VLOOKUP($A29,[2]数据处理!$A:$N,14,0),0)</f>
        <v>0</v>
      </c>
      <c r="P29" s="17">
        <f>IFERROR(VLOOKUP($A29,[5]库存报告使用数据!$A$1:$B$65536,2,0),0)</f>
        <v>0</v>
      </c>
      <c r="Q29" s="17">
        <f>IFERROR(VLOOKUP($A29,[5]库存报告使用数据!$A$1:$E$65536,5,0),0)</f>
        <v>0</v>
      </c>
      <c r="R29" s="17">
        <f>IFERROR(VLOOKUP($A29,[5]库存报告使用数据!$A$1:$H$65536,8,0),0)</f>
        <v>0</v>
      </c>
      <c r="S29" s="17">
        <f>IFERROR(VLOOKUP($A29,[5]库存报告使用数据!$A$1:$K$65536,11,0),0)</f>
        <v>0</v>
      </c>
      <c r="T29" s="17" t="str">
        <f>IFERROR(VLOOKUP($A29,[5]库存报告使用数据!$A$1:$C$65536,3,0),"")</f>
        <v/>
      </c>
      <c r="U29" s="17" t="str">
        <f>IFERROR(VLOOKUP($A29,[5]库存报告使用数据!$A$1:$F$65536,6,0),"")</f>
        <v/>
      </c>
      <c r="V29" s="17" t="str">
        <f>IFERROR(VLOOKUP($A29,[5]库存报告使用数据!$A$1:$I$65536,9,0),"")</f>
        <v/>
      </c>
      <c r="W29" s="17" t="str">
        <f>IFERROR(VLOOKUP($A29,[5]库存报告使用数据!$A$1:$L$65536,12,0),"")</f>
        <v/>
      </c>
      <c r="X29" s="27" t="str">
        <f t="shared" si="1"/>
        <v/>
      </c>
      <c r="Y29" s="27" t="str">
        <f t="shared" si="2"/>
        <v/>
      </c>
      <c r="Z29" s="27" t="str">
        <f t="shared" si="3"/>
        <v/>
      </c>
      <c r="AA29" s="27" t="str">
        <f t="shared" si="4"/>
        <v/>
      </c>
      <c r="AB29" s="17" t="str">
        <f>IFERROR(VLOOKUP($A29,[5]库存报告使用数据!$A$1:$D$65536,4,0),"")</f>
        <v/>
      </c>
      <c r="AC29" s="17" t="str">
        <f>IFERROR(VLOOKUP($A29,[5]库存报告使用数据!$A$1:$G$65536,7,0),"")</f>
        <v/>
      </c>
      <c r="AD29" s="17" t="str">
        <f>IFERROR(VLOOKUP($A29,[5]库存报告使用数据!$A$1:$J$65536,10,0),"")</f>
        <v/>
      </c>
      <c r="AE29" s="17" t="str">
        <f>IFERROR(VLOOKUP($A29,[5]库存报告使用数据!$A$1:$M$65536,13,0),"")</f>
        <v/>
      </c>
      <c r="AF29" s="27" t="str">
        <f t="shared" si="15"/>
        <v>有广告无销售广告费为</v>
      </c>
      <c r="AG29" s="27" t="str">
        <f t="shared" si="16"/>
        <v>有广告无销售广告费为</v>
      </c>
      <c r="AH29" s="27" t="str">
        <f t="shared" si="17"/>
        <v>有广告无销售广告费为</v>
      </c>
      <c r="AI29" s="27" t="str">
        <f t="shared" si="18"/>
        <v>有广告无销售广告费为</v>
      </c>
      <c r="AJ29" s="17">
        <f>IFERROR(VLOOKUP($B29,'[3]浏览量处理(勿删)'!$A:$B,2,0),"")</f>
        <v>183</v>
      </c>
      <c r="AK29" s="17">
        <f>IFERROR(VLOOKUP($B29,'[3]浏览量处理(勿删)'!$A:$C,3,0),"")</f>
        <v>177</v>
      </c>
      <c r="AL29" s="17">
        <f>IFERROR(VLOOKUP($B29,'[3]浏览量处理(勿删)'!$A:$D,4,0),"")</f>
        <v>165</v>
      </c>
      <c r="AM29" s="17">
        <f>IFERROR(VLOOKUP($B29,'[3]浏览量处理(勿删)'!$A:$E,5,0),"")</f>
        <v>660</v>
      </c>
      <c r="AN29" s="27">
        <f t="shared" si="6"/>
        <v>0</v>
      </c>
      <c r="AO29" s="27">
        <f t="shared" si="7"/>
        <v>0</v>
      </c>
      <c r="AP29" s="27">
        <f t="shared" si="8"/>
        <v>0</v>
      </c>
      <c r="AQ29" s="27">
        <f t="shared" si="9"/>
        <v>0</v>
      </c>
      <c r="AR29" s="32">
        <f t="shared" si="10"/>
        <v>0</v>
      </c>
      <c r="AS29" s="32">
        <f t="shared" si="11"/>
        <v>0</v>
      </c>
      <c r="AT29" s="32">
        <f t="shared" si="12"/>
        <v>0</v>
      </c>
      <c r="AU29" s="18" t="str">
        <f t="shared" si="13"/>
        <v>库存为0</v>
      </c>
      <c r="AV29" s="33" t="str">
        <f>IFERROR(时间!$B$4+AU29,"上周无销量")</f>
        <v>上周无销量</v>
      </c>
    </row>
    <row r="30" spans="1:48">
      <c r="A30" s="16" t="s">
        <v>74</v>
      </c>
      <c r="B30" s="17" t="str">
        <f>VLOOKUP(A30,[1]sku_fnsku_asin_产品名称!$A:$C,3,0)</f>
        <v>B003Y7EU16</v>
      </c>
      <c r="C30" s="17" t="str">
        <f>VLOOKUP(A30,[1]sku_fnsku_asin_产品名称!$A:$D,4,0)</f>
        <v>Premier Dead Sea Day Cream Complex (for normal to dry skin)</v>
      </c>
      <c r="D30" s="18">
        <f>IFERROR(VLOOKUP(A30,[4]库存报告使用数据处理!$A:$B,2,0),0)</f>
        <v>0</v>
      </c>
      <c r="E30" s="18">
        <f>IFERROR(VLOOKUP(A30,[4]库存报告使用数据处理!$A:$C,3,0),0)</f>
        <v>0</v>
      </c>
      <c r="F30" s="18">
        <f>IFERROR(VLOOKUP(A30,[4]库存报告使用数据处理!$A:$D,4,0),0)</f>
        <v>0</v>
      </c>
      <c r="G30" s="18">
        <f>IFERROR(VLOOKUP(A30,[4]库存报告使用数据处理!$A:$E,5,0),0)</f>
        <v>0</v>
      </c>
      <c r="H30" s="18">
        <f>IFERROR(VLOOKUP(A30,[4]库存报告使用数据处理!$A:$F,6,0),0)</f>
        <v>0</v>
      </c>
      <c r="I30" s="18">
        <f>IFERROR(VLOOKUP($A30,[2]数据处理!$A:$B,2,0),0)</f>
        <v>92</v>
      </c>
      <c r="J30" s="18">
        <f>IFERROR(VLOOKUP($A30,[2]数据处理!$A:$D,4,0),0)</f>
        <v>0</v>
      </c>
      <c r="K30" s="18">
        <f>IFERROR(VLOOKUP($A30,[2]数据处理!$A:$E,5,0),0)</f>
        <v>0</v>
      </c>
      <c r="L30" s="18">
        <f>IFERROR(VLOOKUP($A30,[2]数据处理!$A:$N,7,0),0)</f>
        <v>0</v>
      </c>
      <c r="M30" s="22">
        <f t="shared" si="0"/>
        <v>92</v>
      </c>
      <c r="N30" s="18">
        <f>IFERROR(VLOOKUP($A30,[2]数据处理!$A:$N,3,0),0)</f>
        <v>0</v>
      </c>
      <c r="O30" s="17">
        <f>IFERROR(VLOOKUP($A30,[2]数据处理!$A:$N,14,0),0)</f>
        <v>92</v>
      </c>
      <c r="P30" s="17">
        <f>IFERROR(VLOOKUP($A30,[5]库存报告使用数据!$A$1:$B$65536,2,0),0)</f>
        <v>6105</v>
      </c>
      <c r="Q30" s="17">
        <f>IFERROR(VLOOKUP($A30,[5]库存报告使用数据!$A$1:$E$65536,5,0),0)</f>
        <v>2062</v>
      </c>
      <c r="R30" s="17">
        <f>IFERROR(VLOOKUP($A30,[5]库存报告使用数据!$A$1:$H$65536,8,0),0)</f>
        <v>3076</v>
      </c>
      <c r="S30" s="17">
        <f>IFERROR(VLOOKUP($A30,[5]库存报告使用数据!$A$1:$K$65536,11,0),0)</f>
        <v>9102</v>
      </c>
      <c r="T30" s="17">
        <f>IFERROR(VLOOKUP($A30,[5]库存报告使用数据!$A$1:$C$65536,3,0),"")</f>
        <v>15</v>
      </c>
      <c r="U30" s="17">
        <f>IFERROR(VLOOKUP($A30,[5]库存报告使用数据!$A$1:$F$65536,6,0),"")</f>
        <v>12</v>
      </c>
      <c r="V30" s="17">
        <f>IFERROR(VLOOKUP($A30,[5]库存报告使用数据!$A$1:$I$65536,9,0),"")</f>
        <v>16</v>
      </c>
      <c r="W30" s="17">
        <f>IFERROR(VLOOKUP($A30,[5]库存报告使用数据!$A$1:$L$65536,12,0),"")</f>
        <v>18</v>
      </c>
      <c r="X30" s="27">
        <f t="shared" si="1"/>
        <v>0.00245700245700246</v>
      </c>
      <c r="Y30" s="27">
        <f t="shared" si="2"/>
        <v>0.005819592628516</v>
      </c>
      <c r="Z30" s="27">
        <f t="shared" si="3"/>
        <v>0.00520156046814044</v>
      </c>
      <c r="AA30" s="27">
        <f t="shared" si="4"/>
        <v>0.001977587343441</v>
      </c>
      <c r="AB30" s="17">
        <f>IFERROR(VLOOKUP($A30,[5]库存报告使用数据!$A$1:$D$65536,4,0),"")</f>
        <v>9.79</v>
      </c>
      <c r="AC30" s="17">
        <f>IFERROR(VLOOKUP($A30,[5]库存报告使用数据!$A$1:$G$65536,7,0),"")</f>
        <v>8.98</v>
      </c>
      <c r="AD30" s="17">
        <f>IFERROR(VLOOKUP($A30,[5]库存报告使用数据!$A$1:$J$65536,10,0),"")</f>
        <v>10.26</v>
      </c>
      <c r="AE30" s="17">
        <f>IFERROR(VLOOKUP($A30,[5]库存报告使用数据!$A$1:$M$65536,13,0),"")</f>
        <v>10.03</v>
      </c>
      <c r="AF30" s="27" t="str">
        <f t="shared" si="15"/>
        <v>有广告无销售广告费为9.79</v>
      </c>
      <c r="AG30" s="27" t="str">
        <f t="shared" si="16"/>
        <v>有广告无销售广告费为8.98</v>
      </c>
      <c r="AH30" s="27" t="str">
        <f t="shared" si="17"/>
        <v>有广告无销售广告费为10.26</v>
      </c>
      <c r="AI30" s="27" t="str">
        <f t="shared" si="18"/>
        <v>有广告无销售广告费为10.03</v>
      </c>
      <c r="AJ30" s="17">
        <f>IFERROR(VLOOKUP($B30,'[3]浏览量处理(勿删)'!$A:$B,2,0),"")</f>
        <v>23</v>
      </c>
      <c r="AK30" s="17">
        <f>IFERROR(VLOOKUP($B30,'[3]浏览量处理(勿删)'!$A:$C,3,0),"")</f>
        <v>36</v>
      </c>
      <c r="AL30" s="17">
        <f>IFERROR(VLOOKUP($B30,'[3]浏览量处理(勿删)'!$A:$D,4,0),"")</f>
        <v>28</v>
      </c>
      <c r="AM30" s="17">
        <f>IFERROR(VLOOKUP($B30,'[3]浏览量处理(勿删)'!$A:$E,5,0),"")</f>
        <v>88</v>
      </c>
      <c r="AN30" s="27">
        <f t="shared" si="6"/>
        <v>0</v>
      </c>
      <c r="AO30" s="27">
        <f t="shared" si="7"/>
        <v>0</v>
      </c>
      <c r="AP30" s="27">
        <f t="shared" si="8"/>
        <v>0</v>
      </c>
      <c r="AQ30" s="27">
        <f t="shared" si="9"/>
        <v>0</v>
      </c>
      <c r="AR30" s="32">
        <f t="shared" si="10"/>
        <v>0</v>
      </c>
      <c r="AS30" s="32">
        <f t="shared" si="11"/>
        <v>0</v>
      </c>
      <c r="AT30" s="32">
        <f t="shared" si="12"/>
        <v>92</v>
      </c>
      <c r="AU30" s="18" t="str">
        <f t="shared" si="13"/>
        <v>库存为92</v>
      </c>
      <c r="AV30" s="33" t="str">
        <f>IFERROR(时间!$B$4+AU30,"上周无销量")</f>
        <v>上周无销量</v>
      </c>
    </row>
    <row r="31" spans="1:48">
      <c r="A31" s="16" t="s">
        <v>75</v>
      </c>
      <c r="B31" s="17" t="str">
        <f>VLOOKUP(A31,[1]sku_fnsku_asin_产品名称!$A:$C,3,0)</f>
        <v>B002KFR628</v>
      </c>
      <c r="C31" s="17">
        <f>VLOOKUP(A31,[1]sku_fnsku_asin_产品名称!$A:$D,4,0)</f>
        <v>0</v>
      </c>
      <c r="D31" s="18">
        <f>IFERROR(VLOOKUP(A31,[4]库存报告使用数据处理!$A:$B,2,0),0)</f>
        <v>0</v>
      </c>
      <c r="E31" s="18">
        <f>IFERROR(VLOOKUP(A31,[4]库存报告使用数据处理!$A:$C,3,0),0)</f>
        <v>0</v>
      </c>
      <c r="F31" s="18">
        <f>IFERROR(VLOOKUP(A31,[4]库存报告使用数据处理!$A:$D,4,0),0)</f>
        <v>0</v>
      </c>
      <c r="G31" s="18">
        <f>IFERROR(VLOOKUP(A31,[4]库存报告使用数据处理!$A:$E,5,0),0)</f>
        <v>0</v>
      </c>
      <c r="H31" s="18">
        <f>IFERROR(VLOOKUP(A31,[4]库存报告使用数据处理!$A:$F,6,0),0)</f>
        <v>0</v>
      </c>
      <c r="I31" s="18">
        <f>IFERROR(VLOOKUP($A31,[2]数据处理!$A:$B,2,0),0)</f>
        <v>0</v>
      </c>
      <c r="J31" s="18">
        <f>IFERROR(VLOOKUP($A31,[2]数据处理!$A:$D,4,0),0)</f>
        <v>0</v>
      </c>
      <c r="K31" s="18">
        <f>IFERROR(VLOOKUP($A31,[2]数据处理!$A:$E,5,0),0)</f>
        <v>0</v>
      </c>
      <c r="L31" s="18">
        <f>IFERROR(VLOOKUP($A31,[2]数据处理!$A:$N,7,0),0)</f>
        <v>0</v>
      </c>
      <c r="M31" s="22">
        <f t="shared" si="0"/>
        <v>0</v>
      </c>
      <c r="N31" s="18">
        <f>IFERROR(VLOOKUP($A31,[2]数据处理!$A:$N,3,0),0)</f>
        <v>0</v>
      </c>
      <c r="O31" s="17">
        <f>IFERROR(VLOOKUP($A31,[2]数据处理!$A:$N,14,0),0)</f>
        <v>0</v>
      </c>
      <c r="P31" s="17">
        <f>IFERROR(VLOOKUP($A31,[5]库存报告使用数据!$A$1:$B$65536,2,0),0)</f>
        <v>0</v>
      </c>
      <c r="Q31" s="17">
        <f>IFERROR(VLOOKUP($A31,[5]库存报告使用数据!$A$1:$E$65536,5,0),0)</f>
        <v>0</v>
      </c>
      <c r="R31" s="17">
        <f>IFERROR(VLOOKUP($A31,[5]库存报告使用数据!$A$1:$H$65536,8,0),0)</f>
        <v>0</v>
      </c>
      <c r="S31" s="17">
        <f>IFERROR(VLOOKUP($A31,[5]库存报告使用数据!$A$1:$K$65536,11,0),0)</f>
        <v>0</v>
      </c>
      <c r="T31" s="17" t="str">
        <f>IFERROR(VLOOKUP($A31,[5]库存报告使用数据!$A$1:$C$65536,3,0),"")</f>
        <v/>
      </c>
      <c r="U31" s="17" t="str">
        <f>IFERROR(VLOOKUP($A31,[5]库存报告使用数据!$A$1:$F$65536,6,0),"")</f>
        <v/>
      </c>
      <c r="V31" s="17" t="str">
        <f>IFERROR(VLOOKUP($A31,[5]库存报告使用数据!$A$1:$I$65536,9,0),"")</f>
        <v/>
      </c>
      <c r="W31" s="17" t="str">
        <f>IFERROR(VLOOKUP($A31,[5]库存报告使用数据!$A$1:$L$65536,12,0),"")</f>
        <v/>
      </c>
      <c r="X31" s="27" t="str">
        <f t="shared" si="1"/>
        <v/>
      </c>
      <c r="Y31" s="27" t="str">
        <f t="shared" si="2"/>
        <v/>
      </c>
      <c r="Z31" s="27" t="str">
        <f t="shared" si="3"/>
        <v/>
      </c>
      <c r="AA31" s="27" t="str">
        <f t="shared" si="4"/>
        <v/>
      </c>
      <c r="AB31" s="17" t="str">
        <f>IFERROR(VLOOKUP($A31,[5]库存报告使用数据!$A$1:$D$65536,4,0),"")</f>
        <v/>
      </c>
      <c r="AC31" s="17" t="str">
        <f>IFERROR(VLOOKUP($A31,[5]库存报告使用数据!$A$1:$G$65536,7,0),"")</f>
        <v/>
      </c>
      <c r="AD31" s="17" t="str">
        <f>IFERROR(VLOOKUP($A31,[5]库存报告使用数据!$A$1:$J$65536,10,0),"")</f>
        <v/>
      </c>
      <c r="AE31" s="17" t="str">
        <f>IFERROR(VLOOKUP($A31,[5]库存报告使用数据!$A$1:$M$65536,13,0),"")</f>
        <v/>
      </c>
      <c r="AF31" s="27" t="str">
        <f t="shared" si="15"/>
        <v>有广告无销售广告费为</v>
      </c>
      <c r="AG31" s="27" t="str">
        <f t="shared" si="16"/>
        <v>有广告无销售广告费为</v>
      </c>
      <c r="AH31" s="27" t="str">
        <f t="shared" si="17"/>
        <v>有广告无销售广告费为</v>
      </c>
      <c r="AI31" s="27" t="str">
        <f t="shared" si="18"/>
        <v>有广告无销售广告费为</v>
      </c>
      <c r="AJ31" s="17" t="str">
        <f>IFERROR(VLOOKUP($B31,'[3]浏览量处理(勿删)'!$A:$B,2,0),"")</f>
        <v/>
      </c>
      <c r="AK31" s="17" t="str">
        <f>IFERROR(VLOOKUP($B31,'[3]浏览量处理(勿删)'!$A:$C,3,0),"")</f>
        <v/>
      </c>
      <c r="AL31" s="17" t="str">
        <f>IFERROR(VLOOKUP($B31,'[3]浏览量处理(勿删)'!$A:$D,4,0),"")</f>
        <v/>
      </c>
      <c r="AM31" s="17" t="str">
        <f>IFERROR(VLOOKUP($B31,'[3]浏览量处理(勿删)'!$A:$E,5,0),"")</f>
        <v/>
      </c>
      <c r="AN31" s="27" t="str">
        <f t="shared" si="6"/>
        <v/>
      </c>
      <c r="AO31" s="27" t="str">
        <f t="shared" si="7"/>
        <v/>
      </c>
      <c r="AP31" s="27" t="str">
        <f t="shared" si="8"/>
        <v/>
      </c>
      <c r="AQ31" s="27" t="str">
        <f t="shared" si="9"/>
        <v/>
      </c>
      <c r="AR31" s="32">
        <f t="shared" si="10"/>
        <v>0</v>
      </c>
      <c r="AS31" s="32">
        <f t="shared" si="11"/>
        <v>0</v>
      </c>
      <c r="AT31" s="32">
        <f t="shared" si="12"/>
        <v>0</v>
      </c>
      <c r="AU31" s="18" t="str">
        <f t="shared" si="13"/>
        <v>库存为0</v>
      </c>
      <c r="AV31" s="33" t="str">
        <f>IFERROR(时间!$B$4+AU31,"上周无销量")</f>
        <v>上周无销量</v>
      </c>
    </row>
    <row r="32" spans="1:48">
      <c r="A32" s="16" t="s">
        <v>76</v>
      </c>
      <c r="B32" s="17" t="str">
        <f>VLOOKUP(A32,[1]sku_fnsku_asin_产品名称!$A:$C,3,0)</f>
        <v>B0010BBCFK</v>
      </c>
      <c r="C32" s="17">
        <f>VLOOKUP(A32,[1]sku_fnsku_asin_产品名称!$A:$D,4,0)</f>
        <v>0</v>
      </c>
      <c r="D32" s="18">
        <f>IFERROR(VLOOKUP(A32,[4]库存报告使用数据处理!$A:$B,2,0),0)</f>
        <v>0</v>
      </c>
      <c r="E32" s="18">
        <f>IFERROR(VLOOKUP(A32,[4]库存报告使用数据处理!$A:$C,3,0),0)</f>
        <v>0</v>
      </c>
      <c r="F32" s="18">
        <f>IFERROR(VLOOKUP(A32,[4]库存报告使用数据处理!$A:$D,4,0),0)</f>
        <v>0</v>
      </c>
      <c r="G32" s="18">
        <f>IFERROR(VLOOKUP(A32,[4]库存报告使用数据处理!$A:$E,5,0),0)</f>
        <v>0</v>
      </c>
      <c r="H32" s="18">
        <f>IFERROR(VLOOKUP(A32,[4]库存报告使用数据处理!$A:$F,6,0),0)</f>
        <v>0</v>
      </c>
      <c r="I32" s="18">
        <f>IFERROR(VLOOKUP($A32,[2]数据处理!$A:$B,2,0),0)</f>
        <v>0</v>
      </c>
      <c r="J32" s="18">
        <f>IFERROR(VLOOKUP($A32,[2]数据处理!$A:$D,4,0),0)</f>
        <v>0</v>
      </c>
      <c r="K32" s="18">
        <f>IFERROR(VLOOKUP($A32,[2]数据处理!$A:$E,5,0),0)</f>
        <v>0</v>
      </c>
      <c r="L32" s="18">
        <f>IFERROR(VLOOKUP($A32,[2]数据处理!$A:$N,7,0),0)</f>
        <v>0</v>
      </c>
      <c r="M32" s="22">
        <f t="shared" si="0"/>
        <v>0</v>
      </c>
      <c r="N32" s="18">
        <f>IFERROR(VLOOKUP($A32,[2]数据处理!$A:$N,3,0),0)</f>
        <v>0</v>
      </c>
      <c r="O32" s="17">
        <f>IFERROR(VLOOKUP($A32,[2]数据处理!$A:$N,14,0),0)</f>
        <v>0</v>
      </c>
      <c r="P32" s="17">
        <f>IFERROR(VLOOKUP($A32,[5]库存报告使用数据!$A$1:$B$65536,2,0),0)</f>
        <v>0</v>
      </c>
      <c r="Q32" s="17">
        <f>IFERROR(VLOOKUP($A32,[5]库存报告使用数据!$A$1:$E$65536,5,0),0)</f>
        <v>0</v>
      </c>
      <c r="R32" s="17">
        <f>IFERROR(VLOOKUP($A32,[5]库存报告使用数据!$A$1:$H$65536,8,0),0)</f>
        <v>0</v>
      </c>
      <c r="S32" s="17">
        <f>IFERROR(VLOOKUP($A32,[5]库存报告使用数据!$A$1:$K$65536,11,0),0)</f>
        <v>0</v>
      </c>
      <c r="T32" s="17" t="str">
        <f>IFERROR(VLOOKUP($A32,[5]库存报告使用数据!$A$1:$C$65536,3,0),"")</f>
        <v/>
      </c>
      <c r="U32" s="17" t="str">
        <f>IFERROR(VLOOKUP($A32,[5]库存报告使用数据!$A$1:$F$65536,6,0),"")</f>
        <v/>
      </c>
      <c r="V32" s="17" t="str">
        <f>IFERROR(VLOOKUP($A32,[5]库存报告使用数据!$A$1:$I$65536,9,0),"")</f>
        <v/>
      </c>
      <c r="W32" s="17" t="str">
        <f>IFERROR(VLOOKUP($A32,[5]库存报告使用数据!$A$1:$L$65536,12,0),"")</f>
        <v/>
      </c>
      <c r="X32" s="27" t="str">
        <f t="shared" si="1"/>
        <v/>
      </c>
      <c r="Y32" s="27" t="str">
        <f t="shared" si="2"/>
        <v/>
      </c>
      <c r="Z32" s="27" t="str">
        <f t="shared" si="3"/>
        <v/>
      </c>
      <c r="AA32" s="27" t="str">
        <f t="shared" si="4"/>
        <v/>
      </c>
      <c r="AB32" s="17" t="str">
        <f>IFERROR(VLOOKUP($A32,[5]库存报告使用数据!$A$1:$D$65536,4,0),"")</f>
        <v/>
      </c>
      <c r="AC32" s="17" t="str">
        <f>IFERROR(VLOOKUP($A32,[5]库存报告使用数据!$A$1:$G$65536,7,0),"")</f>
        <v/>
      </c>
      <c r="AD32" s="17" t="str">
        <f>IFERROR(VLOOKUP($A32,[5]库存报告使用数据!$A$1:$J$65536,10,0),"")</f>
        <v/>
      </c>
      <c r="AE32" s="17" t="str">
        <f>IFERROR(VLOOKUP($A32,[5]库存报告使用数据!$A$1:$M$65536,13,0),"")</f>
        <v/>
      </c>
      <c r="AF32" s="27" t="str">
        <f t="shared" si="15"/>
        <v>有广告无销售广告费为</v>
      </c>
      <c r="AG32" s="27" t="str">
        <f t="shared" si="16"/>
        <v>有广告无销售广告费为</v>
      </c>
      <c r="AH32" s="27" t="str">
        <f t="shared" si="17"/>
        <v>有广告无销售广告费为</v>
      </c>
      <c r="AI32" s="27" t="str">
        <f t="shared" si="18"/>
        <v>有广告无销售广告费为</v>
      </c>
      <c r="AJ32" s="17">
        <f>IFERROR(VLOOKUP($B32,'[3]浏览量处理(勿删)'!$A:$B,2,0),"")</f>
        <v>138</v>
      </c>
      <c r="AK32" s="17">
        <f>IFERROR(VLOOKUP($B32,'[3]浏览量处理(勿删)'!$A:$C,3,0),"")</f>
        <v>123</v>
      </c>
      <c r="AL32" s="17">
        <f>IFERROR(VLOOKUP($B32,'[3]浏览量处理(勿删)'!$A:$D,4,0),"")</f>
        <v>116</v>
      </c>
      <c r="AM32" s="17">
        <f>IFERROR(VLOOKUP($B32,'[3]浏览量处理(勿删)'!$A:$E,5,0),"")</f>
        <v>569</v>
      </c>
      <c r="AN32" s="27">
        <f t="shared" si="6"/>
        <v>0</v>
      </c>
      <c r="AO32" s="27">
        <f t="shared" si="7"/>
        <v>0</v>
      </c>
      <c r="AP32" s="27">
        <f t="shared" si="8"/>
        <v>0</v>
      </c>
      <c r="AQ32" s="27">
        <f t="shared" si="9"/>
        <v>0</v>
      </c>
      <c r="AR32" s="32">
        <f t="shared" si="10"/>
        <v>0</v>
      </c>
      <c r="AS32" s="32">
        <f t="shared" si="11"/>
        <v>0</v>
      </c>
      <c r="AT32" s="32">
        <f t="shared" si="12"/>
        <v>0</v>
      </c>
      <c r="AU32" s="18" t="str">
        <f t="shared" si="13"/>
        <v>库存为0</v>
      </c>
      <c r="AV32" s="33" t="str">
        <f>IFERROR(时间!$B$4+AU32,"上周无销量")</f>
        <v>上周无销量</v>
      </c>
    </row>
    <row r="33" spans="1:48">
      <c r="A33" s="16" t="s">
        <v>77</v>
      </c>
      <c r="B33" s="17" t="str">
        <f>VLOOKUP(A33,[1]sku_fnsku_asin_产品名称!$A:$C,3,0)</f>
        <v>B002QSD1YQ</v>
      </c>
      <c r="C33" s="17" t="str">
        <f>VLOOKUP(A33,[1]sku_fnsku_asin_产品名称!$A:$D,4,0)</f>
        <v>Dead Sea Premier Moisture Cream for Normal to Dry Skin</v>
      </c>
      <c r="D33" s="18">
        <f>IFERROR(VLOOKUP(A33,[4]库存报告使用数据处理!$A:$B,2,0),0)</f>
        <v>0</v>
      </c>
      <c r="E33" s="18">
        <f>IFERROR(VLOOKUP(A33,[4]库存报告使用数据处理!$A:$C,3,0),0)</f>
        <v>0</v>
      </c>
      <c r="F33" s="18">
        <f>IFERROR(VLOOKUP(A33,[4]库存报告使用数据处理!$A:$D,4,0),0)</f>
        <v>1</v>
      </c>
      <c r="G33" s="18">
        <f>IFERROR(VLOOKUP(A33,[4]库存报告使用数据处理!$A:$E,5,0),0)</f>
        <v>3</v>
      </c>
      <c r="H33" s="18">
        <f>IFERROR(VLOOKUP(A33,[4]库存报告使用数据处理!$A:$F,6,0),0)</f>
        <v>39.6175</v>
      </c>
      <c r="I33" s="18">
        <f>IFERROR(VLOOKUP($A33,[2]数据处理!$A:$B,2,0),0)</f>
        <v>0</v>
      </c>
      <c r="J33" s="18">
        <f>IFERROR(VLOOKUP($A33,[2]数据处理!$A:$D,4,0),0)</f>
        <v>0</v>
      </c>
      <c r="K33" s="18">
        <f>IFERROR(VLOOKUP($A33,[2]数据处理!$A:$E,5,0),0)</f>
        <v>0</v>
      </c>
      <c r="L33" s="18">
        <f>IFERROR(VLOOKUP($A33,[2]数据处理!$A:$N,7,0),0)</f>
        <v>0</v>
      </c>
      <c r="M33" s="22">
        <f t="shared" si="0"/>
        <v>0</v>
      </c>
      <c r="N33" s="18">
        <f>IFERROR(VLOOKUP($A33,[2]数据处理!$A:$N,3,0),0)</f>
        <v>0</v>
      </c>
      <c r="O33" s="17">
        <f>IFERROR(VLOOKUP($A33,[2]数据处理!$A:$N,14,0),0)</f>
        <v>0</v>
      </c>
      <c r="P33" s="17">
        <f>IFERROR(VLOOKUP($A33,[5]库存报告使用数据!$A$1:$B$65536,2,0),0)</f>
        <v>0</v>
      </c>
      <c r="Q33" s="17">
        <f>IFERROR(VLOOKUP($A33,[5]库存报告使用数据!$A$1:$E$65536,5,0),0)</f>
        <v>0</v>
      </c>
      <c r="R33" s="17">
        <f>IFERROR(VLOOKUP($A33,[5]库存报告使用数据!$A$1:$H$65536,8,0),0)</f>
        <v>1290</v>
      </c>
      <c r="S33" s="17">
        <f>IFERROR(VLOOKUP($A33,[5]库存报告使用数据!$A$1:$K$65536,11,0),0)</f>
        <v>29401</v>
      </c>
      <c r="T33" s="17">
        <f>IFERROR(VLOOKUP($A33,[5]库存报告使用数据!$A$1:$C$65536,3,0),"")</f>
        <v>0</v>
      </c>
      <c r="U33" s="17">
        <f>IFERROR(VLOOKUP($A33,[5]库存报告使用数据!$A$1:$F$65536,6,0),"")</f>
        <v>0</v>
      </c>
      <c r="V33" s="17">
        <f>IFERROR(VLOOKUP($A33,[5]库存报告使用数据!$A$1:$I$65536,9,0),"")</f>
        <v>2</v>
      </c>
      <c r="W33" s="17">
        <f>IFERROR(VLOOKUP($A33,[5]库存报告使用数据!$A$1:$L$65536,12,0),"")</f>
        <v>42</v>
      </c>
      <c r="X33" s="27" t="str">
        <f t="shared" si="1"/>
        <v/>
      </c>
      <c r="Y33" s="27" t="str">
        <f t="shared" si="2"/>
        <v/>
      </c>
      <c r="Z33" s="27">
        <f t="shared" si="3"/>
        <v>0.00155038759689922</v>
      </c>
      <c r="AA33" s="27">
        <f t="shared" si="4"/>
        <v>0.00142852283935921</v>
      </c>
      <c r="AB33" s="17">
        <f>IFERROR(VLOOKUP($A33,[5]库存报告使用数据!$A$1:$D$65536,4,0),"")</f>
        <v>0</v>
      </c>
      <c r="AC33" s="17">
        <f>IFERROR(VLOOKUP($A33,[5]库存报告使用数据!$A$1:$G$65536,7,0),"")</f>
        <v>0</v>
      </c>
      <c r="AD33" s="17">
        <f>IFERROR(VLOOKUP($A33,[5]库存报告使用数据!$A$1:$J$65536,10,0),"")</f>
        <v>1.79</v>
      </c>
      <c r="AE33" s="17">
        <f>IFERROR(VLOOKUP($A33,[5]库存报告使用数据!$A$1:$M$65536,13,0),"")</f>
        <v>33.75</v>
      </c>
      <c r="AF33" s="27" t="str">
        <f t="shared" si="15"/>
        <v/>
      </c>
      <c r="AG33" s="27" t="str">
        <f t="shared" si="16"/>
        <v/>
      </c>
      <c r="AH33" s="27">
        <f t="shared" si="17"/>
        <v>0.0451820533854988</v>
      </c>
      <c r="AI33" s="27">
        <f t="shared" si="18"/>
        <v>0.283965419322269</v>
      </c>
      <c r="AJ33" s="17">
        <f>IFERROR(VLOOKUP($B33,'[3]浏览量处理(勿删)'!$A:$B,2,0),"")</f>
        <v>0</v>
      </c>
      <c r="AK33" s="17">
        <f>IFERROR(VLOOKUP($B33,'[3]浏览量处理(勿删)'!$A:$C,3,0),"")</f>
        <v>0</v>
      </c>
      <c r="AL33" s="17">
        <f>IFERROR(VLOOKUP($B33,'[3]浏览量处理(勿删)'!$A:$D,4,0),"")</f>
        <v>3</v>
      </c>
      <c r="AM33" s="17">
        <f>IFERROR(VLOOKUP($B33,'[3]浏览量处理(勿删)'!$A:$E,5,0),"")</f>
        <v>123</v>
      </c>
      <c r="AN33" s="27" t="str">
        <f t="shared" si="6"/>
        <v/>
      </c>
      <c r="AO33" s="27" t="str">
        <f t="shared" si="7"/>
        <v/>
      </c>
      <c r="AP33" s="27">
        <f t="shared" si="8"/>
        <v>0.333333333333333</v>
      </c>
      <c r="AQ33" s="27">
        <f t="shared" si="9"/>
        <v>0.024390243902439</v>
      </c>
      <c r="AR33" s="32">
        <f t="shared" si="10"/>
        <v>0</v>
      </c>
      <c r="AS33" s="32">
        <f t="shared" si="11"/>
        <v>0</v>
      </c>
      <c r="AT33" s="32">
        <f t="shared" si="12"/>
        <v>0</v>
      </c>
      <c r="AU33" s="18" t="str">
        <f t="shared" si="13"/>
        <v>库存为0</v>
      </c>
      <c r="AV33" s="33" t="str">
        <f>IFERROR(时间!$B$4+AU33,"上周无销量")</f>
        <v>上周无销量</v>
      </c>
    </row>
    <row r="34" spans="1:48">
      <c r="A34" s="16" t="s">
        <v>78</v>
      </c>
      <c r="B34" s="17" t="str">
        <f>VLOOKUP(A34,[1]sku_fnsku_asin_产品名称!$A:$C,3,0)</f>
        <v>B00157ZFC0</v>
      </c>
      <c r="C34" s="17" t="str">
        <f>VLOOKUP(A34,[1]sku_fnsku_asin_产品名称!$A:$D,4,0)</f>
        <v>Premier Dead Sea Body Butter Herbal Scent</v>
      </c>
      <c r="D34" s="18">
        <f>IFERROR(VLOOKUP(A34,[4]库存报告使用数据处理!$A:$B,2,0),0)</f>
        <v>6</v>
      </c>
      <c r="E34" s="18">
        <f>IFERROR(VLOOKUP(A34,[4]库存报告使用数据处理!$A:$C,3,0),0)</f>
        <v>2</v>
      </c>
      <c r="F34" s="18">
        <f>IFERROR(VLOOKUP(A34,[4]库存报告使用数据处理!$A:$D,4,0),0)</f>
        <v>4</v>
      </c>
      <c r="G34" s="18">
        <f>IFERROR(VLOOKUP(A34,[4]库存报告使用数据处理!$A:$E,5,0),0)</f>
        <v>4</v>
      </c>
      <c r="H34" s="18">
        <f>IFERROR(VLOOKUP(A34,[4]库存报告使用数据处理!$A:$F,6,0),0)</f>
        <v>19.99</v>
      </c>
      <c r="I34" s="18">
        <f>IFERROR(VLOOKUP($A34,[2]数据处理!$A:$B,2,0),0)</f>
        <v>0</v>
      </c>
      <c r="J34" s="18">
        <f>IFERROR(VLOOKUP($A34,[2]数据处理!$A:$D,4,0),0)</f>
        <v>0</v>
      </c>
      <c r="K34" s="18">
        <f>IFERROR(VLOOKUP($A34,[2]数据处理!$A:$E,5,0),0)</f>
        <v>0</v>
      </c>
      <c r="L34" s="18">
        <f>IFERROR(VLOOKUP($A34,[2]数据处理!$A:$N,7,0),0)</f>
        <v>0</v>
      </c>
      <c r="M34" s="22">
        <f t="shared" si="0"/>
        <v>0</v>
      </c>
      <c r="N34" s="18">
        <f>IFERROR(VLOOKUP($A34,[2]数据处理!$A:$N,3,0),0)</f>
        <v>0</v>
      </c>
      <c r="O34" s="17">
        <f>IFERROR(VLOOKUP($A34,[2]数据处理!$A:$N,14,0),0)</f>
        <v>3</v>
      </c>
      <c r="P34" s="17">
        <f>IFERROR(VLOOKUP($A34,[5]库存报告使用数据!$A$1:$B$65536,2,0),0)</f>
        <v>806</v>
      </c>
      <c r="Q34" s="17">
        <f>IFERROR(VLOOKUP($A34,[5]库存报告使用数据!$A$1:$E$65536,5,0),0)</f>
        <v>266</v>
      </c>
      <c r="R34" s="17">
        <f>IFERROR(VLOOKUP($A34,[5]库存报告使用数据!$A$1:$H$65536,8,0),0)</f>
        <v>236</v>
      </c>
      <c r="S34" s="17">
        <f>IFERROR(VLOOKUP($A34,[5]库存报告使用数据!$A$1:$K$65536,11,0),0)</f>
        <v>1014</v>
      </c>
      <c r="T34" s="17">
        <f>IFERROR(VLOOKUP($A34,[5]库存报告使用数据!$A$1:$C$65536,3,0),"")</f>
        <v>2</v>
      </c>
      <c r="U34" s="17">
        <f>IFERROR(VLOOKUP($A34,[5]库存报告使用数据!$A$1:$F$65536,6,0),"")</f>
        <v>0</v>
      </c>
      <c r="V34" s="17">
        <f>IFERROR(VLOOKUP($A34,[5]库存报告使用数据!$A$1:$I$65536,9,0),"")</f>
        <v>0</v>
      </c>
      <c r="W34" s="17">
        <f>IFERROR(VLOOKUP($A34,[5]库存报告使用数据!$A$1:$L$65536,12,0),"")</f>
        <v>2</v>
      </c>
      <c r="X34" s="27">
        <f t="shared" si="1"/>
        <v>0.00248138957816377</v>
      </c>
      <c r="Y34" s="27">
        <f t="shared" si="2"/>
        <v>0</v>
      </c>
      <c r="Z34" s="27">
        <f t="shared" si="3"/>
        <v>0</v>
      </c>
      <c r="AA34" s="27">
        <f t="shared" si="4"/>
        <v>0.0019723865877712</v>
      </c>
      <c r="AB34" s="17">
        <f>IFERROR(VLOOKUP($A34,[5]库存报告使用数据!$A$1:$D$65536,4,0),"")</f>
        <v>1.49</v>
      </c>
      <c r="AC34" s="17">
        <f>IFERROR(VLOOKUP($A34,[5]库存报告使用数据!$A$1:$G$65536,7,0),"")</f>
        <v>0</v>
      </c>
      <c r="AD34" s="17">
        <f>IFERROR(VLOOKUP($A34,[5]库存报告使用数据!$A$1:$J$65536,10,0),"")</f>
        <v>0</v>
      </c>
      <c r="AE34" s="17">
        <f>IFERROR(VLOOKUP($A34,[5]库存报告使用数据!$A$1:$M$65536,13,0),"")</f>
        <v>1.84</v>
      </c>
      <c r="AF34" s="27">
        <f t="shared" si="15"/>
        <v>0.0124228781057195</v>
      </c>
      <c r="AG34" s="27">
        <f t="shared" si="16"/>
        <v>0</v>
      </c>
      <c r="AH34" s="27">
        <f t="shared" si="17"/>
        <v>0</v>
      </c>
      <c r="AI34" s="27">
        <f t="shared" si="18"/>
        <v>0.0230115057528764</v>
      </c>
      <c r="AJ34" s="17">
        <f>IFERROR(VLOOKUP($B34,'[3]浏览量处理(勿删)'!$A:$B,2,0),"")</f>
        <v>7</v>
      </c>
      <c r="AK34" s="17">
        <f>IFERROR(VLOOKUP($B34,'[3]浏览量处理(勿删)'!$A:$C,3,0),"")</f>
        <v>4</v>
      </c>
      <c r="AL34" s="17">
        <f>IFERROR(VLOOKUP($B34,'[3]浏览量处理(勿删)'!$A:$D,4,0),"")</f>
        <v>11</v>
      </c>
      <c r="AM34" s="17">
        <f>IFERROR(VLOOKUP($B34,'[3]浏览量处理(勿删)'!$A:$E,5,0),"")</f>
        <v>34</v>
      </c>
      <c r="AN34" s="27">
        <f t="shared" si="6"/>
        <v>0.857142857142857</v>
      </c>
      <c r="AO34" s="27">
        <f t="shared" si="7"/>
        <v>0.5</v>
      </c>
      <c r="AP34" s="27">
        <f t="shared" si="8"/>
        <v>0.363636363636364</v>
      </c>
      <c r="AQ34" s="27">
        <f t="shared" si="9"/>
        <v>0.117647058823529</v>
      </c>
      <c r="AR34" s="32">
        <f t="shared" si="10"/>
        <v>0.857142857142857</v>
      </c>
      <c r="AS34" s="32">
        <f t="shared" si="11"/>
        <v>51.4285714285714</v>
      </c>
      <c r="AT34" s="32">
        <f t="shared" si="12"/>
        <v>-51.4285714285714</v>
      </c>
      <c r="AU34" s="18">
        <f t="shared" si="13"/>
        <v>0</v>
      </c>
      <c r="AV34" s="33">
        <f>IFERROR(时间!$B$4+AU34,"上周无销量")</f>
        <v>43290</v>
      </c>
    </row>
    <row r="35" spans="1:48">
      <c r="A35" s="16" t="s">
        <v>79</v>
      </c>
      <c r="B35" s="17" t="str">
        <f>VLOOKUP(A35,[1]sku_fnsku_asin_产品名称!$A:$C,3,0)</f>
        <v>B008YFY9TQ</v>
      </c>
      <c r="C35" s="17" t="str">
        <f>VLOOKUP(A35,[1]sku_fnsku_asin_产品名称!$A:$D,4,0)</f>
        <v>Premier Dead Sea Aromatic Body Butter- Milk and Honey, 175ml</v>
      </c>
      <c r="D35" s="18">
        <f>IFERROR(VLOOKUP(A35,[4]库存报告使用数据处理!$A:$B,2,0),0)</f>
        <v>0</v>
      </c>
      <c r="E35" s="18">
        <f>IFERROR(VLOOKUP(A35,[4]库存报告使用数据处理!$A:$C,3,0),0)</f>
        <v>0</v>
      </c>
      <c r="F35" s="18">
        <f>IFERROR(VLOOKUP(A35,[4]库存报告使用数据处理!$A:$D,4,0),0)</f>
        <v>0</v>
      </c>
      <c r="G35" s="18">
        <f>IFERROR(VLOOKUP(A35,[4]库存报告使用数据处理!$A:$E,5,0),0)</f>
        <v>0</v>
      </c>
      <c r="H35" s="18">
        <f>IFERROR(VLOOKUP(A35,[4]库存报告使用数据处理!$A:$F,6,0),0)</f>
        <v>0</v>
      </c>
      <c r="I35" s="18">
        <f>IFERROR(VLOOKUP($A35,[2]数据处理!$A:$B,2,0),0)</f>
        <v>0</v>
      </c>
      <c r="J35" s="18">
        <f>IFERROR(VLOOKUP($A35,[2]数据处理!$A:$D,4,0),0)</f>
        <v>0</v>
      </c>
      <c r="K35" s="18">
        <f>IFERROR(VLOOKUP($A35,[2]数据处理!$A:$E,5,0),0)</f>
        <v>0</v>
      </c>
      <c r="L35" s="18">
        <f>IFERROR(VLOOKUP($A35,[2]数据处理!$A:$N,7,0),0)</f>
        <v>0</v>
      </c>
      <c r="M35" s="22">
        <f t="shared" si="0"/>
        <v>0</v>
      </c>
      <c r="N35" s="18">
        <f>IFERROR(VLOOKUP($A35,[2]数据处理!$A:$N,3,0),0)</f>
        <v>48</v>
      </c>
      <c r="O35" s="17">
        <f>IFERROR(VLOOKUP($A35,[2]数据处理!$A:$N,14,0),0)</f>
        <v>0</v>
      </c>
      <c r="P35" s="17">
        <f>IFERROR(VLOOKUP($A35,[5]库存报告使用数据!$A$1:$B$65536,2,0),0)</f>
        <v>0</v>
      </c>
      <c r="Q35" s="17">
        <f>IFERROR(VLOOKUP($A35,[5]库存报告使用数据!$A$1:$E$65536,5,0),0)</f>
        <v>0</v>
      </c>
      <c r="R35" s="17">
        <f>IFERROR(VLOOKUP($A35,[5]库存报告使用数据!$A$1:$H$65536,8,0),0)</f>
        <v>0</v>
      </c>
      <c r="S35" s="17">
        <f>IFERROR(VLOOKUP($A35,[5]库存报告使用数据!$A$1:$K$65536,11,0),0)</f>
        <v>0</v>
      </c>
      <c r="T35" s="17" t="str">
        <f>IFERROR(VLOOKUP($A35,[5]库存报告使用数据!$A$1:$C$65536,3,0),"")</f>
        <v/>
      </c>
      <c r="U35" s="17" t="str">
        <f>IFERROR(VLOOKUP($A35,[5]库存报告使用数据!$A$1:$F$65536,6,0),"")</f>
        <v/>
      </c>
      <c r="V35" s="17" t="str">
        <f>IFERROR(VLOOKUP($A35,[5]库存报告使用数据!$A$1:$I$65536,9,0),"")</f>
        <v/>
      </c>
      <c r="W35" s="17" t="str">
        <f>IFERROR(VLOOKUP($A35,[5]库存报告使用数据!$A$1:$L$65536,12,0),"")</f>
        <v/>
      </c>
      <c r="X35" s="27" t="str">
        <f t="shared" si="1"/>
        <v/>
      </c>
      <c r="Y35" s="27" t="str">
        <f t="shared" si="2"/>
        <v/>
      </c>
      <c r="Z35" s="27" t="str">
        <f t="shared" si="3"/>
        <v/>
      </c>
      <c r="AA35" s="27" t="str">
        <f t="shared" si="4"/>
        <v/>
      </c>
      <c r="AB35" s="17" t="str">
        <f>IFERROR(VLOOKUP($A35,[5]库存报告使用数据!$A$1:$D$65536,4,0),"")</f>
        <v/>
      </c>
      <c r="AC35" s="17" t="str">
        <f>IFERROR(VLOOKUP($A35,[5]库存报告使用数据!$A$1:$G$65536,7,0),"")</f>
        <v/>
      </c>
      <c r="AD35" s="17" t="str">
        <f>IFERROR(VLOOKUP($A35,[5]库存报告使用数据!$A$1:$J$65536,10,0),"")</f>
        <v/>
      </c>
      <c r="AE35" s="17" t="str">
        <f>IFERROR(VLOOKUP($A35,[5]库存报告使用数据!$A$1:$M$65536,13,0),"")</f>
        <v/>
      </c>
      <c r="AF35" s="27" t="str">
        <f t="shared" si="15"/>
        <v>有广告无销售广告费为</v>
      </c>
      <c r="AG35" s="27" t="str">
        <f t="shared" si="16"/>
        <v>有广告无销售广告费为</v>
      </c>
      <c r="AH35" s="27" t="str">
        <f t="shared" si="17"/>
        <v>有广告无销售广告费为</v>
      </c>
      <c r="AI35" s="27" t="str">
        <f t="shared" si="18"/>
        <v>有广告无销售广告费为</v>
      </c>
      <c r="AJ35" s="17" t="str">
        <f>IFERROR(VLOOKUP($B35,'[3]浏览量处理(勿删)'!$A:$B,2,0),"")</f>
        <v/>
      </c>
      <c r="AK35" s="17" t="str">
        <f>IFERROR(VLOOKUP($B35,'[3]浏览量处理(勿删)'!$A:$C,3,0),"")</f>
        <v/>
      </c>
      <c r="AL35" s="17" t="str">
        <f>IFERROR(VLOOKUP($B35,'[3]浏览量处理(勿删)'!$A:$D,4,0),"")</f>
        <v/>
      </c>
      <c r="AM35" s="17" t="str">
        <f>IFERROR(VLOOKUP($B35,'[3]浏览量处理(勿删)'!$A:$E,5,0),"")</f>
        <v/>
      </c>
      <c r="AN35" s="27" t="str">
        <f t="shared" si="6"/>
        <v/>
      </c>
      <c r="AO35" s="27" t="str">
        <f t="shared" si="7"/>
        <v/>
      </c>
      <c r="AP35" s="27" t="str">
        <f t="shared" si="8"/>
        <v/>
      </c>
      <c r="AQ35" s="27" t="str">
        <f t="shared" si="9"/>
        <v/>
      </c>
      <c r="AR35" s="32">
        <f t="shared" si="10"/>
        <v>0</v>
      </c>
      <c r="AS35" s="32">
        <f t="shared" si="11"/>
        <v>0</v>
      </c>
      <c r="AT35" s="32">
        <f t="shared" si="12"/>
        <v>0</v>
      </c>
      <c r="AU35" s="18" t="str">
        <f t="shared" si="13"/>
        <v>库存为0</v>
      </c>
      <c r="AV35" s="33" t="str">
        <f>IFERROR(时间!$B$4+AU35,"上周无销量")</f>
        <v>上周无销量</v>
      </c>
    </row>
    <row r="36" spans="1:48">
      <c r="A36" s="16" t="s">
        <v>80</v>
      </c>
      <c r="B36" s="17" t="str">
        <f>VLOOKUP(A36,[1]sku_fnsku_asin_产品名称!$A:$C,3,0)</f>
        <v>B0012IVH2O</v>
      </c>
      <c r="C36" s="17" t="str">
        <f>VLOOKUP(A36,[1]sku_fnsku_asin_产品名称!$A:$D,4,0)</f>
        <v>premier dead sea body butter milk &amp; honey scent Plastic Jar</v>
      </c>
      <c r="D36" s="18">
        <f>IFERROR(VLOOKUP(A36,[4]库存报告使用数据处理!$A:$B,2,0),0)</f>
        <v>0</v>
      </c>
      <c r="E36" s="18">
        <f>IFERROR(VLOOKUP(A36,[4]库存报告使用数据处理!$A:$C,3,0),0)</f>
        <v>0</v>
      </c>
      <c r="F36" s="18">
        <f>IFERROR(VLOOKUP(A36,[4]库存报告使用数据处理!$A:$D,4,0),0)</f>
        <v>0</v>
      </c>
      <c r="G36" s="18">
        <f>IFERROR(VLOOKUP(A36,[4]库存报告使用数据处理!$A:$E,5,0),0)</f>
        <v>0</v>
      </c>
      <c r="H36" s="18">
        <f>IFERROR(VLOOKUP(A36,[4]库存报告使用数据处理!$A:$F,6,0),0)</f>
        <v>0</v>
      </c>
      <c r="I36" s="18">
        <f>IFERROR(VLOOKUP($A36,[2]数据处理!$A:$B,2,0),0)</f>
        <v>0</v>
      </c>
      <c r="J36" s="18">
        <f>IFERROR(VLOOKUP($A36,[2]数据处理!$A:$D,4,0),0)</f>
        <v>0</v>
      </c>
      <c r="K36" s="18">
        <f>IFERROR(VLOOKUP($A36,[2]数据处理!$A:$E,5,0),0)</f>
        <v>0</v>
      </c>
      <c r="L36" s="18">
        <f>IFERROR(VLOOKUP($A36,[2]数据处理!$A:$N,7,0),0)</f>
        <v>0</v>
      </c>
      <c r="M36" s="22">
        <f t="shared" si="0"/>
        <v>0</v>
      </c>
      <c r="N36" s="18">
        <f>IFERROR(VLOOKUP($A36,[2]数据处理!$A:$N,3,0),0)</f>
        <v>0</v>
      </c>
      <c r="O36" s="17">
        <f>IFERROR(VLOOKUP($A36,[2]数据处理!$A:$N,14,0),0)</f>
        <v>0</v>
      </c>
      <c r="P36" s="17">
        <f>IFERROR(VLOOKUP($A36,[5]库存报告使用数据!$A$1:$B$65536,2,0),0)</f>
        <v>0</v>
      </c>
      <c r="Q36" s="17">
        <f>IFERROR(VLOOKUP($A36,[5]库存报告使用数据!$A$1:$E$65536,5,0),0)</f>
        <v>0</v>
      </c>
      <c r="R36" s="17">
        <f>IFERROR(VLOOKUP($A36,[5]库存报告使用数据!$A$1:$H$65536,8,0),0)</f>
        <v>0</v>
      </c>
      <c r="S36" s="17">
        <f>IFERROR(VLOOKUP($A36,[5]库存报告使用数据!$A$1:$K$65536,11,0),0)</f>
        <v>0</v>
      </c>
      <c r="T36" s="17" t="str">
        <f>IFERROR(VLOOKUP($A36,[5]库存报告使用数据!$A$1:$C$65536,3,0),"")</f>
        <v/>
      </c>
      <c r="U36" s="17" t="str">
        <f>IFERROR(VLOOKUP($A36,[5]库存报告使用数据!$A$1:$F$65536,6,0),"")</f>
        <v/>
      </c>
      <c r="V36" s="17" t="str">
        <f>IFERROR(VLOOKUP($A36,[5]库存报告使用数据!$A$1:$I$65536,9,0),"")</f>
        <v/>
      </c>
      <c r="W36" s="17" t="str">
        <f>IFERROR(VLOOKUP($A36,[5]库存报告使用数据!$A$1:$L$65536,12,0),"")</f>
        <v/>
      </c>
      <c r="X36" s="27" t="str">
        <f t="shared" si="1"/>
        <v/>
      </c>
      <c r="Y36" s="27" t="str">
        <f t="shared" si="2"/>
        <v/>
      </c>
      <c r="Z36" s="27" t="str">
        <f t="shared" si="3"/>
        <v/>
      </c>
      <c r="AA36" s="27" t="str">
        <f t="shared" si="4"/>
        <v/>
      </c>
      <c r="AB36" s="17" t="str">
        <f>IFERROR(VLOOKUP($A36,[5]库存报告使用数据!$A$1:$D$65536,4,0),"")</f>
        <v/>
      </c>
      <c r="AC36" s="17" t="str">
        <f>IFERROR(VLOOKUP($A36,[5]库存报告使用数据!$A$1:$G$65536,7,0),"")</f>
        <v/>
      </c>
      <c r="AD36" s="17" t="str">
        <f>IFERROR(VLOOKUP($A36,[5]库存报告使用数据!$A$1:$J$65536,10,0),"")</f>
        <v/>
      </c>
      <c r="AE36" s="17" t="str">
        <f>IFERROR(VLOOKUP($A36,[5]库存报告使用数据!$A$1:$M$65536,13,0),"")</f>
        <v/>
      </c>
      <c r="AF36" s="27" t="str">
        <f t="shared" si="15"/>
        <v>有广告无销售广告费为</v>
      </c>
      <c r="AG36" s="27" t="str">
        <f t="shared" si="16"/>
        <v>有广告无销售广告费为</v>
      </c>
      <c r="AH36" s="27" t="str">
        <f t="shared" si="17"/>
        <v>有广告无销售广告费为</v>
      </c>
      <c r="AI36" s="27" t="str">
        <f t="shared" si="18"/>
        <v>有广告无销售广告费为</v>
      </c>
      <c r="AJ36" s="17">
        <f>IFERROR(VLOOKUP($B36,'[3]浏览量处理(勿删)'!$A:$B,2,0),"")</f>
        <v>0</v>
      </c>
      <c r="AK36" s="17">
        <f>IFERROR(VLOOKUP($B36,'[3]浏览量处理(勿删)'!$A:$C,3,0),"")</f>
        <v>0</v>
      </c>
      <c r="AL36" s="17">
        <f>IFERROR(VLOOKUP($B36,'[3]浏览量处理(勿删)'!$A:$D,4,0),"")</f>
        <v>0</v>
      </c>
      <c r="AM36" s="17">
        <f>IFERROR(VLOOKUP($B36,'[3]浏览量处理(勿删)'!$A:$E,5,0),"")</f>
        <v>21</v>
      </c>
      <c r="AN36" s="27" t="str">
        <f t="shared" si="6"/>
        <v/>
      </c>
      <c r="AO36" s="27" t="str">
        <f t="shared" si="7"/>
        <v/>
      </c>
      <c r="AP36" s="27" t="str">
        <f t="shared" si="8"/>
        <v/>
      </c>
      <c r="AQ36" s="27">
        <f t="shared" si="9"/>
        <v>0</v>
      </c>
      <c r="AR36" s="32">
        <f t="shared" si="10"/>
        <v>0</v>
      </c>
      <c r="AS36" s="32">
        <f t="shared" si="11"/>
        <v>0</v>
      </c>
      <c r="AT36" s="32">
        <f t="shared" si="12"/>
        <v>0</v>
      </c>
      <c r="AU36" s="18" t="str">
        <f t="shared" si="13"/>
        <v>库存为0</v>
      </c>
      <c r="AV36" s="33" t="str">
        <f>IFERROR(时间!$B$4+AU36,"上周无销量")</f>
        <v>上周无销量</v>
      </c>
    </row>
    <row r="37" spans="1:48">
      <c r="A37" s="16" t="s">
        <v>81</v>
      </c>
      <c r="B37" s="17" t="str">
        <f>VLOOKUP(A37,[1]sku_fnsku_asin_产品名称!$A:$C,3,0)</f>
        <v>B003CEA88U</v>
      </c>
      <c r="C37" s="17">
        <f>VLOOKUP(A37,[1]sku_fnsku_asin_产品名称!$A:$D,4,0)</f>
        <v>0</v>
      </c>
      <c r="D37" s="18">
        <f>IFERROR(VLOOKUP(A37,[4]库存报告使用数据处理!$A:$B,2,0),0)</f>
        <v>0</v>
      </c>
      <c r="E37" s="18">
        <f>IFERROR(VLOOKUP(A37,[4]库存报告使用数据处理!$A:$C,3,0),0)</f>
        <v>0</v>
      </c>
      <c r="F37" s="18">
        <f>IFERROR(VLOOKUP(A37,[4]库存报告使用数据处理!$A:$D,4,0),0)</f>
        <v>0</v>
      </c>
      <c r="G37" s="18">
        <f>IFERROR(VLOOKUP(A37,[4]库存报告使用数据处理!$A:$E,5,0),0)</f>
        <v>0</v>
      </c>
      <c r="H37" s="18">
        <f>IFERROR(VLOOKUP(A37,[4]库存报告使用数据处理!$A:$F,6,0),0)</f>
        <v>0</v>
      </c>
      <c r="I37" s="18">
        <f>IFERROR(VLOOKUP($A37,[2]数据处理!$A:$B,2,0),0)</f>
        <v>0</v>
      </c>
      <c r="J37" s="18">
        <f>IFERROR(VLOOKUP($A37,[2]数据处理!$A:$D,4,0),0)</f>
        <v>0</v>
      </c>
      <c r="K37" s="18">
        <f>IFERROR(VLOOKUP($A37,[2]数据处理!$A:$E,5,0),0)</f>
        <v>0</v>
      </c>
      <c r="L37" s="18">
        <f>IFERROR(VLOOKUP($A37,[2]数据处理!$A:$N,7,0),0)</f>
        <v>0</v>
      </c>
      <c r="M37" s="22">
        <f t="shared" si="0"/>
        <v>0</v>
      </c>
      <c r="N37" s="18">
        <f>IFERROR(VLOOKUP($A37,[2]数据处理!$A:$N,3,0),0)</f>
        <v>0</v>
      </c>
      <c r="O37" s="17">
        <f>IFERROR(VLOOKUP($A37,[2]数据处理!$A:$N,14,0),0)</f>
        <v>0</v>
      </c>
      <c r="P37" s="17">
        <f>IFERROR(VLOOKUP($A37,[5]库存报告使用数据!$A$1:$B$65536,2,0),0)</f>
        <v>0</v>
      </c>
      <c r="Q37" s="17">
        <f>IFERROR(VLOOKUP($A37,[5]库存报告使用数据!$A$1:$E$65536,5,0),0)</f>
        <v>0</v>
      </c>
      <c r="R37" s="17">
        <f>IFERROR(VLOOKUP($A37,[5]库存报告使用数据!$A$1:$H$65536,8,0),0)</f>
        <v>0</v>
      </c>
      <c r="S37" s="17">
        <f>IFERROR(VLOOKUP($A37,[5]库存报告使用数据!$A$1:$K$65536,11,0),0)</f>
        <v>0</v>
      </c>
      <c r="T37" s="17" t="str">
        <f>IFERROR(VLOOKUP($A37,[5]库存报告使用数据!$A$1:$C$65536,3,0),"")</f>
        <v/>
      </c>
      <c r="U37" s="17" t="str">
        <f>IFERROR(VLOOKUP($A37,[5]库存报告使用数据!$A$1:$F$65536,6,0),"")</f>
        <v/>
      </c>
      <c r="V37" s="17" t="str">
        <f>IFERROR(VLOOKUP($A37,[5]库存报告使用数据!$A$1:$I$65536,9,0),"")</f>
        <v/>
      </c>
      <c r="W37" s="17" t="str">
        <f>IFERROR(VLOOKUP($A37,[5]库存报告使用数据!$A$1:$L$65536,12,0),"")</f>
        <v/>
      </c>
      <c r="X37" s="27" t="str">
        <f t="shared" si="1"/>
        <v/>
      </c>
      <c r="Y37" s="27" t="str">
        <f t="shared" si="2"/>
        <v/>
      </c>
      <c r="Z37" s="27" t="str">
        <f t="shared" si="3"/>
        <v/>
      </c>
      <c r="AA37" s="27" t="str">
        <f t="shared" si="4"/>
        <v/>
      </c>
      <c r="AB37" s="17" t="str">
        <f>IFERROR(VLOOKUP($A37,[5]库存报告使用数据!$A$1:$D$65536,4,0),"")</f>
        <v/>
      </c>
      <c r="AC37" s="17" t="str">
        <f>IFERROR(VLOOKUP($A37,[5]库存报告使用数据!$A$1:$G$65536,7,0),"")</f>
        <v/>
      </c>
      <c r="AD37" s="17" t="str">
        <f>IFERROR(VLOOKUP($A37,[5]库存报告使用数据!$A$1:$J$65536,10,0),"")</f>
        <v/>
      </c>
      <c r="AE37" s="17" t="str">
        <f>IFERROR(VLOOKUP($A37,[5]库存报告使用数据!$A$1:$M$65536,13,0),"")</f>
        <v/>
      </c>
      <c r="AF37" s="27" t="str">
        <f t="shared" si="15"/>
        <v>有广告无销售广告费为</v>
      </c>
      <c r="AG37" s="27" t="str">
        <f t="shared" si="16"/>
        <v>有广告无销售广告费为</v>
      </c>
      <c r="AH37" s="27" t="str">
        <f t="shared" si="17"/>
        <v>有广告无销售广告费为</v>
      </c>
      <c r="AI37" s="27" t="str">
        <f t="shared" si="18"/>
        <v>有广告无销售广告费为</v>
      </c>
      <c r="AJ37" s="17">
        <f>IFERROR(VLOOKUP($B37,'[3]浏览量处理(勿删)'!$A:$B,2,0),"")</f>
        <v>13</v>
      </c>
      <c r="AK37" s="17">
        <f>IFERROR(VLOOKUP($B37,'[3]浏览量处理(勿删)'!$A:$C,3,0),"")</f>
        <v>0</v>
      </c>
      <c r="AL37" s="17">
        <f>IFERROR(VLOOKUP($B37,'[3]浏览量处理(勿删)'!$A:$D,4,0),"")</f>
        <v>0</v>
      </c>
      <c r="AM37" s="17">
        <f>IFERROR(VLOOKUP($B37,'[3]浏览量处理(勿删)'!$A:$E,5,0),"")</f>
        <v>117</v>
      </c>
      <c r="AN37" s="27">
        <f t="shared" si="6"/>
        <v>0</v>
      </c>
      <c r="AO37" s="27" t="str">
        <f t="shared" si="7"/>
        <v/>
      </c>
      <c r="AP37" s="27" t="str">
        <f t="shared" si="8"/>
        <v/>
      </c>
      <c r="AQ37" s="27">
        <f t="shared" si="9"/>
        <v>0</v>
      </c>
      <c r="AR37" s="32">
        <f t="shared" si="10"/>
        <v>0</v>
      </c>
      <c r="AS37" s="32">
        <f t="shared" si="11"/>
        <v>0</v>
      </c>
      <c r="AT37" s="32">
        <f t="shared" si="12"/>
        <v>0</v>
      </c>
      <c r="AU37" s="18" t="str">
        <f t="shared" si="13"/>
        <v>库存为0</v>
      </c>
      <c r="AV37" s="33" t="str">
        <f>IFERROR(时间!$B$4+AU37,"上周无销量")</f>
        <v>上周无销量</v>
      </c>
    </row>
    <row r="38" spans="1:48">
      <c r="A38" s="16" t="s">
        <v>82</v>
      </c>
      <c r="B38" s="17" t="str">
        <f>VLOOKUP(A38,[1]sku_fnsku_asin_产品名称!$A:$C,3,0)</f>
        <v>B000VEXG2E</v>
      </c>
      <c r="C38" s="17">
        <f>VLOOKUP(A38,[1]sku_fnsku_asin_产品名称!$A:$D,4,0)</f>
        <v>0</v>
      </c>
      <c r="D38" s="18">
        <f>IFERROR(VLOOKUP(A38,[4]库存报告使用数据处理!$A:$B,2,0),0)</f>
        <v>0</v>
      </c>
      <c r="E38" s="18">
        <f>IFERROR(VLOOKUP(A38,[4]库存报告使用数据处理!$A:$C,3,0),0)</f>
        <v>0</v>
      </c>
      <c r="F38" s="18">
        <f>IFERROR(VLOOKUP(A38,[4]库存报告使用数据处理!$A:$D,4,0),0)</f>
        <v>0</v>
      </c>
      <c r="G38" s="18">
        <f>IFERROR(VLOOKUP(A38,[4]库存报告使用数据处理!$A:$E,5,0),0)</f>
        <v>0</v>
      </c>
      <c r="H38" s="18">
        <f>IFERROR(VLOOKUP(A38,[4]库存报告使用数据处理!$A:$F,6,0),0)</f>
        <v>0</v>
      </c>
      <c r="I38" s="18">
        <f>IFERROR(VLOOKUP($A38,[2]数据处理!$A:$B,2,0),0)</f>
        <v>0</v>
      </c>
      <c r="J38" s="18">
        <f>IFERROR(VLOOKUP($A38,[2]数据处理!$A:$D,4,0),0)</f>
        <v>0</v>
      </c>
      <c r="K38" s="18">
        <f>IFERROR(VLOOKUP($A38,[2]数据处理!$A:$E,5,0),0)</f>
        <v>0</v>
      </c>
      <c r="L38" s="18">
        <f>IFERROR(VLOOKUP($A38,[2]数据处理!$A:$N,7,0),0)</f>
        <v>0</v>
      </c>
      <c r="M38" s="22">
        <f t="shared" si="0"/>
        <v>0</v>
      </c>
      <c r="N38" s="18">
        <f>IFERROR(VLOOKUP($A38,[2]数据处理!$A:$N,3,0),0)</f>
        <v>0</v>
      </c>
      <c r="O38" s="17">
        <f>IFERROR(VLOOKUP($A38,[2]数据处理!$A:$N,14,0),0)</f>
        <v>0</v>
      </c>
      <c r="P38" s="17">
        <f>IFERROR(VLOOKUP($A38,[5]库存报告使用数据!$A$1:$B$65536,2,0),0)</f>
        <v>0</v>
      </c>
      <c r="Q38" s="17">
        <f>IFERROR(VLOOKUP($A38,[5]库存报告使用数据!$A$1:$E$65536,5,0),0)</f>
        <v>0</v>
      </c>
      <c r="R38" s="17">
        <f>IFERROR(VLOOKUP($A38,[5]库存报告使用数据!$A$1:$H$65536,8,0),0)</f>
        <v>0</v>
      </c>
      <c r="S38" s="17">
        <f>IFERROR(VLOOKUP($A38,[5]库存报告使用数据!$A$1:$K$65536,11,0),0)</f>
        <v>0</v>
      </c>
      <c r="T38" s="17" t="str">
        <f>IFERROR(VLOOKUP($A38,[5]库存报告使用数据!$A$1:$C$65536,3,0),"")</f>
        <v/>
      </c>
      <c r="U38" s="17" t="str">
        <f>IFERROR(VLOOKUP($A38,[5]库存报告使用数据!$A$1:$F$65536,6,0),"")</f>
        <v/>
      </c>
      <c r="V38" s="17" t="str">
        <f>IFERROR(VLOOKUP($A38,[5]库存报告使用数据!$A$1:$I$65536,9,0),"")</f>
        <v/>
      </c>
      <c r="W38" s="17" t="str">
        <f>IFERROR(VLOOKUP($A38,[5]库存报告使用数据!$A$1:$L$65536,12,0),"")</f>
        <v/>
      </c>
      <c r="X38" s="27" t="str">
        <f t="shared" si="1"/>
        <v/>
      </c>
      <c r="Y38" s="27" t="str">
        <f t="shared" si="2"/>
        <v/>
      </c>
      <c r="Z38" s="27" t="str">
        <f t="shared" si="3"/>
        <v/>
      </c>
      <c r="AA38" s="27" t="str">
        <f t="shared" si="4"/>
        <v/>
      </c>
      <c r="AB38" s="17" t="str">
        <f>IFERROR(VLOOKUP($A38,[5]库存报告使用数据!$A$1:$D$65536,4,0),"")</f>
        <v/>
      </c>
      <c r="AC38" s="17" t="str">
        <f>IFERROR(VLOOKUP($A38,[5]库存报告使用数据!$A$1:$G$65536,7,0),"")</f>
        <v/>
      </c>
      <c r="AD38" s="17" t="str">
        <f>IFERROR(VLOOKUP($A38,[5]库存报告使用数据!$A$1:$J$65536,10,0),"")</f>
        <v/>
      </c>
      <c r="AE38" s="17" t="str">
        <f>IFERROR(VLOOKUP($A38,[5]库存报告使用数据!$A$1:$M$65536,13,0),"")</f>
        <v/>
      </c>
      <c r="AF38" s="27" t="str">
        <f t="shared" si="15"/>
        <v>有广告无销售广告费为</v>
      </c>
      <c r="AG38" s="27" t="str">
        <f t="shared" si="16"/>
        <v>有广告无销售广告费为</v>
      </c>
      <c r="AH38" s="27" t="str">
        <f t="shared" si="17"/>
        <v>有广告无销售广告费为</v>
      </c>
      <c r="AI38" s="27" t="str">
        <f t="shared" si="18"/>
        <v>有广告无销售广告费为</v>
      </c>
      <c r="AJ38" s="17" t="str">
        <f>IFERROR(VLOOKUP($B38,'[3]浏览量处理(勿删)'!$A:$B,2,0),"")</f>
        <v/>
      </c>
      <c r="AK38" s="17" t="str">
        <f>IFERROR(VLOOKUP($B38,'[3]浏览量处理(勿删)'!$A:$C,3,0),"")</f>
        <v/>
      </c>
      <c r="AL38" s="17" t="str">
        <f>IFERROR(VLOOKUP($B38,'[3]浏览量处理(勿删)'!$A:$D,4,0),"")</f>
        <v/>
      </c>
      <c r="AM38" s="17" t="str">
        <f>IFERROR(VLOOKUP($B38,'[3]浏览量处理(勿删)'!$A:$E,5,0),"")</f>
        <v/>
      </c>
      <c r="AN38" s="27" t="str">
        <f t="shared" si="6"/>
        <v/>
      </c>
      <c r="AO38" s="27" t="str">
        <f t="shared" si="7"/>
        <v/>
      </c>
      <c r="AP38" s="27" t="str">
        <f t="shared" si="8"/>
        <v/>
      </c>
      <c r="AQ38" s="27" t="str">
        <f t="shared" si="9"/>
        <v/>
      </c>
      <c r="AR38" s="32">
        <f t="shared" si="10"/>
        <v>0</v>
      </c>
      <c r="AS38" s="32">
        <f t="shared" si="11"/>
        <v>0</v>
      </c>
      <c r="AT38" s="32">
        <f t="shared" si="12"/>
        <v>0</v>
      </c>
      <c r="AU38" s="18" t="str">
        <f t="shared" si="13"/>
        <v>库存为0</v>
      </c>
      <c r="AV38" s="33" t="str">
        <f>IFERROR(时间!$B$4+AU38,"上周无销量")</f>
        <v>上周无销量</v>
      </c>
    </row>
    <row r="39" spans="1:48">
      <c r="A39" s="16" t="s">
        <v>83</v>
      </c>
      <c r="B39" s="17" t="str">
        <f>VLOOKUP(A39,[1]sku_fnsku_asin_产品名称!$A:$C,3,0)</f>
        <v>B000VER1RU</v>
      </c>
      <c r="C39" s="17" t="str">
        <f>VLOOKUP(A39,[1]sku_fnsku_asin_产品名称!$A:$D,4,0)</f>
        <v>Premier Dead Sea Biox Intensive Age Cream/Anti-age Complex, 2.0400-Fluid Ounce</v>
      </c>
      <c r="D39" s="18">
        <f>IFERROR(VLOOKUP(A39,[4]库存报告使用数据处理!$A:$B,2,0),0)</f>
        <v>4</v>
      </c>
      <c r="E39" s="18">
        <f>IFERROR(VLOOKUP(A39,[4]库存报告使用数据处理!$A:$C,3,0),0)</f>
        <v>0</v>
      </c>
      <c r="F39" s="18">
        <f>IFERROR(VLOOKUP(A39,[4]库存报告使用数据处理!$A:$D,4,0),0)</f>
        <v>0</v>
      </c>
      <c r="G39" s="18">
        <f>IFERROR(VLOOKUP(A39,[4]库存报告使用数据处理!$A:$E,5,0),0)</f>
        <v>0</v>
      </c>
      <c r="H39" s="18">
        <f>IFERROR(VLOOKUP(A39,[4]库存报告使用数据处理!$A:$F,6,0),0)</f>
        <v>63.99</v>
      </c>
      <c r="I39" s="18">
        <f>IFERROR(VLOOKUP($A39,[2]数据处理!$A:$B,2,0),0)</f>
        <v>67</v>
      </c>
      <c r="J39" s="18">
        <f>IFERROR(VLOOKUP($A39,[2]数据处理!$A:$D,4,0),0)</f>
        <v>0</v>
      </c>
      <c r="K39" s="18">
        <f>IFERROR(VLOOKUP($A39,[2]数据处理!$A:$E,5,0),0)</f>
        <v>0</v>
      </c>
      <c r="L39" s="18">
        <f>IFERROR(VLOOKUP($A39,[2]数据处理!$A:$N,7,0),0)</f>
        <v>0</v>
      </c>
      <c r="M39" s="22">
        <f t="shared" si="0"/>
        <v>67</v>
      </c>
      <c r="N39" s="18">
        <f>IFERROR(VLOOKUP($A39,[2]数据处理!$A:$N,3,0),0)</f>
        <v>2</v>
      </c>
      <c r="O39" s="17">
        <f>IFERROR(VLOOKUP($A39,[2]数据处理!$A:$N,14,0),0)</f>
        <v>70</v>
      </c>
      <c r="P39" s="17">
        <f>IFERROR(VLOOKUP($A39,[5]库存报告使用数据!$A$1:$B$65536,2,0),0)</f>
        <v>983</v>
      </c>
      <c r="Q39" s="17">
        <f>IFERROR(VLOOKUP($A39,[5]库存报告使用数据!$A$1:$E$65536,5,0),0)</f>
        <v>0</v>
      </c>
      <c r="R39" s="17">
        <f>IFERROR(VLOOKUP($A39,[5]库存报告使用数据!$A$1:$H$65536,8,0),0)</f>
        <v>0</v>
      </c>
      <c r="S39" s="17">
        <f>IFERROR(VLOOKUP($A39,[5]库存报告使用数据!$A$1:$K$65536,11,0),0)</f>
        <v>0</v>
      </c>
      <c r="T39" s="17">
        <f>IFERROR(VLOOKUP($A39,[5]库存报告使用数据!$A$1:$C$65536,3,0),"")</f>
        <v>1</v>
      </c>
      <c r="U39" s="17">
        <f>IFERROR(VLOOKUP($A39,[5]库存报告使用数据!$A$1:$F$65536,6,0),"")</f>
        <v>0</v>
      </c>
      <c r="V39" s="17">
        <f>IFERROR(VLOOKUP($A39,[5]库存报告使用数据!$A$1:$I$65536,9,0),"")</f>
        <v>0</v>
      </c>
      <c r="W39" s="17">
        <f>IFERROR(VLOOKUP($A39,[5]库存报告使用数据!$A$1:$L$65536,12,0),"")</f>
        <v>0</v>
      </c>
      <c r="X39" s="27">
        <f t="shared" si="1"/>
        <v>0.00101729399796541</v>
      </c>
      <c r="Y39" s="27" t="str">
        <f t="shared" si="2"/>
        <v/>
      </c>
      <c r="Z39" s="27" t="str">
        <f t="shared" si="3"/>
        <v/>
      </c>
      <c r="AA39" s="27" t="str">
        <f t="shared" si="4"/>
        <v/>
      </c>
      <c r="AB39" s="17">
        <f>IFERROR(VLOOKUP($A39,[5]库存报告使用数据!$A$1:$D$65536,4,0),"")</f>
        <v>1.36</v>
      </c>
      <c r="AC39" s="17">
        <f>IFERROR(VLOOKUP($A39,[5]库存报告使用数据!$A$1:$G$65536,7,0),"")</f>
        <v>0</v>
      </c>
      <c r="AD39" s="17">
        <f>IFERROR(VLOOKUP($A39,[5]库存报告使用数据!$A$1:$J$65536,10,0),"")</f>
        <v>0</v>
      </c>
      <c r="AE39" s="17">
        <f>IFERROR(VLOOKUP($A39,[5]库存报告使用数据!$A$1:$M$65536,13,0),"")</f>
        <v>0</v>
      </c>
      <c r="AF39" s="27">
        <f t="shared" si="15"/>
        <v>0.00531333020784498</v>
      </c>
      <c r="AG39" s="27" t="str">
        <f t="shared" si="16"/>
        <v/>
      </c>
      <c r="AH39" s="27" t="str">
        <f t="shared" si="17"/>
        <v/>
      </c>
      <c r="AI39" s="27" t="str">
        <f t="shared" si="18"/>
        <v/>
      </c>
      <c r="AJ39" s="17">
        <f>IFERROR(VLOOKUP($B39,'[3]浏览量处理(勿删)'!$A:$B,2,0),"")</f>
        <v>59</v>
      </c>
      <c r="AK39" s="17">
        <f>IFERROR(VLOOKUP($B39,'[3]浏览量处理(勿删)'!$A:$C,3,0),"")</f>
        <v>0</v>
      </c>
      <c r="AL39" s="17">
        <f>IFERROR(VLOOKUP($B39,'[3]浏览量处理(勿删)'!$A:$D,4,0),"")</f>
        <v>0</v>
      </c>
      <c r="AM39" s="17">
        <f>IFERROR(VLOOKUP($B39,'[3]浏览量处理(勿删)'!$A:$E,5,0),"")</f>
        <v>35</v>
      </c>
      <c r="AN39" s="27">
        <f t="shared" si="6"/>
        <v>0.0677966101694915</v>
      </c>
      <c r="AO39" s="27" t="str">
        <f t="shared" si="7"/>
        <v/>
      </c>
      <c r="AP39" s="27" t="str">
        <f t="shared" si="8"/>
        <v/>
      </c>
      <c r="AQ39" s="27">
        <f t="shared" si="9"/>
        <v>0</v>
      </c>
      <c r="AR39" s="32">
        <f t="shared" si="10"/>
        <v>0.571428571428571</v>
      </c>
      <c r="AS39" s="32">
        <f t="shared" si="11"/>
        <v>34.2857142857143</v>
      </c>
      <c r="AT39" s="32">
        <f t="shared" si="12"/>
        <v>32.7142857142857</v>
      </c>
      <c r="AU39" s="18">
        <f t="shared" si="13"/>
        <v>117</v>
      </c>
      <c r="AV39" s="33">
        <f>IFERROR(时间!$B$4+AU39,"上周无销量")</f>
        <v>43407</v>
      </c>
    </row>
    <row r="40" spans="1:48">
      <c r="A40" s="16" t="s">
        <v>84</v>
      </c>
      <c r="B40" s="17" t="str">
        <f>VLOOKUP(A40,[1]sku_fnsku_asin_产品名称!$A:$C,3,0)</f>
        <v>B001561M00</v>
      </c>
      <c r="C40" s="17" t="str">
        <f>VLOOKUP(A40,[1]sku_fnsku_asin_产品名称!$A:$D,4,0)</f>
        <v>Premier Dead Sea Intensive Biox Thermal Beauty Mask**NEW IN BOX**SAME IN MALL**</v>
      </c>
      <c r="D40" s="18">
        <f>IFERROR(VLOOKUP(A40,[4]库存报告使用数据处理!$A:$B,2,0),0)</f>
        <v>1</v>
      </c>
      <c r="E40" s="18">
        <f>IFERROR(VLOOKUP(A40,[4]库存报告使用数据处理!$A:$C,3,0),0)</f>
        <v>0</v>
      </c>
      <c r="F40" s="18">
        <f>IFERROR(VLOOKUP(A40,[4]库存报告使用数据处理!$A:$D,4,0),0)</f>
        <v>1</v>
      </c>
      <c r="G40" s="18">
        <f>IFERROR(VLOOKUP(A40,[4]库存报告使用数据处理!$A:$E,5,0),0)</f>
        <v>0</v>
      </c>
      <c r="H40" s="18">
        <f>IFERROR(VLOOKUP(A40,[4]库存报告使用数据处理!$A:$F,6,0),0)</f>
        <v>53.49</v>
      </c>
      <c r="I40" s="18">
        <f>IFERROR(VLOOKUP($A40,[2]数据处理!$A:$B,2,0),0)</f>
        <v>27</v>
      </c>
      <c r="J40" s="18">
        <f>IFERROR(VLOOKUP($A40,[2]数据处理!$A:$D,4,0),0)</f>
        <v>0</v>
      </c>
      <c r="K40" s="18">
        <f>IFERROR(VLOOKUP($A40,[2]数据处理!$A:$E,5,0),0)</f>
        <v>0</v>
      </c>
      <c r="L40" s="18">
        <f>IFERROR(VLOOKUP($A40,[2]数据处理!$A:$N,7,0),0)</f>
        <v>0</v>
      </c>
      <c r="M40" s="22">
        <f t="shared" si="0"/>
        <v>27</v>
      </c>
      <c r="N40" s="18">
        <f>IFERROR(VLOOKUP($A40,[2]数据处理!$A:$N,3,0),0)</f>
        <v>0</v>
      </c>
      <c r="O40" s="17">
        <f>IFERROR(VLOOKUP($A40,[2]数据处理!$A:$N,14,0),0)</f>
        <v>25</v>
      </c>
      <c r="P40" s="17">
        <f>IFERROR(VLOOKUP($A40,[5]库存报告使用数据!$A$1:$B$65536,2,0),0)</f>
        <v>535</v>
      </c>
      <c r="Q40" s="17">
        <f>IFERROR(VLOOKUP($A40,[5]库存报告使用数据!$A$1:$E$65536,5,0),0)</f>
        <v>1791</v>
      </c>
      <c r="R40" s="17">
        <f>IFERROR(VLOOKUP($A40,[5]库存报告使用数据!$A$1:$H$65536,8,0),0)</f>
        <v>832</v>
      </c>
      <c r="S40" s="17">
        <f>IFERROR(VLOOKUP($A40,[5]库存报告使用数据!$A$1:$K$65536,11,0),0)</f>
        <v>1699</v>
      </c>
      <c r="T40" s="17">
        <f>IFERROR(VLOOKUP($A40,[5]库存报告使用数据!$A$1:$C$65536,3,0),"")</f>
        <v>0</v>
      </c>
      <c r="U40" s="17">
        <f>IFERROR(VLOOKUP($A40,[5]库存报告使用数据!$A$1:$F$65536,6,0),"")</f>
        <v>5</v>
      </c>
      <c r="V40" s="17">
        <f>IFERROR(VLOOKUP($A40,[5]库存报告使用数据!$A$1:$I$65536,9,0),"")</f>
        <v>1</v>
      </c>
      <c r="W40" s="17">
        <f>IFERROR(VLOOKUP($A40,[5]库存报告使用数据!$A$1:$L$65536,12,0),"")</f>
        <v>3</v>
      </c>
      <c r="X40" s="27">
        <f t="shared" si="1"/>
        <v>0</v>
      </c>
      <c r="Y40" s="27">
        <f t="shared" si="2"/>
        <v>0.00279173646007817</v>
      </c>
      <c r="Z40" s="27">
        <f t="shared" si="3"/>
        <v>0.00120192307692308</v>
      </c>
      <c r="AA40" s="27">
        <f t="shared" si="4"/>
        <v>0.00176574455562095</v>
      </c>
      <c r="AB40" s="17">
        <f>IFERROR(VLOOKUP($A40,[5]库存报告使用数据!$A$1:$D$65536,4,0),"")</f>
        <v>0</v>
      </c>
      <c r="AC40" s="17">
        <f>IFERROR(VLOOKUP($A40,[5]库存报告使用数据!$A$1:$G$65536,7,0),"")</f>
        <v>4.15</v>
      </c>
      <c r="AD40" s="17">
        <f>IFERROR(VLOOKUP($A40,[5]库存报告使用数据!$A$1:$J$65536,10,0),"")</f>
        <v>0.36</v>
      </c>
      <c r="AE40" s="17">
        <f>IFERROR(VLOOKUP($A40,[5]库存报告使用数据!$A$1:$M$65536,13,0),"")</f>
        <v>1.43</v>
      </c>
      <c r="AF40" s="27">
        <f t="shared" si="15"/>
        <v>0</v>
      </c>
      <c r="AG40" s="27" t="str">
        <f t="shared" si="16"/>
        <v>有广告无销售广告费为4.15</v>
      </c>
      <c r="AH40" s="27">
        <f t="shared" si="17"/>
        <v>0.00673022994952328</v>
      </c>
      <c r="AI40" s="27" t="str">
        <f t="shared" si="18"/>
        <v>有广告无销售广告费为1.43</v>
      </c>
      <c r="AJ40" s="17">
        <f>IFERROR(VLOOKUP($B40,'[3]浏览量处理(勿删)'!$A:$B,2,0),"")</f>
        <v>39</v>
      </c>
      <c r="AK40" s="17">
        <f>IFERROR(VLOOKUP($B40,'[3]浏览量处理(勿删)'!$A:$C,3,0),"")</f>
        <v>33</v>
      </c>
      <c r="AL40" s="17">
        <f>IFERROR(VLOOKUP($B40,'[3]浏览量处理(勿删)'!$A:$D,4,0),"")</f>
        <v>25</v>
      </c>
      <c r="AM40" s="17">
        <f>IFERROR(VLOOKUP($B40,'[3]浏览量处理(勿删)'!$A:$E,5,0),"")</f>
        <v>108</v>
      </c>
      <c r="AN40" s="27">
        <f t="shared" si="6"/>
        <v>0.0256410256410256</v>
      </c>
      <c r="AO40" s="27">
        <f t="shared" si="7"/>
        <v>0</v>
      </c>
      <c r="AP40" s="27">
        <f t="shared" si="8"/>
        <v>0.04</v>
      </c>
      <c r="AQ40" s="27">
        <f t="shared" si="9"/>
        <v>0</v>
      </c>
      <c r="AR40" s="32">
        <f t="shared" si="10"/>
        <v>0.142857142857143</v>
      </c>
      <c r="AS40" s="32">
        <f t="shared" si="11"/>
        <v>8.57142857142857</v>
      </c>
      <c r="AT40" s="32">
        <f t="shared" si="12"/>
        <v>18.4285714285714</v>
      </c>
      <c r="AU40" s="18">
        <f t="shared" si="13"/>
        <v>189</v>
      </c>
      <c r="AV40" s="33">
        <f>IFERROR(时间!$B$4+AU40,"上周无销量")</f>
        <v>43479</v>
      </c>
    </row>
    <row r="41" spans="1:48">
      <c r="A41" s="16" t="s">
        <v>85</v>
      </c>
      <c r="B41" s="17" t="str">
        <f>VLOOKUP(A41,[1]sku_fnsku_asin_产品名称!$A:$C,3,0)</f>
        <v>B0010BBCFK</v>
      </c>
      <c r="C41" s="17" t="str">
        <f>VLOOKUP(A41,[1]sku_fnsku_asin_产品名称!$A:$D,4,0)</f>
        <v>Premier Dead Sea Miracle Noir Mask, 2.04 Fluid Ounce</v>
      </c>
      <c r="D41" s="18">
        <f>IFERROR(VLOOKUP(A41,[4]库存报告使用数据处理!$A:$B,2,0),0)</f>
        <v>13</v>
      </c>
      <c r="E41" s="18">
        <f>IFERROR(VLOOKUP(A41,[4]库存报告使用数据处理!$A:$C,3,0),0)</f>
        <v>7</v>
      </c>
      <c r="F41" s="18">
        <f>IFERROR(VLOOKUP(A41,[4]库存报告使用数据处理!$A:$D,4,0),0)</f>
        <v>9</v>
      </c>
      <c r="G41" s="18">
        <f>IFERROR(VLOOKUP(A41,[4]库存报告使用数据处理!$A:$E,5,0),0)</f>
        <v>6</v>
      </c>
      <c r="H41" s="18">
        <f>IFERROR(VLOOKUP(A41,[4]库存报告使用数据处理!$A:$F,6,0),0)</f>
        <v>40.6685714285714</v>
      </c>
      <c r="I41" s="18">
        <f>IFERROR(VLOOKUP($A41,[2]数据处理!$A:$B,2,0),0)</f>
        <v>36</v>
      </c>
      <c r="J41" s="18">
        <f>IFERROR(VLOOKUP($A41,[2]数据处理!$A:$D,4,0),0)</f>
        <v>0</v>
      </c>
      <c r="K41" s="18">
        <f>IFERROR(VLOOKUP($A41,[2]数据处理!$A:$E,5,0),0)</f>
        <v>1</v>
      </c>
      <c r="L41" s="18">
        <f>IFERROR(VLOOKUP($A41,[2]数据处理!$A:$N,7,0),0)</f>
        <v>28</v>
      </c>
      <c r="M41" s="22">
        <f t="shared" si="0"/>
        <v>65</v>
      </c>
      <c r="N41" s="18">
        <f>IFERROR(VLOOKUP($A41,[2]数据处理!$A:$N,3,0),0)</f>
        <v>0</v>
      </c>
      <c r="O41" s="17">
        <f>IFERROR(VLOOKUP($A41,[2]数据处理!$A:$N,14,0),0)</f>
        <v>0</v>
      </c>
      <c r="P41" s="17">
        <f>IFERROR(VLOOKUP($A41,[5]库存报告使用数据!$A$1:$B$65536,2,0),0)</f>
        <v>17035</v>
      </c>
      <c r="Q41" s="17">
        <f>IFERROR(VLOOKUP($A41,[5]库存报告使用数据!$A$1:$E$65536,5,0),0)</f>
        <v>13472</v>
      </c>
      <c r="R41" s="17">
        <f>IFERROR(VLOOKUP($A41,[5]库存报告使用数据!$A$1:$H$65536,8,0),0)</f>
        <v>10438</v>
      </c>
      <c r="S41" s="17">
        <f>IFERROR(VLOOKUP($A41,[5]库存报告使用数据!$A$1:$K$65536,11,0),0)</f>
        <v>29000</v>
      </c>
      <c r="T41" s="17">
        <f>IFERROR(VLOOKUP($A41,[5]库存报告使用数据!$A$1:$C$65536,3,0),"")</f>
        <v>35</v>
      </c>
      <c r="U41" s="17">
        <f>IFERROR(VLOOKUP($A41,[5]库存报告使用数据!$A$1:$F$65536,6,0),"")</f>
        <v>31</v>
      </c>
      <c r="V41" s="17">
        <f>IFERROR(VLOOKUP($A41,[5]库存报告使用数据!$A$1:$I$65536,9,0),"")</f>
        <v>21</v>
      </c>
      <c r="W41" s="17">
        <f>IFERROR(VLOOKUP($A41,[5]库存报告使用数据!$A$1:$L$65536,12,0),"")</f>
        <v>49</v>
      </c>
      <c r="X41" s="27">
        <f t="shared" si="1"/>
        <v>0.00205459348400352</v>
      </c>
      <c r="Y41" s="27">
        <f t="shared" si="2"/>
        <v>0.00230106888361045</v>
      </c>
      <c r="Z41" s="27">
        <f t="shared" si="3"/>
        <v>0.00201187967043495</v>
      </c>
      <c r="AA41" s="27">
        <f t="shared" si="4"/>
        <v>0.00168965517241379</v>
      </c>
      <c r="AB41" s="17">
        <f>IFERROR(VLOOKUP($A41,[5]库存报告使用数据!$A$1:$D$65536,4,0),"")</f>
        <v>28.94</v>
      </c>
      <c r="AC41" s="17">
        <f>IFERROR(VLOOKUP($A41,[5]库存报告使用数据!$A$1:$G$65536,7,0),"")</f>
        <v>26.43</v>
      </c>
      <c r="AD41" s="17">
        <f>IFERROR(VLOOKUP($A41,[5]库存报告使用数据!$A$1:$J$65536,10,0),"")</f>
        <v>12.83</v>
      </c>
      <c r="AE41" s="17">
        <f>IFERROR(VLOOKUP($A41,[5]库存报告使用数据!$A$1:$M$65536,13,0),"")</f>
        <v>37.39</v>
      </c>
      <c r="AF41" s="27">
        <f t="shared" si="15"/>
        <v>0.0547389241361421</v>
      </c>
      <c r="AG41" s="27">
        <f t="shared" si="16"/>
        <v>0.0928410847267108</v>
      </c>
      <c r="AH41" s="27">
        <f t="shared" si="17"/>
        <v>0.0350530029819056</v>
      </c>
      <c r="AI41" s="27">
        <f t="shared" si="18"/>
        <v>0.153230527844129</v>
      </c>
      <c r="AJ41" s="17">
        <f>IFERROR(VLOOKUP($B41,'[3]浏览量处理(勿删)'!$A:$B,2,0),"")</f>
        <v>138</v>
      </c>
      <c r="AK41" s="17">
        <f>IFERROR(VLOOKUP($B41,'[3]浏览量处理(勿删)'!$A:$C,3,0),"")</f>
        <v>123</v>
      </c>
      <c r="AL41" s="17">
        <f>IFERROR(VLOOKUP($B41,'[3]浏览量处理(勿删)'!$A:$D,4,0),"")</f>
        <v>116</v>
      </c>
      <c r="AM41" s="17">
        <f>IFERROR(VLOOKUP($B41,'[3]浏览量处理(勿删)'!$A:$E,5,0),"")</f>
        <v>569</v>
      </c>
      <c r="AN41" s="27">
        <f t="shared" si="6"/>
        <v>0.0942028985507246</v>
      </c>
      <c r="AO41" s="27">
        <f t="shared" si="7"/>
        <v>0.0569105691056911</v>
      </c>
      <c r="AP41" s="27">
        <f t="shared" si="8"/>
        <v>0.0775862068965517</v>
      </c>
      <c r="AQ41" s="27">
        <f t="shared" si="9"/>
        <v>0.0105448154657293</v>
      </c>
      <c r="AR41" s="32">
        <f t="shared" si="10"/>
        <v>1.85714285714286</v>
      </c>
      <c r="AS41" s="32">
        <f t="shared" si="11"/>
        <v>111.428571428571</v>
      </c>
      <c r="AT41" s="32">
        <f t="shared" si="12"/>
        <v>-46.4285714285714</v>
      </c>
      <c r="AU41" s="18">
        <f t="shared" si="13"/>
        <v>35</v>
      </c>
      <c r="AV41" s="33">
        <f>IFERROR(时间!$B$4+AU41,"上周无销量")</f>
        <v>43325</v>
      </c>
    </row>
    <row r="42" spans="1:48">
      <c r="A42" s="16" t="s">
        <v>86</v>
      </c>
      <c r="B42" s="17" t="str">
        <f>VLOOKUP(A42,[1]sku_fnsku_asin_产品名称!$A:$C,3,0)</f>
        <v>B0012IVH2O</v>
      </c>
      <c r="C42" s="17" t="str">
        <f>VLOOKUP(A42,[1]sku_fnsku_asin_产品名称!$A:$D,4,0)</f>
        <v>premier dead sea body butter milk &amp; honey scent Plastic Jar</v>
      </c>
      <c r="D42" s="18">
        <f>IFERROR(VLOOKUP(A42,[4]库存报告使用数据处理!$A:$B,2,0),0)</f>
        <v>0</v>
      </c>
      <c r="E42" s="18">
        <f>IFERROR(VLOOKUP(A42,[4]库存报告使用数据处理!$A:$C,3,0),0)</f>
        <v>0</v>
      </c>
      <c r="F42" s="18">
        <f>IFERROR(VLOOKUP(A42,[4]库存报告使用数据处理!$A:$D,4,0),0)</f>
        <v>0</v>
      </c>
      <c r="G42" s="18">
        <f>IFERROR(VLOOKUP(A42,[4]库存报告使用数据处理!$A:$E,5,0),0)</f>
        <v>5</v>
      </c>
      <c r="H42" s="18">
        <f>IFERROR(VLOOKUP(A42,[4]库存报告使用数据处理!$A:$F,6,0),0)</f>
        <v>17.18</v>
      </c>
      <c r="I42" s="18">
        <f>IFERROR(VLOOKUP($A42,[2]数据处理!$A:$B,2,0),0)</f>
        <v>0</v>
      </c>
      <c r="J42" s="18">
        <f>IFERROR(VLOOKUP($A42,[2]数据处理!$A:$D,4,0),0)</f>
        <v>0</v>
      </c>
      <c r="K42" s="18">
        <f>IFERROR(VLOOKUP($A42,[2]数据处理!$A:$E,5,0),0)</f>
        <v>0</v>
      </c>
      <c r="L42" s="18">
        <f>IFERROR(VLOOKUP($A42,[2]数据处理!$A:$N,7,0),0)</f>
        <v>0</v>
      </c>
      <c r="M42" s="22">
        <f t="shared" si="0"/>
        <v>0</v>
      </c>
      <c r="N42" s="18">
        <f>IFERROR(VLOOKUP($A42,[2]数据处理!$A:$N,3,0),0)</f>
        <v>0</v>
      </c>
      <c r="O42" s="17">
        <f>IFERROR(VLOOKUP($A42,[2]数据处理!$A:$N,14,0),0)</f>
        <v>0</v>
      </c>
      <c r="P42" s="17">
        <f>IFERROR(VLOOKUP($A42,[5]库存报告使用数据!$A$1:$B$65536,2,0),0)</f>
        <v>0</v>
      </c>
      <c r="Q42" s="17">
        <f>IFERROR(VLOOKUP($A42,[5]库存报告使用数据!$A$1:$E$65536,5,0),0)</f>
        <v>0</v>
      </c>
      <c r="R42" s="17">
        <f>IFERROR(VLOOKUP($A42,[5]库存报告使用数据!$A$1:$H$65536,8,0),0)</f>
        <v>0</v>
      </c>
      <c r="S42" s="17">
        <f>IFERROR(VLOOKUP($A42,[5]库存报告使用数据!$A$1:$K$65536,11,0),0)</f>
        <v>1613</v>
      </c>
      <c r="T42" s="17">
        <f>IFERROR(VLOOKUP($A42,[5]库存报告使用数据!$A$1:$C$65536,3,0),"")</f>
        <v>0</v>
      </c>
      <c r="U42" s="17">
        <f>IFERROR(VLOOKUP($A42,[5]库存报告使用数据!$A$1:$F$65536,6,0),"")</f>
        <v>0</v>
      </c>
      <c r="V42" s="17">
        <f>IFERROR(VLOOKUP($A42,[5]库存报告使用数据!$A$1:$I$65536,9,0),"")</f>
        <v>0</v>
      </c>
      <c r="W42" s="17">
        <f>IFERROR(VLOOKUP($A42,[5]库存报告使用数据!$A$1:$L$65536,12,0),"")</f>
        <v>6</v>
      </c>
      <c r="X42" s="27" t="str">
        <f t="shared" si="1"/>
        <v/>
      </c>
      <c r="Y42" s="27" t="str">
        <f t="shared" si="2"/>
        <v/>
      </c>
      <c r="Z42" s="27" t="str">
        <f t="shared" si="3"/>
        <v/>
      </c>
      <c r="AA42" s="27">
        <f t="shared" si="4"/>
        <v>0.0037197768133912</v>
      </c>
      <c r="AB42" s="17">
        <f>IFERROR(VLOOKUP($A42,[5]库存报告使用数据!$A$1:$D$65536,4,0),"")</f>
        <v>0</v>
      </c>
      <c r="AC42" s="17">
        <f>IFERROR(VLOOKUP($A42,[5]库存报告使用数据!$A$1:$G$65536,7,0),"")</f>
        <v>0</v>
      </c>
      <c r="AD42" s="17">
        <f>IFERROR(VLOOKUP($A42,[5]库存报告使用数据!$A$1:$J$65536,10,0),"")</f>
        <v>0</v>
      </c>
      <c r="AE42" s="17">
        <f>IFERROR(VLOOKUP($A42,[5]库存报告使用数据!$A$1:$M$65536,13,0),"")</f>
        <v>2.56</v>
      </c>
      <c r="AF42" s="27" t="str">
        <f t="shared" si="15"/>
        <v/>
      </c>
      <c r="AG42" s="27" t="str">
        <f t="shared" si="16"/>
        <v/>
      </c>
      <c r="AH42" s="27" t="str">
        <f t="shared" si="17"/>
        <v/>
      </c>
      <c r="AI42" s="27">
        <f t="shared" si="18"/>
        <v>0.029802095459837</v>
      </c>
      <c r="AJ42" s="17">
        <f>IFERROR(VLOOKUP($B42,'[3]浏览量处理(勿删)'!$A:$B,2,0),"")</f>
        <v>0</v>
      </c>
      <c r="AK42" s="17">
        <f>IFERROR(VLOOKUP($B42,'[3]浏览量处理(勿删)'!$A:$C,3,0),"")</f>
        <v>0</v>
      </c>
      <c r="AL42" s="17">
        <f>IFERROR(VLOOKUP($B42,'[3]浏览量处理(勿删)'!$A:$D,4,0),"")</f>
        <v>0</v>
      </c>
      <c r="AM42" s="17">
        <f>IFERROR(VLOOKUP($B42,'[3]浏览量处理(勿删)'!$A:$E,5,0),"")</f>
        <v>21</v>
      </c>
      <c r="AN42" s="27" t="str">
        <f t="shared" si="6"/>
        <v/>
      </c>
      <c r="AO42" s="27" t="str">
        <f t="shared" si="7"/>
        <v/>
      </c>
      <c r="AP42" s="27" t="str">
        <f t="shared" si="8"/>
        <v/>
      </c>
      <c r="AQ42" s="27">
        <f t="shared" si="9"/>
        <v>0.238095238095238</v>
      </c>
      <c r="AR42" s="32">
        <f t="shared" si="10"/>
        <v>0</v>
      </c>
      <c r="AS42" s="32">
        <f t="shared" si="11"/>
        <v>0</v>
      </c>
      <c r="AT42" s="32">
        <f t="shared" si="12"/>
        <v>0</v>
      </c>
      <c r="AU42" s="18" t="str">
        <f t="shared" si="13"/>
        <v>库存为0</v>
      </c>
      <c r="AV42" s="33" t="str">
        <f>IFERROR(时间!$B$4+AU42,"上周无销量")</f>
        <v>上周无销量</v>
      </c>
    </row>
    <row r="43" spans="1:48">
      <c r="A43" s="16" t="s">
        <v>87</v>
      </c>
      <c r="B43" s="17" t="str">
        <f>VLOOKUP(A43,[1]sku_fnsku_asin_产品名称!$A:$C,3,0)</f>
        <v>B00117D9MW</v>
      </c>
      <c r="C43" s="17" t="str">
        <f>VLOOKUP(A43,[1]sku_fnsku_asin_产品名称!$A:$D,4,0)</f>
        <v>Premier Dead Sea Night Cream Complex, 2.04 Fluid Ounce</v>
      </c>
      <c r="D43" s="18">
        <f>IFERROR(VLOOKUP(A43,[4]库存报告使用数据处理!$A:$B,2,0),0)</f>
        <v>0</v>
      </c>
      <c r="E43" s="18">
        <f>IFERROR(VLOOKUP(A43,[4]库存报告使用数据处理!$A:$C,3,0),0)</f>
        <v>0</v>
      </c>
      <c r="F43" s="18">
        <f>IFERROR(VLOOKUP(A43,[4]库存报告使用数据处理!$A:$D,4,0),0)</f>
        <v>0</v>
      </c>
      <c r="G43" s="18">
        <f>IFERROR(VLOOKUP(A43,[4]库存报告使用数据处理!$A:$E,5,0),0)</f>
        <v>0</v>
      </c>
      <c r="H43" s="18">
        <f>IFERROR(VLOOKUP(A43,[4]库存报告使用数据处理!$A:$F,6,0),0)</f>
        <v>0</v>
      </c>
      <c r="I43" s="18">
        <f>IFERROR(VLOOKUP($A43,[2]数据处理!$A:$B,2,0),0)</f>
        <v>0</v>
      </c>
      <c r="J43" s="18">
        <f>IFERROR(VLOOKUP($A43,[2]数据处理!$A:$D,4,0),0)</f>
        <v>0</v>
      </c>
      <c r="K43" s="18">
        <f>IFERROR(VLOOKUP($A43,[2]数据处理!$A:$E,5,0),0)</f>
        <v>48</v>
      </c>
      <c r="L43" s="18">
        <f>IFERROR(VLOOKUP($A43,[2]数据处理!$A:$N,7,0),0)</f>
        <v>0</v>
      </c>
      <c r="M43" s="22">
        <f t="shared" si="0"/>
        <v>48</v>
      </c>
      <c r="N43" s="18">
        <f>IFERROR(VLOOKUP($A43,[2]数据处理!$A:$N,3,0),0)</f>
        <v>0</v>
      </c>
      <c r="O43" s="17">
        <f>IFERROR(VLOOKUP($A43,[2]数据处理!$A:$N,14,0),0)</f>
        <v>0</v>
      </c>
      <c r="P43" s="17">
        <f>IFERROR(VLOOKUP($A43,[5]库存报告使用数据!$A$1:$B$65536,2,0),0)</f>
        <v>0</v>
      </c>
      <c r="Q43" s="17">
        <f>IFERROR(VLOOKUP($A43,[5]库存报告使用数据!$A$1:$E$65536,5,0),0)</f>
        <v>0</v>
      </c>
      <c r="R43" s="17">
        <f>IFERROR(VLOOKUP($A43,[5]库存报告使用数据!$A$1:$H$65536,8,0),0)</f>
        <v>0</v>
      </c>
      <c r="S43" s="17">
        <f>IFERROR(VLOOKUP($A43,[5]库存报告使用数据!$A$1:$K$65536,11,0),0)</f>
        <v>0</v>
      </c>
      <c r="T43" s="17" t="str">
        <f>IFERROR(VLOOKUP($A43,[5]库存报告使用数据!$A$1:$C$65536,3,0),"")</f>
        <v/>
      </c>
      <c r="U43" s="17" t="str">
        <f>IFERROR(VLOOKUP($A43,[5]库存报告使用数据!$A$1:$F$65536,6,0),"")</f>
        <v/>
      </c>
      <c r="V43" s="17" t="str">
        <f>IFERROR(VLOOKUP($A43,[5]库存报告使用数据!$A$1:$I$65536,9,0),"")</f>
        <v/>
      </c>
      <c r="W43" s="17" t="str">
        <f>IFERROR(VLOOKUP($A43,[5]库存报告使用数据!$A$1:$L$65536,12,0),"")</f>
        <v/>
      </c>
      <c r="X43" s="27" t="str">
        <f t="shared" si="1"/>
        <v/>
      </c>
      <c r="Y43" s="27" t="str">
        <f t="shared" si="2"/>
        <v/>
      </c>
      <c r="Z43" s="27" t="str">
        <f t="shared" si="3"/>
        <v/>
      </c>
      <c r="AA43" s="27" t="str">
        <f t="shared" si="4"/>
        <v/>
      </c>
      <c r="AB43" s="17" t="str">
        <f>IFERROR(VLOOKUP($A43,[5]库存报告使用数据!$A$1:$D$65536,4,0),"")</f>
        <v/>
      </c>
      <c r="AC43" s="17" t="str">
        <f>IFERROR(VLOOKUP($A43,[5]库存报告使用数据!$A$1:$G$65536,7,0),"")</f>
        <v/>
      </c>
      <c r="AD43" s="17" t="str">
        <f>IFERROR(VLOOKUP($A43,[5]库存报告使用数据!$A$1:$J$65536,10,0),"")</f>
        <v/>
      </c>
      <c r="AE43" s="17" t="str">
        <f>IFERROR(VLOOKUP($A43,[5]库存报告使用数据!$A$1:$M$65536,13,0),"")</f>
        <v/>
      </c>
      <c r="AF43" s="27" t="str">
        <f t="shared" si="15"/>
        <v>有广告无销售广告费为</v>
      </c>
      <c r="AG43" s="27" t="str">
        <f t="shared" si="16"/>
        <v>有广告无销售广告费为</v>
      </c>
      <c r="AH43" s="27" t="str">
        <f t="shared" si="17"/>
        <v>有广告无销售广告费为</v>
      </c>
      <c r="AI43" s="27" t="str">
        <f t="shared" si="18"/>
        <v>有广告无销售广告费为</v>
      </c>
      <c r="AJ43" s="17">
        <f>IFERROR(VLOOKUP($B43,'[3]浏览量处理(勿删)'!$A:$B,2,0),"")</f>
        <v>0</v>
      </c>
      <c r="AK43" s="17">
        <f>IFERROR(VLOOKUP($B43,'[3]浏览量处理(勿删)'!$A:$C,3,0),"")</f>
        <v>0</v>
      </c>
      <c r="AL43" s="17">
        <f>IFERROR(VLOOKUP($B43,'[3]浏览量处理(勿删)'!$A:$D,4,0),"")</f>
        <v>0</v>
      </c>
      <c r="AM43" s="17">
        <f>IFERROR(VLOOKUP($B43,'[3]浏览量处理(勿删)'!$A:$E,5,0),"")</f>
        <v>90</v>
      </c>
      <c r="AN43" s="27" t="str">
        <f t="shared" si="6"/>
        <v/>
      </c>
      <c r="AO43" s="27" t="str">
        <f t="shared" si="7"/>
        <v/>
      </c>
      <c r="AP43" s="27" t="str">
        <f t="shared" si="8"/>
        <v/>
      </c>
      <c r="AQ43" s="27">
        <f t="shared" si="9"/>
        <v>0</v>
      </c>
      <c r="AR43" s="32">
        <f t="shared" si="10"/>
        <v>0</v>
      </c>
      <c r="AS43" s="32">
        <f t="shared" si="11"/>
        <v>0</v>
      </c>
      <c r="AT43" s="32">
        <f t="shared" si="12"/>
        <v>48</v>
      </c>
      <c r="AU43" s="18" t="str">
        <f t="shared" si="13"/>
        <v>库存为48</v>
      </c>
      <c r="AV43" s="33" t="str">
        <f>IFERROR(时间!$B$4+AU43,"上周无销量")</f>
        <v>上周无销量</v>
      </c>
    </row>
    <row r="44" spans="1:48">
      <c r="A44" s="16" t="s">
        <v>88</v>
      </c>
      <c r="B44" s="17" t="str">
        <f>VLOOKUP(A44,[1]sku_fnsku_asin_产品名称!$A:$C,3,0)</f>
        <v>B00022AUVA</v>
      </c>
      <c r="C44" s="17" t="str">
        <f>VLOOKUP(A44,[1]sku_fnsku_asin_产品名称!$A:$D,4,0)</f>
        <v>Premier Dead Sea Age Defying/Anti Age Cream</v>
      </c>
      <c r="D44" s="18">
        <f>IFERROR(VLOOKUP(A44,[4]库存报告使用数据处理!$A:$B,2,0),0)</f>
        <v>0</v>
      </c>
      <c r="E44" s="18">
        <f>IFERROR(VLOOKUP(A44,[4]库存报告使用数据处理!$A:$C,3,0),0)</f>
        <v>0</v>
      </c>
      <c r="F44" s="18">
        <f>IFERROR(VLOOKUP(A44,[4]库存报告使用数据处理!$A:$D,4,0),0)</f>
        <v>0</v>
      </c>
      <c r="G44" s="18">
        <f>IFERROR(VLOOKUP(A44,[4]库存报告使用数据处理!$A:$E,5,0),0)</f>
        <v>0</v>
      </c>
      <c r="H44" s="18">
        <f>IFERROR(VLOOKUP(A44,[4]库存报告使用数据处理!$A:$F,6,0),0)</f>
        <v>0</v>
      </c>
      <c r="I44" s="18">
        <f>IFERROR(VLOOKUP($A44,[2]数据处理!$A:$B,2,0),0)</f>
        <v>0</v>
      </c>
      <c r="J44" s="18">
        <f>IFERROR(VLOOKUP($A44,[2]数据处理!$A:$D,4,0),0)</f>
        <v>0</v>
      </c>
      <c r="K44" s="18">
        <f>IFERROR(VLOOKUP($A44,[2]数据处理!$A:$E,5,0),0)</f>
        <v>0</v>
      </c>
      <c r="L44" s="18">
        <f>IFERROR(VLOOKUP($A44,[2]数据处理!$A:$N,7,0),0)</f>
        <v>0</v>
      </c>
      <c r="M44" s="22">
        <f t="shared" si="0"/>
        <v>0</v>
      </c>
      <c r="N44" s="18">
        <f>IFERROR(VLOOKUP($A44,[2]数据处理!$A:$N,3,0),0)</f>
        <v>0</v>
      </c>
      <c r="O44" s="17">
        <f>IFERROR(VLOOKUP($A44,[2]数据处理!$A:$N,14,0),0)</f>
        <v>0</v>
      </c>
      <c r="P44" s="17">
        <f>IFERROR(VLOOKUP($A44,[5]库存报告使用数据!$A$1:$B$65536,2,0),0)</f>
        <v>0</v>
      </c>
      <c r="Q44" s="17">
        <f>IFERROR(VLOOKUP($A44,[5]库存报告使用数据!$A$1:$E$65536,5,0),0)</f>
        <v>0</v>
      </c>
      <c r="R44" s="17">
        <f>IFERROR(VLOOKUP($A44,[5]库存报告使用数据!$A$1:$H$65536,8,0),0)</f>
        <v>0</v>
      </c>
      <c r="S44" s="17">
        <f>IFERROR(VLOOKUP($A44,[5]库存报告使用数据!$A$1:$K$65536,11,0),0)</f>
        <v>0</v>
      </c>
      <c r="T44" s="17" t="str">
        <f>IFERROR(VLOOKUP($A44,[5]库存报告使用数据!$A$1:$C$65536,3,0),"")</f>
        <v/>
      </c>
      <c r="U44" s="17" t="str">
        <f>IFERROR(VLOOKUP($A44,[5]库存报告使用数据!$A$1:$F$65536,6,0),"")</f>
        <v/>
      </c>
      <c r="V44" s="17" t="str">
        <f>IFERROR(VLOOKUP($A44,[5]库存报告使用数据!$A$1:$I$65536,9,0),"")</f>
        <v/>
      </c>
      <c r="W44" s="17" t="str">
        <f>IFERROR(VLOOKUP($A44,[5]库存报告使用数据!$A$1:$L$65536,12,0),"")</f>
        <v/>
      </c>
      <c r="X44" s="27" t="str">
        <f t="shared" si="1"/>
        <v/>
      </c>
      <c r="Y44" s="27" t="str">
        <f t="shared" si="2"/>
        <v/>
      </c>
      <c r="Z44" s="27" t="str">
        <f t="shared" si="3"/>
        <v/>
      </c>
      <c r="AA44" s="27" t="str">
        <f t="shared" si="4"/>
        <v/>
      </c>
      <c r="AB44" s="17" t="str">
        <f>IFERROR(VLOOKUP($A44,[5]库存报告使用数据!$A$1:$D$65536,4,0),"")</f>
        <v/>
      </c>
      <c r="AC44" s="17" t="str">
        <f>IFERROR(VLOOKUP($A44,[5]库存报告使用数据!$A$1:$G$65536,7,0),"")</f>
        <v/>
      </c>
      <c r="AD44" s="17" t="str">
        <f>IFERROR(VLOOKUP($A44,[5]库存报告使用数据!$A$1:$J$65536,10,0),"")</f>
        <v/>
      </c>
      <c r="AE44" s="17" t="str">
        <f>IFERROR(VLOOKUP($A44,[5]库存报告使用数据!$A$1:$M$65536,13,0),"")</f>
        <v/>
      </c>
      <c r="AF44" s="27" t="str">
        <f t="shared" si="15"/>
        <v>有广告无销售广告费为</v>
      </c>
      <c r="AG44" s="27" t="str">
        <f t="shared" si="16"/>
        <v>有广告无销售广告费为</v>
      </c>
      <c r="AH44" s="27" t="str">
        <f t="shared" si="17"/>
        <v>有广告无销售广告费为</v>
      </c>
      <c r="AI44" s="27" t="str">
        <f t="shared" si="18"/>
        <v>有广告无销售广告费为</v>
      </c>
      <c r="AJ44" s="17">
        <f>IFERROR(VLOOKUP($B44,'[3]浏览量处理(勿删)'!$A:$B,2,0),"")</f>
        <v>0</v>
      </c>
      <c r="AK44" s="17">
        <f>IFERROR(VLOOKUP($B44,'[3]浏览量处理(勿删)'!$A:$C,3,0),"")</f>
        <v>0</v>
      </c>
      <c r="AL44" s="17">
        <f>IFERROR(VLOOKUP($B44,'[3]浏览量处理(勿删)'!$A:$D,4,0),"")</f>
        <v>0</v>
      </c>
      <c r="AM44" s="17">
        <f>IFERROR(VLOOKUP($B44,'[3]浏览量处理(勿删)'!$A:$E,5,0),"")</f>
        <v>12</v>
      </c>
      <c r="AN44" s="27" t="str">
        <f t="shared" si="6"/>
        <v/>
      </c>
      <c r="AO44" s="27" t="str">
        <f t="shared" si="7"/>
        <v/>
      </c>
      <c r="AP44" s="27" t="str">
        <f t="shared" si="8"/>
        <v/>
      </c>
      <c r="AQ44" s="27">
        <f t="shared" si="9"/>
        <v>0</v>
      </c>
      <c r="AR44" s="32">
        <f t="shared" si="10"/>
        <v>0</v>
      </c>
      <c r="AS44" s="32">
        <f t="shared" si="11"/>
        <v>0</v>
      </c>
      <c r="AT44" s="32">
        <f t="shared" si="12"/>
        <v>0</v>
      </c>
      <c r="AU44" s="18" t="str">
        <f t="shared" si="13"/>
        <v>库存为0</v>
      </c>
      <c r="AV44" s="33" t="str">
        <f>IFERROR(时间!$B$4+AU44,"上周无销量")</f>
        <v>上周无销量</v>
      </c>
    </row>
    <row r="45" spans="1:48">
      <c r="A45" s="16" t="s">
        <v>89</v>
      </c>
      <c r="B45" s="17" t="str">
        <f>VLOOKUP(A45,[1]sku_fnsku_asin_产品名称!$A:$C,3,0)</f>
        <v>B000VF5WVG</v>
      </c>
      <c r="C45" s="17" t="str">
        <f>VLOOKUP(A45,[1]sku_fnsku_asin_产品名称!$A:$D,4,0)</f>
        <v>Premier by Dead Sea Premier Luxury Collection Milk Cleanser, 8.5 fl oz</v>
      </c>
      <c r="D45" s="18">
        <f>IFERROR(VLOOKUP(A45,[4]库存报告使用数据处理!$A:$B,2,0),0)</f>
        <v>2</v>
      </c>
      <c r="E45" s="18">
        <f>IFERROR(VLOOKUP(A45,[4]库存报告使用数据处理!$A:$C,3,0),0)</f>
        <v>3</v>
      </c>
      <c r="F45" s="18">
        <f>IFERROR(VLOOKUP(A45,[4]库存报告使用数据处理!$A:$D,4,0),0)</f>
        <v>6</v>
      </c>
      <c r="G45" s="18">
        <f>IFERROR(VLOOKUP(A45,[4]库存报告使用数据处理!$A:$E,5,0),0)</f>
        <v>4</v>
      </c>
      <c r="H45" s="18">
        <f>IFERROR(VLOOKUP(A45,[4]库存报告使用数据处理!$A:$F,6,0),0)</f>
        <v>26.79</v>
      </c>
      <c r="I45" s="18">
        <f>IFERROR(VLOOKUP($A45,[2]数据处理!$A:$B,2,0),0)</f>
        <v>102</v>
      </c>
      <c r="J45" s="18">
        <f>IFERROR(VLOOKUP($A45,[2]数据处理!$A:$D,4,0),0)</f>
        <v>0</v>
      </c>
      <c r="K45" s="18">
        <f>IFERROR(VLOOKUP($A45,[2]数据处理!$A:$E,5,0),0)</f>
        <v>0</v>
      </c>
      <c r="L45" s="18">
        <f>IFERROR(VLOOKUP($A45,[2]数据处理!$A:$N,7,0),0)</f>
        <v>8</v>
      </c>
      <c r="M45" s="22">
        <f t="shared" si="0"/>
        <v>110</v>
      </c>
      <c r="N45" s="18">
        <f>IFERROR(VLOOKUP($A45,[2]数据处理!$A:$N,3,0),0)</f>
        <v>0</v>
      </c>
      <c r="O45" s="17">
        <f>IFERROR(VLOOKUP($A45,[2]数据处理!$A:$N,14,0),0)</f>
        <v>0</v>
      </c>
      <c r="P45" s="17">
        <f>IFERROR(VLOOKUP($A45,[5]库存报告使用数据!$A$1:$B$65536,2,0),0)</f>
        <v>391</v>
      </c>
      <c r="Q45" s="17">
        <f>IFERROR(VLOOKUP($A45,[5]库存报告使用数据!$A$1:$E$65536,5,0),0)</f>
        <v>7916</v>
      </c>
      <c r="R45" s="17">
        <f>IFERROR(VLOOKUP($A45,[5]库存报告使用数据!$A$1:$H$65536,8,0),0)</f>
        <v>1644</v>
      </c>
      <c r="S45" s="17">
        <f>IFERROR(VLOOKUP($A45,[5]库存报告使用数据!$A$1:$K$65536,11,0),0)</f>
        <v>198</v>
      </c>
      <c r="T45" s="17">
        <f>IFERROR(VLOOKUP($A45,[5]库存报告使用数据!$A$1:$C$65536,3,0),"")</f>
        <v>1</v>
      </c>
      <c r="U45" s="17">
        <f>IFERROR(VLOOKUP($A45,[5]库存报告使用数据!$A$1:$F$65536,6,0),"")</f>
        <v>15</v>
      </c>
      <c r="V45" s="17">
        <f>IFERROR(VLOOKUP($A45,[5]库存报告使用数据!$A$1:$I$65536,9,0),"")</f>
        <v>1</v>
      </c>
      <c r="W45" s="17">
        <f>IFERROR(VLOOKUP($A45,[5]库存报告使用数据!$A$1:$L$65536,12,0),"")</f>
        <v>0</v>
      </c>
      <c r="X45" s="27">
        <f t="shared" si="1"/>
        <v>0.00255754475703325</v>
      </c>
      <c r="Y45" s="27">
        <f t="shared" si="2"/>
        <v>0.00189489641232946</v>
      </c>
      <c r="Z45" s="27">
        <f t="shared" si="3"/>
        <v>0.000608272506082725</v>
      </c>
      <c r="AA45" s="27">
        <f t="shared" si="4"/>
        <v>0</v>
      </c>
      <c r="AB45" s="17">
        <f>IFERROR(VLOOKUP($A45,[5]库存报告使用数据!$A$1:$D$65536,4,0),"")</f>
        <v>0.02</v>
      </c>
      <c r="AC45" s="17">
        <f>IFERROR(VLOOKUP($A45,[5]库存报告使用数据!$A$1:$G$65536,7,0),"")</f>
        <v>16.79</v>
      </c>
      <c r="AD45" s="17">
        <f>IFERROR(VLOOKUP($A45,[5]库存报告使用数据!$A$1:$J$65536,10,0),"")</f>
        <v>0.74</v>
      </c>
      <c r="AE45" s="17">
        <f>IFERROR(VLOOKUP($A45,[5]库存报告使用数据!$A$1:$M$65536,13,0),"")</f>
        <v>0</v>
      </c>
      <c r="AF45" s="27">
        <f t="shared" si="15"/>
        <v>0.000373273609555804</v>
      </c>
      <c r="AG45" s="27">
        <f t="shared" si="16"/>
        <v>0.208908796814732</v>
      </c>
      <c r="AH45" s="27">
        <f t="shared" si="17"/>
        <v>0.00460370785118825</v>
      </c>
      <c r="AI45" s="27">
        <f t="shared" si="18"/>
        <v>0</v>
      </c>
      <c r="AJ45" s="17">
        <f>IFERROR(VLOOKUP($B45,'[3]浏览量处理(勿删)'!$A:$B,2,0),"")</f>
        <v>81</v>
      </c>
      <c r="AK45" s="17">
        <f>IFERROR(VLOOKUP($B45,'[3]浏览量处理(勿删)'!$A:$C,3,0),"")</f>
        <v>85</v>
      </c>
      <c r="AL45" s="17">
        <f>IFERROR(VLOOKUP($B45,'[3]浏览量处理(勿删)'!$A:$D,4,0),"")</f>
        <v>76</v>
      </c>
      <c r="AM45" s="17">
        <f>IFERROR(VLOOKUP($B45,'[3]浏览量处理(勿删)'!$A:$E,5,0),"")</f>
        <v>279</v>
      </c>
      <c r="AN45" s="27">
        <f t="shared" si="6"/>
        <v>0.0246913580246914</v>
      </c>
      <c r="AO45" s="27">
        <f t="shared" si="7"/>
        <v>0.0352941176470588</v>
      </c>
      <c r="AP45" s="27">
        <f t="shared" si="8"/>
        <v>0.0789473684210526</v>
      </c>
      <c r="AQ45" s="27">
        <f t="shared" si="9"/>
        <v>0.014336917562724</v>
      </c>
      <c r="AR45" s="32">
        <f t="shared" si="10"/>
        <v>0.285714285714286</v>
      </c>
      <c r="AS45" s="32">
        <f t="shared" si="11"/>
        <v>17.1428571428571</v>
      </c>
      <c r="AT45" s="32">
        <f t="shared" si="12"/>
        <v>92.8571428571429</v>
      </c>
      <c r="AU45" s="18">
        <f t="shared" si="13"/>
        <v>385</v>
      </c>
      <c r="AV45" s="33">
        <f>IFERROR(时间!$B$4+AU45,"上周无销量")</f>
        <v>43675</v>
      </c>
    </row>
    <row r="46" spans="1:48">
      <c r="A46" s="16" t="s">
        <v>90</v>
      </c>
      <c r="B46" s="17" t="str">
        <f>VLOOKUP(A46,[1]sku_fnsku_asin_产品名称!$A:$C,3,0)</f>
        <v>B0010OMN4G</v>
      </c>
      <c r="C46" s="17" t="str">
        <f>VLOOKUP(A46,[1]sku_fnsku_asin_产品名称!$A:$D,4,0)</f>
        <v>Premier Dead Sea Shaving Cream for Men, Tube, 4.2268-Fluid Ounce</v>
      </c>
      <c r="D46" s="18">
        <f>IFERROR(VLOOKUP(A46,[4]库存报告使用数据处理!$A:$B,2,0),0)</f>
        <v>4</v>
      </c>
      <c r="E46" s="18">
        <f>IFERROR(VLOOKUP(A46,[4]库存报告使用数据处理!$A:$C,3,0),0)</f>
        <v>0</v>
      </c>
      <c r="F46" s="18">
        <f>IFERROR(VLOOKUP(A46,[4]库存报告使用数据处理!$A:$D,4,0),0)</f>
        <v>0</v>
      </c>
      <c r="G46" s="18">
        <f>IFERROR(VLOOKUP(A46,[4]库存报告使用数据处理!$A:$E,5,0),0)</f>
        <v>0</v>
      </c>
      <c r="H46" s="18">
        <f>IFERROR(VLOOKUP(A46,[4]库存报告使用数据处理!$A:$F,6,0),0)</f>
        <v>18.19</v>
      </c>
      <c r="I46" s="18">
        <f>IFERROR(VLOOKUP($A46,[2]数据处理!$A:$B,2,0),0)</f>
        <v>36</v>
      </c>
      <c r="J46" s="18">
        <f>IFERROR(VLOOKUP($A46,[2]数据处理!$A:$D,4,0),0)</f>
        <v>0</v>
      </c>
      <c r="K46" s="18">
        <f>IFERROR(VLOOKUP($A46,[2]数据处理!$A:$E,5,0),0)</f>
        <v>0</v>
      </c>
      <c r="L46" s="18">
        <f>IFERROR(VLOOKUP($A46,[2]数据处理!$A:$N,7,0),0)</f>
        <v>0</v>
      </c>
      <c r="M46" s="22">
        <f t="shared" si="0"/>
        <v>36</v>
      </c>
      <c r="N46" s="18">
        <f>IFERROR(VLOOKUP($A46,[2]数据处理!$A:$N,3,0),0)</f>
        <v>0</v>
      </c>
      <c r="O46" s="17">
        <f>IFERROR(VLOOKUP($A46,[2]数据处理!$A:$N,14,0),0)</f>
        <v>36</v>
      </c>
      <c r="P46" s="17">
        <f>IFERROR(VLOOKUP($A46,[5]库存报告使用数据!$A$1:$B$65536,2,0),0)</f>
        <v>1436</v>
      </c>
      <c r="Q46" s="17">
        <f>IFERROR(VLOOKUP($A46,[5]库存报告使用数据!$A$1:$E$65536,5,0),0)</f>
        <v>1426</v>
      </c>
      <c r="R46" s="17">
        <f>IFERROR(VLOOKUP($A46,[5]库存报告使用数据!$A$1:$H$65536,8,0),0)</f>
        <v>1690</v>
      </c>
      <c r="S46" s="17">
        <f>IFERROR(VLOOKUP($A46,[5]库存报告使用数据!$A$1:$K$65536,11,0),0)</f>
        <v>71</v>
      </c>
      <c r="T46" s="17">
        <f>IFERROR(VLOOKUP($A46,[5]库存报告使用数据!$A$1:$C$65536,3,0),"")</f>
        <v>1</v>
      </c>
      <c r="U46" s="17">
        <f>IFERROR(VLOOKUP($A46,[5]库存报告使用数据!$A$1:$F$65536,6,0),"")</f>
        <v>0</v>
      </c>
      <c r="V46" s="17">
        <f>IFERROR(VLOOKUP($A46,[5]库存报告使用数据!$A$1:$I$65536,9,0),"")</f>
        <v>0</v>
      </c>
      <c r="W46" s="17">
        <f>IFERROR(VLOOKUP($A46,[5]库存报告使用数据!$A$1:$L$65536,12,0),"")</f>
        <v>0</v>
      </c>
      <c r="X46" s="27">
        <f t="shared" si="1"/>
        <v>0.000696378830083565</v>
      </c>
      <c r="Y46" s="27">
        <f t="shared" si="2"/>
        <v>0</v>
      </c>
      <c r="Z46" s="27">
        <f t="shared" si="3"/>
        <v>0</v>
      </c>
      <c r="AA46" s="27">
        <f t="shared" si="4"/>
        <v>0</v>
      </c>
      <c r="AB46" s="17">
        <f>IFERROR(VLOOKUP($A46,[5]库存报告使用数据!$A$1:$D$65536,4,0),"")</f>
        <v>1.5</v>
      </c>
      <c r="AC46" s="17">
        <f>IFERROR(VLOOKUP($A46,[5]库存报告使用数据!$A$1:$G$65536,7,0),"")</f>
        <v>0</v>
      </c>
      <c r="AD46" s="17">
        <f>IFERROR(VLOOKUP($A46,[5]库存报告使用数据!$A$1:$J$65536,10,0),"")</f>
        <v>0</v>
      </c>
      <c r="AE46" s="17">
        <f>IFERROR(VLOOKUP($A46,[5]库存报告使用数据!$A$1:$M$65536,13,0),"")</f>
        <v>0</v>
      </c>
      <c r="AF46" s="27">
        <f t="shared" si="15"/>
        <v>0.0206157229246839</v>
      </c>
      <c r="AG46" s="27" t="str">
        <f t="shared" si="16"/>
        <v/>
      </c>
      <c r="AH46" s="27" t="str">
        <f t="shared" si="17"/>
        <v/>
      </c>
      <c r="AI46" s="27" t="str">
        <f t="shared" si="18"/>
        <v/>
      </c>
      <c r="AJ46" s="17">
        <f>IFERROR(VLOOKUP($B46,'[3]浏览量处理(勿删)'!$A:$B,2,0),"")</f>
        <v>24</v>
      </c>
      <c r="AK46" s="17">
        <f>IFERROR(VLOOKUP($B46,'[3]浏览量处理(勿删)'!$A:$C,3,0),"")</f>
        <v>19</v>
      </c>
      <c r="AL46" s="17">
        <f>IFERROR(VLOOKUP($B46,'[3]浏览量处理(勿删)'!$A:$D,4,0),"")</f>
        <v>15</v>
      </c>
      <c r="AM46" s="17">
        <f>IFERROR(VLOOKUP($B46,'[3]浏览量处理(勿删)'!$A:$E,5,0),"")</f>
        <v>61</v>
      </c>
      <c r="AN46" s="27">
        <f t="shared" si="6"/>
        <v>0.166666666666667</v>
      </c>
      <c r="AO46" s="27">
        <f t="shared" si="7"/>
        <v>0</v>
      </c>
      <c r="AP46" s="27">
        <f t="shared" si="8"/>
        <v>0</v>
      </c>
      <c r="AQ46" s="27">
        <f t="shared" si="9"/>
        <v>0</v>
      </c>
      <c r="AR46" s="32">
        <f t="shared" si="10"/>
        <v>0.571428571428571</v>
      </c>
      <c r="AS46" s="32">
        <f t="shared" si="11"/>
        <v>34.2857142857143</v>
      </c>
      <c r="AT46" s="32">
        <f t="shared" si="12"/>
        <v>1.71428571428572</v>
      </c>
      <c r="AU46" s="18">
        <f t="shared" si="13"/>
        <v>63</v>
      </c>
      <c r="AV46" s="33">
        <f>IFERROR(时间!$B$4+AU46,"上周无销量")</f>
        <v>43353</v>
      </c>
    </row>
    <row r="47" spans="1:48">
      <c r="A47" s="16" t="s">
        <v>91</v>
      </c>
      <c r="B47" s="17" t="str">
        <f>VLOOKUP(A47,[1]sku_fnsku_asin_产品名称!$A:$C,3,0)</f>
        <v>B0052K03KA</v>
      </c>
      <c r="C47" s="17" t="str">
        <f>VLOOKUP(A47,[1]sku_fnsku_asin_产品名称!$A:$D,4,0)</f>
        <v>Premier Dead Sea Essential Face Cleanser for Men</v>
      </c>
      <c r="D47" s="18">
        <f>IFERROR(VLOOKUP(A47,[4]库存报告使用数据处理!$A:$B,2,0),0)</f>
        <v>0</v>
      </c>
      <c r="E47" s="18">
        <f>IFERROR(VLOOKUP(A47,[4]库存报告使用数据处理!$A:$C,3,0),0)</f>
        <v>0</v>
      </c>
      <c r="F47" s="18">
        <f>IFERROR(VLOOKUP(A47,[4]库存报告使用数据处理!$A:$D,4,0),0)</f>
        <v>0</v>
      </c>
      <c r="G47" s="18">
        <f>IFERROR(VLOOKUP(A47,[4]库存报告使用数据处理!$A:$E,5,0),0)</f>
        <v>0</v>
      </c>
      <c r="H47" s="18">
        <f>IFERROR(VLOOKUP(A47,[4]库存报告使用数据处理!$A:$F,6,0),0)</f>
        <v>0</v>
      </c>
      <c r="I47" s="18">
        <f>IFERROR(VLOOKUP($A47,[2]数据处理!$A:$B,2,0),0)</f>
        <v>0</v>
      </c>
      <c r="J47" s="18">
        <f>IFERROR(VLOOKUP($A47,[2]数据处理!$A:$D,4,0),0)</f>
        <v>0</v>
      </c>
      <c r="K47" s="18">
        <f>IFERROR(VLOOKUP($A47,[2]数据处理!$A:$E,5,0),0)</f>
        <v>0</v>
      </c>
      <c r="L47" s="18">
        <f>IFERROR(VLOOKUP($A47,[2]数据处理!$A:$N,7,0),0)</f>
        <v>0</v>
      </c>
      <c r="M47" s="22">
        <f t="shared" si="0"/>
        <v>0</v>
      </c>
      <c r="N47" s="18">
        <f>IFERROR(VLOOKUP($A47,[2]数据处理!$A:$N,3,0),0)</f>
        <v>0</v>
      </c>
      <c r="O47" s="17">
        <f>IFERROR(VLOOKUP($A47,[2]数据处理!$A:$N,14,0),0)</f>
        <v>0</v>
      </c>
      <c r="P47" s="17">
        <f>IFERROR(VLOOKUP($A47,[5]库存报告使用数据!$A$1:$B$65536,2,0),0)</f>
        <v>0</v>
      </c>
      <c r="Q47" s="17">
        <f>IFERROR(VLOOKUP($A47,[5]库存报告使用数据!$A$1:$E$65536,5,0),0)</f>
        <v>0</v>
      </c>
      <c r="R47" s="17">
        <f>IFERROR(VLOOKUP($A47,[5]库存报告使用数据!$A$1:$H$65536,8,0),0)</f>
        <v>0</v>
      </c>
      <c r="S47" s="17">
        <f>IFERROR(VLOOKUP($A47,[5]库存报告使用数据!$A$1:$K$65536,11,0),0)</f>
        <v>0</v>
      </c>
      <c r="T47" s="17" t="str">
        <f>IFERROR(VLOOKUP($A47,[5]库存报告使用数据!$A$1:$C$65536,3,0),"")</f>
        <v/>
      </c>
      <c r="U47" s="17" t="str">
        <f>IFERROR(VLOOKUP($A47,[5]库存报告使用数据!$A$1:$F$65536,6,0),"")</f>
        <v/>
      </c>
      <c r="V47" s="17" t="str">
        <f>IFERROR(VLOOKUP($A47,[5]库存报告使用数据!$A$1:$I$65536,9,0),"")</f>
        <v/>
      </c>
      <c r="W47" s="17" t="str">
        <f>IFERROR(VLOOKUP($A47,[5]库存报告使用数据!$A$1:$L$65536,12,0),"")</f>
        <v/>
      </c>
      <c r="X47" s="27" t="str">
        <f t="shared" si="1"/>
        <v/>
      </c>
      <c r="Y47" s="27" t="str">
        <f t="shared" si="2"/>
        <v/>
      </c>
      <c r="Z47" s="27" t="str">
        <f t="shared" si="3"/>
        <v/>
      </c>
      <c r="AA47" s="27" t="str">
        <f t="shared" si="4"/>
        <v/>
      </c>
      <c r="AB47" s="17" t="str">
        <f>IFERROR(VLOOKUP($A47,[5]库存报告使用数据!$A$1:$D$65536,4,0),"")</f>
        <v/>
      </c>
      <c r="AC47" s="17" t="str">
        <f>IFERROR(VLOOKUP($A47,[5]库存报告使用数据!$A$1:$G$65536,7,0),"")</f>
        <v/>
      </c>
      <c r="AD47" s="17" t="str">
        <f>IFERROR(VLOOKUP($A47,[5]库存报告使用数据!$A$1:$J$65536,10,0),"")</f>
        <v/>
      </c>
      <c r="AE47" s="17" t="str">
        <f>IFERROR(VLOOKUP($A47,[5]库存报告使用数据!$A$1:$M$65536,13,0),"")</f>
        <v/>
      </c>
      <c r="AF47" s="27" t="str">
        <f t="shared" si="15"/>
        <v>有广告无销售广告费为</v>
      </c>
      <c r="AG47" s="27" t="str">
        <f t="shared" si="16"/>
        <v>有广告无销售广告费为</v>
      </c>
      <c r="AH47" s="27" t="str">
        <f t="shared" si="17"/>
        <v>有广告无销售广告费为</v>
      </c>
      <c r="AI47" s="27" t="str">
        <f t="shared" si="18"/>
        <v>有广告无销售广告费为</v>
      </c>
      <c r="AJ47" s="17">
        <f>IFERROR(VLOOKUP($B47,'[3]浏览量处理(勿删)'!$A:$B,2,0),"")</f>
        <v>20</v>
      </c>
      <c r="AK47" s="17">
        <f>IFERROR(VLOOKUP($B47,'[3]浏览量处理(勿删)'!$A:$C,3,0),"")</f>
        <v>8</v>
      </c>
      <c r="AL47" s="17">
        <f>IFERROR(VLOOKUP($B47,'[3]浏览量处理(勿删)'!$A:$D,4,0),"")</f>
        <v>22</v>
      </c>
      <c r="AM47" s="17">
        <f>IFERROR(VLOOKUP($B47,'[3]浏览量处理(勿删)'!$A:$E,5,0),"")</f>
        <v>70</v>
      </c>
      <c r="AN47" s="27">
        <f t="shared" si="6"/>
        <v>0</v>
      </c>
      <c r="AO47" s="27">
        <f t="shared" si="7"/>
        <v>0</v>
      </c>
      <c r="AP47" s="27">
        <f t="shared" si="8"/>
        <v>0</v>
      </c>
      <c r="AQ47" s="27">
        <f t="shared" si="9"/>
        <v>0</v>
      </c>
      <c r="AR47" s="32">
        <f t="shared" si="10"/>
        <v>0</v>
      </c>
      <c r="AS47" s="32">
        <f t="shared" si="11"/>
        <v>0</v>
      </c>
      <c r="AT47" s="32">
        <f t="shared" si="12"/>
        <v>0</v>
      </c>
      <c r="AU47" s="18" t="str">
        <f t="shared" si="13"/>
        <v>库存为0</v>
      </c>
      <c r="AV47" s="33" t="str">
        <f>IFERROR(时间!$B$4+AU47,"上周无销量")</f>
        <v>上周无销量</v>
      </c>
    </row>
    <row r="48" spans="1:48">
      <c r="A48" s="16" t="s">
        <v>92</v>
      </c>
      <c r="B48" s="17" t="str">
        <f>VLOOKUP(A48,[1]sku_fnsku_asin_产品名称!$A:$C,3,0)</f>
        <v>B004H07KKC</v>
      </c>
      <c r="C48" s="17" t="str">
        <f>VLOOKUP(A48,[1]sku_fnsku_asin_产品名称!$A:$D,4,0)</f>
        <v>Premier Dead Sea Skin Toner for Normal/Oily Skin, Pink, 8.4535-Fluid Ounce</v>
      </c>
      <c r="D48" s="18">
        <f>IFERROR(VLOOKUP(A48,[4]库存报告使用数据处理!$A:$B,2,0),0)</f>
        <v>0</v>
      </c>
      <c r="E48" s="18">
        <f>IFERROR(VLOOKUP(A48,[4]库存报告使用数据处理!$A:$C,3,0),0)</f>
        <v>0</v>
      </c>
      <c r="F48" s="18">
        <f>IFERROR(VLOOKUP(A48,[4]库存报告使用数据处理!$A:$D,4,0),0)</f>
        <v>0</v>
      </c>
      <c r="G48" s="18">
        <f>IFERROR(VLOOKUP(A48,[4]库存报告使用数据处理!$A:$E,5,0),0)</f>
        <v>0</v>
      </c>
      <c r="H48" s="18">
        <f>IFERROR(VLOOKUP(A48,[4]库存报告使用数据处理!$A:$F,6,0),0)</f>
        <v>0</v>
      </c>
      <c r="I48" s="18">
        <f>IFERROR(VLOOKUP($A48,[2]数据处理!$A:$B,2,0),0)</f>
        <v>0</v>
      </c>
      <c r="J48" s="18">
        <f>IFERROR(VLOOKUP($A48,[2]数据处理!$A:$D,4,0),0)</f>
        <v>0</v>
      </c>
      <c r="K48" s="18">
        <f>IFERROR(VLOOKUP($A48,[2]数据处理!$A:$E,5,0),0)</f>
        <v>0</v>
      </c>
      <c r="L48" s="18">
        <f>IFERROR(VLOOKUP($A48,[2]数据处理!$A:$N,7,0),0)</f>
        <v>0</v>
      </c>
      <c r="M48" s="22">
        <f t="shared" si="0"/>
        <v>0</v>
      </c>
      <c r="N48" s="18">
        <f>IFERROR(VLOOKUP($A48,[2]数据处理!$A:$N,3,0),0)</f>
        <v>0</v>
      </c>
      <c r="O48" s="17">
        <f>IFERROR(VLOOKUP($A48,[2]数据处理!$A:$N,14,0),0)</f>
        <v>0</v>
      </c>
      <c r="P48" s="17">
        <f>IFERROR(VLOOKUP($A48,[5]库存报告使用数据!$A$1:$B$65536,2,0),0)</f>
        <v>0</v>
      </c>
      <c r="Q48" s="17">
        <f>IFERROR(VLOOKUP($A48,[5]库存报告使用数据!$A$1:$E$65536,5,0),0)</f>
        <v>0</v>
      </c>
      <c r="R48" s="17">
        <f>IFERROR(VLOOKUP($A48,[5]库存报告使用数据!$A$1:$H$65536,8,0),0)</f>
        <v>0</v>
      </c>
      <c r="S48" s="17">
        <f>IFERROR(VLOOKUP($A48,[5]库存报告使用数据!$A$1:$K$65536,11,0),0)</f>
        <v>0</v>
      </c>
      <c r="T48" s="17" t="str">
        <f>IFERROR(VLOOKUP($A48,[5]库存报告使用数据!$A$1:$C$65536,3,0),"")</f>
        <v/>
      </c>
      <c r="U48" s="17" t="str">
        <f>IFERROR(VLOOKUP($A48,[5]库存报告使用数据!$A$1:$F$65536,6,0),"")</f>
        <v/>
      </c>
      <c r="V48" s="17" t="str">
        <f>IFERROR(VLOOKUP($A48,[5]库存报告使用数据!$A$1:$I$65536,9,0),"")</f>
        <v/>
      </c>
      <c r="W48" s="17" t="str">
        <f>IFERROR(VLOOKUP($A48,[5]库存报告使用数据!$A$1:$L$65536,12,0),"")</f>
        <v/>
      </c>
      <c r="X48" s="27" t="str">
        <f t="shared" si="1"/>
        <v/>
      </c>
      <c r="Y48" s="27" t="str">
        <f t="shared" si="2"/>
        <v/>
      </c>
      <c r="Z48" s="27" t="str">
        <f t="shared" si="3"/>
        <v/>
      </c>
      <c r="AA48" s="27" t="str">
        <f t="shared" si="4"/>
        <v/>
      </c>
      <c r="AB48" s="17" t="str">
        <f>IFERROR(VLOOKUP($A48,[5]库存报告使用数据!$A$1:$D$65536,4,0),"")</f>
        <v/>
      </c>
      <c r="AC48" s="17" t="str">
        <f>IFERROR(VLOOKUP($A48,[5]库存报告使用数据!$A$1:$G$65536,7,0),"")</f>
        <v/>
      </c>
      <c r="AD48" s="17" t="str">
        <f>IFERROR(VLOOKUP($A48,[5]库存报告使用数据!$A$1:$J$65536,10,0),"")</f>
        <v/>
      </c>
      <c r="AE48" s="17" t="str">
        <f>IFERROR(VLOOKUP($A48,[5]库存报告使用数据!$A$1:$M$65536,13,0),"")</f>
        <v/>
      </c>
      <c r="AF48" s="27" t="str">
        <f t="shared" si="15"/>
        <v>有广告无销售广告费为</v>
      </c>
      <c r="AG48" s="27" t="str">
        <f t="shared" si="16"/>
        <v>有广告无销售广告费为</v>
      </c>
      <c r="AH48" s="27" t="str">
        <f t="shared" si="17"/>
        <v>有广告无销售广告费为</v>
      </c>
      <c r="AI48" s="27" t="str">
        <f t="shared" si="18"/>
        <v>有广告无销售广告费为</v>
      </c>
      <c r="AJ48" s="17">
        <f>IFERROR(VLOOKUP($B48,'[3]浏览量处理(勿删)'!$A:$B,2,0),"")</f>
        <v>3</v>
      </c>
      <c r="AK48" s="17">
        <f>IFERROR(VLOOKUP($B48,'[3]浏览量处理(勿删)'!$A:$C,3,0),"")</f>
        <v>19</v>
      </c>
      <c r="AL48" s="17">
        <f>IFERROR(VLOOKUP($B48,'[3]浏览量处理(勿删)'!$A:$D,4,0),"")</f>
        <v>9</v>
      </c>
      <c r="AM48" s="17">
        <f>IFERROR(VLOOKUP($B48,'[3]浏览量处理(勿删)'!$A:$E,5,0),"")</f>
        <v>6</v>
      </c>
      <c r="AN48" s="27">
        <f t="shared" si="6"/>
        <v>0</v>
      </c>
      <c r="AO48" s="27">
        <f t="shared" si="7"/>
        <v>0</v>
      </c>
      <c r="AP48" s="27">
        <f t="shared" si="8"/>
        <v>0</v>
      </c>
      <c r="AQ48" s="27">
        <f t="shared" si="9"/>
        <v>0</v>
      </c>
      <c r="AR48" s="32">
        <f t="shared" si="10"/>
        <v>0</v>
      </c>
      <c r="AS48" s="32">
        <f t="shared" si="11"/>
        <v>0</v>
      </c>
      <c r="AT48" s="32">
        <f t="shared" si="12"/>
        <v>0</v>
      </c>
      <c r="AU48" s="18" t="str">
        <f t="shared" si="13"/>
        <v>库存为0</v>
      </c>
      <c r="AV48" s="33" t="str">
        <f>IFERROR(时间!$B$4+AU48,"上周无销量")</f>
        <v>上周无销量</v>
      </c>
    </row>
    <row r="49" spans="1:48">
      <c r="A49" s="16" t="s">
        <v>93</v>
      </c>
      <c r="B49" s="17" t="str">
        <f>VLOOKUP(A49,[1]sku_fnsku_asin_产品名称!$A:$C,3,0)</f>
        <v>B004HTXUNE</v>
      </c>
      <c r="C49" s="17" t="str">
        <f>VLOOKUP(A49,[1]sku_fnsku_asin_产品名称!$A:$D,4,0)</f>
        <v>Premier Dead Sea Luxury Hand Cream 125ml/4.25fl.oz</v>
      </c>
      <c r="D49" s="18">
        <f>IFERROR(VLOOKUP(A49,[4]库存报告使用数据处理!$A:$B,2,0),0)</f>
        <v>0</v>
      </c>
      <c r="E49" s="18">
        <f>IFERROR(VLOOKUP(A49,[4]库存报告使用数据处理!$A:$C,3,0),0)</f>
        <v>0</v>
      </c>
      <c r="F49" s="18">
        <f>IFERROR(VLOOKUP(A49,[4]库存报告使用数据处理!$A:$D,4,0),0)</f>
        <v>0</v>
      </c>
      <c r="G49" s="18">
        <f>IFERROR(VLOOKUP(A49,[4]库存报告使用数据处理!$A:$E,5,0),0)</f>
        <v>0</v>
      </c>
      <c r="H49" s="18">
        <f>IFERROR(VLOOKUP(A49,[4]库存报告使用数据处理!$A:$F,6,0),0)</f>
        <v>0</v>
      </c>
      <c r="I49" s="18">
        <f>IFERROR(VLOOKUP($A49,[2]数据处理!$A:$B,2,0),0)</f>
        <v>57</v>
      </c>
      <c r="J49" s="18">
        <f>IFERROR(VLOOKUP($A49,[2]数据处理!$A:$D,4,0),0)</f>
        <v>0</v>
      </c>
      <c r="K49" s="18">
        <f>IFERROR(VLOOKUP($A49,[2]数据处理!$A:$E,5,0),0)</f>
        <v>0</v>
      </c>
      <c r="L49" s="18">
        <f>IFERROR(VLOOKUP($A49,[2]数据处理!$A:$N,7,0),0)</f>
        <v>0</v>
      </c>
      <c r="M49" s="22">
        <f t="shared" si="0"/>
        <v>57</v>
      </c>
      <c r="N49" s="18">
        <f>IFERROR(VLOOKUP($A49,[2]数据处理!$A:$N,3,0),0)</f>
        <v>0</v>
      </c>
      <c r="O49" s="17">
        <f>IFERROR(VLOOKUP($A49,[2]数据处理!$A:$N,14,0),0)</f>
        <v>56</v>
      </c>
      <c r="P49" s="17">
        <f>IFERROR(VLOOKUP($A49,[5]库存报告使用数据!$A$1:$B$65536,2,0),0)</f>
        <v>0</v>
      </c>
      <c r="Q49" s="17">
        <f>IFERROR(VLOOKUP($A49,[5]库存报告使用数据!$A$1:$E$65536,5,0),0)</f>
        <v>0</v>
      </c>
      <c r="R49" s="17">
        <f>IFERROR(VLOOKUP($A49,[5]库存报告使用数据!$A$1:$H$65536,8,0),0)</f>
        <v>0</v>
      </c>
      <c r="S49" s="17">
        <f>IFERROR(VLOOKUP($A49,[5]库存报告使用数据!$A$1:$K$65536,11,0),0)</f>
        <v>0</v>
      </c>
      <c r="T49" s="17" t="str">
        <f>IFERROR(VLOOKUP($A49,[5]库存报告使用数据!$A$1:$C$65536,3,0),"")</f>
        <v/>
      </c>
      <c r="U49" s="17" t="str">
        <f>IFERROR(VLOOKUP($A49,[5]库存报告使用数据!$A$1:$F$65536,6,0),"")</f>
        <v/>
      </c>
      <c r="V49" s="17" t="str">
        <f>IFERROR(VLOOKUP($A49,[5]库存报告使用数据!$A$1:$I$65536,9,0),"")</f>
        <v/>
      </c>
      <c r="W49" s="17" t="str">
        <f>IFERROR(VLOOKUP($A49,[5]库存报告使用数据!$A$1:$L$65536,12,0),"")</f>
        <v/>
      </c>
      <c r="X49" s="27" t="str">
        <f t="shared" si="1"/>
        <v/>
      </c>
      <c r="Y49" s="27" t="str">
        <f t="shared" si="2"/>
        <v/>
      </c>
      <c r="Z49" s="27" t="str">
        <f t="shared" si="3"/>
        <v/>
      </c>
      <c r="AA49" s="27" t="str">
        <f t="shared" si="4"/>
        <v/>
      </c>
      <c r="AB49" s="17" t="str">
        <f>IFERROR(VLOOKUP($A49,[5]库存报告使用数据!$A$1:$D$65536,4,0),"")</f>
        <v/>
      </c>
      <c r="AC49" s="17" t="str">
        <f>IFERROR(VLOOKUP($A49,[5]库存报告使用数据!$A$1:$G$65536,7,0),"")</f>
        <v/>
      </c>
      <c r="AD49" s="17" t="str">
        <f>IFERROR(VLOOKUP($A49,[5]库存报告使用数据!$A$1:$J$65536,10,0),"")</f>
        <v/>
      </c>
      <c r="AE49" s="17" t="str">
        <f>IFERROR(VLOOKUP($A49,[5]库存报告使用数据!$A$1:$M$65536,13,0),"")</f>
        <v/>
      </c>
      <c r="AF49" s="27" t="str">
        <f t="shared" si="15"/>
        <v>有广告无销售广告费为</v>
      </c>
      <c r="AG49" s="27" t="str">
        <f t="shared" si="16"/>
        <v>有广告无销售广告费为</v>
      </c>
      <c r="AH49" s="27" t="str">
        <f t="shared" si="17"/>
        <v>有广告无销售广告费为</v>
      </c>
      <c r="AI49" s="27" t="str">
        <f t="shared" si="18"/>
        <v>有广告无销售广告费为</v>
      </c>
      <c r="AJ49" s="17">
        <f>IFERROR(VLOOKUP($B49,'[3]浏览量处理(勿删)'!$A:$B,2,0),"")</f>
        <v>0</v>
      </c>
      <c r="AK49" s="17">
        <f>IFERROR(VLOOKUP($B49,'[3]浏览量处理(勿删)'!$A:$C,3,0),"")</f>
        <v>0</v>
      </c>
      <c r="AL49" s="17">
        <f>IFERROR(VLOOKUP($B49,'[3]浏览量处理(勿删)'!$A:$D,4,0),"")</f>
        <v>0</v>
      </c>
      <c r="AM49" s="17">
        <f>IFERROR(VLOOKUP($B49,'[3]浏览量处理(勿删)'!$A:$E,5,0),"")</f>
        <v>141</v>
      </c>
      <c r="AN49" s="27" t="str">
        <f t="shared" si="6"/>
        <v/>
      </c>
      <c r="AO49" s="27" t="str">
        <f t="shared" si="7"/>
        <v/>
      </c>
      <c r="AP49" s="27" t="str">
        <f t="shared" si="8"/>
        <v/>
      </c>
      <c r="AQ49" s="27">
        <f t="shared" si="9"/>
        <v>0</v>
      </c>
      <c r="AR49" s="32">
        <f t="shared" si="10"/>
        <v>0</v>
      </c>
      <c r="AS49" s="32">
        <f t="shared" si="11"/>
        <v>0</v>
      </c>
      <c r="AT49" s="32">
        <f t="shared" si="12"/>
        <v>57</v>
      </c>
      <c r="AU49" s="18" t="str">
        <f t="shared" si="13"/>
        <v>库存为57</v>
      </c>
      <c r="AV49" s="33" t="str">
        <f>IFERROR(时间!$B$4+AU49,"上周无销量")</f>
        <v>上周无销量</v>
      </c>
    </row>
    <row r="50" spans="1:48">
      <c r="A50" s="16" t="s">
        <v>94</v>
      </c>
      <c r="B50" s="17" t="str">
        <f>VLOOKUP(A50,[1]sku_fnsku_asin_产品名称!$A:$C,3,0)</f>
        <v>B002DV0KDQ</v>
      </c>
      <c r="C50" s="17" t="str">
        <f>VLOOKUP(A50,[1]sku_fnsku_asin_产品名称!$A:$D,4,0)</f>
        <v>Premier Dead Sea Luxury Moisture Cream for Multi-Use</v>
      </c>
      <c r="D50" s="18">
        <f>IFERROR(VLOOKUP(A50,[4]库存报告使用数据处理!$A:$B,2,0),0)</f>
        <v>0</v>
      </c>
      <c r="E50" s="18">
        <f>IFERROR(VLOOKUP(A50,[4]库存报告使用数据处理!$A:$C,3,0),0)</f>
        <v>2</v>
      </c>
      <c r="F50" s="18">
        <f>IFERROR(VLOOKUP(A50,[4]库存报告使用数据处理!$A:$D,4,0),0)</f>
        <v>0</v>
      </c>
      <c r="G50" s="18">
        <f>IFERROR(VLOOKUP(A50,[4]库存报告使用数据处理!$A:$E,5,0),0)</f>
        <v>1</v>
      </c>
      <c r="H50" s="18">
        <f>IFERROR(VLOOKUP(A50,[4]库存报告使用数据处理!$A:$F,6,0),0)</f>
        <v>17.49</v>
      </c>
      <c r="I50" s="18">
        <f>IFERROR(VLOOKUP($A50,[2]数据处理!$A:$B,2,0),0)</f>
        <v>0</v>
      </c>
      <c r="J50" s="18">
        <f>IFERROR(VLOOKUP($A50,[2]数据处理!$A:$D,4,0),0)</f>
        <v>0</v>
      </c>
      <c r="K50" s="18">
        <f>IFERROR(VLOOKUP($A50,[2]数据处理!$A:$E,5,0),0)</f>
        <v>0</v>
      </c>
      <c r="L50" s="18">
        <f>IFERROR(VLOOKUP($A50,[2]数据处理!$A:$N,7,0),0)</f>
        <v>0</v>
      </c>
      <c r="M50" s="22">
        <f t="shared" si="0"/>
        <v>0</v>
      </c>
      <c r="N50" s="18">
        <f>IFERROR(VLOOKUP($A50,[2]数据处理!$A:$N,3,0),0)</f>
        <v>0</v>
      </c>
      <c r="O50" s="17">
        <f>IFERROR(VLOOKUP($A50,[2]数据处理!$A:$N,14,0),0)</f>
        <v>0</v>
      </c>
      <c r="P50" s="17">
        <f>IFERROR(VLOOKUP($A50,[5]库存报告使用数据!$A$1:$B$65536,2,0),0)</f>
        <v>0</v>
      </c>
      <c r="Q50" s="17">
        <f>IFERROR(VLOOKUP($A50,[5]库存报告使用数据!$A$1:$E$65536,5,0),0)</f>
        <v>0</v>
      </c>
      <c r="R50" s="17">
        <f>IFERROR(VLOOKUP($A50,[5]库存报告使用数据!$A$1:$H$65536,8,0),0)</f>
        <v>0</v>
      </c>
      <c r="S50" s="17">
        <f>IFERROR(VLOOKUP($A50,[5]库存报告使用数据!$A$1:$K$65536,11,0),0)</f>
        <v>0</v>
      </c>
      <c r="T50" s="17" t="str">
        <f>IFERROR(VLOOKUP($A50,[5]库存报告使用数据!$A$1:$C$65536,3,0),"")</f>
        <v/>
      </c>
      <c r="U50" s="17" t="str">
        <f>IFERROR(VLOOKUP($A50,[5]库存报告使用数据!$A$1:$F$65536,6,0),"")</f>
        <v/>
      </c>
      <c r="V50" s="17" t="str">
        <f>IFERROR(VLOOKUP($A50,[5]库存报告使用数据!$A$1:$I$65536,9,0),"")</f>
        <v/>
      </c>
      <c r="W50" s="17" t="str">
        <f>IFERROR(VLOOKUP($A50,[5]库存报告使用数据!$A$1:$L$65536,12,0),"")</f>
        <v/>
      </c>
      <c r="X50" s="27" t="str">
        <f t="shared" si="1"/>
        <v/>
      </c>
      <c r="Y50" s="27" t="str">
        <f t="shared" si="2"/>
        <v/>
      </c>
      <c r="Z50" s="27" t="str">
        <f t="shared" si="3"/>
        <v/>
      </c>
      <c r="AA50" s="27" t="str">
        <f t="shared" si="4"/>
        <v/>
      </c>
      <c r="AB50" s="17" t="str">
        <f>IFERROR(VLOOKUP($A50,[5]库存报告使用数据!$A$1:$D$65536,4,0),"")</f>
        <v/>
      </c>
      <c r="AC50" s="17" t="str">
        <f>IFERROR(VLOOKUP($A50,[5]库存报告使用数据!$A$1:$G$65536,7,0),"")</f>
        <v/>
      </c>
      <c r="AD50" s="17" t="str">
        <f>IFERROR(VLOOKUP($A50,[5]库存报告使用数据!$A$1:$J$65536,10,0),"")</f>
        <v/>
      </c>
      <c r="AE50" s="17" t="str">
        <f>IFERROR(VLOOKUP($A50,[5]库存报告使用数据!$A$1:$M$65536,13,0),"")</f>
        <v/>
      </c>
      <c r="AF50" s="27" t="str">
        <f t="shared" si="15"/>
        <v>有广告无销售广告费为</v>
      </c>
      <c r="AG50" s="27" t="str">
        <f t="shared" si="16"/>
        <v/>
      </c>
      <c r="AH50" s="27" t="str">
        <f t="shared" si="17"/>
        <v>有广告无销售广告费为</v>
      </c>
      <c r="AI50" s="27" t="str">
        <f t="shared" si="18"/>
        <v/>
      </c>
      <c r="AJ50" s="17">
        <f>IFERROR(VLOOKUP($B50,'[3]浏览量处理(勿删)'!$A:$B,2,0),"")</f>
        <v>67</v>
      </c>
      <c r="AK50" s="17">
        <f>IFERROR(VLOOKUP($B50,'[3]浏览量处理(勿删)'!$A:$C,3,0),"")</f>
        <v>30</v>
      </c>
      <c r="AL50" s="17">
        <f>IFERROR(VLOOKUP($B50,'[3]浏览量处理(勿删)'!$A:$D,4,0),"")</f>
        <v>44</v>
      </c>
      <c r="AM50" s="17">
        <f>IFERROR(VLOOKUP($B50,'[3]浏览量处理(勿删)'!$A:$E,5,0),"")</f>
        <v>113</v>
      </c>
      <c r="AN50" s="27">
        <f t="shared" si="6"/>
        <v>0</v>
      </c>
      <c r="AO50" s="27">
        <f t="shared" si="7"/>
        <v>0.0666666666666667</v>
      </c>
      <c r="AP50" s="27">
        <f t="shared" si="8"/>
        <v>0</v>
      </c>
      <c r="AQ50" s="27">
        <f t="shared" si="9"/>
        <v>0.00884955752212389</v>
      </c>
      <c r="AR50" s="32">
        <f t="shared" si="10"/>
        <v>0</v>
      </c>
      <c r="AS50" s="32">
        <f t="shared" si="11"/>
        <v>0</v>
      </c>
      <c r="AT50" s="32">
        <f t="shared" si="12"/>
        <v>0</v>
      </c>
      <c r="AU50" s="18" t="str">
        <f t="shared" si="13"/>
        <v>库存为0</v>
      </c>
      <c r="AV50" s="33" t="str">
        <f>IFERROR(时间!$B$4+AU50,"上周无销量")</f>
        <v>上周无销量</v>
      </c>
    </row>
    <row r="51" spans="1:48">
      <c r="A51" s="16" t="s">
        <v>95</v>
      </c>
      <c r="B51" s="17" t="str">
        <f>VLOOKUP(A51,[1]sku_fnsku_asin_产品名称!$A:$C,3,0)</f>
        <v>B004H09KEQ</v>
      </c>
      <c r="C51" s="17" t="str">
        <f>VLOOKUP(A51,[1]sku_fnsku_asin_产品名称!$A:$D,4,0)</f>
        <v>Premier Dead Sea Luxury Facial Cleanser with Micro Grains, 4.25-Fluid Ounce</v>
      </c>
      <c r="D51" s="18">
        <f>IFERROR(VLOOKUP(A51,[4]库存报告使用数据处理!$A:$B,2,0),0)</f>
        <v>0</v>
      </c>
      <c r="E51" s="18">
        <f>IFERROR(VLOOKUP(A51,[4]库存报告使用数据处理!$A:$C,3,0),0)</f>
        <v>0</v>
      </c>
      <c r="F51" s="18">
        <f>IFERROR(VLOOKUP(A51,[4]库存报告使用数据处理!$A:$D,4,0),0)</f>
        <v>0</v>
      </c>
      <c r="G51" s="18">
        <f>IFERROR(VLOOKUP(A51,[4]库存报告使用数据处理!$A:$E,5,0),0)</f>
        <v>4</v>
      </c>
      <c r="H51" s="18">
        <f>IFERROR(VLOOKUP(A51,[4]库存报告使用数据处理!$A:$F,6,0),0)</f>
        <v>23.99</v>
      </c>
      <c r="I51" s="18">
        <f>IFERROR(VLOOKUP($A51,[2]数据处理!$A:$B,2,0),0)</f>
        <v>74</v>
      </c>
      <c r="J51" s="18">
        <f>IFERROR(VLOOKUP($A51,[2]数据处理!$A:$D,4,0),0)</f>
        <v>0</v>
      </c>
      <c r="K51" s="18">
        <f>IFERROR(VLOOKUP($A51,[2]数据处理!$A:$E,5,0),0)</f>
        <v>0</v>
      </c>
      <c r="L51" s="18">
        <f>IFERROR(VLOOKUP($A51,[2]数据处理!$A:$N,7,0),0)</f>
        <v>0</v>
      </c>
      <c r="M51" s="22">
        <f t="shared" si="0"/>
        <v>74</v>
      </c>
      <c r="N51" s="18">
        <f>IFERROR(VLOOKUP($A51,[2]数据处理!$A:$N,3,0),0)</f>
        <v>0</v>
      </c>
      <c r="O51" s="17">
        <f>IFERROR(VLOOKUP($A51,[2]数据处理!$A:$N,14,0),0)</f>
        <v>73</v>
      </c>
      <c r="P51" s="17">
        <f>IFERROR(VLOOKUP($A51,[5]库存报告使用数据!$A$1:$B$65536,2,0),0)</f>
        <v>4345</v>
      </c>
      <c r="Q51" s="17">
        <f>IFERROR(VLOOKUP($A51,[5]库存报告使用数据!$A$1:$E$65536,5,0),0)</f>
        <v>0</v>
      </c>
      <c r="R51" s="17">
        <f>IFERROR(VLOOKUP($A51,[5]库存报告使用数据!$A$1:$H$65536,8,0),0)</f>
        <v>0</v>
      </c>
      <c r="S51" s="17">
        <f>IFERROR(VLOOKUP($A51,[5]库存报告使用数据!$A$1:$K$65536,11,0),0)</f>
        <v>1588</v>
      </c>
      <c r="T51" s="17">
        <f>IFERROR(VLOOKUP($A51,[5]库存报告使用数据!$A$1:$C$65536,3,0),"")</f>
        <v>5</v>
      </c>
      <c r="U51" s="17">
        <f>IFERROR(VLOOKUP($A51,[5]库存报告使用数据!$A$1:$F$65536,6,0),"")</f>
        <v>0</v>
      </c>
      <c r="V51" s="17">
        <f>IFERROR(VLOOKUP($A51,[5]库存报告使用数据!$A$1:$I$65536,9,0),"")</f>
        <v>0</v>
      </c>
      <c r="W51" s="17">
        <f>IFERROR(VLOOKUP($A51,[5]库存报告使用数据!$A$1:$L$65536,12,0),"")</f>
        <v>3</v>
      </c>
      <c r="X51" s="27">
        <f t="shared" si="1"/>
        <v>0.00115074798619102</v>
      </c>
      <c r="Y51" s="27" t="str">
        <f t="shared" si="2"/>
        <v/>
      </c>
      <c r="Z51" s="27" t="str">
        <f t="shared" si="3"/>
        <v/>
      </c>
      <c r="AA51" s="27">
        <f t="shared" si="4"/>
        <v>0.00188916876574307</v>
      </c>
      <c r="AB51" s="17">
        <f>IFERROR(VLOOKUP($A51,[5]库存报告使用数据!$A$1:$D$65536,4,0),"")</f>
        <v>4.74</v>
      </c>
      <c r="AC51" s="17">
        <f>IFERROR(VLOOKUP($A51,[5]库存报告使用数据!$A$1:$G$65536,7,0),"")</f>
        <v>0</v>
      </c>
      <c r="AD51" s="17">
        <f>IFERROR(VLOOKUP($A51,[5]库存报告使用数据!$A$1:$J$65536,10,0),"")</f>
        <v>0</v>
      </c>
      <c r="AE51" s="17">
        <f>IFERROR(VLOOKUP($A51,[5]库存报告使用数据!$A$1:$M$65536,13,0),"")</f>
        <v>1.74</v>
      </c>
      <c r="AF51" s="27" t="str">
        <f t="shared" si="15"/>
        <v>有广告无销售广告费为4.74</v>
      </c>
      <c r="AG51" s="27" t="str">
        <f t="shared" si="16"/>
        <v/>
      </c>
      <c r="AH51" s="27" t="str">
        <f t="shared" si="17"/>
        <v/>
      </c>
      <c r="AI51" s="27">
        <f t="shared" si="18"/>
        <v>0.0181325552313464</v>
      </c>
      <c r="AJ51" s="17">
        <f>IFERROR(VLOOKUP($B51,'[3]浏览量处理(勿删)'!$A:$B,2,0),"")</f>
        <v>94</v>
      </c>
      <c r="AK51" s="17">
        <f>IFERROR(VLOOKUP($B51,'[3]浏览量处理(勿删)'!$A:$C,3,0),"")</f>
        <v>58</v>
      </c>
      <c r="AL51" s="17">
        <f>IFERROR(VLOOKUP($B51,'[3]浏览量处理(勿删)'!$A:$D,4,0),"")</f>
        <v>69</v>
      </c>
      <c r="AM51" s="17">
        <f>IFERROR(VLOOKUP($B51,'[3]浏览量处理(勿删)'!$A:$E,5,0),"")</f>
        <v>335</v>
      </c>
      <c r="AN51" s="27">
        <f t="shared" si="6"/>
        <v>0</v>
      </c>
      <c r="AO51" s="27">
        <f t="shared" si="7"/>
        <v>0</v>
      </c>
      <c r="AP51" s="27">
        <f t="shared" si="8"/>
        <v>0</v>
      </c>
      <c r="AQ51" s="27">
        <f t="shared" si="9"/>
        <v>0.0119402985074627</v>
      </c>
      <c r="AR51" s="32">
        <f t="shared" si="10"/>
        <v>0</v>
      </c>
      <c r="AS51" s="32">
        <f t="shared" si="11"/>
        <v>0</v>
      </c>
      <c r="AT51" s="32">
        <f t="shared" si="12"/>
        <v>74</v>
      </c>
      <c r="AU51" s="18" t="str">
        <f t="shared" si="13"/>
        <v>库存为74</v>
      </c>
      <c r="AV51" s="33" t="str">
        <f>IFERROR(时间!$B$4+AU51,"上周无销量")</f>
        <v>上周无销量</v>
      </c>
    </row>
    <row r="52" spans="1:48">
      <c r="A52" s="16" t="s">
        <v>96</v>
      </c>
      <c r="B52" s="17" t="str">
        <f>VLOOKUP(A52,[1]sku_fnsku_asin_产品名称!$A:$C,3,0)</f>
        <v>B000V7DONW</v>
      </c>
      <c r="C52" s="17" t="str">
        <f>VLOOKUP(A52,[1]sku_fnsku_asin_产品名称!$A:$D,4,0)</f>
        <v>Dead Sea Premier Collagen, Beta-Carotene &amp; Seaweed Mask</v>
      </c>
      <c r="D52" s="18">
        <f>IFERROR(VLOOKUP(A52,[4]库存报告使用数据处理!$A:$B,2,0),0)</f>
        <v>0</v>
      </c>
      <c r="E52" s="18">
        <f>IFERROR(VLOOKUP(A52,[4]库存报告使用数据处理!$A:$C,3,0),0)</f>
        <v>0</v>
      </c>
      <c r="F52" s="18">
        <f>IFERROR(VLOOKUP(A52,[4]库存报告使用数据处理!$A:$D,4,0),0)</f>
        <v>0</v>
      </c>
      <c r="G52" s="18">
        <f>IFERROR(VLOOKUP(A52,[4]库存报告使用数据处理!$A:$E,5,0),0)</f>
        <v>0</v>
      </c>
      <c r="H52" s="18">
        <f>IFERROR(VLOOKUP(A52,[4]库存报告使用数据处理!$A:$F,6,0),0)</f>
        <v>0</v>
      </c>
      <c r="I52" s="18">
        <f>IFERROR(VLOOKUP($A52,[2]数据处理!$A:$B,2,0),0)</f>
        <v>0</v>
      </c>
      <c r="J52" s="18">
        <f>IFERROR(VLOOKUP($A52,[2]数据处理!$A:$D,4,0),0)</f>
        <v>0</v>
      </c>
      <c r="K52" s="18">
        <f>IFERROR(VLOOKUP($A52,[2]数据处理!$A:$E,5,0),0)</f>
        <v>0</v>
      </c>
      <c r="L52" s="18">
        <f>IFERROR(VLOOKUP($A52,[2]数据处理!$A:$N,7,0),0)</f>
        <v>0</v>
      </c>
      <c r="M52" s="22">
        <f t="shared" si="0"/>
        <v>0</v>
      </c>
      <c r="N52" s="18">
        <f>IFERROR(VLOOKUP($A52,[2]数据处理!$A:$N,3,0),0)</f>
        <v>0</v>
      </c>
      <c r="O52" s="17">
        <f>IFERROR(VLOOKUP($A52,[2]数据处理!$A:$N,14,0),0)</f>
        <v>0</v>
      </c>
      <c r="P52" s="17">
        <f>IFERROR(VLOOKUP($A52,[5]库存报告使用数据!$A$1:$B$65536,2,0),0)</f>
        <v>0</v>
      </c>
      <c r="Q52" s="17">
        <f>IFERROR(VLOOKUP($A52,[5]库存报告使用数据!$A$1:$E$65536,5,0),0)</f>
        <v>0</v>
      </c>
      <c r="R52" s="17">
        <f>IFERROR(VLOOKUP($A52,[5]库存报告使用数据!$A$1:$H$65536,8,0),0)</f>
        <v>0</v>
      </c>
      <c r="S52" s="17">
        <f>IFERROR(VLOOKUP($A52,[5]库存报告使用数据!$A$1:$K$65536,11,0),0)</f>
        <v>0</v>
      </c>
      <c r="T52" s="17" t="str">
        <f>IFERROR(VLOOKUP($A52,[5]库存报告使用数据!$A$1:$C$65536,3,0),"")</f>
        <v/>
      </c>
      <c r="U52" s="17" t="str">
        <f>IFERROR(VLOOKUP($A52,[5]库存报告使用数据!$A$1:$F$65536,6,0),"")</f>
        <v/>
      </c>
      <c r="V52" s="17" t="str">
        <f>IFERROR(VLOOKUP($A52,[5]库存报告使用数据!$A$1:$I$65536,9,0),"")</f>
        <v/>
      </c>
      <c r="W52" s="17" t="str">
        <f>IFERROR(VLOOKUP($A52,[5]库存报告使用数据!$A$1:$L$65536,12,0),"")</f>
        <v/>
      </c>
      <c r="X52" s="27" t="str">
        <f t="shared" si="1"/>
        <v/>
      </c>
      <c r="Y52" s="27" t="str">
        <f t="shared" si="2"/>
        <v/>
      </c>
      <c r="Z52" s="27" t="str">
        <f t="shared" si="3"/>
        <v/>
      </c>
      <c r="AA52" s="27" t="str">
        <f t="shared" si="4"/>
        <v/>
      </c>
      <c r="AB52" s="17" t="str">
        <f>IFERROR(VLOOKUP($A52,[5]库存报告使用数据!$A$1:$D$65536,4,0),"")</f>
        <v/>
      </c>
      <c r="AC52" s="17" t="str">
        <f>IFERROR(VLOOKUP($A52,[5]库存报告使用数据!$A$1:$G$65536,7,0),"")</f>
        <v/>
      </c>
      <c r="AD52" s="17" t="str">
        <f>IFERROR(VLOOKUP($A52,[5]库存报告使用数据!$A$1:$J$65536,10,0),"")</f>
        <v/>
      </c>
      <c r="AE52" s="17" t="str">
        <f>IFERROR(VLOOKUP($A52,[5]库存报告使用数据!$A$1:$M$65536,13,0),"")</f>
        <v/>
      </c>
      <c r="AF52" s="27" t="str">
        <f t="shared" si="15"/>
        <v>有广告无销售广告费为</v>
      </c>
      <c r="AG52" s="27" t="str">
        <f t="shared" si="16"/>
        <v>有广告无销售广告费为</v>
      </c>
      <c r="AH52" s="27" t="str">
        <f t="shared" si="17"/>
        <v>有广告无销售广告费为</v>
      </c>
      <c r="AI52" s="27" t="str">
        <f t="shared" si="18"/>
        <v>有广告无销售广告费为</v>
      </c>
      <c r="AJ52" s="17">
        <f>IFERROR(VLOOKUP($B52,'[3]浏览量处理(勿删)'!$A:$B,2,0),"")</f>
        <v>0</v>
      </c>
      <c r="AK52" s="17">
        <f>IFERROR(VLOOKUP($B52,'[3]浏览量处理(勿删)'!$A:$C,3,0),"")</f>
        <v>11</v>
      </c>
      <c r="AL52" s="17">
        <f>IFERROR(VLOOKUP($B52,'[3]浏览量处理(勿删)'!$A:$D,4,0),"")</f>
        <v>7</v>
      </c>
      <c r="AM52" s="17">
        <f>IFERROR(VLOOKUP($B52,'[3]浏览量处理(勿删)'!$A:$E,5,0),"")</f>
        <v>59</v>
      </c>
      <c r="AN52" s="27" t="str">
        <f t="shared" si="6"/>
        <v/>
      </c>
      <c r="AO52" s="27">
        <f t="shared" si="7"/>
        <v>0</v>
      </c>
      <c r="AP52" s="27">
        <f t="shared" si="8"/>
        <v>0</v>
      </c>
      <c r="AQ52" s="27">
        <f t="shared" si="9"/>
        <v>0</v>
      </c>
      <c r="AR52" s="32">
        <f t="shared" si="10"/>
        <v>0</v>
      </c>
      <c r="AS52" s="32">
        <f t="shared" si="11"/>
        <v>0</v>
      </c>
      <c r="AT52" s="32">
        <f t="shared" si="12"/>
        <v>0</v>
      </c>
      <c r="AU52" s="18" t="str">
        <f t="shared" si="13"/>
        <v>库存为0</v>
      </c>
      <c r="AV52" s="33" t="str">
        <f>IFERROR(时间!$B$4+AU52,"上周无销量")</f>
        <v>上周无销量</v>
      </c>
    </row>
    <row r="53" spans="1:48">
      <c r="A53" s="16" t="s">
        <v>97</v>
      </c>
      <c r="B53" s="17" t="str">
        <f>VLOOKUP(A53,[1]sku_fnsku_asin_产品名称!$A:$C,3,0)</f>
        <v>B001278VEW</v>
      </c>
      <c r="C53" s="17" t="str">
        <f>VLOOKUP(A53,[1]sku_fnsku_asin_产品名称!$A:$D,4,0)</f>
        <v>Premier Dead Sea Professional Peeling Mask</v>
      </c>
      <c r="D53" s="18">
        <f>IFERROR(VLOOKUP(A53,[4]库存报告使用数据处理!$A:$B,2,0),0)</f>
        <v>0</v>
      </c>
      <c r="E53" s="18">
        <f>IFERROR(VLOOKUP(A53,[4]库存报告使用数据处理!$A:$C,3,0),0)</f>
        <v>0</v>
      </c>
      <c r="F53" s="18">
        <f>IFERROR(VLOOKUP(A53,[4]库存报告使用数据处理!$A:$D,4,0),0)</f>
        <v>0</v>
      </c>
      <c r="G53" s="18">
        <f>IFERROR(VLOOKUP(A53,[4]库存报告使用数据处理!$A:$E,5,0),0)</f>
        <v>0</v>
      </c>
      <c r="H53" s="18">
        <f>IFERROR(VLOOKUP(A53,[4]库存报告使用数据处理!$A:$F,6,0),0)</f>
        <v>0</v>
      </c>
      <c r="I53" s="18">
        <f>IFERROR(VLOOKUP($A53,[2]数据处理!$A:$B,2,0),0)</f>
        <v>0</v>
      </c>
      <c r="J53" s="18">
        <f>IFERROR(VLOOKUP($A53,[2]数据处理!$A:$D,4,0),0)</f>
        <v>0</v>
      </c>
      <c r="K53" s="18">
        <f>IFERROR(VLOOKUP($A53,[2]数据处理!$A:$E,5,0),0)</f>
        <v>0</v>
      </c>
      <c r="L53" s="18">
        <f>IFERROR(VLOOKUP($A53,[2]数据处理!$A:$N,7,0),0)</f>
        <v>0</v>
      </c>
      <c r="M53" s="22">
        <f t="shared" si="0"/>
        <v>0</v>
      </c>
      <c r="N53" s="18">
        <f>IFERROR(VLOOKUP($A53,[2]数据处理!$A:$N,3,0),0)</f>
        <v>0</v>
      </c>
      <c r="O53" s="17">
        <f>IFERROR(VLOOKUP($A53,[2]数据处理!$A:$N,14,0),0)</f>
        <v>0</v>
      </c>
      <c r="P53" s="17">
        <f>IFERROR(VLOOKUP($A53,[5]库存报告使用数据!$A$1:$B$65536,2,0),0)</f>
        <v>0</v>
      </c>
      <c r="Q53" s="17">
        <f>IFERROR(VLOOKUP($A53,[5]库存报告使用数据!$A$1:$E$65536,5,0),0)</f>
        <v>0</v>
      </c>
      <c r="R53" s="17">
        <f>IFERROR(VLOOKUP($A53,[5]库存报告使用数据!$A$1:$H$65536,8,0),0)</f>
        <v>0</v>
      </c>
      <c r="S53" s="17">
        <f>IFERROR(VLOOKUP($A53,[5]库存报告使用数据!$A$1:$K$65536,11,0),0)</f>
        <v>0</v>
      </c>
      <c r="T53" s="17" t="str">
        <f>IFERROR(VLOOKUP($A53,[5]库存报告使用数据!$A$1:$C$65536,3,0),"")</f>
        <v/>
      </c>
      <c r="U53" s="17" t="str">
        <f>IFERROR(VLOOKUP($A53,[5]库存报告使用数据!$A$1:$F$65536,6,0),"")</f>
        <v/>
      </c>
      <c r="V53" s="17" t="str">
        <f>IFERROR(VLOOKUP($A53,[5]库存报告使用数据!$A$1:$I$65536,9,0),"")</f>
        <v/>
      </c>
      <c r="W53" s="17" t="str">
        <f>IFERROR(VLOOKUP($A53,[5]库存报告使用数据!$A$1:$L$65536,12,0),"")</f>
        <v/>
      </c>
      <c r="X53" s="27" t="str">
        <f t="shared" si="1"/>
        <v/>
      </c>
      <c r="Y53" s="27" t="str">
        <f t="shared" si="2"/>
        <v/>
      </c>
      <c r="Z53" s="27" t="str">
        <f t="shared" si="3"/>
        <v/>
      </c>
      <c r="AA53" s="27" t="str">
        <f t="shared" si="4"/>
        <v/>
      </c>
      <c r="AB53" s="17" t="str">
        <f>IFERROR(VLOOKUP($A53,[5]库存报告使用数据!$A$1:$D$65536,4,0),"")</f>
        <v/>
      </c>
      <c r="AC53" s="17" t="str">
        <f>IFERROR(VLOOKUP($A53,[5]库存报告使用数据!$A$1:$G$65536,7,0),"")</f>
        <v/>
      </c>
      <c r="AD53" s="17" t="str">
        <f>IFERROR(VLOOKUP($A53,[5]库存报告使用数据!$A$1:$J$65536,10,0),"")</f>
        <v/>
      </c>
      <c r="AE53" s="17" t="str">
        <f>IFERROR(VLOOKUP($A53,[5]库存报告使用数据!$A$1:$M$65536,13,0),"")</f>
        <v/>
      </c>
      <c r="AF53" s="27" t="str">
        <f t="shared" si="15"/>
        <v>有广告无销售广告费为</v>
      </c>
      <c r="AG53" s="27" t="str">
        <f t="shared" si="16"/>
        <v>有广告无销售广告费为</v>
      </c>
      <c r="AH53" s="27" t="str">
        <f t="shared" si="17"/>
        <v>有广告无销售广告费为</v>
      </c>
      <c r="AI53" s="27" t="str">
        <f t="shared" si="18"/>
        <v>有广告无销售广告费为</v>
      </c>
      <c r="AJ53" s="17">
        <f>IFERROR(VLOOKUP($B53,'[3]浏览量处理(勿删)'!$A:$B,2,0),"")</f>
        <v>23</v>
      </c>
      <c r="AK53" s="17">
        <f>IFERROR(VLOOKUP($B53,'[3]浏览量处理(勿删)'!$A:$C,3,0),"")</f>
        <v>16</v>
      </c>
      <c r="AL53" s="17">
        <f>IFERROR(VLOOKUP($B53,'[3]浏览量处理(勿删)'!$A:$D,4,0),"")</f>
        <v>20</v>
      </c>
      <c r="AM53" s="17">
        <f>IFERROR(VLOOKUP($B53,'[3]浏览量处理(勿删)'!$A:$E,5,0),"")</f>
        <v>20</v>
      </c>
      <c r="AN53" s="27">
        <f t="shared" si="6"/>
        <v>0</v>
      </c>
      <c r="AO53" s="27">
        <f t="shared" si="7"/>
        <v>0</v>
      </c>
      <c r="AP53" s="27">
        <f t="shared" si="8"/>
        <v>0</v>
      </c>
      <c r="AQ53" s="27">
        <f t="shared" si="9"/>
        <v>0</v>
      </c>
      <c r="AR53" s="32">
        <f t="shared" si="10"/>
        <v>0</v>
      </c>
      <c r="AS53" s="32">
        <f t="shared" si="11"/>
        <v>0</v>
      </c>
      <c r="AT53" s="32">
        <f t="shared" si="12"/>
        <v>0</v>
      </c>
      <c r="AU53" s="18" t="str">
        <f t="shared" si="13"/>
        <v>库存为0</v>
      </c>
      <c r="AV53" s="33" t="str">
        <f>IFERROR(时间!$B$4+AU53,"上周无销量")</f>
        <v>上周无销量</v>
      </c>
    </row>
    <row r="54" spans="1:48">
      <c r="A54" s="16" t="s">
        <v>98</v>
      </c>
      <c r="B54" s="17" t="str">
        <f>VLOOKUP(A54,[1]sku_fnsku_asin_产品名称!$A:$C,3,0)</f>
        <v>B00115TXRE</v>
      </c>
      <c r="C54" s="17" t="str">
        <f>VLOOKUP(A54,[1]sku_fnsku_asin_产品名称!$A:$D,4,0)</f>
        <v>Dead Sea Premier Eye Serum.</v>
      </c>
      <c r="D54" s="18">
        <f>IFERROR(VLOOKUP(A54,[4]库存报告使用数据处理!$A:$B,2,0),0)</f>
        <v>1</v>
      </c>
      <c r="E54" s="18">
        <f>IFERROR(VLOOKUP(A54,[4]库存报告使用数据处理!$A:$C,3,0),0)</f>
        <v>0</v>
      </c>
      <c r="F54" s="18">
        <f>IFERROR(VLOOKUP(A54,[4]库存报告使用数据处理!$A:$D,4,0),0)</f>
        <v>0</v>
      </c>
      <c r="G54" s="18">
        <f>IFERROR(VLOOKUP(A54,[4]库存报告使用数据处理!$A:$E,5,0),0)</f>
        <v>2</v>
      </c>
      <c r="H54" s="18">
        <f>IFERROR(VLOOKUP(A54,[4]库存报告使用数据处理!$A:$F,6,0),0)</f>
        <v>47.99</v>
      </c>
      <c r="I54" s="18">
        <f>IFERROR(VLOOKUP($A54,[2]数据处理!$A:$B,2,0),0)</f>
        <v>61</v>
      </c>
      <c r="J54" s="18">
        <f>IFERROR(VLOOKUP($A54,[2]数据处理!$A:$D,4,0),0)</f>
        <v>0</v>
      </c>
      <c r="K54" s="18">
        <f>IFERROR(VLOOKUP($A54,[2]数据处理!$A:$E,5,0),0)</f>
        <v>0</v>
      </c>
      <c r="L54" s="18">
        <f>IFERROR(VLOOKUP($A54,[2]数据处理!$A:$N,7,0),0)</f>
        <v>0</v>
      </c>
      <c r="M54" s="22">
        <f t="shared" si="0"/>
        <v>61</v>
      </c>
      <c r="N54" s="18">
        <f>IFERROR(VLOOKUP($A54,[2]数据处理!$A:$N,3,0),0)</f>
        <v>0</v>
      </c>
      <c r="O54" s="17">
        <f>IFERROR(VLOOKUP($A54,[2]数据处理!$A:$N,14,0),0)</f>
        <v>42</v>
      </c>
      <c r="P54" s="17">
        <f>IFERROR(VLOOKUP($A54,[5]库存报告使用数据!$A$1:$B$65536,2,0),0)</f>
        <v>0</v>
      </c>
      <c r="Q54" s="17">
        <f>IFERROR(VLOOKUP($A54,[5]库存报告使用数据!$A$1:$E$65536,5,0),0)</f>
        <v>0</v>
      </c>
      <c r="R54" s="17">
        <f>IFERROR(VLOOKUP($A54,[5]库存报告使用数据!$A$1:$H$65536,8,0),0)</f>
        <v>0</v>
      </c>
      <c r="S54" s="17">
        <f>IFERROR(VLOOKUP($A54,[5]库存报告使用数据!$A$1:$K$65536,11,0),0)</f>
        <v>251</v>
      </c>
      <c r="T54" s="17">
        <f>IFERROR(VLOOKUP($A54,[5]库存报告使用数据!$A$1:$C$65536,3,0),"")</f>
        <v>0</v>
      </c>
      <c r="U54" s="17">
        <f>IFERROR(VLOOKUP($A54,[5]库存报告使用数据!$A$1:$F$65536,6,0),"")</f>
        <v>0</v>
      </c>
      <c r="V54" s="17">
        <f>IFERROR(VLOOKUP($A54,[5]库存报告使用数据!$A$1:$I$65536,9,0),"")</f>
        <v>0</v>
      </c>
      <c r="W54" s="17">
        <f>IFERROR(VLOOKUP($A54,[5]库存报告使用数据!$A$1:$L$65536,12,0),"")</f>
        <v>1</v>
      </c>
      <c r="X54" s="27" t="str">
        <f t="shared" si="1"/>
        <v/>
      </c>
      <c r="Y54" s="27" t="str">
        <f t="shared" si="2"/>
        <v/>
      </c>
      <c r="Z54" s="27" t="str">
        <f t="shared" si="3"/>
        <v/>
      </c>
      <c r="AA54" s="27">
        <f t="shared" si="4"/>
        <v>0.00398406374501992</v>
      </c>
      <c r="AB54" s="17">
        <f>IFERROR(VLOOKUP($A54,[5]库存报告使用数据!$A$1:$D$65536,4,0),"")</f>
        <v>0</v>
      </c>
      <c r="AC54" s="17">
        <f>IFERROR(VLOOKUP($A54,[5]库存报告使用数据!$A$1:$G$65536,7,0),"")</f>
        <v>0</v>
      </c>
      <c r="AD54" s="17">
        <f>IFERROR(VLOOKUP($A54,[5]库存报告使用数据!$A$1:$J$65536,10,0),"")</f>
        <v>0</v>
      </c>
      <c r="AE54" s="17">
        <f>IFERROR(VLOOKUP($A54,[5]库存报告使用数据!$A$1:$M$65536,13,0),"")</f>
        <v>0.69</v>
      </c>
      <c r="AF54" s="27">
        <f t="shared" si="15"/>
        <v>0</v>
      </c>
      <c r="AG54" s="27" t="str">
        <f t="shared" si="16"/>
        <v/>
      </c>
      <c r="AH54" s="27" t="str">
        <f t="shared" si="17"/>
        <v/>
      </c>
      <c r="AI54" s="27">
        <f t="shared" si="18"/>
        <v>0.0071889977078558</v>
      </c>
      <c r="AJ54" s="17">
        <f>IFERROR(VLOOKUP($B54,'[3]浏览量处理(勿删)'!$A:$B,2,0),"")</f>
        <v>183</v>
      </c>
      <c r="AK54" s="17">
        <f>IFERROR(VLOOKUP($B54,'[3]浏览量处理(勿删)'!$A:$C,3,0),"")</f>
        <v>177</v>
      </c>
      <c r="AL54" s="17">
        <f>IFERROR(VLOOKUP($B54,'[3]浏览量处理(勿删)'!$A:$D,4,0),"")</f>
        <v>165</v>
      </c>
      <c r="AM54" s="17">
        <f>IFERROR(VLOOKUP($B54,'[3]浏览量处理(勿删)'!$A:$E,5,0),"")</f>
        <v>660</v>
      </c>
      <c r="AN54" s="27">
        <f t="shared" si="6"/>
        <v>0.00546448087431694</v>
      </c>
      <c r="AO54" s="27">
        <f t="shared" si="7"/>
        <v>0</v>
      </c>
      <c r="AP54" s="27">
        <f t="shared" si="8"/>
        <v>0</v>
      </c>
      <c r="AQ54" s="27">
        <f t="shared" si="9"/>
        <v>0.00303030303030303</v>
      </c>
      <c r="AR54" s="32">
        <f t="shared" si="10"/>
        <v>0.142857142857143</v>
      </c>
      <c r="AS54" s="32">
        <f t="shared" si="11"/>
        <v>8.57142857142857</v>
      </c>
      <c r="AT54" s="32">
        <f t="shared" si="12"/>
        <v>52.4285714285714</v>
      </c>
      <c r="AU54" s="18">
        <f t="shared" si="13"/>
        <v>427</v>
      </c>
      <c r="AV54" s="33">
        <f>IFERROR(时间!$B$4+AU54,"上周无销量")</f>
        <v>43717</v>
      </c>
    </row>
    <row r="55" spans="1:48">
      <c r="A55" s="16" t="s">
        <v>99</v>
      </c>
      <c r="B55" s="17" t="str">
        <f>VLOOKUP(A55,[1]sku_fnsku_asin_产品名称!$A:$C,3,0)</f>
        <v>B003NQ7P0Q</v>
      </c>
      <c r="C55" s="17" t="str">
        <f>VLOOKUP(A55,[1]sku_fnsku_asin_产品名称!$A:$D,4,0)</f>
        <v>Premier Dead Sea Nourishing Cream for Men (tube)</v>
      </c>
      <c r="D55" s="18">
        <f>IFERROR(VLOOKUP(A55,[4]库存报告使用数据处理!$A:$B,2,0),0)</f>
        <v>4</v>
      </c>
      <c r="E55" s="18">
        <f>IFERROR(VLOOKUP(A55,[4]库存报告使用数据处理!$A:$C,3,0),0)</f>
        <v>0</v>
      </c>
      <c r="F55" s="18">
        <f>IFERROR(VLOOKUP(A55,[4]库存报告使用数据处理!$A:$D,4,0),0)</f>
        <v>0</v>
      </c>
      <c r="G55" s="18">
        <f>IFERROR(VLOOKUP(A55,[4]库存报告使用数据处理!$A:$E,5,0),0)</f>
        <v>0</v>
      </c>
      <c r="H55" s="18">
        <f>IFERROR(VLOOKUP(A55,[4]库存报告使用数据处理!$A:$F,6,0),0)</f>
        <v>15.99</v>
      </c>
      <c r="I55" s="18">
        <f>IFERROR(VLOOKUP($A55,[2]数据处理!$A:$B,2,0),0)</f>
        <v>22</v>
      </c>
      <c r="J55" s="18">
        <f>IFERROR(VLOOKUP($A55,[2]数据处理!$A:$D,4,0),0)</f>
        <v>0</v>
      </c>
      <c r="K55" s="18">
        <f>IFERROR(VLOOKUP($A55,[2]数据处理!$A:$E,5,0),0)</f>
        <v>0</v>
      </c>
      <c r="L55" s="18">
        <f>IFERROR(VLOOKUP($A55,[2]数据处理!$A:$N,7,0),0)</f>
        <v>39</v>
      </c>
      <c r="M55" s="22">
        <f t="shared" si="0"/>
        <v>61</v>
      </c>
      <c r="N55" s="18">
        <f>IFERROR(VLOOKUP($A55,[2]数据处理!$A:$N,3,0),0)</f>
        <v>0</v>
      </c>
      <c r="O55" s="17">
        <f>IFERROR(VLOOKUP($A55,[2]数据处理!$A:$N,14,0),0)</f>
        <v>0</v>
      </c>
      <c r="P55" s="17">
        <f>IFERROR(VLOOKUP($A55,[5]库存报告使用数据!$A$1:$B$65536,2,0),0)</f>
        <v>5291</v>
      </c>
      <c r="Q55" s="17">
        <f>IFERROR(VLOOKUP($A55,[5]库存报告使用数据!$A$1:$E$65536,5,0),0)</f>
        <v>0</v>
      </c>
      <c r="R55" s="17">
        <f>IFERROR(VLOOKUP($A55,[5]库存报告使用数据!$A$1:$H$65536,8,0),0)</f>
        <v>0</v>
      </c>
      <c r="S55" s="17">
        <f>IFERROR(VLOOKUP($A55,[5]库存报告使用数据!$A$1:$K$65536,11,0),0)</f>
        <v>0</v>
      </c>
      <c r="T55" s="17">
        <f>IFERROR(VLOOKUP($A55,[5]库存报告使用数据!$A$1:$C$65536,3,0),"")</f>
        <v>15</v>
      </c>
      <c r="U55" s="17">
        <f>IFERROR(VLOOKUP($A55,[5]库存报告使用数据!$A$1:$F$65536,6,0),"")</f>
        <v>0</v>
      </c>
      <c r="V55" s="17">
        <f>IFERROR(VLOOKUP($A55,[5]库存报告使用数据!$A$1:$I$65536,9,0),"")</f>
        <v>0</v>
      </c>
      <c r="W55" s="17">
        <f>IFERROR(VLOOKUP($A55,[5]库存报告使用数据!$A$1:$L$65536,12,0),"")</f>
        <v>0</v>
      </c>
      <c r="X55" s="27">
        <f t="shared" si="1"/>
        <v>0.00283500283500284</v>
      </c>
      <c r="Y55" s="27" t="str">
        <f t="shared" si="2"/>
        <v/>
      </c>
      <c r="Z55" s="27" t="str">
        <f t="shared" si="3"/>
        <v/>
      </c>
      <c r="AA55" s="27" t="str">
        <f t="shared" si="4"/>
        <v/>
      </c>
      <c r="AB55" s="17">
        <f>IFERROR(VLOOKUP($A55,[5]库存报告使用数据!$A$1:$D$65536,4,0),"")</f>
        <v>16.61</v>
      </c>
      <c r="AC55" s="17">
        <f>IFERROR(VLOOKUP($A55,[5]库存报告使用数据!$A$1:$G$65536,7,0),"")</f>
        <v>0</v>
      </c>
      <c r="AD55" s="17">
        <f>IFERROR(VLOOKUP($A55,[5]库存报告使用数据!$A$1:$J$65536,10,0),"")</f>
        <v>0</v>
      </c>
      <c r="AE55" s="17">
        <f>IFERROR(VLOOKUP($A55,[5]库存报告使用数据!$A$1:$M$65536,13,0),"")</f>
        <v>0</v>
      </c>
      <c r="AF55" s="27">
        <f t="shared" si="15"/>
        <v>0.259693558474046</v>
      </c>
      <c r="AG55" s="27" t="str">
        <f t="shared" si="16"/>
        <v/>
      </c>
      <c r="AH55" s="27" t="str">
        <f t="shared" si="17"/>
        <v/>
      </c>
      <c r="AI55" s="27" t="str">
        <f t="shared" si="18"/>
        <v/>
      </c>
      <c r="AJ55" s="17">
        <f>IFERROR(VLOOKUP($B55,'[3]浏览量处理(勿删)'!$A:$B,2,0),"")</f>
        <v>34</v>
      </c>
      <c r="AK55" s="17">
        <f>IFERROR(VLOOKUP($B55,'[3]浏览量处理(勿删)'!$A:$C,3,0),"")</f>
        <v>0</v>
      </c>
      <c r="AL55" s="17">
        <f>IFERROR(VLOOKUP($B55,'[3]浏览量处理(勿删)'!$A:$D,4,0),"")</f>
        <v>0</v>
      </c>
      <c r="AM55" s="17">
        <f>IFERROR(VLOOKUP($B55,'[3]浏览量处理(勿删)'!$A:$E,5,0),"")</f>
        <v>137</v>
      </c>
      <c r="AN55" s="27">
        <f t="shared" si="6"/>
        <v>0.117647058823529</v>
      </c>
      <c r="AO55" s="27" t="str">
        <f t="shared" si="7"/>
        <v/>
      </c>
      <c r="AP55" s="27" t="str">
        <f t="shared" si="8"/>
        <v/>
      </c>
      <c r="AQ55" s="27">
        <f t="shared" si="9"/>
        <v>0</v>
      </c>
      <c r="AR55" s="32">
        <f t="shared" si="10"/>
        <v>0.571428571428571</v>
      </c>
      <c r="AS55" s="32">
        <f t="shared" si="11"/>
        <v>34.2857142857143</v>
      </c>
      <c r="AT55" s="32">
        <f t="shared" si="12"/>
        <v>26.7142857142857</v>
      </c>
      <c r="AU55" s="18">
        <f t="shared" si="13"/>
        <v>106</v>
      </c>
      <c r="AV55" s="33">
        <f>IFERROR(时间!$B$4+AU55,"上周无销量")</f>
        <v>43396</v>
      </c>
    </row>
    <row r="56" spans="1:48">
      <c r="A56" s="16" t="s">
        <v>100</v>
      </c>
      <c r="B56" s="17" t="str">
        <f>VLOOKUP(A56,[1]sku_fnsku_asin_产品名称!$A:$C,3,0)</f>
        <v>B00BD3OU72</v>
      </c>
      <c r="C56" s="17" t="str">
        <f>VLOOKUP(A56,[1]sku_fnsku_asin_产品名称!$A:$D,4,0)</f>
        <v>Premier Dead Sea Para-pharmaceutical Exfoliating Facial Gel, Brown, 4.3958-Fluid Ounce</v>
      </c>
      <c r="D56" s="18">
        <f>IFERROR(VLOOKUP(A56,[4]库存报告使用数据处理!$A:$B,2,0),0)</f>
        <v>7</v>
      </c>
      <c r="E56" s="18">
        <f>IFERROR(VLOOKUP(A56,[4]库存报告使用数据处理!$A:$C,3,0),0)</f>
        <v>5</v>
      </c>
      <c r="F56" s="18">
        <f>IFERROR(VLOOKUP(A56,[4]库存报告使用数据处理!$A:$D,4,0),0)</f>
        <v>2</v>
      </c>
      <c r="G56" s="18">
        <f>IFERROR(VLOOKUP(A56,[4]库存报告使用数据处理!$A:$E,5,0),0)</f>
        <v>5</v>
      </c>
      <c r="H56" s="18">
        <f>IFERROR(VLOOKUP(A56,[4]库存报告使用数据处理!$A:$F,6,0),0)</f>
        <v>25.69</v>
      </c>
      <c r="I56" s="18">
        <f>IFERROR(VLOOKUP($A56,[2]数据处理!$A:$B,2,0),0)</f>
        <v>70</v>
      </c>
      <c r="J56" s="18">
        <f>IFERROR(VLOOKUP($A56,[2]数据处理!$A:$D,4,0),0)</f>
        <v>0</v>
      </c>
      <c r="K56" s="18">
        <f>IFERROR(VLOOKUP($A56,[2]数据处理!$A:$E,5,0),0)</f>
        <v>0</v>
      </c>
      <c r="L56" s="18">
        <f>IFERROR(VLOOKUP($A56,[2]数据处理!$A:$N,7,0),0)</f>
        <v>0</v>
      </c>
      <c r="M56" s="22">
        <f t="shared" si="0"/>
        <v>70</v>
      </c>
      <c r="N56" s="18">
        <f>IFERROR(VLOOKUP($A56,[2]数据处理!$A:$N,3,0),0)</f>
        <v>1</v>
      </c>
      <c r="O56" s="17">
        <f>IFERROR(VLOOKUP($A56,[2]数据处理!$A:$N,14,0),0)</f>
        <v>0</v>
      </c>
      <c r="P56" s="17">
        <f>IFERROR(VLOOKUP($A56,[5]库存报告使用数据!$A$1:$B$65536,2,0),0)</f>
        <v>7458</v>
      </c>
      <c r="Q56" s="17">
        <f>IFERROR(VLOOKUP($A56,[5]库存报告使用数据!$A$1:$E$65536,5,0),0)</f>
        <v>3680</v>
      </c>
      <c r="R56" s="17">
        <f>IFERROR(VLOOKUP($A56,[5]库存报告使用数据!$A$1:$H$65536,8,0),0)</f>
        <v>1047</v>
      </c>
      <c r="S56" s="17">
        <f>IFERROR(VLOOKUP($A56,[5]库存报告使用数据!$A$1:$K$65536,11,0),0)</f>
        <v>461</v>
      </c>
      <c r="T56" s="17">
        <f>IFERROR(VLOOKUP($A56,[5]库存报告使用数据!$A$1:$C$65536,3,0),"")</f>
        <v>11</v>
      </c>
      <c r="U56" s="17">
        <f>IFERROR(VLOOKUP($A56,[5]库存报告使用数据!$A$1:$F$65536,6,0),"")</f>
        <v>7</v>
      </c>
      <c r="V56" s="17">
        <f>IFERROR(VLOOKUP($A56,[5]库存报告使用数据!$A$1:$I$65536,9,0),"")</f>
        <v>1</v>
      </c>
      <c r="W56" s="17">
        <f>IFERROR(VLOOKUP($A56,[5]库存报告使用数据!$A$1:$L$65536,12,0),"")</f>
        <v>4</v>
      </c>
      <c r="X56" s="27">
        <f t="shared" si="1"/>
        <v>0.00147492625368732</v>
      </c>
      <c r="Y56" s="27">
        <f t="shared" si="2"/>
        <v>0.00190217391304348</v>
      </c>
      <c r="Z56" s="27">
        <f t="shared" si="3"/>
        <v>0.000955109837631328</v>
      </c>
      <c r="AA56" s="27">
        <f t="shared" si="4"/>
        <v>0.00867678958785249</v>
      </c>
      <c r="AB56" s="17">
        <f>IFERROR(VLOOKUP($A56,[5]库存报告使用数据!$A$1:$D$65536,4,0),"")</f>
        <v>9.59</v>
      </c>
      <c r="AC56" s="17">
        <f>IFERROR(VLOOKUP($A56,[5]库存报告使用数据!$A$1:$G$65536,7,0),"")</f>
        <v>5.34</v>
      </c>
      <c r="AD56" s="17">
        <f>IFERROR(VLOOKUP($A56,[5]库存报告使用数据!$A$1:$J$65536,10,0),"")</f>
        <v>0.75</v>
      </c>
      <c r="AE56" s="17">
        <f>IFERROR(VLOOKUP($A56,[5]库存报告使用数据!$A$1:$M$65536,13,0),"")</f>
        <v>2.36</v>
      </c>
      <c r="AF56" s="27">
        <f t="shared" si="15"/>
        <v>0.0533281432463994</v>
      </c>
      <c r="AG56" s="27">
        <f t="shared" si="16"/>
        <v>0.0415725963409887</v>
      </c>
      <c r="AH56" s="27">
        <f t="shared" si="17"/>
        <v>0.0145971195017517</v>
      </c>
      <c r="AI56" s="27">
        <f t="shared" si="18"/>
        <v>0.0183729077462047</v>
      </c>
      <c r="AJ56" s="17">
        <f>IFERROR(VLOOKUP($B56,'[3]浏览量处理(勿删)'!$A:$B,2,0),"")</f>
        <v>22</v>
      </c>
      <c r="AK56" s="17">
        <f>IFERROR(VLOOKUP($B56,'[3]浏览量处理(勿删)'!$A:$C,3,0),"")</f>
        <v>21</v>
      </c>
      <c r="AL56" s="17">
        <f>IFERROR(VLOOKUP($B56,'[3]浏览量处理(勿删)'!$A:$D,4,0),"")</f>
        <v>9</v>
      </c>
      <c r="AM56" s="17">
        <f>IFERROR(VLOOKUP($B56,'[3]浏览量处理(勿删)'!$A:$E,5,0),"")</f>
        <v>52</v>
      </c>
      <c r="AN56" s="27">
        <f t="shared" si="6"/>
        <v>0.318181818181818</v>
      </c>
      <c r="AO56" s="27">
        <f t="shared" si="7"/>
        <v>0.238095238095238</v>
      </c>
      <c r="AP56" s="27">
        <f t="shared" si="8"/>
        <v>0.222222222222222</v>
      </c>
      <c r="AQ56" s="27">
        <f t="shared" si="9"/>
        <v>0.0961538461538462</v>
      </c>
      <c r="AR56" s="32">
        <f t="shared" si="10"/>
        <v>1</v>
      </c>
      <c r="AS56" s="32">
        <f t="shared" si="11"/>
        <v>60</v>
      </c>
      <c r="AT56" s="32">
        <f t="shared" si="12"/>
        <v>10</v>
      </c>
      <c r="AU56" s="18">
        <f t="shared" si="13"/>
        <v>70</v>
      </c>
      <c r="AV56" s="33">
        <f>IFERROR(时间!$B$4+AU56,"上周无销量")</f>
        <v>43360</v>
      </c>
    </row>
    <row r="57" spans="1:48">
      <c r="A57" s="16" t="s">
        <v>101</v>
      </c>
      <c r="B57" s="17" t="str">
        <f>VLOOKUP(A57,[1]sku_fnsku_asin_产品名称!$A:$C,3,0)</f>
        <v>B0016Q1RI6</v>
      </c>
      <c r="C57" s="17" t="str">
        <f>VLOOKUP(A57,[1]sku_fnsku_asin_产品名称!$A:$D,4,0)</f>
        <v>Premier Dead Sea Para-pharmaceutical Exfoliating Facial Gel, Brown, 4.25-Fluid Ounce</v>
      </c>
      <c r="D57" s="18">
        <f>IFERROR(VLOOKUP(A57,[4]库存报告使用数据处理!$A:$B,2,0),0)</f>
        <v>0</v>
      </c>
      <c r="E57" s="18">
        <f>IFERROR(VLOOKUP(A57,[4]库存报告使用数据处理!$A:$C,3,0),0)</f>
        <v>1</v>
      </c>
      <c r="F57" s="18">
        <f>IFERROR(VLOOKUP(A57,[4]库存报告使用数据处理!$A:$D,4,0),0)</f>
        <v>0</v>
      </c>
      <c r="G57" s="18">
        <f>IFERROR(VLOOKUP(A57,[4]库存报告使用数据处理!$A:$E,5,0),0)</f>
        <v>0</v>
      </c>
      <c r="H57" s="18">
        <f>IFERROR(VLOOKUP(A57,[4]库存报告使用数据处理!$A:$F,6,0),0)</f>
        <v>25.69</v>
      </c>
      <c r="I57" s="18">
        <f>IFERROR(VLOOKUP($A57,[2]数据处理!$A:$B,2,0),0)</f>
        <v>0</v>
      </c>
      <c r="J57" s="18">
        <f>IFERROR(VLOOKUP($A57,[2]数据处理!$A:$D,4,0),0)</f>
        <v>0</v>
      </c>
      <c r="K57" s="18">
        <f>IFERROR(VLOOKUP($A57,[2]数据处理!$A:$E,5,0),0)</f>
        <v>0</v>
      </c>
      <c r="L57" s="18">
        <f>IFERROR(VLOOKUP($A57,[2]数据处理!$A:$N,7,0),0)</f>
        <v>0</v>
      </c>
      <c r="M57" s="22">
        <f t="shared" si="0"/>
        <v>0</v>
      </c>
      <c r="N57" s="18">
        <f>IFERROR(VLOOKUP($A57,[2]数据处理!$A:$N,3,0),0)</f>
        <v>0</v>
      </c>
      <c r="O57" s="17">
        <f>IFERROR(VLOOKUP($A57,[2]数据处理!$A:$N,14,0),0)</f>
        <v>0</v>
      </c>
      <c r="P57" s="17">
        <f>IFERROR(VLOOKUP($A57,[5]库存报告使用数据!$A$1:$B$65536,2,0),0)</f>
        <v>0</v>
      </c>
      <c r="Q57" s="17">
        <f>IFERROR(VLOOKUP($A57,[5]库存报告使用数据!$A$1:$E$65536,5,0),0)</f>
        <v>3539</v>
      </c>
      <c r="R57" s="17">
        <f>IFERROR(VLOOKUP($A57,[5]库存报告使用数据!$A$1:$H$65536,8,0),0)</f>
        <v>0</v>
      </c>
      <c r="S57" s="17">
        <f>IFERROR(VLOOKUP($A57,[5]库存报告使用数据!$A$1:$K$65536,11,0),0)</f>
        <v>0</v>
      </c>
      <c r="T57" s="17">
        <f>IFERROR(VLOOKUP($A57,[5]库存报告使用数据!$A$1:$C$65536,3,0),"")</f>
        <v>0</v>
      </c>
      <c r="U57" s="17">
        <f>IFERROR(VLOOKUP($A57,[5]库存报告使用数据!$A$1:$F$65536,6,0),"")</f>
        <v>6</v>
      </c>
      <c r="V57" s="17">
        <f>IFERROR(VLOOKUP($A57,[5]库存报告使用数据!$A$1:$I$65536,9,0),"")</f>
        <v>0</v>
      </c>
      <c r="W57" s="17">
        <f>IFERROR(VLOOKUP($A57,[5]库存报告使用数据!$A$1:$L$65536,12,0),"")</f>
        <v>0</v>
      </c>
      <c r="X57" s="27" t="str">
        <f t="shared" si="1"/>
        <v/>
      </c>
      <c r="Y57" s="27">
        <f t="shared" si="2"/>
        <v>0.00169539417914665</v>
      </c>
      <c r="Z57" s="27" t="str">
        <f t="shared" si="3"/>
        <v/>
      </c>
      <c r="AA57" s="27" t="str">
        <f t="shared" si="4"/>
        <v/>
      </c>
      <c r="AB57" s="17">
        <f>IFERROR(VLOOKUP($A57,[5]库存报告使用数据!$A$1:$D$65536,4,0),"")</f>
        <v>0</v>
      </c>
      <c r="AC57" s="17">
        <f>IFERROR(VLOOKUP($A57,[5]库存报告使用数据!$A$1:$G$65536,7,0),"")</f>
        <v>7.03</v>
      </c>
      <c r="AD57" s="17">
        <f>IFERROR(VLOOKUP($A57,[5]库存报告使用数据!$A$1:$J$65536,10,0),"")</f>
        <v>0</v>
      </c>
      <c r="AE57" s="17">
        <f>IFERROR(VLOOKUP($A57,[5]库存报告使用数据!$A$1:$M$65536,13,0),"")</f>
        <v>0</v>
      </c>
      <c r="AF57" s="27" t="str">
        <f t="shared" si="15"/>
        <v/>
      </c>
      <c r="AG57" s="27">
        <f t="shared" si="16"/>
        <v>0.273647333592838</v>
      </c>
      <c r="AH57" s="27" t="str">
        <f t="shared" si="17"/>
        <v/>
      </c>
      <c r="AI57" s="27" t="str">
        <f t="shared" si="18"/>
        <v/>
      </c>
      <c r="AJ57" s="17">
        <f>IFERROR(VLOOKUP($B57,'[3]浏览量处理(勿删)'!$A:$B,2,0),"")</f>
        <v>0</v>
      </c>
      <c r="AK57" s="17">
        <f>IFERROR(VLOOKUP($B57,'[3]浏览量处理(勿删)'!$A:$C,3,0),"")</f>
        <v>28</v>
      </c>
      <c r="AL57" s="17">
        <f>IFERROR(VLOOKUP($B57,'[3]浏览量处理(勿删)'!$A:$D,4,0),"")</f>
        <v>0</v>
      </c>
      <c r="AM57" s="17">
        <f>IFERROR(VLOOKUP($B57,'[3]浏览量处理(勿删)'!$A:$E,5,0),"")</f>
        <v>258</v>
      </c>
      <c r="AN57" s="27" t="str">
        <f t="shared" si="6"/>
        <v/>
      </c>
      <c r="AO57" s="27">
        <f t="shared" si="7"/>
        <v>0.0357142857142857</v>
      </c>
      <c r="AP57" s="27" t="str">
        <f t="shared" si="8"/>
        <v/>
      </c>
      <c r="AQ57" s="27">
        <f t="shared" si="9"/>
        <v>0</v>
      </c>
      <c r="AR57" s="32">
        <f t="shared" si="10"/>
        <v>0</v>
      </c>
      <c r="AS57" s="32">
        <f t="shared" si="11"/>
        <v>0</v>
      </c>
      <c r="AT57" s="32">
        <f t="shared" si="12"/>
        <v>0</v>
      </c>
      <c r="AU57" s="18" t="str">
        <f t="shared" si="13"/>
        <v>库存为0</v>
      </c>
      <c r="AV57" s="33" t="str">
        <f>IFERROR(时间!$B$4+AU57,"上周无销量")</f>
        <v>上周无销量</v>
      </c>
    </row>
    <row r="58" spans="1:48">
      <c r="A58" s="16" t="s">
        <v>102</v>
      </c>
      <c r="B58" s="17" t="str">
        <f>VLOOKUP(A58,[1]sku_fnsku_asin_产品名称!$A:$C,3,0)</f>
        <v>B002DYY35Y</v>
      </c>
      <c r="C58" s="17" t="str">
        <f>VLOOKUP(A58,[1]sku_fnsku_asin_产品名称!$A:$D,4,0)</f>
        <v>Premier Dead Sea Mineral Body Treatment - Salt Scrub - Lemon Aroma</v>
      </c>
      <c r="D58" s="18">
        <f>IFERROR(VLOOKUP(A58,[4]库存报告使用数据处理!$A:$B,2,0),0)</f>
        <v>4</v>
      </c>
      <c r="E58" s="18">
        <f>IFERROR(VLOOKUP(A58,[4]库存报告使用数据处理!$A:$C,3,0),0)</f>
        <v>2</v>
      </c>
      <c r="F58" s="18">
        <f>IFERROR(VLOOKUP(A58,[4]库存报告使用数据处理!$A:$D,4,0),0)</f>
        <v>0</v>
      </c>
      <c r="G58" s="18">
        <f>IFERROR(VLOOKUP(A58,[4]库存报告使用数据处理!$A:$E,5,0),0)</f>
        <v>0</v>
      </c>
      <c r="H58" s="18">
        <f>IFERROR(VLOOKUP(A58,[4]库存报告使用数据处理!$A:$F,6,0),0)</f>
        <v>17.3566666666667</v>
      </c>
      <c r="I58" s="18">
        <f>IFERROR(VLOOKUP($A58,[2]数据处理!$A:$B,2,0),0)</f>
        <v>106</v>
      </c>
      <c r="J58" s="18">
        <f>IFERROR(VLOOKUP($A58,[2]数据处理!$A:$D,4,0),0)</f>
        <v>0</v>
      </c>
      <c r="K58" s="18">
        <f>IFERROR(VLOOKUP($A58,[2]数据处理!$A:$E,5,0),0)</f>
        <v>0</v>
      </c>
      <c r="L58" s="18">
        <f>IFERROR(VLOOKUP($A58,[2]数据处理!$A:$N,7,0),0)</f>
        <v>0</v>
      </c>
      <c r="M58" s="22">
        <f t="shared" si="0"/>
        <v>106</v>
      </c>
      <c r="N58" s="18">
        <f>IFERROR(VLOOKUP($A58,[2]数据处理!$A:$N,3,0),0)</f>
        <v>0</v>
      </c>
      <c r="O58" s="17">
        <f>IFERROR(VLOOKUP($A58,[2]数据处理!$A:$N,14,0),0)</f>
        <v>0</v>
      </c>
      <c r="P58" s="17">
        <f>IFERROR(VLOOKUP($A58,[5]库存报告使用数据!$A$1:$B$65536,2,0),0)</f>
        <v>11858</v>
      </c>
      <c r="Q58" s="17">
        <f>IFERROR(VLOOKUP($A58,[5]库存报告使用数据!$A$1:$E$65536,5,0),0)</f>
        <v>8798</v>
      </c>
      <c r="R58" s="17">
        <f>IFERROR(VLOOKUP($A58,[5]库存报告使用数据!$A$1:$H$65536,8,0),0)</f>
        <v>828</v>
      </c>
      <c r="S58" s="17">
        <f>IFERROR(VLOOKUP($A58,[5]库存报告使用数据!$A$1:$K$65536,11,0),0)</f>
        <v>0</v>
      </c>
      <c r="T58" s="17">
        <f>IFERROR(VLOOKUP($A58,[5]库存报告使用数据!$A$1:$C$65536,3,0),"")</f>
        <v>7</v>
      </c>
      <c r="U58" s="17">
        <f>IFERROR(VLOOKUP($A58,[5]库存报告使用数据!$A$1:$F$65536,6,0),"")</f>
        <v>8</v>
      </c>
      <c r="V58" s="17">
        <f>IFERROR(VLOOKUP($A58,[5]库存报告使用数据!$A$1:$I$65536,9,0),"")</f>
        <v>0</v>
      </c>
      <c r="W58" s="17">
        <f>IFERROR(VLOOKUP($A58,[5]库存报告使用数据!$A$1:$L$65536,12,0),"")</f>
        <v>0</v>
      </c>
      <c r="X58" s="27">
        <f t="shared" si="1"/>
        <v>0.000590318772136954</v>
      </c>
      <c r="Y58" s="27">
        <f t="shared" si="2"/>
        <v>0.000909297567629007</v>
      </c>
      <c r="Z58" s="27">
        <f t="shared" si="3"/>
        <v>0</v>
      </c>
      <c r="AA58" s="27" t="str">
        <f t="shared" si="4"/>
        <v/>
      </c>
      <c r="AB58" s="17">
        <f>IFERROR(VLOOKUP($A58,[5]库存报告使用数据!$A$1:$D$65536,4,0),"")</f>
        <v>7.32</v>
      </c>
      <c r="AC58" s="17">
        <f>IFERROR(VLOOKUP($A58,[5]库存报告使用数据!$A$1:$G$65536,7,0),"")</f>
        <v>7.5</v>
      </c>
      <c r="AD58" s="17">
        <f>IFERROR(VLOOKUP($A58,[5]库存报告使用数据!$A$1:$J$65536,10,0),"")</f>
        <v>0</v>
      </c>
      <c r="AE58" s="17">
        <f>IFERROR(VLOOKUP($A58,[5]库存报告使用数据!$A$1:$M$65536,13,0),"")</f>
        <v>0</v>
      </c>
      <c r="AF58" s="27">
        <f t="shared" si="15"/>
        <v>0.105434991357787</v>
      </c>
      <c r="AG58" s="27">
        <f t="shared" si="16"/>
        <v>0.2160553101594</v>
      </c>
      <c r="AH58" s="27" t="str">
        <f t="shared" si="17"/>
        <v/>
      </c>
      <c r="AI58" s="27" t="str">
        <f t="shared" si="18"/>
        <v/>
      </c>
      <c r="AJ58" s="17">
        <f>IFERROR(VLOOKUP($B58,'[3]浏览量处理(勿删)'!$A:$B,2,0),"")</f>
        <v>23</v>
      </c>
      <c r="AK58" s="17">
        <f>IFERROR(VLOOKUP($B58,'[3]浏览量处理(勿删)'!$A:$C,3,0),"")</f>
        <v>22</v>
      </c>
      <c r="AL58" s="17">
        <f>IFERROR(VLOOKUP($B58,'[3]浏览量处理(勿删)'!$A:$D,4,0),"")</f>
        <v>20</v>
      </c>
      <c r="AM58" s="17">
        <f>IFERROR(VLOOKUP($B58,'[3]浏览量处理(勿删)'!$A:$E,5,0),"")</f>
        <v>49</v>
      </c>
      <c r="AN58" s="27">
        <f t="shared" si="6"/>
        <v>0.173913043478261</v>
      </c>
      <c r="AO58" s="27">
        <f t="shared" si="7"/>
        <v>0.0909090909090909</v>
      </c>
      <c r="AP58" s="27">
        <f t="shared" si="8"/>
        <v>0</v>
      </c>
      <c r="AQ58" s="27">
        <f t="shared" si="9"/>
        <v>0</v>
      </c>
      <c r="AR58" s="32">
        <f t="shared" si="10"/>
        <v>0.571428571428571</v>
      </c>
      <c r="AS58" s="32">
        <f t="shared" si="11"/>
        <v>34.2857142857143</v>
      </c>
      <c r="AT58" s="32">
        <f t="shared" si="12"/>
        <v>71.7142857142857</v>
      </c>
      <c r="AU58" s="18">
        <f t="shared" si="13"/>
        <v>185</v>
      </c>
      <c r="AV58" s="33">
        <f>IFERROR(时间!$B$4+AU58,"上周无销量")</f>
        <v>43475</v>
      </c>
    </row>
    <row r="59" spans="1:48">
      <c r="A59" s="16" t="s">
        <v>103</v>
      </c>
      <c r="B59" s="17" t="str">
        <f>VLOOKUP(A59,[1]sku_fnsku_asin_产品名称!$A:$C,3,0)</f>
        <v>B004H02HA0</v>
      </c>
      <c r="C59" s="17" t="str">
        <f>VLOOKUP(A59,[1]sku_fnsku_asin_产品名称!$A:$D,4,0)</f>
        <v>Premier Dead Sea Aromatherapy Mineral Body Treatment, Gold Cap, Salt Scrub, 425-Grams</v>
      </c>
      <c r="D59" s="18">
        <f>IFERROR(VLOOKUP(A59,[4]库存报告使用数据处理!$A:$B,2,0),0)</f>
        <v>0</v>
      </c>
      <c r="E59" s="18">
        <f>IFERROR(VLOOKUP(A59,[4]库存报告使用数据处理!$A:$C,3,0),0)</f>
        <v>0</v>
      </c>
      <c r="F59" s="18">
        <f>IFERROR(VLOOKUP(A59,[4]库存报告使用数据处理!$A:$D,4,0),0)</f>
        <v>0</v>
      </c>
      <c r="G59" s="18">
        <f>IFERROR(VLOOKUP(A59,[4]库存报告使用数据处理!$A:$E,5,0),0)</f>
        <v>0</v>
      </c>
      <c r="H59" s="18">
        <f>IFERROR(VLOOKUP(A59,[4]库存报告使用数据处理!$A:$F,6,0),0)</f>
        <v>0</v>
      </c>
      <c r="I59" s="18">
        <f>IFERROR(VLOOKUP($A59,[2]数据处理!$A:$B,2,0),0)</f>
        <v>0</v>
      </c>
      <c r="J59" s="18">
        <f>IFERROR(VLOOKUP($A59,[2]数据处理!$A:$D,4,0),0)</f>
        <v>0</v>
      </c>
      <c r="K59" s="18">
        <f>IFERROR(VLOOKUP($A59,[2]数据处理!$A:$E,5,0),0)</f>
        <v>0</v>
      </c>
      <c r="L59" s="18">
        <f>IFERROR(VLOOKUP($A59,[2]数据处理!$A:$N,7,0),0)</f>
        <v>0</v>
      </c>
      <c r="M59" s="22">
        <f t="shared" si="0"/>
        <v>0</v>
      </c>
      <c r="N59" s="18">
        <f>IFERROR(VLOOKUP($A59,[2]数据处理!$A:$N,3,0),0)</f>
        <v>0</v>
      </c>
      <c r="O59" s="17">
        <f>IFERROR(VLOOKUP($A59,[2]数据处理!$A:$N,14,0),0)</f>
        <v>0</v>
      </c>
      <c r="P59" s="17">
        <f>IFERROR(VLOOKUP($A59,[5]库存报告使用数据!$A$1:$B$65536,2,0),0)</f>
        <v>0</v>
      </c>
      <c r="Q59" s="17">
        <f>IFERROR(VLOOKUP($A59,[5]库存报告使用数据!$A$1:$E$65536,5,0),0)</f>
        <v>0</v>
      </c>
      <c r="R59" s="17">
        <f>IFERROR(VLOOKUP($A59,[5]库存报告使用数据!$A$1:$H$65536,8,0),0)</f>
        <v>0</v>
      </c>
      <c r="S59" s="17">
        <f>IFERROR(VLOOKUP($A59,[5]库存报告使用数据!$A$1:$K$65536,11,0),0)</f>
        <v>0</v>
      </c>
      <c r="T59" s="17" t="str">
        <f>IFERROR(VLOOKUP($A59,[5]库存报告使用数据!$A$1:$C$65536,3,0),"")</f>
        <v/>
      </c>
      <c r="U59" s="17" t="str">
        <f>IFERROR(VLOOKUP($A59,[5]库存报告使用数据!$A$1:$F$65536,6,0),"")</f>
        <v/>
      </c>
      <c r="V59" s="17" t="str">
        <f>IFERROR(VLOOKUP($A59,[5]库存报告使用数据!$A$1:$I$65536,9,0),"")</f>
        <v/>
      </c>
      <c r="W59" s="17" t="str">
        <f>IFERROR(VLOOKUP($A59,[5]库存报告使用数据!$A$1:$L$65536,12,0),"")</f>
        <v/>
      </c>
      <c r="X59" s="27" t="str">
        <f t="shared" si="1"/>
        <v/>
      </c>
      <c r="Y59" s="27" t="str">
        <f t="shared" si="2"/>
        <v/>
      </c>
      <c r="Z59" s="27" t="str">
        <f t="shared" si="3"/>
        <v/>
      </c>
      <c r="AA59" s="27" t="str">
        <f t="shared" si="4"/>
        <v/>
      </c>
      <c r="AB59" s="17" t="str">
        <f>IFERROR(VLOOKUP($A59,[5]库存报告使用数据!$A$1:$D$65536,4,0),"")</f>
        <v/>
      </c>
      <c r="AC59" s="17" t="str">
        <f>IFERROR(VLOOKUP($A59,[5]库存报告使用数据!$A$1:$G$65536,7,0),"")</f>
        <v/>
      </c>
      <c r="AD59" s="17" t="str">
        <f>IFERROR(VLOOKUP($A59,[5]库存报告使用数据!$A$1:$J$65536,10,0),"")</f>
        <v/>
      </c>
      <c r="AE59" s="17" t="str">
        <f>IFERROR(VLOOKUP($A59,[5]库存报告使用数据!$A$1:$M$65536,13,0),"")</f>
        <v/>
      </c>
      <c r="AF59" s="27" t="str">
        <f t="shared" si="15"/>
        <v>有广告无销售广告费为</v>
      </c>
      <c r="AG59" s="27" t="str">
        <f t="shared" si="16"/>
        <v>有广告无销售广告费为</v>
      </c>
      <c r="AH59" s="27" t="str">
        <f t="shared" si="17"/>
        <v>有广告无销售广告费为</v>
      </c>
      <c r="AI59" s="27" t="str">
        <f t="shared" si="18"/>
        <v>有广告无销售广告费为</v>
      </c>
      <c r="AJ59" s="17" t="str">
        <f>IFERROR(VLOOKUP($B59,'[3]浏览量处理(勿删)'!$A:$B,2,0),"")</f>
        <v/>
      </c>
      <c r="AK59" s="17" t="str">
        <f>IFERROR(VLOOKUP($B59,'[3]浏览量处理(勿删)'!$A:$C,3,0),"")</f>
        <v/>
      </c>
      <c r="AL59" s="17" t="str">
        <f>IFERROR(VLOOKUP($B59,'[3]浏览量处理(勿删)'!$A:$D,4,0),"")</f>
        <v/>
      </c>
      <c r="AM59" s="17" t="str">
        <f>IFERROR(VLOOKUP($B59,'[3]浏览量处理(勿删)'!$A:$E,5,0),"")</f>
        <v/>
      </c>
      <c r="AN59" s="27" t="str">
        <f t="shared" si="6"/>
        <v/>
      </c>
      <c r="AO59" s="27" t="str">
        <f t="shared" si="7"/>
        <v/>
      </c>
      <c r="AP59" s="27" t="str">
        <f t="shared" si="8"/>
        <v/>
      </c>
      <c r="AQ59" s="27" t="str">
        <f t="shared" si="9"/>
        <v/>
      </c>
      <c r="AR59" s="32">
        <f t="shared" si="10"/>
        <v>0</v>
      </c>
      <c r="AS59" s="32">
        <f t="shared" si="11"/>
        <v>0</v>
      </c>
      <c r="AT59" s="32">
        <f t="shared" si="12"/>
        <v>0</v>
      </c>
      <c r="AU59" s="18" t="str">
        <f t="shared" si="13"/>
        <v>库存为0</v>
      </c>
      <c r="AV59" s="33" t="str">
        <f>IFERROR(时间!$B$4+AU59,"上周无销量")</f>
        <v>上周无销量</v>
      </c>
    </row>
    <row r="60" spans="1:48">
      <c r="A60" s="16" t="s">
        <v>104</v>
      </c>
      <c r="B60" s="17" t="str">
        <f>VLOOKUP(A60,[1]sku_fnsku_asin_产品名称!$A:$C,3,0)</f>
        <v>B004H07J80</v>
      </c>
      <c r="C60" s="17" t="str">
        <f>VLOOKUP(A60,[1]sku_fnsku_asin_产品名称!$A:$D,4,0)</f>
        <v>Premier Dead Sea Aromatherapy Mineral Body Treatment, Silver, Salt Scrub, 425-Grams</v>
      </c>
      <c r="D60" s="18">
        <f>IFERROR(VLOOKUP(A60,[4]库存报告使用数据处理!$A:$B,2,0),0)</f>
        <v>0</v>
      </c>
      <c r="E60" s="18">
        <f>IFERROR(VLOOKUP(A60,[4]库存报告使用数据处理!$A:$C,3,0),0)</f>
        <v>0</v>
      </c>
      <c r="F60" s="18">
        <f>IFERROR(VLOOKUP(A60,[4]库存报告使用数据处理!$A:$D,4,0),0)</f>
        <v>14</v>
      </c>
      <c r="G60" s="18">
        <f>IFERROR(VLOOKUP(A60,[4]库存报告使用数据处理!$A:$E,5,0),0)</f>
        <v>10</v>
      </c>
      <c r="H60" s="18">
        <f>IFERROR(VLOOKUP(A60,[4]库存报告使用数据处理!$A:$F,6,0),0)</f>
        <v>17.98</v>
      </c>
      <c r="I60" s="18">
        <f>IFERROR(VLOOKUP($A60,[2]数据处理!$A:$B,2,0),0)</f>
        <v>0</v>
      </c>
      <c r="J60" s="18">
        <f>IFERROR(VLOOKUP($A60,[2]数据处理!$A:$D,4,0),0)</f>
        <v>0</v>
      </c>
      <c r="K60" s="18">
        <f>IFERROR(VLOOKUP($A60,[2]数据处理!$A:$E,5,0),0)</f>
        <v>0</v>
      </c>
      <c r="L60" s="18">
        <f>IFERROR(VLOOKUP($A60,[2]数据处理!$A:$N,7,0),0)</f>
        <v>0</v>
      </c>
      <c r="M60" s="22">
        <f t="shared" si="0"/>
        <v>0</v>
      </c>
      <c r="N60" s="18">
        <f>IFERROR(VLOOKUP($A60,[2]数据处理!$A:$N,3,0),0)</f>
        <v>1</v>
      </c>
      <c r="O60" s="17">
        <f>IFERROR(VLOOKUP($A60,[2]数据处理!$A:$N,14,0),0)</f>
        <v>0</v>
      </c>
      <c r="P60" s="17">
        <f>IFERROR(VLOOKUP($A60,[5]库存报告使用数据!$A$1:$B$65536,2,0),0)</f>
        <v>0</v>
      </c>
      <c r="Q60" s="17">
        <f>IFERROR(VLOOKUP($A60,[5]库存报告使用数据!$A$1:$E$65536,5,0),0)</f>
        <v>0</v>
      </c>
      <c r="R60" s="17">
        <f>IFERROR(VLOOKUP($A60,[5]库存报告使用数据!$A$1:$H$65536,8,0),0)</f>
        <v>4045</v>
      </c>
      <c r="S60" s="17">
        <f>IFERROR(VLOOKUP($A60,[5]库存报告使用数据!$A$1:$K$65536,11,0),0)</f>
        <v>2130</v>
      </c>
      <c r="T60" s="17">
        <f>IFERROR(VLOOKUP($A60,[5]库存报告使用数据!$A$1:$C$65536,3,0),"")</f>
        <v>0</v>
      </c>
      <c r="U60" s="17">
        <f>IFERROR(VLOOKUP($A60,[5]库存报告使用数据!$A$1:$F$65536,6,0),"")</f>
        <v>0</v>
      </c>
      <c r="V60" s="17">
        <f>IFERROR(VLOOKUP($A60,[5]库存报告使用数据!$A$1:$I$65536,9,0),"")</f>
        <v>8</v>
      </c>
      <c r="W60" s="17">
        <f>IFERROR(VLOOKUP($A60,[5]库存报告使用数据!$A$1:$L$65536,12,0),"")</f>
        <v>4</v>
      </c>
      <c r="X60" s="27" t="str">
        <f t="shared" si="1"/>
        <v/>
      </c>
      <c r="Y60" s="27" t="str">
        <f t="shared" si="2"/>
        <v/>
      </c>
      <c r="Z60" s="27">
        <f t="shared" si="3"/>
        <v>0.00197775030902349</v>
      </c>
      <c r="AA60" s="27">
        <f t="shared" si="4"/>
        <v>0.00187793427230047</v>
      </c>
      <c r="AB60" s="17">
        <f>IFERROR(VLOOKUP($A60,[5]库存报告使用数据!$A$1:$D$65536,4,0),"")</f>
        <v>0</v>
      </c>
      <c r="AC60" s="17">
        <f>IFERROR(VLOOKUP($A60,[5]库存报告使用数据!$A$1:$G$65536,7,0),"")</f>
        <v>0</v>
      </c>
      <c r="AD60" s="17">
        <f>IFERROR(VLOOKUP($A60,[5]库存报告使用数据!$A$1:$J$65536,10,0),"")</f>
        <v>5.34</v>
      </c>
      <c r="AE60" s="17">
        <f>IFERROR(VLOOKUP($A60,[5]库存报告使用数据!$A$1:$M$65536,13,0),"")</f>
        <v>3.55</v>
      </c>
      <c r="AF60" s="27" t="str">
        <f t="shared" si="15"/>
        <v/>
      </c>
      <c r="AG60" s="27" t="str">
        <f t="shared" si="16"/>
        <v/>
      </c>
      <c r="AH60" s="27">
        <f t="shared" si="17"/>
        <v>0.0212140473542031</v>
      </c>
      <c r="AI60" s="27">
        <f t="shared" si="18"/>
        <v>0.0197441601779755</v>
      </c>
      <c r="AJ60" s="17">
        <f>IFERROR(VLOOKUP($B60,'[3]浏览量处理(勿删)'!$A:$B,2,0),"")</f>
        <v>0</v>
      </c>
      <c r="AK60" s="17">
        <f>IFERROR(VLOOKUP($B60,'[3]浏览量处理(勿删)'!$A:$C,3,0),"")</f>
        <v>0</v>
      </c>
      <c r="AL60" s="17">
        <f>IFERROR(VLOOKUP($B60,'[3]浏览量处理(勿删)'!$A:$D,4,0),"")</f>
        <v>98</v>
      </c>
      <c r="AM60" s="17">
        <f>IFERROR(VLOOKUP($B60,'[3]浏览量处理(勿删)'!$A:$E,5,0),"")</f>
        <v>407</v>
      </c>
      <c r="AN60" s="27" t="str">
        <f t="shared" si="6"/>
        <v/>
      </c>
      <c r="AO60" s="27" t="str">
        <f t="shared" si="7"/>
        <v/>
      </c>
      <c r="AP60" s="27">
        <f t="shared" si="8"/>
        <v>0.142857142857143</v>
      </c>
      <c r="AQ60" s="27">
        <f t="shared" si="9"/>
        <v>0.0245700245700246</v>
      </c>
      <c r="AR60" s="32">
        <f t="shared" si="10"/>
        <v>0</v>
      </c>
      <c r="AS60" s="32">
        <f t="shared" si="11"/>
        <v>0</v>
      </c>
      <c r="AT60" s="32">
        <f t="shared" si="12"/>
        <v>0</v>
      </c>
      <c r="AU60" s="18" t="str">
        <f t="shared" si="13"/>
        <v>库存为0</v>
      </c>
      <c r="AV60" s="33" t="str">
        <f>IFERROR(时间!$B$4+AU60,"上周无销量")</f>
        <v>上周无销量</v>
      </c>
    </row>
    <row r="61" spans="1:48">
      <c r="A61" s="16" t="s">
        <v>105</v>
      </c>
      <c r="B61" s="17" t="str">
        <f>VLOOKUP(A61,[1]sku_fnsku_asin_产品名称!$A:$C,3,0)</f>
        <v>B001561M00</v>
      </c>
      <c r="C61" s="17" t="str">
        <f>VLOOKUP(A61,[1]sku_fnsku_asin_产品名称!$A:$D,4,0)</f>
        <v>Premier Dead Sea Intensive Biox Thermal Beauty Mask**NEW IN BOX**SAME IN MALL**</v>
      </c>
      <c r="D61" s="18">
        <f>IFERROR(VLOOKUP(A61,[4]库存报告使用数据处理!$A:$B,2,0),0)</f>
        <v>1</v>
      </c>
      <c r="E61" s="18">
        <f>IFERROR(VLOOKUP(A61,[4]库存报告使用数据处理!$A:$C,3,0),0)</f>
        <v>0</v>
      </c>
      <c r="F61" s="18">
        <f>IFERROR(VLOOKUP(A61,[4]库存报告使用数据处理!$A:$D,4,0),0)</f>
        <v>0</v>
      </c>
      <c r="G61" s="18">
        <f>IFERROR(VLOOKUP(A61,[4]库存报告使用数据处理!$A:$E,5,0),0)</f>
        <v>3</v>
      </c>
      <c r="H61" s="18">
        <f>IFERROR(VLOOKUP(A61,[4]库存报告使用数据处理!$A:$F,6,0),0)</f>
        <v>53.365</v>
      </c>
      <c r="I61" s="18">
        <f>IFERROR(VLOOKUP($A61,[2]数据处理!$A:$B,2,0),0)</f>
        <v>51</v>
      </c>
      <c r="J61" s="18">
        <f>IFERROR(VLOOKUP($A61,[2]数据处理!$A:$D,4,0),0)</f>
        <v>0</v>
      </c>
      <c r="K61" s="18">
        <f>IFERROR(VLOOKUP($A61,[2]数据处理!$A:$E,5,0),0)</f>
        <v>0</v>
      </c>
      <c r="L61" s="18">
        <f>IFERROR(VLOOKUP($A61,[2]数据处理!$A:$N,7,0),0)</f>
        <v>0</v>
      </c>
      <c r="M61" s="22">
        <f t="shared" si="0"/>
        <v>51</v>
      </c>
      <c r="N61" s="18">
        <f>IFERROR(VLOOKUP($A61,[2]数据处理!$A:$N,3,0),0)</f>
        <v>0</v>
      </c>
      <c r="O61" s="17">
        <f>IFERROR(VLOOKUP($A61,[2]数据处理!$A:$N,14,0),0)</f>
        <v>0</v>
      </c>
      <c r="P61" s="17">
        <f>IFERROR(VLOOKUP($A61,[5]库存报告使用数据!$A$1:$B$65536,2,0),0)</f>
        <v>2479</v>
      </c>
      <c r="Q61" s="17">
        <f>IFERROR(VLOOKUP($A61,[5]库存报告使用数据!$A$1:$E$65536,5,0),0)</f>
        <v>1644</v>
      </c>
      <c r="R61" s="17">
        <f>IFERROR(VLOOKUP($A61,[5]库存报告使用数据!$A$1:$H$65536,8,0),0)</f>
        <v>1445</v>
      </c>
      <c r="S61" s="17">
        <f>IFERROR(VLOOKUP($A61,[5]库存报告使用数据!$A$1:$K$65536,11,0),0)</f>
        <v>1487</v>
      </c>
      <c r="T61" s="17">
        <f>IFERROR(VLOOKUP($A61,[5]库存报告使用数据!$A$1:$C$65536,3,0),"")</f>
        <v>5</v>
      </c>
      <c r="U61" s="17">
        <f>IFERROR(VLOOKUP($A61,[5]库存报告使用数据!$A$1:$F$65536,6,0),"")</f>
        <v>8</v>
      </c>
      <c r="V61" s="17">
        <f>IFERROR(VLOOKUP($A61,[5]库存报告使用数据!$A$1:$I$65536,9,0),"")</f>
        <v>6</v>
      </c>
      <c r="W61" s="17">
        <f>IFERROR(VLOOKUP($A61,[5]库存报告使用数据!$A$1:$L$65536,12,0),"")</f>
        <v>2</v>
      </c>
      <c r="X61" s="27">
        <f t="shared" si="1"/>
        <v>0.00201694231544978</v>
      </c>
      <c r="Y61" s="27">
        <f t="shared" si="2"/>
        <v>0.0048661800486618</v>
      </c>
      <c r="Z61" s="27">
        <f t="shared" si="3"/>
        <v>0.0041522491349481</v>
      </c>
      <c r="AA61" s="27">
        <f t="shared" si="4"/>
        <v>0.00134498991257566</v>
      </c>
      <c r="AB61" s="17">
        <f>IFERROR(VLOOKUP($A61,[5]库存报告使用数据!$A$1:$D$65536,4,0),"")</f>
        <v>4.1</v>
      </c>
      <c r="AC61" s="17">
        <f>IFERROR(VLOOKUP($A61,[5]库存报告使用数据!$A$1:$G$65536,7,0),"")</f>
        <v>5.14</v>
      </c>
      <c r="AD61" s="17">
        <f>IFERROR(VLOOKUP($A61,[5]库存报告使用数据!$A$1:$J$65536,10,0),"")</f>
        <v>2.94</v>
      </c>
      <c r="AE61" s="17">
        <f>IFERROR(VLOOKUP($A61,[5]库存报告使用数据!$A$1:$M$65536,13,0),"")</f>
        <v>1.81</v>
      </c>
      <c r="AF61" s="27">
        <f t="shared" si="15"/>
        <v>0.0768293825541085</v>
      </c>
      <c r="AG61" s="27" t="str">
        <f t="shared" si="16"/>
        <v>有广告无销售广告费为5.14</v>
      </c>
      <c r="AH61" s="27" t="str">
        <f t="shared" si="17"/>
        <v>有广告无销售广告费为2.94</v>
      </c>
      <c r="AI61" s="27">
        <f t="shared" si="18"/>
        <v>0.0113057871888566</v>
      </c>
      <c r="AJ61" s="17">
        <f>IFERROR(VLOOKUP($B61,'[3]浏览量处理(勿删)'!$A:$B,2,0),"")</f>
        <v>39</v>
      </c>
      <c r="AK61" s="17">
        <f>IFERROR(VLOOKUP($B61,'[3]浏览量处理(勿删)'!$A:$C,3,0),"")</f>
        <v>33</v>
      </c>
      <c r="AL61" s="17">
        <f>IFERROR(VLOOKUP($B61,'[3]浏览量处理(勿删)'!$A:$D,4,0),"")</f>
        <v>25</v>
      </c>
      <c r="AM61" s="17">
        <f>IFERROR(VLOOKUP($B61,'[3]浏览量处理(勿删)'!$A:$E,5,0),"")</f>
        <v>108</v>
      </c>
      <c r="AN61" s="27">
        <f t="shared" si="6"/>
        <v>0.0256410256410256</v>
      </c>
      <c r="AO61" s="27">
        <f t="shared" si="7"/>
        <v>0</v>
      </c>
      <c r="AP61" s="27">
        <f t="shared" si="8"/>
        <v>0</v>
      </c>
      <c r="AQ61" s="27">
        <f t="shared" si="9"/>
        <v>0.0277777777777778</v>
      </c>
      <c r="AR61" s="32">
        <f t="shared" si="10"/>
        <v>0.142857142857143</v>
      </c>
      <c r="AS61" s="32">
        <f t="shared" si="11"/>
        <v>8.57142857142857</v>
      </c>
      <c r="AT61" s="32">
        <f t="shared" si="12"/>
        <v>42.4285714285714</v>
      </c>
      <c r="AU61" s="18">
        <f t="shared" si="13"/>
        <v>357</v>
      </c>
      <c r="AV61" s="33">
        <f>IFERROR(时间!$B$4+AU61,"上周无销量")</f>
        <v>43647</v>
      </c>
    </row>
    <row r="62" spans="1:48">
      <c r="A62" s="16" t="s">
        <v>106</v>
      </c>
      <c r="B62" s="17" t="str">
        <f>VLOOKUP(A62,[1]sku_fnsku_asin_产品名称!$A:$C,3,0)</f>
        <v>B07F1BV5CC</v>
      </c>
      <c r="C62" s="17" t="str">
        <f>VLOOKUP(A62,[1]sku_fnsku_asin_产品名称!$A:$D,4,0)</f>
        <v>Premier Dead Sea Aromatic Body Butter- Milk and Honey, 175ml</v>
      </c>
      <c r="D62" s="18">
        <f>IFERROR(VLOOKUP(A62,[4]库存报告使用数据处理!$A:$B,2,0),0)</f>
        <v>0</v>
      </c>
      <c r="E62" s="18">
        <f>IFERROR(VLOOKUP(A62,[4]库存报告使用数据处理!$A:$C,3,0),0)</f>
        <v>0</v>
      </c>
      <c r="F62" s="18">
        <f>IFERROR(VLOOKUP(A62,[4]库存报告使用数据处理!$A:$D,4,0),0)</f>
        <v>0</v>
      </c>
      <c r="G62" s="18">
        <f>IFERROR(VLOOKUP(A62,[4]库存报告使用数据处理!$A:$E,5,0),0)</f>
        <v>0</v>
      </c>
      <c r="H62" s="18">
        <f>IFERROR(VLOOKUP(A62,[4]库存报告使用数据处理!$A:$F,6,0),0)</f>
        <v>0</v>
      </c>
      <c r="I62" s="18">
        <f>IFERROR(VLOOKUP($A62,[2]数据处理!$A:$B,2,0),0)</f>
        <v>0</v>
      </c>
      <c r="J62" s="18">
        <f>IFERROR(VLOOKUP($A62,[2]数据处理!$A:$D,4,0),0)</f>
        <v>0</v>
      </c>
      <c r="K62" s="18">
        <f>IFERROR(VLOOKUP($A62,[2]数据处理!$A:$E,5,0),0)</f>
        <v>24</v>
      </c>
      <c r="L62" s="18">
        <f>IFERROR(VLOOKUP($A62,[2]数据处理!$A:$N,7,0),0)</f>
        <v>0</v>
      </c>
      <c r="M62" s="22">
        <f t="shared" si="0"/>
        <v>24</v>
      </c>
      <c r="N62" s="18">
        <f>IFERROR(VLOOKUP($A62,[2]数据处理!$A:$N,3,0),0)</f>
        <v>0</v>
      </c>
      <c r="O62" s="17">
        <f>IFERROR(VLOOKUP($A62,[2]数据处理!$A:$N,14,0),0)</f>
        <v>0</v>
      </c>
      <c r="P62" s="17">
        <f>IFERROR(VLOOKUP($A62,[5]库存报告使用数据!$A$1:$B$65536,2,0),0)</f>
        <v>0</v>
      </c>
      <c r="Q62" s="17">
        <f>IFERROR(VLOOKUP($A62,[5]库存报告使用数据!$A$1:$E$65536,5,0),0)</f>
        <v>0</v>
      </c>
      <c r="R62" s="17">
        <f>IFERROR(VLOOKUP($A62,[5]库存报告使用数据!$A$1:$H$65536,8,0),0)</f>
        <v>0</v>
      </c>
      <c r="S62" s="17">
        <f>IFERROR(VLOOKUP($A62,[5]库存报告使用数据!$A$1:$K$65536,11,0),0)</f>
        <v>0</v>
      </c>
      <c r="T62" s="17" t="str">
        <f>IFERROR(VLOOKUP($A62,[5]库存报告使用数据!$A$1:$C$65536,3,0),"")</f>
        <v/>
      </c>
      <c r="U62" s="17" t="str">
        <f>IFERROR(VLOOKUP($A62,[5]库存报告使用数据!$A$1:$F$65536,6,0),"")</f>
        <v/>
      </c>
      <c r="V62" s="17" t="str">
        <f>IFERROR(VLOOKUP($A62,[5]库存报告使用数据!$A$1:$I$65536,9,0),"")</f>
        <v/>
      </c>
      <c r="W62" s="17" t="str">
        <f>IFERROR(VLOOKUP($A62,[5]库存报告使用数据!$A$1:$L$65536,12,0),"")</f>
        <v/>
      </c>
      <c r="X62" s="27" t="str">
        <f t="shared" si="1"/>
        <v/>
      </c>
      <c r="Y62" s="27" t="str">
        <f t="shared" si="2"/>
        <v/>
      </c>
      <c r="Z62" s="27" t="str">
        <f t="shared" si="3"/>
        <v/>
      </c>
      <c r="AA62" s="27" t="str">
        <f t="shared" si="4"/>
        <v/>
      </c>
      <c r="AB62" s="17" t="str">
        <f>IFERROR(VLOOKUP($A62,[5]库存报告使用数据!$A$1:$D$65536,4,0),"")</f>
        <v/>
      </c>
      <c r="AC62" s="17" t="str">
        <f>IFERROR(VLOOKUP($A62,[5]库存报告使用数据!$A$1:$G$65536,7,0),"")</f>
        <v/>
      </c>
      <c r="AD62" s="17" t="str">
        <f>IFERROR(VLOOKUP($A62,[5]库存报告使用数据!$A$1:$J$65536,10,0),"")</f>
        <v/>
      </c>
      <c r="AE62" s="17" t="str">
        <f>IFERROR(VLOOKUP($A62,[5]库存报告使用数据!$A$1:$M$65536,13,0),"")</f>
        <v/>
      </c>
      <c r="AF62" s="27" t="str">
        <f t="shared" si="15"/>
        <v>有广告无销售广告费为</v>
      </c>
      <c r="AG62" s="27" t="str">
        <f t="shared" si="16"/>
        <v>有广告无销售广告费为</v>
      </c>
      <c r="AH62" s="27" t="str">
        <f t="shared" si="17"/>
        <v>有广告无销售广告费为</v>
      </c>
      <c r="AI62" s="27" t="str">
        <f t="shared" si="18"/>
        <v>有广告无销售广告费为</v>
      </c>
      <c r="AJ62" s="17" t="str">
        <f>IFERROR(VLOOKUP($B62,'[3]浏览量处理(勿删)'!$A:$B,2,0),"")</f>
        <v/>
      </c>
      <c r="AK62" s="17" t="str">
        <f>IFERROR(VLOOKUP($B62,'[3]浏览量处理(勿删)'!$A:$C,3,0),"")</f>
        <v/>
      </c>
      <c r="AL62" s="17" t="str">
        <f>IFERROR(VLOOKUP($B62,'[3]浏览量处理(勿删)'!$A:$D,4,0),"")</f>
        <v/>
      </c>
      <c r="AM62" s="17" t="str">
        <f>IFERROR(VLOOKUP($B62,'[3]浏览量处理(勿删)'!$A:$E,5,0),"")</f>
        <v/>
      </c>
      <c r="AN62" s="27" t="str">
        <f t="shared" si="6"/>
        <v/>
      </c>
      <c r="AO62" s="27" t="str">
        <f t="shared" si="7"/>
        <v/>
      </c>
      <c r="AP62" s="27" t="str">
        <f t="shared" si="8"/>
        <v/>
      </c>
      <c r="AQ62" s="27" t="str">
        <f t="shared" si="9"/>
        <v/>
      </c>
      <c r="AR62" s="32">
        <f t="shared" si="10"/>
        <v>0</v>
      </c>
      <c r="AS62" s="32">
        <f t="shared" si="11"/>
        <v>0</v>
      </c>
      <c r="AT62" s="32">
        <f t="shared" si="12"/>
        <v>24</v>
      </c>
      <c r="AU62" s="18" t="str">
        <f t="shared" si="13"/>
        <v>库存为24</v>
      </c>
      <c r="AV62" s="33" t="str">
        <f>IFERROR(时间!$B$4+AU62,"上周无销量")</f>
        <v>上周无销量</v>
      </c>
    </row>
    <row r="63" spans="1:48">
      <c r="A63" s="16" t="s">
        <v>107</v>
      </c>
      <c r="B63" s="17" t="str">
        <f>VLOOKUP(A63,[1]sku_fnsku_asin_产品名称!$A:$C,3,0)</f>
        <v>B00158196K</v>
      </c>
      <c r="C63" s="17" t="str">
        <f>VLOOKUP(A63,[1]sku_fnsku_asin_产品名称!$A:$D,4,0)</f>
        <v>Premier Dead Sea Body Butter Passion Fruit Scent</v>
      </c>
      <c r="D63" s="18">
        <f>IFERROR(VLOOKUP(A63,[4]库存报告使用数据处理!$A:$B,2,0),0)</f>
        <v>0</v>
      </c>
      <c r="E63" s="18">
        <f>IFERROR(VLOOKUP(A63,[4]库存报告使用数据处理!$A:$C,3,0),0)</f>
        <v>0</v>
      </c>
      <c r="F63" s="18">
        <f>IFERROR(VLOOKUP(A63,[4]库存报告使用数据处理!$A:$D,4,0),0)</f>
        <v>0</v>
      </c>
      <c r="G63" s="18">
        <f>IFERROR(VLOOKUP(A63,[4]库存报告使用数据处理!$A:$E,5,0),0)</f>
        <v>0</v>
      </c>
      <c r="H63" s="18">
        <f>IFERROR(VLOOKUP(A63,[4]库存报告使用数据处理!$A:$F,6,0),0)</f>
        <v>0</v>
      </c>
      <c r="I63" s="18">
        <f>IFERROR(VLOOKUP($A63,[2]数据处理!$A:$B,2,0),0)</f>
        <v>0</v>
      </c>
      <c r="J63" s="18">
        <f>IFERROR(VLOOKUP($A63,[2]数据处理!$A:$D,4,0),0)</f>
        <v>0</v>
      </c>
      <c r="K63" s="18">
        <f>IFERROR(VLOOKUP($A63,[2]数据处理!$A:$E,5,0),0)</f>
        <v>72</v>
      </c>
      <c r="L63" s="18">
        <f>IFERROR(VLOOKUP($A63,[2]数据处理!$A:$N,7,0),0)</f>
        <v>0</v>
      </c>
      <c r="M63" s="22">
        <f t="shared" si="0"/>
        <v>72</v>
      </c>
      <c r="N63" s="18">
        <f>IFERROR(VLOOKUP($A63,[2]数据处理!$A:$N,3,0),0)</f>
        <v>0</v>
      </c>
      <c r="O63" s="17">
        <f>IFERROR(VLOOKUP($A63,[2]数据处理!$A:$N,14,0),0)</f>
        <v>0</v>
      </c>
      <c r="P63" s="17">
        <f>IFERROR(VLOOKUP($A63,[5]库存报告使用数据!$A$1:$B$65536,2,0),0)</f>
        <v>0</v>
      </c>
      <c r="Q63" s="17">
        <f>IFERROR(VLOOKUP($A63,[5]库存报告使用数据!$A$1:$E$65536,5,0),0)</f>
        <v>0</v>
      </c>
      <c r="R63" s="17">
        <f>IFERROR(VLOOKUP($A63,[5]库存报告使用数据!$A$1:$H$65536,8,0),0)</f>
        <v>0</v>
      </c>
      <c r="S63" s="17">
        <f>IFERROR(VLOOKUP($A63,[5]库存报告使用数据!$A$1:$K$65536,11,0),0)</f>
        <v>0</v>
      </c>
      <c r="T63" s="17" t="str">
        <f>IFERROR(VLOOKUP($A63,[5]库存报告使用数据!$A$1:$C$65536,3,0),"")</f>
        <v/>
      </c>
      <c r="U63" s="17" t="str">
        <f>IFERROR(VLOOKUP($A63,[5]库存报告使用数据!$A$1:$F$65536,6,0),"")</f>
        <v/>
      </c>
      <c r="V63" s="17" t="str">
        <f>IFERROR(VLOOKUP($A63,[5]库存报告使用数据!$A$1:$I$65536,9,0),"")</f>
        <v/>
      </c>
      <c r="W63" s="17" t="str">
        <f>IFERROR(VLOOKUP($A63,[5]库存报告使用数据!$A$1:$L$65536,12,0),"")</f>
        <v/>
      </c>
      <c r="X63" s="27" t="str">
        <f t="shared" si="1"/>
        <v/>
      </c>
      <c r="Y63" s="27" t="str">
        <f t="shared" si="2"/>
        <v/>
      </c>
      <c r="Z63" s="27" t="str">
        <f t="shared" si="3"/>
        <v/>
      </c>
      <c r="AA63" s="27" t="str">
        <f t="shared" si="4"/>
        <v/>
      </c>
      <c r="AB63" s="17" t="str">
        <f>IFERROR(VLOOKUP($A63,[5]库存报告使用数据!$A$1:$D$65536,4,0),"")</f>
        <v/>
      </c>
      <c r="AC63" s="17" t="str">
        <f>IFERROR(VLOOKUP($A63,[5]库存报告使用数据!$A$1:$G$65536,7,0),"")</f>
        <v/>
      </c>
      <c r="AD63" s="17" t="str">
        <f>IFERROR(VLOOKUP($A63,[5]库存报告使用数据!$A$1:$J$65536,10,0),"")</f>
        <v/>
      </c>
      <c r="AE63" s="17" t="str">
        <f>IFERROR(VLOOKUP($A63,[5]库存报告使用数据!$A$1:$M$65536,13,0),"")</f>
        <v/>
      </c>
      <c r="AF63" s="27" t="str">
        <f t="shared" si="15"/>
        <v>有广告无销售广告费为</v>
      </c>
      <c r="AG63" s="27" t="str">
        <f t="shared" si="16"/>
        <v>有广告无销售广告费为</v>
      </c>
      <c r="AH63" s="27" t="str">
        <f t="shared" si="17"/>
        <v>有广告无销售广告费为</v>
      </c>
      <c r="AI63" s="27" t="str">
        <f t="shared" si="18"/>
        <v>有广告无销售广告费为</v>
      </c>
      <c r="AJ63" s="17">
        <f>IFERROR(VLOOKUP($B63,'[3]浏览量处理(勿删)'!$A:$B,2,0),"")</f>
        <v>44</v>
      </c>
      <c r="AK63" s="17">
        <f>IFERROR(VLOOKUP($B63,'[3]浏览量处理(勿删)'!$A:$C,3,0),"")</f>
        <v>26</v>
      </c>
      <c r="AL63" s="17">
        <f>IFERROR(VLOOKUP($B63,'[3]浏览量处理(勿删)'!$A:$D,4,0),"")</f>
        <v>41</v>
      </c>
      <c r="AM63" s="17">
        <f>IFERROR(VLOOKUP($B63,'[3]浏览量处理(勿删)'!$A:$E,5,0),"")</f>
        <v>105</v>
      </c>
      <c r="AN63" s="27">
        <f t="shared" si="6"/>
        <v>0</v>
      </c>
      <c r="AO63" s="27">
        <f t="shared" si="7"/>
        <v>0</v>
      </c>
      <c r="AP63" s="27">
        <f t="shared" si="8"/>
        <v>0</v>
      </c>
      <c r="AQ63" s="27">
        <f t="shared" si="9"/>
        <v>0</v>
      </c>
      <c r="AR63" s="32">
        <f t="shared" si="10"/>
        <v>0</v>
      </c>
      <c r="AS63" s="32">
        <f t="shared" si="11"/>
        <v>0</v>
      </c>
      <c r="AT63" s="32">
        <f t="shared" si="12"/>
        <v>72</v>
      </c>
      <c r="AU63" s="18" t="str">
        <f t="shared" si="13"/>
        <v>库存为72</v>
      </c>
      <c r="AV63" s="33" t="str">
        <f>IFERROR(时间!$B$4+AU63,"上周无销量")</f>
        <v>上周无销量</v>
      </c>
    </row>
    <row r="64" spans="1:48">
      <c r="A64" s="16" t="s">
        <v>108</v>
      </c>
      <c r="B64" s="17" t="str">
        <f>VLOOKUP(A64,[1]sku_fnsku_asin_产品名称!$A:$C,3,0)</f>
        <v>B00G71LV3Q</v>
      </c>
      <c r="C64" s="17" t="str">
        <f>VLOOKUP(A64,[1]sku_fnsku_asin_产品名称!$A:$D,4,0)</f>
        <v>Premier By Dead Sea Premier Refining Facial Peeling Mask 2.04oz, 60ml</v>
      </c>
      <c r="D64" s="18">
        <f>IFERROR(VLOOKUP(A64,[4]库存报告使用数据处理!$A:$B,2,0),0)</f>
        <v>0</v>
      </c>
      <c r="E64" s="18">
        <f>IFERROR(VLOOKUP(A64,[4]库存报告使用数据处理!$A:$C,3,0),0)</f>
        <v>0</v>
      </c>
      <c r="F64" s="18">
        <f>IFERROR(VLOOKUP(A64,[4]库存报告使用数据处理!$A:$D,4,0),0)</f>
        <v>0</v>
      </c>
      <c r="G64" s="18">
        <f>IFERROR(VLOOKUP(A64,[4]库存报告使用数据处理!$A:$E,5,0),0)</f>
        <v>0</v>
      </c>
      <c r="H64" s="18">
        <f>IFERROR(VLOOKUP(A64,[4]库存报告使用数据处理!$A:$F,6,0),0)</f>
        <v>0</v>
      </c>
      <c r="I64" s="18">
        <f>IFERROR(VLOOKUP($A64,[2]数据处理!$A:$B,2,0),0)</f>
        <v>77</v>
      </c>
      <c r="J64" s="18">
        <f>IFERROR(VLOOKUP($A64,[2]数据处理!$A:$D,4,0),0)</f>
        <v>0</v>
      </c>
      <c r="K64" s="18">
        <f>IFERROR(VLOOKUP($A64,[2]数据处理!$A:$E,5,0),0)</f>
        <v>0</v>
      </c>
      <c r="L64" s="18">
        <f>IFERROR(VLOOKUP($A64,[2]数据处理!$A:$N,7,0),0)</f>
        <v>0</v>
      </c>
      <c r="M64" s="22">
        <f t="shared" si="0"/>
        <v>77</v>
      </c>
      <c r="N64" s="18">
        <f>IFERROR(VLOOKUP($A64,[2]数据处理!$A:$N,3,0),0)</f>
        <v>0</v>
      </c>
      <c r="O64" s="17">
        <f>IFERROR(VLOOKUP($A64,[2]数据处理!$A:$N,14,0),0)</f>
        <v>0</v>
      </c>
      <c r="P64" s="17">
        <f>IFERROR(VLOOKUP($A64,[5]库存报告使用数据!$A$1:$B$65536,2,0),0)</f>
        <v>0</v>
      </c>
      <c r="Q64" s="17">
        <f>IFERROR(VLOOKUP($A64,[5]库存报告使用数据!$A$1:$E$65536,5,0),0)</f>
        <v>0</v>
      </c>
      <c r="R64" s="17">
        <f>IFERROR(VLOOKUP($A64,[5]库存报告使用数据!$A$1:$H$65536,8,0),0)</f>
        <v>0</v>
      </c>
      <c r="S64" s="17">
        <f>IFERROR(VLOOKUP($A64,[5]库存报告使用数据!$A$1:$K$65536,11,0),0)</f>
        <v>684</v>
      </c>
      <c r="T64" s="17">
        <f>IFERROR(VLOOKUP($A64,[5]库存报告使用数据!$A$1:$C$65536,3,0),"")</f>
        <v>0</v>
      </c>
      <c r="U64" s="17">
        <f>IFERROR(VLOOKUP($A64,[5]库存报告使用数据!$A$1:$F$65536,6,0),"")</f>
        <v>0</v>
      </c>
      <c r="V64" s="17">
        <f>IFERROR(VLOOKUP($A64,[5]库存报告使用数据!$A$1:$I$65536,9,0),"")</f>
        <v>0</v>
      </c>
      <c r="W64" s="17">
        <f>IFERROR(VLOOKUP($A64,[5]库存报告使用数据!$A$1:$L$65536,12,0),"")</f>
        <v>1</v>
      </c>
      <c r="X64" s="27" t="str">
        <f t="shared" si="1"/>
        <v/>
      </c>
      <c r="Y64" s="27" t="str">
        <f t="shared" si="2"/>
        <v/>
      </c>
      <c r="Z64" s="27" t="str">
        <f t="shared" si="3"/>
        <v/>
      </c>
      <c r="AA64" s="27">
        <f t="shared" si="4"/>
        <v>0.00146198830409357</v>
      </c>
      <c r="AB64" s="17">
        <f>IFERROR(VLOOKUP($A64,[5]库存报告使用数据!$A$1:$D$65536,4,0),"")</f>
        <v>0</v>
      </c>
      <c r="AC64" s="17">
        <f>IFERROR(VLOOKUP($A64,[5]库存报告使用数据!$A$1:$G$65536,7,0),"")</f>
        <v>0</v>
      </c>
      <c r="AD64" s="17">
        <f>IFERROR(VLOOKUP($A64,[5]库存报告使用数据!$A$1:$J$65536,10,0),"")</f>
        <v>0</v>
      </c>
      <c r="AE64" s="17">
        <f>IFERROR(VLOOKUP($A64,[5]库存报告使用数据!$A$1:$M$65536,13,0),"")</f>
        <v>0.45</v>
      </c>
      <c r="AF64" s="27" t="str">
        <f t="shared" si="15"/>
        <v/>
      </c>
      <c r="AG64" s="27" t="str">
        <f t="shared" si="16"/>
        <v/>
      </c>
      <c r="AH64" s="27" t="str">
        <f t="shared" si="17"/>
        <v/>
      </c>
      <c r="AI64" s="27" t="str">
        <f t="shared" si="18"/>
        <v>有广告无销售广告费为0.45</v>
      </c>
      <c r="AJ64" s="17">
        <f>IFERROR(VLOOKUP($B64,'[3]浏览量处理(勿删)'!$A:$B,2,0),"")</f>
        <v>78</v>
      </c>
      <c r="AK64" s="17">
        <f>IFERROR(VLOOKUP($B64,'[3]浏览量处理(勿删)'!$A:$C,3,0),"")</f>
        <v>97</v>
      </c>
      <c r="AL64" s="17">
        <f>IFERROR(VLOOKUP($B64,'[3]浏览量处理(勿删)'!$A:$D,4,0),"")</f>
        <v>83</v>
      </c>
      <c r="AM64" s="17">
        <f>IFERROR(VLOOKUP($B64,'[3]浏览量处理(勿删)'!$A:$E,5,0),"")</f>
        <v>368</v>
      </c>
      <c r="AN64" s="27">
        <f t="shared" si="6"/>
        <v>0</v>
      </c>
      <c r="AO64" s="27">
        <f t="shared" si="7"/>
        <v>0</v>
      </c>
      <c r="AP64" s="27">
        <f t="shared" si="8"/>
        <v>0</v>
      </c>
      <c r="AQ64" s="27">
        <f t="shared" si="9"/>
        <v>0</v>
      </c>
      <c r="AR64" s="32">
        <f t="shared" si="10"/>
        <v>0</v>
      </c>
      <c r="AS64" s="32">
        <f t="shared" si="11"/>
        <v>0</v>
      </c>
      <c r="AT64" s="32">
        <f t="shared" si="12"/>
        <v>77</v>
      </c>
      <c r="AU64" s="18" t="str">
        <f t="shared" si="13"/>
        <v>库存为77</v>
      </c>
      <c r="AV64" s="33" t="str">
        <f>IFERROR(时间!$B$4+AU64,"上周无销量")</f>
        <v>上周无销量</v>
      </c>
    </row>
    <row r="65" spans="1:48">
      <c r="A65" s="16" t="s">
        <v>109</v>
      </c>
      <c r="B65" s="17" t="str">
        <f>VLOOKUP(A65,[1]sku_fnsku_asin_产品名称!$A:$C,3,0)</f>
        <v>B003Y7D0HQ</v>
      </c>
      <c r="C65" s="17" t="str">
        <f>VLOOKUP(A65,[1]sku_fnsku_asin_产品名称!$A:$D,4,0)</f>
        <v>Premier Dead Sea Pearl White Cream Complex, 2.04-Fluid Ounce</v>
      </c>
      <c r="D65" s="18">
        <f>IFERROR(VLOOKUP(A65,[4]库存报告使用数据处理!$A:$B,2,0),0)</f>
        <v>0</v>
      </c>
      <c r="E65" s="18">
        <f>IFERROR(VLOOKUP(A65,[4]库存报告使用数据处理!$A:$C,3,0),0)</f>
        <v>0</v>
      </c>
      <c r="F65" s="18">
        <f>IFERROR(VLOOKUP(A65,[4]库存报告使用数据处理!$A:$D,4,0),0)</f>
        <v>0</v>
      </c>
      <c r="G65" s="18">
        <f>IFERROR(VLOOKUP(A65,[4]库存报告使用数据处理!$A:$E,5,0),0)</f>
        <v>0</v>
      </c>
      <c r="H65" s="18">
        <f>IFERROR(VLOOKUP(A65,[4]库存报告使用数据处理!$A:$F,6,0),0)</f>
        <v>0</v>
      </c>
      <c r="I65" s="18">
        <f>IFERROR(VLOOKUP($A65,[2]数据处理!$A:$B,2,0),0)</f>
        <v>48</v>
      </c>
      <c r="J65" s="18">
        <f>IFERROR(VLOOKUP($A65,[2]数据处理!$A:$D,4,0),0)</f>
        <v>0</v>
      </c>
      <c r="K65" s="18">
        <f>IFERROR(VLOOKUP($A65,[2]数据处理!$A:$E,5,0),0)</f>
        <v>0</v>
      </c>
      <c r="L65" s="18">
        <f>IFERROR(VLOOKUP($A65,[2]数据处理!$A:$N,7,0),0)</f>
        <v>0</v>
      </c>
      <c r="M65" s="22">
        <f t="shared" si="0"/>
        <v>48</v>
      </c>
      <c r="N65" s="18">
        <f>IFERROR(VLOOKUP($A65,[2]数据处理!$A:$N,3,0),0)</f>
        <v>0</v>
      </c>
      <c r="O65" s="17">
        <f>IFERROR(VLOOKUP($A65,[2]数据处理!$A:$N,14,0),0)</f>
        <v>48</v>
      </c>
      <c r="P65" s="17">
        <f>IFERROR(VLOOKUP($A65,[5]库存报告使用数据!$A$1:$B$65536,2,0),0)</f>
        <v>0</v>
      </c>
      <c r="Q65" s="17">
        <f>IFERROR(VLOOKUP($A65,[5]库存报告使用数据!$A$1:$E$65536,5,0),0)</f>
        <v>394</v>
      </c>
      <c r="R65" s="17">
        <f>IFERROR(VLOOKUP($A65,[5]库存报告使用数据!$A$1:$H$65536,8,0),0)</f>
        <v>789</v>
      </c>
      <c r="S65" s="17">
        <f>IFERROR(VLOOKUP($A65,[5]库存报告使用数据!$A$1:$K$65536,11,0),0)</f>
        <v>2435</v>
      </c>
      <c r="T65" s="17">
        <f>IFERROR(VLOOKUP($A65,[5]库存报告使用数据!$A$1:$C$65536,3,0),"")</f>
        <v>0</v>
      </c>
      <c r="U65" s="17">
        <f>IFERROR(VLOOKUP($A65,[5]库存报告使用数据!$A$1:$F$65536,6,0),"")</f>
        <v>2</v>
      </c>
      <c r="V65" s="17">
        <f>IFERROR(VLOOKUP($A65,[5]库存报告使用数据!$A$1:$I$65536,9,0),"")</f>
        <v>9</v>
      </c>
      <c r="W65" s="17">
        <f>IFERROR(VLOOKUP($A65,[5]库存报告使用数据!$A$1:$L$65536,12,0),"")</f>
        <v>6</v>
      </c>
      <c r="X65" s="27" t="str">
        <f t="shared" si="1"/>
        <v/>
      </c>
      <c r="Y65" s="27">
        <f t="shared" si="2"/>
        <v>0.0050761421319797</v>
      </c>
      <c r="Z65" s="27">
        <f t="shared" si="3"/>
        <v>0.0114068441064639</v>
      </c>
      <c r="AA65" s="27">
        <f t="shared" si="4"/>
        <v>0.00246406570841889</v>
      </c>
      <c r="AB65" s="17">
        <f>IFERROR(VLOOKUP($A65,[5]库存报告使用数据!$A$1:$D$65536,4,0),"")</f>
        <v>0</v>
      </c>
      <c r="AC65" s="17">
        <f>IFERROR(VLOOKUP($A65,[5]库存报告使用数据!$A$1:$G$65536,7,0),"")</f>
        <v>1.4</v>
      </c>
      <c r="AD65" s="17">
        <f>IFERROR(VLOOKUP($A65,[5]库存报告使用数据!$A$1:$J$65536,10,0),"")</f>
        <v>9.19</v>
      </c>
      <c r="AE65" s="17">
        <f>IFERROR(VLOOKUP($A65,[5]库存报告使用数据!$A$1:$M$65536,13,0),"")</f>
        <v>4.01</v>
      </c>
      <c r="AF65" s="27" t="str">
        <f t="shared" si="15"/>
        <v/>
      </c>
      <c r="AG65" s="27" t="str">
        <f t="shared" si="16"/>
        <v>有广告无销售广告费为1.4</v>
      </c>
      <c r="AH65" s="27" t="str">
        <f t="shared" si="17"/>
        <v>有广告无销售广告费为9.19</v>
      </c>
      <c r="AI65" s="27" t="str">
        <f t="shared" si="18"/>
        <v>有广告无销售广告费为4.01</v>
      </c>
      <c r="AJ65" s="17">
        <f>IFERROR(VLOOKUP($B65,'[3]浏览量处理(勿删)'!$A:$B,2,0),"")</f>
        <v>31</v>
      </c>
      <c r="AK65" s="17">
        <f>IFERROR(VLOOKUP($B65,'[3]浏览量处理(勿删)'!$A:$C,3,0),"")</f>
        <v>32</v>
      </c>
      <c r="AL65" s="17">
        <f>IFERROR(VLOOKUP($B65,'[3]浏览量处理(勿删)'!$A:$D,4,0),"")</f>
        <v>17</v>
      </c>
      <c r="AM65" s="17">
        <f>IFERROR(VLOOKUP($B65,'[3]浏览量处理(勿删)'!$A:$E,5,0),"")</f>
        <v>59</v>
      </c>
      <c r="AN65" s="27">
        <f t="shared" si="6"/>
        <v>0</v>
      </c>
      <c r="AO65" s="27">
        <f t="shared" si="7"/>
        <v>0</v>
      </c>
      <c r="AP65" s="27">
        <f t="shared" si="8"/>
        <v>0</v>
      </c>
      <c r="AQ65" s="27">
        <f t="shared" si="9"/>
        <v>0</v>
      </c>
      <c r="AR65" s="32">
        <f t="shared" si="10"/>
        <v>0</v>
      </c>
      <c r="AS65" s="32">
        <f t="shared" si="11"/>
        <v>0</v>
      </c>
      <c r="AT65" s="32">
        <f t="shared" si="12"/>
        <v>48</v>
      </c>
      <c r="AU65" s="18" t="str">
        <f t="shared" si="13"/>
        <v>库存为48</v>
      </c>
      <c r="AV65" s="33" t="str">
        <f>IFERROR(时间!$B$4+AU65,"上周无销量")</f>
        <v>上周无销量</v>
      </c>
    </row>
    <row r="66" spans="1:48">
      <c r="A66" s="16" t="s">
        <v>110</v>
      </c>
      <c r="B66" s="17" t="str">
        <f>VLOOKUP(A66,[1]sku_fnsku_asin_产品名称!$A:$C,3,0)</f>
        <v>B00384AO7O</v>
      </c>
      <c r="C66" s="17" t="str">
        <f>VLOOKUP(A66,[1]sku_fnsku_asin_产品名称!$A:$D,4,0)</f>
        <v>Dead Sea Premier Moisture Cream (for very dry &amp; sensitive skin)</v>
      </c>
      <c r="D66" s="18">
        <f>IFERROR(VLOOKUP(A66,[4]库存报告使用数据处理!$A:$B,2,0),0)</f>
        <v>2</v>
      </c>
      <c r="E66" s="18">
        <f>IFERROR(VLOOKUP(A66,[4]库存报告使用数据处理!$A:$C,3,0),0)</f>
        <v>0</v>
      </c>
      <c r="F66" s="18">
        <f>IFERROR(VLOOKUP(A66,[4]库存报告使用数据处理!$A:$D,4,0),0)</f>
        <v>0</v>
      </c>
      <c r="G66" s="18">
        <f>IFERROR(VLOOKUP(A66,[4]库存报告使用数据处理!$A:$E,5,0),0)</f>
        <v>2</v>
      </c>
      <c r="H66" s="18">
        <f>IFERROR(VLOOKUP(A66,[4]库存报告使用数据处理!$A:$F,6,0),0)</f>
        <v>36.89</v>
      </c>
      <c r="I66" s="18">
        <f>IFERROR(VLOOKUP($A66,[2]数据处理!$A:$B,2,0),0)</f>
        <v>36</v>
      </c>
      <c r="J66" s="18">
        <f>IFERROR(VLOOKUP($A66,[2]数据处理!$A:$D,4,0),0)</f>
        <v>0</v>
      </c>
      <c r="K66" s="18">
        <f>IFERROR(VLOOKUP($A66,[2]数据处理!$A:$E,5,0),0)</f>
        <v>0</v>
      </c>
      <c r="L66" s="18">
        <f>IFERROR(VLOOKUP($A66,[2]数据处理!$A:$N,7,0),0)</f>
        <v>0</v>
      </c>
      <c r="M66" s="22">
        <f t="shared" si="0"/>
        <v>36</v>
      </c>
      <c r="N66" s="18">
        <f>IFERROR(VLOOKUP($A66,[2]数据处理!$A:$N,3,0),0)</f>
        <v>0</v>
      </c>
      <c r="O66" s="17">
        <f>IFERROR(VLOOKUP($A66,[2]数据处理!$A:$N,14,0),0)</f>
        <v>37</v>
      </c>
      <c r="P66" s="17">
        <f>IFERROR(VLOOKUP($A66,[5]库存报告使用数据!$A$1:$B$65536,2,0),0)</f>
        <v>33516</v>
      </c>
      <c r="Q66" s="17">
        <f>IFERROR(VLOOKUP($A66,[5]库存报告使用数据!$A$1:$E$65536,5,0),0)</f>
        <v>11558</v>
      </c>
      <c r="R66" s="17">
        <f>IFERROR(VLOOKUP($A66,[5]库存报告使用数据!$A$1:$H$65536,8,0),0)</f>
        <v>1543</v>
      </c>
      <c r="S66" s="17">
        <f>IFERROR(VLOOKUP($A66,[5]库存报告使用数据!$A$1:$K$65536,11,0),0)</f>
        <v>1389</v>
      </c>
      <c r="T66" s="17">
        <f>IFERROR(VLOOKUP($A66,[5]库存报告使用数据!$A$1:$C$65536,3,0),"")</f>
        <v>30</v>
      </c>
      <c r="U66" s="17">
        <f>IFERROR(VLOOKUP($A66,[5]库存报告使用数据!$A$1:$F$65536,6,0),"")</f>
        <v>21</v>
      </c>
      <c r="V66" s="17">
        <f>IFERROR(VLOOKUP($A66,[5]库存报告使用数据!$A$1:$I$65536,9,0),"")</f>
        <v>4</v>
      </c>
      <c r="W66" s="17">
        <f>IFERROR(VLOOKUP($A66,[5]库存报告使用数据!$A$1:$L$65536,12,0),"")</f>
        <v>11</v>
      </c>
      <c r="X66" s="27">
        <f t="shared" si="1"/>
        <v>0.000895094880057286</v>
      </c>
      <c r="Y66" s="27">
        <f t="shared" si="2"/>
        <v>0.00181692334313895</v>
      </c>
      <c r="Z66" s="27">
        <f t="shared" si="3"/>
        <v>0.00259235255994815</v>
      </c>
      <c r="AA66" s="27">
        <f t="shared" si="4"/>
        <v>0.00791936645068395</v>
      </c>
      <c r="AB66" s="17">
        <f>IFERROR(VLOOKUP($A66,[5]库存报告使用数据!$A$1:$D$65536,4,0),"")</f>
        <v>29.77</v>
      </c>
      <c r="AC66" s="17">
        <f>IFERROR(VLOOKUP($A66,[5]库存报告使用数据!$A$1:$G$65536,7,0),"")</f>
        <v>18.9</v>
      </c>
      <c r="AD66" s="17">
        <f>IFERROR(VLOOKUP($A66,[5]库存报告使用数据!$A$1:$J$65536,10,0),"")</f>
        <v>3.7</v>
      </c>
      <c r="AE66" s="17">
        <f>IFERROR(VLOOKUP($A66,[5]库存报告使用数据!$A$1:$M$65536,13,0),"")</f>
        <v>6.68</v>
      </c>
      <c r="AF66" s="27">
        <f t="shared" si="15"/>
        <v>0.403496882624017</v>
      </c>
      <c r="AG66" s="27" t="str">
        <f t="shared" si="16"/>
        <v>有广告无销售广告费为18.9</v>
      </c>
      <c r="AH66" s="27" t="str">
        <f t="shared" si="17"/>
        <v>有广告无销售广告费为3.7</v>
      </c>
      <c r="AI66" s="27">
        <f t="shared" si="18"/>
        <v>0.0905394415830848</v>
      </c>
      <c r="AJ66" s="17">
        <f>IFERROR(VLOOKUP($B66,'[3]浏览量处理(勿删)'!$A:$B,2,0),"")</f>
        <v>45</v>
      </c>
      <c r="AK66" s="17">
        <f>IFERROR(VLOOKUP($B66,'[3]浏览量处理(勿删)'!$A:$C,3,0),"")</f>
        <v>43</v>
      </c>
      <c r="AL66" s="17">
        <f>IFERROR(VLOOKUP($B66,'[3]浏览量处理(勿删)'!$A:$D,4,0),"")</f>
        <v>15</v>
      </c>
      <c r="AM66" s="17">
        <f>IFERROR(VLOOKUP($B66,'[3]浏览量处理(勿删)'!$A:$E,5,0),"")</f>
        <v>136</v>
      </c>
      <c r="AN66" s="27">
        <f t="shared" si="6"/>
        <v>0.0444444444444444</v>
      </c>
      <c r="AO66" s="27">
        <f t="shared" si="7"/>
        <v>0</v>
      </c>
      <c r="AP66" s="27">
        <f t="shared" si="8"/>
        <v>0</v>
      </c>
      <c r="AQ66" s="27">
        <f t="shared" si="9"/>
        <v>0.0147058823529412</v>
      </c>
      <c r="AR66" s="32">
        <f t="shared" si="10"/>
        <v>0.285714285714286</v>
      </c>
      <c r="AS66" s="32">
        <f t="shared" si="11"/>
        <v>17.1428571428571</v>
      </c>
      <c r="AT66" s="32">
        <f t="shared" si="12"/>
        <v>18.8571428571429</v>
      </c>
      <c r="AU66" s="18">
        <f t="shared" si="13"/>
        <v>126</v>
      </c>
      <c r="AV66" s="33">
        <f>IFERROR(时间!$B$4+AU66,"上周无销量")</f>
        <v>43416</v>
      </c>
    </row>
    <row r="67" spans="1:48">
      <c r="A67" s="16" t="s">
        <v>111</v>
      </c>
      <c r="B67" s="17" t="str">
        <f>VLOOKUP(A67,[1]sku_fnsku_asin_产品名称!$A:$C,3,0)</f>
        <v>B002DL9M2G</v>
      </c>
      <c r="C67" s="17" t="str">
        <f>VLOOKUP(A67,[1]sku_fnsku_asin_产品名称!$A:$D,4,0)</f>
        <v>Premier Dead Sea Luxurious Anti-aging Neck Cream, 2.04 oz</v>
      </c>
      <c r="D67" s="18">
        <f>IFERROR(VLOOKUP(A67,[4]库存报告使用数据处理!$A:$B,2,0),0)</f>
        <v>1</v>
      </c>
      <c r="E67" s="18">
        <f>IFERROR(VLOOKUP(A67,[4]库存报告使用数据处理!$A:$C,3,0),0)</f>
        <v>3</v>
      </c>
      <c r="F67" s="18">
        <f>IFERROR(VLOOKUP(A67,[4]库存报告使用数据处理!$A:$D,4,0),0)</f>
        <v>4</v>
      </c>
      <c r="G67" s="18">
        <f>IFERROR(VLOOKUP(A67,[4]库存报告使用数据处理!$A:$E,5,0),0)</f>
        <v>1</v>
      </c>
      <c r="H67" s="18">
        <f>IFERROR(VLOOKUP(A67,[4]库存报告使用数据处理!$A:$F,6,0),0)</f>
        <v>38.8522222222222</v>
      </c>
      <c r="I67" s="18">
        <f>IFERROR(VLOOKUP($A67,[2]数据处理!$A:$B,2,0),0)</f>
        <v>85</v>
      </c>
      <c r="J67" s="18">
        <f>IFERROR(VLOOKUP($A67,[2]数据处理!$A:$D,4,0),0)</f>
        <v>0</v>
      </c>
      <c r="K67" s="18">
        <f>IFERROR(VLOOKUP($A67,[2]数据处理!$A:$E,5,0),0)</f>
        <v>0</v>
      </c>
      <c r="L67" s="18">
        <f>IFERROR(VLOOKUP($A67,[2]数据处理!$A:$N,7,0),0)</f>
        <v>0</v>
      </c>
      <c r="M67" s="22">
        <f t="shared" si="0"/>
        <v>85</v>
      </c>
      <c r="N67" s="18">
        <f>IFERROR(VLOOKUP($A67,[2]数据处理!$A:$N,3,0),0)</f>
        <v>1</v>
      </c>
      <c r="O67" s="17">
        <f>IFERROR(VLOOKUP($A67,[2]数据处理!$A:$N,14,0),0)</f>
        <v>0</v>
      </c>
      <c r="P67" s="17">
        <f>IFERROR(VLOOKUP($A67,[5]库存报告使用数据!$A$1:$B$65536,2,0),0)</f>
        <v>8721</v>
      </c>
      <c r="Q67" s="17">
        <f>IFERROR(VLOOKUP($A67,[5]库存报告使用数据!$A$1:$E$65536,5,0),0)</f>
        <v>3272</v>
      </c>
      <c r="R67" s="17">
        <f>IFERROR(VLOOKUP($A67,[5]库存报告使用数据!$A$1:$H$65536,8,0),0)</f>
        <v>1094</v>
      </c>
      <c r="S67" s="17">
        <f>IFERROR(VLOOKUP($A67,[5]库存报告使用数据!$A$1:$K$65536,11,0),0)</f>
        <v>4853</v>
      </c>
      <c r="T67" s="17">
        <f>IFERROR(VLOOKUP($A67,[5]库存报告使用数据!$A$1:$C$65536,3,0),"")</f>
        <v>8</v>
      </c>
      <c r="U67" s="17">
        <f>IFERROR(VLOOKUP($A67,[5]库存报告使用数据!$A$1:$F$65536,6,0),"")</f>
        <v>11</v>
      </c>
      <c r="V67" s="17">
        <f>IFERROR(VLOOKUP($A67,[5]库存报告使用数据!$A$1:$I$65536,9,0),"")</f>
        <v>2</v>
      </c>
      <c r="W67" s="17">
        <f>IFERROR(VLOOKUP($A67,[5]库存报告使用数据!$A$1:$L$65536,12,0),"")</f>
        <v>9</v>
      </c>
      <c r="X67" s="27">
        <f t="shared" si="1"/>
        <v>0.000917325994725376</v>
      </c>
      <c r="Y67" s="27">
        <f t="shared" si="2"/>
        <v>0.00336185819070905</v>
      </c>
      <c r="Z67" s="27">
        <f t="shared" si="3"/>
        <v>0.00182815356489945</v>
      </c>
      <c r="AA67" s="27">
        <f t="shared" si="4"/>
        <v>0.00185452297547909</v>
      </c>
      <c r="AB67" s="17">
        <f>IFERROR(VLOOKUP($A67,[5]库存报告使用数据!$A$1:$D$65536,4,0),"")</f>
        <v>7.67</v>
      </c>
      <c r="AC67" s="17">
        <f>IFERROR(VLOOKUP($A67,[5]库存报告使用数据!$A$1:$G$65536,7,0),"")</f>
        <v>10.26</v>
      </c>
      <c r="AD67" s="17">
        <f>IFERROR(VLOOKUP($A67,[5]库存报告使用数据!$A$1:$J$65536,10,0),"")</f>
        <v>0.63</v>
      </c>
      <c r="AE67" s="17">
        <f>IFERROR(VLOOKUP($A67,[5]库存报告使用数据!$A$1:$M$65536,13,0),"")</f>
        <v>3.81</v>
      </c>
      <c r="AF67" s="27">
        <f t="shared" si="15"/>
        <v>0.197414705293563</v>
      </c>
      <c r="AG67" s="27">
        <f t="shared" si="16"/>
        <v>0.0880258529470644</v>
      </c>
      <c r="AH67" s="27">
        <f t="shared" si="17"/>
        <v>0.00405382217519376</v>
      </c>
      <c r="AI67" s="27">
        <f t="shared" si="18"/>
        <v>0.098063888809449</v>
      </c>
      <c r="AJ67" s="17">
        <f>IFERROR(VLOOKUP($B67,'[3]浏览量处理(勿删)'!$A:$B,2,0),"")</f>
        <v>34</v>
      </c>
      <c r="AK67" s="17">
        <f>IFERROR(VLOOKUP($B67,'[3]浏览量处理(勿删)'!$A:$C,3,0),"")</f>
        <v>39</v>
      </c>
      <c r="AL67" s="17">
        <f>IFERROR(VLOOKUP($B67,'[3]浏览量处理(勿删)'!$A:$D,4,0),"")</f>
        <v>17</v>
      </c>
      <c r="AM67" s="17">
        <f>IFERROR(VLOOKUP($B67,'[3]浏览量处理(勿删)'!$A:$E,5,0),"")</f>
        <v>83</v>
      </c>
      <c r="AN67" s="27">
        <f t="shared" si="6"/>
        <v>0.0294117647058824</v>
      </c>
      <c r="AO67" s="27">
        <f t="shared" si="7"/>
        <v>0.0769230769230769</v>
      </c>
      <c r="AP67" s="27">
        <f t="shared" si="8"/>
        <v>0.235294117647059</v>
      </c>
      <c r="AQ67" s="27">
        <f t="shared" si="9"/>
        <v>0.0120481927710843</v>
      </c>
      <c r="AR67" s="32">
        <f t="shared" si="10"/>
        <v>0.142857142857143</v>
      </c>
      <c r="AS67" s="32">
        <f t="shared" si="11"/>
        <v>8.57142857142857</v>
      </c>
      <c r="AT67" s="32">
        <f t="shared" si="12"/>
        <v>76.4285714285714</v>
      </c>
      <c r="AU67" s="18">
        <f t="shared" si="13"/>
        <v>595</v>
      </c>
      <c r="AV67" s="33">
        <f>IFERROR(时间!$B$4+AU67,"上周无销量")</f>
        <v>43885</v>
      </c>
    </row>
    <row r="68" spans="1:48">
      <c r="A68" s="16" t="s">
        <v>112</v>
      </c>
      <c r="B68" s="17" t="str">
        <f>VLOOKUP(A68,[1]sku_fnsku_asin_产品名称!$A:$C,3,0)</f>
        <v>B004X9BTGI</v>
      </c>
      <c r="C68" s="17" t="str">
        <f>VLOOKUP(A68,[1]sku_fnsku_asin_产品名称!$A:$D,4,0)</f>
        <v>Gratiae Organicss Hand and Nail Care Treatment, 4.08 Ounce</v>
      </c>
      <c r="D68" s="18">
        <f>IFERROR(VLOOKUP(A68,[4]库存报告使用数据处理!$A:$B,2,0),0)</f>
        <v>0</v>
      </c>
      <c r="E68" s="18">
        <f>IFERROR(VLOOKUP(A68,[4]库存报告使用数据处理!$A:$C,3,0),0)</f>
        <v>0</v>
      </c>
      <c r="F68" s="18">
        <f>IFERROR(VLOOKUP(A68,[4]库存报告使用数据处理!$A:$D,4,0),0)</f>
        <v>0</v>
      </c>
      <c r="G68" s="18">
        <f>IFERROR(VLOOKUP(A68,[4]库存报告使用数据处理!$A:$E,5,0),0)</f>
        <v>0</v>
      </c>
      <c r="H68" s="18">
        <f>IFERROR(VLOOKUP(A68,[4]库存报告使用数据处理!$A:$F,6,0),0)</f>
        <v>0</v>
      </c>
      <c r="I68" s="18">
        <f>IFERROR(VLOOKUP($A68,[2]数据处理!$A:$B,2,0),0)</f>
        <v>0</v>
      </c>
      <c r="J68" s="18">
        <f>IFERROR(VLOOKUP($A68,[2]数据处理!$A:$D,4,0),0)</f>
        <v>0</v>
      </c>
      <c r="K68" s="18">
        <f>IFERROR(VLOOKUP($A68,[2]数据处理!$A:$E,5,0),0)</f>
        <v>0</v>
      </c>
      <c r="L68" s="18">
        <f>IFERROR(VLOOKUP($A68,[2]数据处理!$A:$N,7,0),0)</f>
        <v>0</v>
      </c>
      <c r="M68" s="22">
        <f t="shared" si="0"/>
        <v>0</v>
      </c>
      <c r="N68" s="18">
        <f>IFERROR(VLOOKUP($A68,[2]数据处理!$A:$N,3,0),0)</f>
        <v>0</v>
      </c>
      <c r="O68" s="17">
        <f>IFERROR(VLOOKUP($A68,[2]数据处理!$A:$N,14,0),0)</f>
        <v>0</v>
      </c>
      <c r="P68" s="17">
        <f>IFERROR(VLOOKUP($A68,[5]库存报告使用数据!$A$1:$B$65536,2,0),0)</f>
        <v>0</v>
      </c>
      <c r="Q68" s="17">
        <f>IFERROR(VLOOKUP($A68,[5]库存报告使用数据!$A$1:$E$65536,5,0),0)</f>
        <v>0</v>
      </c>
      <c r="R68" s="17">
        <f>IFERROR(VLOOKUP($A68,[5]库存报告使用数据!$A$1:$H$65536,8,0),0)</f>
        <v>0</v>
      </c>
      <c r="S68" s="17">
        <f>IFERROR(VLOOKUP($A68,[5]库存报告使用数据!$A$1:$K$65536,11,0),0)</f>
        <v>0</v>
      </c>
      <c r="T68" s="17" t="str">
        <f>IFERROR(VLOOKUP($A68,[5]库存报告使用数据!$A$1:$C$65536,3,0),"")</f>
        <v/>
      </c>
      <c r="U68" s="17" t="str">
        <f>IFERROR(VLOOKUP($A68,[5]库存报告使用数据!$A$1:$F$65536,6,0),"")</f>
        <v/>
      </c>
      <c r="V68" s="17" t="str">
        <f>IFERROR(VLOOKUP($A68,[5]库存报告使用数据!$A$1:$I$65536,9,0),"")</f>
        <v/>
      </c>
      <c r="W68" s="17" t="str">
        <f>IFERROR(VLOOKUP($A68,[5]库存报告使用数据!$A$1:$L$65536,12,0),"")</f>
        <v/>
      </c>
      <c r="X68" s="27" t="str">
        <f t="shared" si="1"/>
        <v/>
      </c>
      <c r="Y68" s="27" t="str">
        <f t="shared" si="2"/>
        <v/>
      </c>
      <c r="Z68" s="27" t="str">
        <f t="shared" si="3"/>
        <v/>
      </c>
      <c r="AA68" s="27" t="str">
        <f t="shared" si="4"/>
        <v/>
      </c>
      <c r="AB68" s="17" t="str">
        <f>IFERROR(VLOOKUP($A68,[5]库存报告使用数据!$A$1:$D$65536,4,0),"")</f>
        <v/>
      </c>
      <c r="AC68" s="17" t="str">
        <f>IFERROR(VLOOKUP($A68,[5]库存报告使用数据!$A$1:$G$65536,7,0),"")</f>
        <v/>
      </c>
      <c r="AD68" s="17" t="str">
        <f>IFERROR(VLOOKUP($A68,[5]库存报告使用数据!$A$1:$J$65536,10,0),"")</f>
        <v/>
      </c>
      <c r="AE68" s="17" t="str">
        <f>IFERROR(VLOOKUP($A68,[5]库存报告使用数据!$A$1:$M$65536,13,0),"")</f>
        <v/>
      </c>
      <c r="AF68" s="27" t="str">
        <f t="shared" si="15"/>
        <v>有广告无销售广告费为</v>
      </c>
      <c r="AG68" s="27" t="str">
        <f t="shared" si="16"/>
        <v>有广告无销售广告费为</v>
      </c>
      <c r="AH68" s="27" t="str">
        <f t="shared" si="17"/>
        <v>有广告无销售广告费为</v>
      </c>
      <c r="AI68" s="27" t="str">
        <f t="shared" si="18"/>
        <v>有广告无销售广告费为</v>
      </c>
      <c r="AJ68" s="17" t="str">
        <f>IFERROR(VLOOKUP($B68,'[3]浏览量处理(勿删)'!$A:$B,2,0),"")</f>
        <v/>
      </c>
      <c r="AK68" s="17" t="str">
        <f>IFERROR(VLOOKUP($B68,'[3]浏览量处理(勿删)'!$A:$C,3,0),"")</f>
        <v/>
      </c>
      <c r="AL68" s="17" t="str">
        <f>IFERROR(VLOOKUP($B68,'[3]浏览量处理(勿删)'!$A:$D,4,0),"")</f>
        <v/>
      </c>
      <c r="AM68" s="17" t="str">
        <f>IFERROR(VLOOKUP($B68,'[3]浏览量处理(勿删)'!$A:$E,5,0),"")</f>
        <v/>
      </c>
      <c r="AN68" s="27" t="str">
        <f t="shared" si="6"/>
        <v/>
      </c>
      <c r="AO68" s="27" t="str">
        <f t="shared" si="7"/>
        <v/>
      </c>
      <c r="AP68" s="27" t="str">
        <f t="shared" si="8"/>
        <v/>
      </c>
      <c r="AQ68" s="27" t="str">
        <f t="shared" si="9"/>
        <v/>
      </c>
      <c r="AR68" s="32">
        <f t="shared" si="10"/>
        <v>0</v>
      </c>
      <c r="AS68" s="32">
        <f t="shared" si="11"/>
        <v>0</v>
      </c>
      <c r="AT68" s="32">
        <f t="shared" si="12"/>
        <v>0</v>
      </c>
      <c r="AU68" s="18" t="str">
        <f t="shared" si="13"/>
        <v>库存为0</v>
      </c>
      <c r="AV68" s="33" t="str">
        <f>IFERROR(时间!$B$4+AU68,"上周无销量")</f>
        <v>上周无销量</v>
      </c>
    </row>
    <row r="69" spans="1:48">
      <c r="A69" s="16" t="s">
        <v>113</v>
      </c>
      <c r="B69" s="17" t="str">
        <f>VLOOKUP(A69,[1]sku_fnsku_asin_产品名称!$A:$C,3,0)</f>
        <v>B003CEA88U</v>
      </c>
      <c r="C69" s="17" t="str">
        <f>VLOOKUP(A69,[1]sku_fnsku_asin_产品名称!$A:$D,4,0)</f>
        <v>Gratiae Organics Facial Cleansing Lotion, 6.8 Ounce</v>
      </c>
      <c r="D69" s="18">
        <f>IFERROR(VLOOKUP(A69,[4]库存报告使用数据处理!$A:$B,2,0),0)</f>
        <v>7</v>
      </c>
      <c r="E69" s="18">
        <f>IFERROR(VLOOKUP(A69,[4]库存报告使用数据处理!$A:$C,3,0),0)</f>
        <v>0</v>
      </c>
      <c r="F69" s="18">
        <f>IFERROR(VLOOKUP(A69,[4]库存报告使用数据处理!$A:$D,4,0),0)</f>
        <v>0</v>
      </c>
      <c r="G69" s="18">
        <f>IFERROR(VLOOKUP(A69,[4]库存报告使用数据处理!$A:$E,5,0),0)</f>
        <v>0</v>
      </c>
      <c r="H69" s="18">
        <f>IFERROR(VLOOKUP(A69,[4]库存报告使用数据处理!$A:$F,6,0),0)</f>
        <v>20.99</v>
      </c>
      <c r="I69" s="18">
        <f>IFERROR(VLOOKUP($A69,[2]数据处理!$A:$B,2,0),0)</f>
        <v>26</v>
      </c>
      <c r="J69" s="18">
        <f>IFERROR(VLOOKUP($A69,[2]数据处理!$A:$D,4,0),0)</f>
        <v>0</v>
      </c>
      <c r="K69" s="18">
        <f>IFERROR(VLOOKUP($A69,[2]数据处理!$A:$E,5,0),0)</f>
        <v>0</v>
      </c>
      <c r="L69" s="18">
        <f>IFERROR(VLOOKUP($A69,[2]数据处理!$A:$N,7,0),0)</f>
        <v>14</v>
      </c>
      <c r="M69" s="22">
        <f t="shared" ref="M69:M132" si="19">SUM(I69:L69)</f>
        <v>40</v>
      </c>
      <c r="N69" s="18">
        <f>IFERROR(VLOOKUP($A69,[2]数据处理!$A:$N,3,0),0)</f>
        <v>0</v>
      </c>
      <c r="O69" s="17">
        <f>IFERROR(VLOOKUP($A69,[2]数据处理!$A:$N,14,0),0)</f>
        <v>0</v>
      </c>
      <c r="P69" s="17">
        <f>IFERROR(VLOOKUP($A69,[5]库存报告使用数据!$A$1:$B$65536,2,0),0)</f>
        <v>2335</v>
      </c>
      <c r="Q69" s="17">
        <f>IFERROR(VLOOKUP($A69,[5]库存报告使用数据!$A$1:$E$65536,5,0),0)</f>
        <v>0</v>
      </c>
      <c r="R69" s="17">
        <f>IFERROR(VLOOKUP($A69,[5]库存报告使用数据!$A$1:$H$65536,8,0),0)</f>
        <v>0</v>
      </c>
      <c r="S69" s="17">
        <f>IFERROR(VLOOKUP($A69,[5]库存报告使用数据!$A$1:$K$65536,11,0),0)</f>
        <v>0</v>
      </c>
      <c r="T69" s="17">
        <f>IFERROR(VLOOKUP($A69,[5]库存报告使用数据!$A$1:$C$65536,3,0),"")</f>
        <v>3</v>
      </c>
      <c r="U69" s="17">
        <f>IFERROR(VLOOKUP($A69,[5]库存报告使用数据!$A$1:$F$65536,6,0),"")</f>
        <v>0</v>
      </c>
      <c r="V69" s="17">
        <f>IFERROR(VLOOKUP($A69,[5]库存报告使用数据!$A$1:$I$65536,9,0),"")</f>
        <v>0</v>
      </c>
      <c r="W69" s="17">
        <f>IFERROR(VLOOKUP($A69,[5]库存报告使用数据!$A$1:$L$65536,12,0),"")</f>
        <v>0</v>
      </c>
      <c r="X69" s="27">
        <f t="shared" ref="X69:X132" si="20">IF(P69=0,"",T69/P69)</f>
        <v>0.0012847965738758</v>
      </c>
      <c r="Y69" s="27" t="str">
        <f t="shared" ref="Y69:Y132" si="21">IF(Q69=0,"",U69/Q69)</f>
        <v/>
      </c>
      <c r="Z69" s="27" t="str">
        <f t="shared" ref="Z69:Z132" si="22">IF(R69=0,"",V69/R69)</f>
        <v/>
      </c>
      <c r="AA69" s="27" t="str">
        <f t="shared" ref="AA69:AA132" si="23">IF(S69=0,"",W69/S69)</f>
        <v/>
      </c>
      <c r="AB69" s="17">
        <f>IFERROR(VLOOKUP($A69,[5]库存报告使用数据!$A$1:$D$65536,4,0),"")</f>
        <v>3.32</v>
      </c>
      <c r="AC69" s="17">
        <f>IFERROR(VLOOKUP($A69,[5]库存报告使用数据!$A$1:$G$65536,7,0),"")</f>
        <v>0</v>
      </c>
      <c r="AD69" s="17">
        <f>IFERROR(VLOOKUP($A69,[5]库存报告使用数据!$A$1:$J$65536,10,0),"")</f>
        <v>0</v>
      </c>
      <c r="AE69" s="17">
        <f>IFERROR(VLOOKUP($A69,[5]库存报告使用数据!$A$1:$M$65536,13,0),"")</f>
        <v>0</v>
      </c>
      <c r="AF69" s="27">
        <f t="shared" si="15"/>
        <v>0.02259579391547</v>
      </c>
      <c r="AG69" s="27" t="str">
        <f t="shared" si="16"/>
        <v/>
      </c>
      <c r="AH69" s="27" t="str">
        <f t="shared" si="17"/>
        <v/>
      </c>
      <c r="AI69" s="27" t="str">
        <f t="shared" si="18"/>
        <v/>
      </c>
      <c r="AJ69" s="17">
        <f>IFERROR(VLOOKUP($B69,'[3]浏览量处理(勿删)'!$A:$B,2,0),"")</f>
        <v>13</v>
      </c>
      <c r="AK69" s="17">
        <f>IFERROR(VLOOKUP($B69,'[3]浏览量处理(勿删)'!$A:$C,3,0),"")</f>
        <v>0</v>
      </c>
      <c r="AL69" s="17">
        <f>IFERROR(VLOOKUP($B69,'[3]浏览量处理(勿删)'!$A:$D,4,0),"")</f>
        <v>0</v>
      </c>
      <c r="AM69" s="17">
        <f>IFERROR(VLOOKUP($B69,'[3]浏览量处理(勿删)'!$A:$E,5,0),"")</f>
        <v>117</v>
      </c>
      <c r="AN69" s="27">
        <f t="shared" ref="AN69:AN132" si="24">IFERROR(D69/AJ69,"")</f>
        <v>0.538461538461538</v>
      </c>
      <c r="AO69" s="27" t="str">
        <f t="shared" ref="AO69:AO132" si="25">IFERROR(E69/AK69,"")</f>
        <v/>
      </c>
      <c r="AP69" s="27" t="str">
        <f t="shared" ref="AP69:AP132" si="26">IFERROR(F69/AL69,"")</f>
        <v/>
      </c>
      <c r="AQ69" s="27">
        <f t="shared" ref="AQ69:AQ132" si="27">IFERROR(G69/AM69,"")</f>
        <v>0</v>
      </c>
      <c r="AR69" s="32">
        <f t="shared" ref="AR69:AR132" si="28">IFERROR(D69/7,"")</f>
        <v>1</v>
      </c>
      <c r="AS69" s="32">
        <f t="shared" ref="AS69:AS132" si="29">IF(AR69="","上周无销量",60*AR69)</f>
        <v>60</v>
      </c>
      <c r="AT69" s="32">
        <f t="shared" ref="AT69:AT132" si="30">IF(AS69="上周无销量","上周无销量/总库存"&amp;M69,M69-AS69)</f>
        <v>-20</v>
      </c>
      <c r="AU69" s="18">
        <f t="shared" ref="AU69:AU132" si="31">IF(AR69="","库存为"&amp;M69,IF(AS69=0,"库存为"&amp;M69,INT(M69/AR69)))</f>
        <v>40</v>
      </c>
      <c r="AV69" s="33">
        <f>IFERROR(时间!$B$4+AU69,"上周无销量")</f>
        <v>43330</v>
      </c>
    </row>
    <row r="70" spans="1:48">
      <c r="A70" s="16" t="s">
        <v>114</v>
      </c>
      <c r="B70" s="17" t="str">
        <f>VLOOKUP(A70,[1]sku_fnsku_asin_产品名称!$A:$C,3,0)</f>
        <v>B004OEUPGM</v>
      </c>
      <c r="C70" s="17" t="str">
        <f>VLOOKUP(A70,[1]sku_fnsku_asin_产品名称!$A:$D,4,0)</f>
        <v>Exfoliating Body Scrub (Passion Fruit and Lime)</v>
      </c>
      <c r="D70" s="18">
        <f>IFERROR(VLOOKUP(A70,[4]库存报告使用数据处理!$A:$B,2,0),0)</f>
        <v>0</v>
      </c>
      <c r="E70" s="18">
        <f>IFERROR(VLOOKUP(A70,[4]库存报告使用数据处理!$A:$C,3,0),0)</f>
        <v>0</v>
      </c>
      <c r="F70" s="18">
        <f>IFERROR(VLOOKUP(A70,[4]库存报告使用数据处理!$A:$D,4,0),0)</f>
        <v>0</v>
      </c>
      <c r="G70" s="18">
        <f>IFERROR(VLOOKUP(A70,[4]库存报告使用数据处理!$A:$E,5,0),0)</f>
        <v>0</v>
      </c>
      <c r="H70" s="18">
        <f>IFERROR(VLOOKUP(A70,[4]库存报告使用数据处理!$A:$F,6,0),0)</f>
        <v>0</v>
      </c>
      <c r="I70" s="18">
        <f>IFERROR(VLOOKUP($A70,[2]数据处理!$A:$B,2,0),0)</f>
        <v>0</v>
      </c>
      <c r="J70" s="18">
        <f>IFERROR(VLOOKUP($A70,[2]数据处理!$A:$D,4,0),0)</f>
        <v>0</v>
      </c>
      <c r="K70" s="18">
        <f>IFERROR(VLOOKUP($A70,[2]数据处理!$A:$E,5,0),0)</f>
        <v>0</v>
      </c>
      <c r="L70" s="18">
        <f>IFERROR(VLOOKUP($A70,[2]数据处理!$A:$N,7,0),0)</f>
        <v>0</v>
      </c>
      <c r="M70" s="22">
        <f t="shared" si="19"/>
        <v>0</v>
      </c>
      <c r="N70" s="18">
        <f>IFERROR(VLOOKUP($A70,[2]数据处理!$A:$N,3,0),0)</f>
        <v>0</v>
      </c>
      <c r="O70" s="17">
        <f>IFERROR(VLOOKUP($A70,[2]数据处理!$A:$N,14,0),0)</f>
        <v>0</v>
      </c>
      <c r="P70" s="17">
        <f>IFERROR(VLOOKUP($A70,[5]库存报告使用数据!$A$1:$B$65536,2,0),0)</f>
        <v>0</v>
      </c>
      <c r="Q70" s="17">
        <f>IFERROR(VLOOKUP($A70,[5]库存报告使用数据!$A$1:$E$65536,5,0),0)</f>
        <v>0</v>
      </c>
      <c r="R70" s="17">
        <f>IFERROR(VLOOKUP($A70,[5]库存报告使用数据!$A$1:$H$65536,8,0),0)</f>
        <v>0</v>
      </c>
      <c r="S70" s="17">
        <f>IFERROR(VLOOKUP($A70,[5]库存报告使用数据!$A$1:$K$65536,11,0),0)</f>
        <v>0</v>
      </c>
      <c r="T70" s="17" t="str">
        <f>IFERROR(VLOOKUP($A70,[5]库存报告使用数据!$A$1:$C$65536,3,0),"")</f>
        <v/>
      </c>
      <c r="U70" s="17" t="str">
        <f>IFERROR(VLOOKUP($A70,[5]库存报告使用数据!$A$1:$F$65536,6,0),"")</f>
        <v/>
      </c>
      <c r="V70" s="17" t="str">
        <f>IFERROR(VLOOKUP($A70,[5]库存报告使用数据!$A$1:$I$65536,9,0),"")</f>
        <v/>
      </c>
      <c r="W70" s="17" t="str">
        <f>IFERROR(VLOOKUP($A70,[5]库存报告使用数据!$A$1:$L$65536,12,0),"")</f>
        <v/>
      </c>
      <c r="X70" s="27" t="str">
        <f t="shared" si="20"/>
        <v/>
      </c>
      <c r="Y70" s="27" t="str">
        <f t="shared" si="21"/>
        <v/>
      </c>
      <c r="Z70" s="27" t="str">
        <f t="shared" si="22"/>
        <v/>
      </c>
      <c r="AA70" s="27" t="str">
        <f t="shared" si="23"/>
        <v/>
      </c>
      <c r="AB70" s="17" t="str">
        <f>IFERROR(VLOOKUP($A70,[5]库存报告使用数据!$A$1:$D$65536,4,0),"")</f>
        <v/>
      </c>
      <c r="AC70" s="17" t="str">
        <f>IFERROR(VLOOKUP($A70,[5]库存报告使用数据!$A$1:$G$65536,7,0),"")</f>
        <v/>
      </c>
      <c r="AD70" s="17" t="str">
        <f>IFERROR(VLOOKUP($A70,[5]库存报告使用数据!$A$1:$J$65536,10,0),"")</f>
        <v/>
      </c>
      <c r="AE70" s="17" t="str">
        <f>IFERROR(VLOOKUP($A70,[5]库存报告使用数据!$A$1:$M$65536,13,0),"")</f>
        <v/>
      </c>
      <c r="AF70" s="27" t="str">
        <f t="shared" ref="AF70:AF133" si="32">IF(AND(AB70&gt;0,D70=0),"有广告无销售广告费为"&amp;AB70,IF(D70=0,"",IF(AB70=0,0,IFERROR(AB70/(D70*$H70),""))))</f>
        <v>有广告无销售广告费为</v>
      </c>
      <c r="AG70" s="27" t="str">
        <f t="shared" ref="AG70:AG133" si="33">IF(AND(AC70&gt;0,E70=0),"有广告无销售广告费为"&amp;AC70,IF(E70=0,"",IF(AC70=0,0,IFERROR(AC70/(E70*$H70),""))))</f>
        <v>有广告无销售广告费为</v>
      </c>
      <c r="AH70" s="27" t="str">
        <f t="shared" ref="AH70:AH133" si="34">IF(AND(AD70&gt;0,F70=0),"有广告无销售广告费为"&amp;AD70,IF(F70=0,"",IF(AD70=0,0,IFERROR(AD70/(F70*$H70),""))))</f>
        <v>有广告无销售广告费为</v>
      </c>
      <c r="AI70" s="27" t="str">
        <f t="shared" ref="AI70:AI133" si="35">IF(AND(AE70&gt;0,G70=0),"有广告无销售广告费为"&amp;AE70,IF(G70=0,"",IF(AE70=0,0,IFERROR(AE70/(G70*$H70),""))))</f>
        <v>有广告无销售广告费为</v>
      </c>
      <c r="AJ70" s="17">
        <f>IFERROR(VLOOKUP($B70,'[3]浏览量处理(勿删)'!$A:$B,2,0),"")</f>
        <v>1</v>
      </c>
      <c r="AK70" s="17">
        <f>IFERROR(VLOOKUP($B70,'[3]浏览量处理(勿删)'!$A:$C,3,0),"")</f>
        <v>18</v>
      </c>
      <c r="AL70" s="17">
        <f>IFERROR(VLOOKUP($B70,'[3]浏览量处理(勿删)'!$A:$D,4,0),"")</f>
        <v>8</v>
      </c>
      <c r="AM70" s="17">
        <f>IFERROR(VLOOKUP($B70,'[3]浏览量处理(勿删)'!$A:$E,5,0),"")</f>
        <v>21</v>
      </c>
      <c r="AN70" s="27">
        <f t="shared" si="24"/>
        <v>0</v>
      </c>
      <c r="AO70" s="27">
        <f t="shared" si="25"/>
        <v>0</v>
      </c>
      <c r="AP70" s="27">
        <f t="shared" si="26"/>
        <v>0</v>
      </c>
      <c r="AQ70" s="27">
        <f t="shared" si="27"/>
        <v>0</v>
      </c>
      <c r="AR70" s="32">
        <f t="shared" si="28"/>
        <v>0</v>
      </c>
      <c r="AS70" s="32">
        <f t="shared" si="29"/>
        <v>0</v>
      </c>
      <c r="AT70" s="32">
        <f t="shared" si="30"/>
        <v>0</v>
      </c>
      <c r="AU70" s="18" t="str">
        <f t="shared" si="31"/>
        <v>库存为0</v>
      </c>
      <c r="AV70" s="33" t="str">
        <f>IFERROR(时间!$B$4+AU70,"上周无销量")</f>
        <v>上周无销量</v>
      </c>
    </row>
    <row r="71" spans="1:48">
      <c r="A71" s="16" t="s">
        <v>115</v>
      </c>
      <c r="B71" s="17" t="str">
        <f>VLOOKUP(A71,[1]sku_fnsku_asin_产品名称!$A:$C,3,0)</f>
        <v>B004X9BSG4</v>
      </c>
      <c r="C71" s="17" t="str">
        <f>VLOOKUP(A71,[1]sku_fnsku_asin_产品名称!$A:$D,4,0)</f>
        <v>Gratiae Organics Lifting Facial Mask, 1.7 Ounce</v>
      </c>
      <c r="D71" s="18">
        <f>IFERROR(VLOOKUP(A71,[4]库存报告使用数据处理!$A:$B,2,0),0)</f>
        <v>0</v>
      </c>
      <c r="E71" s="18">
        <f>IFERROR(VLOOKUP(A71,[4]库存报告使用数据处理!$A:$C,3,0),0)</f>
        <v>0</v>
      </c>
      <c r="F71" s="18">
        <f>IFERROR(VLOOKUP(A71,[4]库存报告使用数据处理!$A:$D,4,0),0)</f>
        <v>0</v>
      </c>
      <c r="G71" s="18">
        <f>IFERROR(VLOOKUP(A71,[4]库存报告使用数据处理!$A:$E,5,0),0)</f>
        <v>0</v>
      </c>
      <c r="H71" s="18">
        <f>IFERROR(VLOOKUP(A71,[4]库存报告使用数据处理!$A:$F,6,0),0)</f>
        <v>0</v>
      </c>
      <c r="I71" s="18">
        <f>IFERROR(VLOOKUP($A71,[2]数据处理!$A:$B,2,0),0)</f>
        <v>0</v>
      </c>
      <c r="J71" s="18">
        <f>IFERROR(VLOOKUP($A71,[2]数据处理!$A:$D,4,0),0)</f>
        <v>0</v>
      </c>
      <c r="K71" s="18">
        <f>IFERROR(VLOOKUP($A71,[2]数据处理!$A:$E,5,0),0)</f>
        <v>0</v>
      </c>
      <c r="L71" s="18">
        <f>IFERROR(VLOOKUP($A71,[2]数据处理!$A:$N,7,0),0)</f>
        <v>0</v>
      </c>
      <c r="M71" s="22">
        <f t="shared" si="19"/>
        <v>0</v>
      </c>
      <c r="N71" s="18">
        <f>IFERROR(VLOOKUP($A71,[2]数据处理!$A:$N,3,0),0)</f>
        <v>0</v>
      </c>
      <c r="O71" s="17">
        <f>IFERROR(VLOOKUP($A71,[2]数据处理!$A:$N,14,0),0)</f>
        <v>0</v>
      </c>
      <c r="P71" s="17">
        <f>IFERROR(VLOOKUP($A71,[5]库存报告使用数据!$A$1:$B$65536,2,0),0)</f>
        <v>0</v>
      </c>
      <c r="Q71" s="17">
        <f>IFERROR(VLOOKUP($A71,[5]库存报告使用数据!$A$1:$E$65536,5,0),0)</f>
        <v>23</v>
      </c>
      <c r="R71" s="17">
        <f>IFERROR(VLOOKUP($A71,[5]库存报告使用数据!$A$1:$H$65536,8,0),0)</f>
        <v>5905</v>
      </c>
      <c r="S71" s="17">
        <f>IFERROR(VLOOKUP($A71,[5]库存报告使用数据!$A$1:$K$65536,11,0),0)</f>
        <v>4648</v>
      </c>
      <c r="T71" s="17">
        <f>IFERROR(VLOOKUP($A71,[5]库存报告使用数据!$A$1:$C$65536,3,0),"")</f>
        <v>0</v>
      </c>
      <c r="U71" s="17">
        <f>IFERROR(VLOOKUP($A71,[5]库存报告使用数据!$A$1:$F$65536,6,0),"")</f>
        <v>0</v>
      </c>
      <c r="V71" s="17">
        <f>IFERROR(VLOOKUP($A71,[5]库存报告使用数据!$A$1:$I$65536,9,0),"")</f>
        <v>9</v>
      </c>
      <c r="W71" s="17">
        <f>IFERROR(VLOOKUP($A71,[5]库存报告使用数据!$A$1:$L$65536,12,0),"")</f>
        <v>9</v>
      </c>
      <c r="X71" s="27" t="str">
        <f t="shared" si="20"/>
        <v/>
      </c>
      <c r="Y71" s="27">
        <f t="shared" si="21"/>
        <v>0</v>
      </c>
      <c r="Z71" s="27">
        <f t="shared" si="22"/>
        <v>0.00152413209144793</v>
      </c>
      <c r="AA71" s="27">
        <f t="shared" si="23"/>
        <v>0.00193631669535284</v>
      </c>
      <c r="AB71" s="17">
        <f>IFERROR(VLOOKUP($A71,[5]库存报告使用数据!$A$1:$D$65536,4,0),"")</f>
        <v>0</v>
      </c>
      <c r="AC71" s="17">
        <f>IFERROR(VLOOKUP($A71,[5]库存报告使用数据!$A$1:$G$65536,7,0),"")</f>
        <v>0</v>
      </c>
      <c r="AD71" s="17">
        <f>IFERROR(VLOOKUP($A71,[5]库存报告使用数据!$A$1:$J$65536,10,0),"")</f>
        <v>9.53</v>
      </c>
      <c r="AE71" s="17">
        <f>IFERROR(VLOOKUP($A71,[5]库存报告使用数据!$A$1:$M$65536,13,0),"")</f>
        <v>3.88</v>
      </c>
      <c r="AF71" s="27" t="str">
        <f t="shared" si="32"/>
        <v/>
      </c>
      <c r="AG71" s="27" t="str">
        <f t="shared" si="33"/>
        <v/>
      </c>
      <c r="AH71" s="27" t="str">
        <f t="shared" si="34"/>
        <v>有广告无销售广告费为9.53</v>
      </c>
      <c r="AI71" s="27" t="str">
        <f t="shared" si="35"/>
        <v>有广告无销售广告费为3.88</v>
      </c>
      <c r="AJ71" s="17">
        <f>IFERROR(VLOOKUP($B71,'[3]浏览量处理(勿删)'!$A:$B,2,0),"")</f>
        <v>0</v>
      </c>
      <c r="AK71" s="17">
        <f>IFERROR(VLOOKUP($B71,'[3]浏览量处理(勿删)'!$A:$C,3,0),"")</f>
        <v>0</v>
      </c>
      <c r="AL71" s="17">
        <f>IFERROR(VLOOKUP($B71,'[3]浏览量处理(勿删)'!$A:$D,4,0),"")</f>
        <v>18</v>
      </c>
      <c r="AM71" s="17">
        <f>IFERROR(VLOOKUP($B71,'[3]浏览量处理(勿删)'!$A:$E,5,0),"")</f>
        <v>59</v>
      </c>
      <c r="AN71" s="27" t="str">
        <f t="shared" si="24"/>
        <v/>
      </c>
      <c r="AO71" s="27" t="str">
        <f t="shared" si="25"/>
        <v/>
      </c>
      <c r="AP71" s="27">
        <f t="shared" si="26"/>
        <v>0</v>
      </c>
      <c r="AQ71" s="27">
        <f t="shared" si="27"/>
        <v>0</v>
      </c>
      <c r="AR71" s="32">
        <f t="shared" si="28"/>
        <v>0</v>
      </c>
      <c r="AS71" s="32">
        <f t="shared" si="29"/>
        <v>0</v>
      </c>
      <c r="AT71" s="32">
        <f t="shared" si="30"/>
        <v>0</v>
      </c>
      <c r="AU71" s="18" t="str">
        <f t="shared" si="31"/>
        <v>库存为0</v>
      </c>
      <c r="AV71" s="33" t="str">
        <f>IFERROR(时间!$B$4+AU71,"上周无销量")</f>
        <v>上周无销量</v>
      </c>
    </row>
    <row r="72" spans="1:48">
      <c r="A72" s="16" t="s">
        <v>116</v>
      </c>
      <c r="B72" s="17" t="str">
        <f>VLOOKUP(A72,[1]sku_fnsku_asin_产品名称!$A:$C,3,0)</f>
        <v>B004X9BRU6</v>
      </c>
      <c r="C72" s="17" t="str">
        <f>VLOOKUP(A72,[1]sku_fnsku_asin_产品名称!$A:$D,4,0)</f>
        <v>Gratiae Organics Aha Cleansing and Peeling Foam, 5.1 Ounce</v>
      </c>
      <c r="D72" s="18">
        <f>IFERROR(VLOOKUP(A72,[4]库存报告使用数据处理!$A:$B,2,0),0)</f>
        <v>0</v>
      </c>
      <c r="E72" s="18">
        <f>IFERROR(VLOOKUP(A72,[4]库存报告使用数据处理!$A:$C,3,0),0)</f>
        <v>0</v>
      </c>
      <c r="F72" s="18">
        <f>IFERROR(VLOOKUP(A72,[4]库存报告使用数据处理!$A:$D,4,0),0)</f>
        <v>0</v>
      </c>
      <c r="G72" s="18">
        <f>IFERROR(VLOOKUP(A72,[4]库存报告使用数据处理!$A:$E,5,0),0)</f>
        <v>0</v>
      </c>
      <c r="H72" s="18">
        <f>IFERROR(VLOOKUP(A72,[4]库存报告使用数据处理!$A:$F,6,0),0)</f>
        <v>0</v>
      </c>
      <c r="I72" s="18">
        <f>IFERROR(VLOOKUP($A72,[2]数据处理!$A:$B,2,0),0)</f>
        <v>30</v>
      </c>
      <c r="J72" s="18">
        <f>IFERROR(VLOOKUP($A72,[2]数据处理!$A:$D,4,0),0)</f>
        <v>0</v>
      </c>
      <c r="K72" s="18">
        <f>IFERROR(VLOOKUP($A72,[2]数据处理!$A:$E,5,0),0)</f>
        <v>0</v>
      </c>
      <c r="L72" s="18">
        <f>IFERROR(VLOOKUP($A72,[2]数据处理!$A:$N,7,0),0)</f>
        <v>15</v>
      </c>
      <c r="M72" s="22">
        <f t="shared" si="19"/>
        <v>45</v>
      </c>
      <c r="N72" s="18">
        <f>IFERROR(VLOOKUP($A72,[2]数据处理!$A:$N,3,0),0)</f>
        <v>0</v>
      </c>
      <c r="O72" s="17">
        <f>IFERROR(VLOOKUP($A72,[2]数据处理!$A:$N,14,0),0)</f>
        <v>0</v>
      </c>
      <c r="P72" s="17">
        <f>IFERROR(VLOOKUP($A72,[5]库存报告使用数据!$A$1:$B$65536,2,0),0)</f>
        <v>6330</v>
      </c>
      <c r="Q72" s="17">
        <f>IFERROR(VLOOKUP($A72,[5]库存报告使用数据!$A$1:$E$65536,5,0),0)</f>
        <v>0</v>
      </c>
      <c r="R72" s="17">
        <f>IFERROR(VLOOKUP($A72,[5]库存报告使用数据!$A$1:$H$65536,8,0),0)</f>
        <v>0</v>
      </c>
      <c r="S72" s="17">
        <f>IFERROR(VLOOKUP($A72,[5]库存报告使用数据!$A$1:$K$65536,11,0),0)</f>
        <v>0</v>
      </c>
      <c r="T72" s="17">
        <f>IFERROR(VLOOKUP($A72,[5]库存报告使用数据!$A$1:$C$65536,3,0),"")</f>
        <v>6</v>
      </c>
      <c r="U72" s="17">
        <f>IFERROR(VLOOKUP($A72,[5]库存报告使用数据!$A$1:$F$65536,6,0),"")</f>
        <v>0</v>
      </c>
      <c r="V72" s="17">
        <f>IFERROR(VLOOKUP($A72,[5]库存报告使用数据!$A$1:$I$65536,9,0),"")</f>
        <v>0</v>
      </c>
      <c r="W72" s="17">
        <f>IFERROR(VLOOKUP($A72,[5]库存报告使用数据!$A$1:$L$65536,12,0),"")</f>
        <v>0</v>
      </c>
      <c r="X72" s="27">
        <f t="shared" si="20"/>
        <v>0.000947867298578199</v>
      </c>
      <c r="Y72" s="27" t="str">
        <f t="shared" si="21"/>
        <v/>
      </c>
      <c r="Z72" s="27" t="str">
        <f t="shared" si="22"/>
        <v/>
      </c>
      <c r="AA72" s="27" t="str">
        <f t="shared" si="23"/>
        <v/>
      </c>
      <c r="AB72" s="17">
        <f>IFERROR(VLOOKUP($A72,[5]库存报告使用数据!$A$1:$D$65536,4,0),"")</f>
        <v>3.9</v>
      </c>
      <c r="AC72" s="17">
        <f>IFERROR(VLOOKUP($A72,[5]库存报告使用数据!$A$1:$G$65536,7,0),"")</f>
        <v>0</v>
      </c>
      <c r="AD72" s="17">
        <f>IFERROR(VLOOKUP($A72,[5]库存报告使用数据!$A$1:$J$65536,10,0),"")</f>
        <v>0</v>
      </c>
      <c r="AE72" s="17">
        <f>IFERROR(VLOOKUP($A72,[5]库存报告使用数据!$A$1:$M$65536,13,0),"")</f>
        <v>0</v>
      </c>
      <c r="AF72" s="27" t="str">
        <f t="shared" si="32"/>
        <v>有广告无销售广告费为3.9</v>
      </c>
      <c r="AG72" s="27" t="str">
        <f t="shared" si="33"/>
        <v/>
      </c>
      <c r="AH72" s="27" t="str">
        <f t="shared" si="34"/>
        <v/>
      </c>
      <c r="AI72" s="27" t="str">
        <f t="shared" si="35"/>
        <v/>
      </c>
      <c r="AJ72" s="17">
        <f>IFERROR(VLOOKUP($B72,'[3]浏览量处理(勿删)'!$A:$B,2,0),"")</f>
        <v>22</v>
      </c>
      <c r="AK72" s="17">
        <f>IFERROR(VLOOKUP($B72,'[3]浏览量处理(勿删)'!$A:$C,3,0),"")</f>
        <v>0</v>
      </c>
      <c r="AL72" s="17">
        <f>IFERROR(VLOOKUP($B72,'[3]浏览量处理(勿删)'!$A:$D,4,0),"")</f>
        <v>0</v>
      </c>
      <c r="AM72" s="17">
        <f>IFERROR(VLOOKUP($B72,'[3]浏览量处理(勿删)'!$A:$E,5,0),"")</f>
        <v>0</v>
      </c>
      <c r="AN72" s="27">
        <f t="shared" si="24"/>
        <v>0</v>
      </c>
      <c r="AO72" s="27" t="str">
        <f t="shared" si="25"/>
        <v/>
      </c>
      <c r="AP72" s="27" t="str">
        <f t="shared" si="26"/>
        <v/>
      </c>
      <c r="AQ72" s="27" t="str">
        <f t="shared" si="27"/>
        <v/>
      </c>
      <c r="AR72" s="32">
        <f t="shared" si="28"/>
        <v>0</v>
      </c>
      <c r="AS72" s="32">
        <f t="shared" si="29"/>
        <v>0</v>
      </c>
      <c r="AT72" s="32">
        <f t="shared" si="30"/>
        <v>45</v>
      </c>
      <c r="AU72" s="18" t="str">
        <f t="shared" si="31"/>
        <v>库存为45</v>
      </c>
      <c r="AV72" s="33" t="str">
        <f>IFERROR(时间!$B$4+AU72,"上周无销量")</f>
        <v>上周无销量</v>
      </c>
    </row>
    <row r="73" spans="1:48">
      <c r="A73" s="16" t="s">
        <v>117</v>
      </c>
      <c r="B73" s="17" t="str">
        <f>VLOOKUP(A73,[1]sku_fnsku_asin_产品名称!$A:$C,3,0)</f>
        <v>B01G3AIYJO</v>
      </c>
      <c r="C73" s="17" t="str">
        <f>VLOOKUP(A73,[1]sku_fnsku_asin_产品名称!$A:$D,4,0)</f>
        <v>Gratiae Organic Beauty By Nature Exfoliating Body Scrub, Apple/Green Tea and Ginger by Gratiae Organic Beauty By Nature</v>
      </c>
      <c r="D73" s="18">
        <f>IFERROR(VLOOKUP(A73,[4]库存报告使用数据处理!$A:$B,2,0),0)</f>
        <v>0</v>
      </c>
      <c r="E73" s="18">
        <f>IFERROR(VLOOKUP(A73,[4]库存报告使用数据处理!$A:$C,3,0),0)</f>
        <v>0</v>
      </c>
      <c r="F73" s="18">
        <f>IFERROR(VLOOKUP(A73,[4]库存报告使用数据处理!$A:$D,4,0),0)</f>
        <v>0</v>
      </c>
      <c r="G73" s="18">
        <f>IFERROR(VLOOKUP(A73,[4]库存报告使用数据处理!$A:$E,5,0),0)</f>
        <v>0</v>
      </c>
      <c r="H73" s="18">
        <f>IFERROR(VLOOKUP(A73,[4]库存报告使用数据处理!$A:$F,6,0),0)</f>
        <v>0</v>
      </c>
      <c r="I73" s="18">
        <f>IFERROR(VLOOKUP($A73,[2]数据处理!$A:$B,2,0),0)</f>
        <v>0</v>
      </c>
      <c r="J73" s="18">
        <f>IFERROR(VLOOKUP($A73,[2]数据处理!$A:$D,4,0),0)</f>
        <v>0</v>
      </c>
      <c r="K73" s="18">
        <f>IFERROR(VLOOKUP($A73,[2]数据处理!$A:$E,5,0),0)</f>
        <v>0</v>
      </c>
      <c r="L73" s="18">
        <f>IFERROR(VLOOKUP($A73,[2]数据处理!$A:$N,7,0),0)</f>
        <v>0</v>
      </c>
      <c r="M73" s="22">
        <f t="shared" si="19"/>
        <v>0</v>
      </c>
      <c r="N73" s="18">
        <f>IFERROR(VLOOKUP($A73,[2]数据处理!$A:$N,3,0),0)</f>
        <v>0</v>
      </c>
      <c r="O73" s="17">
        <f>IFERROR(VLOOKUP($A73,[2]数据处理!$A:$N,14,0),0)</f>
        <v>0</v>
      </c>
      <c r="P73" s="17">
        <f>IFERROR(VLOOKUP($A73,[5]库存报告使用数据!$A$1:$B$65536,2,0),0)</f>
        <v>0</v>
      </c>
      <c r="Q73" s="17">
        <f>IFERROR(VLOOKUP($A73,[5]库存报告使用数据!$A$1:$E$65536,5,0),0)</f>
        <v>0</v>
      </c>
      <c r="R73" s="17">
        <f>IFERROR(VLOOKUP($A73,[5]库存报告使用数据!$A$1:$H$65536,8,0),0)</f>
        <v>0</v>
      </c>
      <c r="S73" s="17">
        <f>IFERROR(VLOOKUP($A73,[5]库存报告使用数据!$A$1:$K$65536,11,0),0)</f>
        <v>0</v>
      </c>
      <c r="T73" s="17" t="str">
        <f>IFERROR(VLOOKUP($A73,[5]库存报告使用数据!$A$1:$C$65536,3,0),"")</f>
        <v/>
      </c>
      <c r="U73" s="17" t="str">
        <f>IFERROR(VLOOKUP($A73,[5]库存报告使用数据!$A$1:$F$65536,6,0),"")</f>
        <v/>
      </c>
      <c r="V73" s="17" t="str">
        <f>IFERROR(VLOOKUP($A73,[5]库存报告使用数据!$A$1:$I$65536,9,0),"")</f>
        <v/>
      </c>
      <c r="W73" s="17" t="str">
        <f>IFERROR(VLOOKUP($A73,[5]库存报告使用数据!$A$1:$L$65536,12,0),"")</f>
        <v/>
      </c>
      <c r="X73" s="27" t="str">
        <f t="shared" si="20"/>
        <v/>
      </c>
      <c r="Y73" s="27" t="str">
        <f t="shared" si="21"/>
        <v/>
      </c>
      <c r="Z73" s="27" t="str">
        <f t="shared" si="22"/>
        <v/>
      </c>
      <c r="AA73" s="27" t="str">
        <f t="shared" si="23"/>
        <v/>
      </c>
      <c r="AB73" s="17" t="str">
        <f>IFERROR(VLOOKUP($A73,[5]库存报告使用数据!$A$1:$D$65536,4,0),"")</f>
        <v/>
      </c>
      <c r="AC73" s="17" t="str">
        <f>IFERROR(VLOOKUP($A73,[5]库存报告使用数据!$A$1:$G$65536,7,0),"")</f>
        <v/>
      </c>
      <c r="AD73" s="17" t="str">
        <f>IFERROR(VLOOKUP($A73,[5]库存报告使用数据!$A$1:$J$65536,10,0),"")</f>
        <v/>
      </c>
      <c r="AE73" s="17" t="str">
        <f>IFERROR(VLOOKUP($A73,[5]库存报告使用数据!$A$1:$M$65536,13,0),"")</f>
        <v/>
      </c>
      <c r="AF73" s="27" t="str">
        <f t="shared" si="32"/>
        <v>有广告无销售广告费为</v>
      </c>
      <c r="AG73" s="27" t="str">
        <f t="shared" si="33"/>
        <v>有广告无销售广告费为</v>
      </c>
      <c r="AH73" s="27" t="str">
        <f t="shared" si="34"/>
        <v>有广告无销售广告费为</v>
      </c>
      <c r="AI73" s="27" t="str">
        <f t="shared" si="35"/>
        <v>有广告无销售广告费为</v>
      </c>
      <c r="AJ73" s="17">
        <f>IFERROR(VLOOKUP($B73,'[3]浏览量处理(勿删)'!$A:$B,2,0),"")</f>
        <v>23</v>
      </c>
      <c r="AK73" s="17">
        <f>IFERROR(VLOOKUP($B73,'[3]浏览量处理(勿删)'!$A:$C,3,0),"")</f>
        <v>29</v>
      </c>
      <c r="AL73" s="17">
        <f>IFERROR(VLOOKUP($B73,'[3]浏览量处理(勿删)'!$A:$D,4,0),"")</f>
        <v>40</v>
      </c>
      <c r="AM73" s="17">
        <f>IFERROR(VLOOKUP($B73,'[3]浏览量处理(勿删)'!$A:$E,5,0),"")</f>
        <v>103</v>
      </c>
      <c r="AN73" s="27">
        <f t="shared" si="24"/>
        <v>0</v>
      </c>
      <c r="AO73" s="27">
        <f t="shared" si="25"/>
        <v>0</v>
      </c>
      <c r="AP73" s="27">
        <f t="shared" si="26"/>
        <v>0</v>
      </c>
      <c r="AQ73" s="27">
        <f t="shared" si="27"/>
        <v>0</v>
      </c>
      <c r="AR73" s="32">
        <f t="shared" si="28"/>
        <v>0</v>
      </c>
      <c r="AS73" s="32">
        <f t="shared" si="29"/>
        <v>0</v>
      </c>
      <c r="AT73" s="32">
        <f t="shared" si="30"/>
        <v>0</v>
      </c>
      <c r="AU73" s="18" t="str">
        <f t="shared" si="31"/>
        <v>库存为0</v>
      </c>
      <c r="AV73" s="33" t="str">
        <f>IFERROR(时间!$B$4+AU73,"上周无销量")</f>
        <v>上周无销量</v>
      </c>
    </row>
    <row r="74" spans="1:48">
      <c r="A74" s="16" t="s">
        <v>118</v>
      </c>
      <c r="B74" s="17" t="str">
        <f>VLOOKUP(A74,[1]sku_fnsku_asin_产品名称!$A:$C,3,0)</f>
        <v>B004X9BTFY</v>
      </c>
      <c r="C74" s="17" t="str">
        <f>VLOOKUP(A74,[1]sku_fnsku_asin_产品名称!$A:$D,4,0)</f>
        <v>Gratiae Organics Exfoliating Body Scrub, Passion Fruit and Lime, 425-Grams</v>
      </c>
      <c r="D74" s="18">
        <f>IFERROR(VLOOKUP(A74,[4]库存报告使用数据处理!$A:$B,2,0),0)</f>
        <v>0</v>
      </c>
      <c r="E74" s="18">
        <f>IFERROR(VLOOKUP(A74,[4]库存报告使用数据处理!$A:$C,3,0),0)</f>
        <v>0</v>
      </c>
      <c r="F74" s="18">
        <f>IFERROR(VLOOKUP(A74,[4]库存报告使用数据处理!$A:$D,4,0),0)</f>
        <v>0</v>
      </c>
      <c r="G74" s="18">
        <f>IFERROR(VLOOKUP(A74,[4]库存报告使用数据处理!$A:$E,5,0),0)</f>
        <v>0</v>
      </c>
      <c r="H74" s="18">
        <f>IFERROR(VLOOKUP(A74,[4]库存报告使用数据处理!$A:$F,6,0),0)</f>
        <v>0</v>
      </c>
      <c r="I74" s="18">
        <f>IFERROR(VLOOKUP($A74,[2]数据处理!$A:$B,2,0),0)</f>
        <v>0</v>
      </c>
      <c r="J74" s="18">
        <f>IFERROR(VLOOKUP($A74,[2]数据处理!$A:$D,4,0),0)</f>
        <v>0</v>
      </c>
      <c r="K74" s="18">
        <f>IFERROR(VLOOKUP($A74,[2]数据处理!$A:$E,5,0),0)</f>
        <v>0</v>
      </c>
      <c r="L74" s="18">
        <f>IFERROR(VLOOKUP($A74,[2]数据处理!$A:$N,7,0),0)</f>
        <v>0</v>
      </c>
      <c r="M74" s="22">
        <f t="shared" si="19"/>
        <v>0</v>
      </c>
      <c r="N74" s="18">
        <f>IFERROR(VLOOKUP($A74,[2]数据处理!$A:$N,3,0),0)</f>
        <v>0</v>
      </c>
      <c r="O74" s="17">
        <f>IFERROR(VLOOKUP($A74,[2]数据处理!$A:$N,14,0),0)</f>
        <v>0</v>
      </c>
      <c r="P74" s="17">
        <f>IFERROR(VLOOKUP($A74,[5]库存报告使用数据!$A$1:$B$65536,2,0),0)</f>
        <v>0</v>
      </c>
      <c r="Q74" s="17">
        <f>IFERROR(VLOOKUP($A74,[5]库存报告使用数据!$A$1:$E$65536,5,0),0)</f>
        <v>0</v>
      </c>
      <c r="R74" s="17">
        <f>IFERROR(VLOOKUP($A74,[5]库存报告使用数据!$A$1:$H$65536,8,0),0)</f>
        <v>0</v>
      </c>
      <c r="S74" s="17">
        <f>IFERROR(VLOOKUP($A74,[5]库存报告使用数据!$A$1:$K$65536,11,0),0)</f>
        <v>0</v>
      </c>
      <c r="T74" s="17" t="str">
        <f>IFERROR(VLOOKUP($A74,[5]库存报告使用数据!$A$1:$C$65536,3,0),"")</f>
        <v/>
      </c>
      <c r="U74" s="17" t="str">
        <f>IFERROR(VLOOKUP($A74,[5]库存报告使用数据!$A$1:$F$65536,6,0),"")</f>
        <v/>
      </c>
      <c r="V74" s="17" t="str">
        <f>IFERROR(VLOOKUP($A74,[5]库存报告使用数据!$A$1:$I$65536,9,0),"")</f>
        <v/>
      </c>
      <c r="W74" s="17" t="str">
        <f>IFERROR(VLOOKUP($A74,[5]库存报告使用数据!$A$1:$L$65536,12,0),"")</f>
        <v/>
      </c>
      <c r="X74" s="27" t="str">
        <f t="shared" si="20"/>
        <v/>
      </c>
      <c r="Y74" s="27" t="str">
        <f t="shared" si="21"/>
        <v/>
      </c>
      <c r="Z74" s="27" t="str">
        <f t="shared" si="22"/>
        <v/>
      </c>
      <c r="AA74" s="27" t="str">
        <f t="shared" si="23"/>
        <v/>
      </c>
      <c r="AB74" s="17" t="str">
        <f>IFERROR(VLOOKUP($A74,[5]库存报告使用数据!$A$1:$D$65536,4,0),"")</f>
        <v/>
      </c>
      <c r="AC74" s="17" t="str">
        <f>IFERROR(VLOOKUP($A74,[5]库存报告使用数据!$A$1:$G$65536,7,0),"")</f>
        <v/>
      </c>
      <c r="AD74" s="17" t="str">
        <f>IFERROR(VLOOKUP($A74,[5]库存报告使用数据!$A$1:$J$65536,10,0),"")</f>
        <v/>
      </c>
      <c r="AE74" s="17" t="str">
        <f>IFERROR(VLOOKUP($A74,[5]库存报告使用数据!$A$1:$M$65536,13,0),"")</f>
        <v/>
      </c>
      <c r="AF74" s="27" t="str">
        <f t="shared" si="32"/>
        <v>有广告无销售广告费为</v>
      </c>
      <c r="AG74" s="27" t="str">
        <f t="shared" si="33"/>
        <v>有广告无销售广告费为</v>
      </c>
      <c r="AH74" s="27" t="str">
        <f t="shared" si="34"/>
        <v>有广告无销售广告费为</v>
      </c>
      <c r="AI74" s="27" t="str">
        <f t="shared" si="35"/>
        <v>有广告无销售广告费为</v>
      </c>
      <c r="AJ74" s="17">
        <f>IFERROR(VLOOKUP($B74,'[3]浏览量处理(勿删)'!$A:$B,2,0),"")</f>
        <v>8</v>
      </c>
      <c r="AK74" s="17">
        <f>IFERROR(VLOOKUP($B74,'[3]浏览量处理(勿删)'!$A:$C,3,0),"")</f>
        <v>44</v>
      </c>
      <c r="AL74" s="17">
        <f>IFERROR(VLOOKUP($B74,'[3]浏览量处理(勿删)'!$A:$D,4,0),"")</f>
        <v>41</v>
      </c>
      <c r="AM74" s="17">
        <f>IFERROR(VLOOKUP($B74,'[3]浏览量处理(勿删)'!$A:$E,5,0),"")</f>
        <v>186</v>
      </c>
      <c r="AN74" s="27">
        <f t="shared" si="24"/>
        <v>0</v>
      </c>
      <c r="AO74" s="27">
        <f t="shared" si="25"/>
        <v>0</v>
      </c>
      <c r="AP74" s="27">
        <f t="shared" si="26"/>
        <v>0</v>
      </c>
      <c r="AQ74" s="27">
        <f t="shared" si="27"/>
        <v>0</v>
      </c>
      <c r="AR74" s="32">
        <f t="shared" si="28"/>
        <v>0</v>
      </c>
      <c r="AS74" s="32">
        <f t="shared" si="29"/>
        <v>0</v>
      </c>
      <c r="AT74" s="32">
        <f t="shared" si="30"/>
        <v>0</v>
      </c>
      <c r="AU74" s="18" t="str">
        <f t="shared" si="31"/>
        <v>库存为0</v>
      </c>
      <c r="AV74" s="33" t="str">
        <f>IFERROR(时间!$B$4+AU74,"上周无销量")</f>
        <v>上周无销量</v>
      </c>
    </row>
    <row r="75" spans="1:48">
      <c r="A75" s="16" t="s">
        <v>119</v>
      </c>
      <c r="B75" s="17" t="str">
        <f>VLOOKUP(A75,[1]sku_fnsku_asin_产品名称!$A:$C,3,0)</f>
        <v>B004OF47N8</v>
      </c>
      <c r="C75" s="17" t="str">
        <f>VLOOKUP(A75,[1]sku_fnsku_asin_产品名称!$A:$D,4,0)</f>
        <v>Silky Body Butter (Apple, Green Tea, and Ginger)5.95 ounces</v>
      </c>
      <c r="D75" s="18">
        <f>IFERROR(VLOOKUP(A75,[4]库存报告使用数据处理!$A:$B,2,0),0)</f>
        <v>0</v>
      </c>
      <c r="E75" s="18">
        <f>IFERROR(VLOOKUP(A75,[4]库存报告使用数据处理!$A:$C,3,0),0)</f>
        <v>1</v>
      </c>
      <c r="F75" s="18">
        <f>IFERROR(VLOOKUP(A75,[4]库存报告使用数据处理!$A:$D,4,0),0)</f>
        <v>22</v>
      </c>
      <c r="G75" s="18">
        <f>IFERROR(VLOOKUP(A75,[4]库存报告使用数据处理!$A:$E,5,0),0)</f>
        <v>7</v>
      </c>
      <c r="H75" s="18">
        <f>IFERROR(VLOOKUP(A75,[4]库存报告使用数据处理!$A:$F,6,0),0)</f>
        <v>10.85</v>
      </c>
      <c r="I75" s="18">
        <f>IFERROR(VLOOKUP($A75,[2]数据处理!$A:$B,2,0),0)</f>
        <v>0</v>
      </c>
      <c r="J75" s="18">
        <f>IFERROR(VLOOKUP($A75,[2]数据处理!$A:$D,4,0),0)</f>
        <v>0</v>
      </c>
      <c r="K75" s="18">
        <f>IFERROR(VLOOKUP($A75,[2]数据处理!$A:$E,5,0),0)</f>
        <v>0</v>
      </c>
      <c r="L75" s="18">
        <f>IFERROR(VLOOKUP($A75,[2]数据处理!$A:$N,7,0),0)</f>
        <v>0</v>
      </c>
      <c r="M75" s="22">
        <f t="shared" si="19"/>
        <v>0</v>
      </c>
      <c r="N75" s="18">
        <f>IFERROR(VLOOKUP($A75,[2]数据处理!$A:$N,3,0),0)</f>
        <v>0</v>
      </c>
      <c r="O75" s="17">
        <f>IFERROR(VLOOKUP($A75,[2]数据处理!$A:$N,14,0),0)</f>
        <v>0</v>
      </c>
      <c r="P75" s="17">
        <f>IFERROR(VLOOKUP($A75,[5]库存报告使用数据!$A$1:$B$65536,2,0),0)</f>
        <v>0</v>
      </c>
      <c r="Q75" s="17">
        <f>IFERROR(VLOOKUP($A75,[5]库存报告使用数据!$A$1:$E$65536,5,0),0)</f>
        <v>21</v>
      </c>
      <c r="R75" s="17">
        <f>IFERROR(VLOOKUP($A75,[5]库存报告使用数据!$A$1:$H$65536,8,0),0)</f>
        <v>2853</v>
      </c>
      <c r="S75" s="17">
        <f>IFERROR(VLOOKUP($A75,[5]库存报告使用数据!$A$1:$K$65536,11,0),0)</f>
        <v>13061</v>
      </c>
      <c r="T75" s="17">
        <f>IFERROR(VLOOKUP($A75,[5]库存报告使用数据!$A$1:$C$65536,3,0),"")</f>
        <v>0</v>
      </c>
      <c r="U75" s="17">
        <f>IFERROR(VLOOKUP($A75,[5]库存报告使用数据!$A$1:$F$65536,6,0),"")</f>
        <v>1</v>
      </c>
      <c r="V75" s="17">
        <f>IFERROR(VLOOKUP($A75,[5]库存报告使用数据!$A$1:$I$65536,9,0),"")</f>
        <v>3</v>
      </c>
      <c r="W75" s="17">
        <f>IFERROR(VLOOKUP($A75,[5]库存报告使用数据!$A$1:$L$65536,12,0),"")</f>
        <v>17</v>
      </c>
      <c r="X75" s="27" t="str">
        <f t="shared" si="20"/>
        <v/>
      </c>
      <c r="Y75" s="27">
        <f t="shared" si="21"/>
        <v>0.0476190476190476</v>
      </c>
      <c r="Z75" s="27">
        <f t="shared" si="22"/>
        <v>0.0010515247108307</v>
      </c>
      <c r="AA75" s="27">
        <f t="shared" si="23"/>
        <v>0.00130158487098997</v>
      </c>
      <c r="AB75" s="17">
        <f>IFERROR(VLOOKUP($A75,[5]库存报告使用数据!$A$1:$D$65536,4,0),"")</f>
        <v>0</v>
      </c>
      <c r="AC75" s="17">
        <f>IFERROR(VLOOKUP($A75,[5]库存报告使用数据!$A$1:$G$65536,7,0),"")</f>
        <v>0.85</v>
      </c>
      <c r="AD75" s="17">
        <f>IFERROR(VLOOKUP($A75,[5]库存报告使用数据!$A$1:$J$65536,10,0),"")</f>
        <v>2.26</v>
      </c>
      <c r="AE75" s="17">
        <f>IFERROR(VLOOKUP($A75,[5]库存报告使用数据!$A$1:$M$65536,13,0),"")</f>
        <v>8.42</v>
      </c>
      <c r="AF75" s="27" t="str">
        <f t="shared" si="32"/>
        <v/>
      </c>
      <c r="AG75" s="27">
        <f t="shared" si="33"/>
        <v>0.0783410138248848</v>
      </c>
      <c r="AH75" s="27">
        <f t="shared" si="34"/>
        <v>0.00946795140343527</v>
      </c>
      <c r="AI75" s="27">
        <f t="shared" si="35"/>
        <v>0.110862409479921</v>
      </c>
      <c r="AJ75" s="17">
        <f>IFERROR(VLOOKUP($B75,'[3]浏览量处理(勿删)'!$A:$B,2,0),"")</f>
        <v>0</v>
      </c>
      <c r="AK75" s="17">
        <f>IFERROR(VLOOKUP($B75,'[3]浏览量处理(勿删)'!$A:$C,3,0),"")</f>
        <v>10</v>
      </c>
      <c r="AL75" s="17">
        <f>IFERROR(VLOOKUP($B75,'[3]浏览量处理(勿删)'!$A:$D,4,0),"")</f>
        <v>35</v>
      </c>
      <c r="AM75" s="17">
        <f>IFERROR(VLOOKUP($B75,'[3]浏览量处理(勿删)'!$A:$E,5,0),"")</f>
        <v>149</v>
      </c>
      <c r="AN75" s="27" t="str">
        <f t="shared" si="24"/>
        <v/>
      </c>
      <c r="AO75" s="27">
        <f t="shared" si="25"/>
        <v>0.1</v>
      </c>
      <c r="AP75" s="27">
        <f t="shared" si="26"/>
        <v>0.628571428571429</v>
      </c>
      <c r="AQ75" s="27">
        <f t="shared" si="27"/>
        <v>0.0469798657718121</v>
      </c>
      <c r="AR75" s="32">
        <f t="shared" si="28"/>
        <v>0</v>
      </c>
      <c r="AS75" s="32">
        <f t="shared" si="29"/>
        <v>0</v>
      </c>
      <c r="AT75" s="32">
        <f t="shared" si="30"/>
        <v>0</v>
      </c>
      <c r="AU75" s="18" t="str">
        <f t="shared" si="31"/>
        <v>库存为0</v>
      </c>
      <c r="AV75" s="33" t="str">
        <f>IFERROR(时间!$B$4+AU75,"上周无销量")</f>
        <v>上周无销量</v>
      </c>
    </row>
    <row r="76" spans="1:48">
      <c r="A76" s="16" t="s">
        <v>120</v>
      </c>
      <c r="B76" s="17" t="str">
        <f>VLOOKUP(A76,[1]sku_fnsku_asin_产品名称!$A:$C,3,0)</f>
        <v>B00117F5PG</v>
      </c>
      <c r="C76" s="17" t="str">
        <f>VLOOKUP(A76,[1]sku_fnsku_asin_产品名称!$A:$D,4,0)</f>
        <v>Premier Dead Sea Vitamin Concentrated Facial Serum, Vitamin E and C, 1.7-Fluid Ounce</v>
      </c>
      <c r="D76" s="18">
        <f>IFERROR(VLOOKUP(A76,[4]库存报告使用数据处理!$A:$B,2,0),0)</f>
        <v>9</v>
      </c>
      <c r="E76" s="18">
        <f>IFERROR(VLOOKUP(A76,[4]库存报告使用数据处理!$A:$C,3,0),0)</f>
        <v>2</v>
      </c>
      <c r="F76" s="18">
        <f>IFERROR(VLOOKUP(A76,[4]库存报告使用数据处理!$A:$D,4,0),0)</f>
        <v>2</v>
      </c>
      <c r="G76" s="18">
        <f>IFERROR(VLOOKUP(A76,[4]库存报告使用数据处理!$A:$E,5,0),0)</f>
        <v>4</v>
      </c>
      <c r="H76" s="18">
        <f>IFERROR(VLOOKUP(A76,[4]库存报告使用数据处理!$A:$F,6,0),0)</f>
        <v>63.9782352941177</v>
      </c>
      <c r="I76" s="18">
        <f>IFERROR(VLOOKUP($A76,[2]数据处理!$A:$B,2,0),0)</f>
        <v>23</v>
      </c>
      <c r="J76" s="18">
        <f>IFERROR(VLOOKUP($A76,[2]数据处理!$A:$D,4,0),0)</f>
        <v>0</v>
      </c>
      <c r="K76" s="18">
        <f>IFERROR(VLOOKUP($A76,[2]数据处理!$A:$E,5,0),0)</f>
        <v>0</v>
      </c>
      <c r="L76" s="18">
        <f>IFERROR(VLOOKUP($A76,[2]数据处理!$A:$N,7,0),0)</f>
        <v>32</v>
      </c>
      <c r="M76" s="22">
        <f t="shared" si="19"/>
        <v>55</v>
      </c>
      <c r="N76" s="18">
        <f>IFERROR(VLOOKUP($A76,[2]数据处理!$A:$N,3,0),0)</f>
        <v>0</v>
      </c>
      <c r="O76" s="17">
        <f>IFERROR(VLOOKUP($A76,[2]数据处理!$A:$N,14,0),0)</f>
        <v>0</v>
      </c>
      <c r="P76" s="17">
        <f>IFERROR(VLOOKUP($A76,[5]库存报告使用数据!$A$1:$B$65536,2,0),0)</f>
        <v>16512</v>
      </c>
      <c r="Q76" s="17">
        <f>IFERROR(VLOOKUP($A76,[5]库存报告使用数据!$A$1:$E$65536,5,0),0)</f>
        <v>10317</v>
      </c>
      <c r="R76" s="17">
        <f>IFERROR(VLOOKUP($A76,[5]库存报告使用数据!$A$1:$H$65536,8,0),0)</f>
        <v>2346</v>
      </c>
      <c r="S76" s="17">
        <f>IFERROR(VLOOKUP($A76,[5]库存报告使用数据!$A$1:$K$65536,11,0),0)</f>
        <v>3194</v>
      </c>
      <c r="T76" s="17">
        <f>IFERROR(VLOOKUP($A76,[5]库存报告使用数据!$A$1:$C$65536,3,0),"")</f>
        <v>22</v>
      </c>
      <c r="U76" s="17">
        <f>IFERROR(VLOOKUP($A76,[5]库存报告使用数据!$A$1:$F$65536,6,0),"")</f>
        <v>21</v>
      </c>
      <c r="V76" s="17">
        <f>IFERROR(VLOOKUP($A76,[5]库存报告使用数据!$A$1:$I$65536,9,0),"")</f>
        <v>4</v>
      </c>
      <c r="W76" s="17">
        <f>IFERROR(VLOOKUP($A76,[5]库存报告使用数据!$A$1:$L$65536,12,0),"")</f>
        <v>4</v>
      </c>
      <c r="X76" s="27">
        <f t="shared" si="20"/>
        <v>0.00133236434108527</v>
      </c>
      <c r="Y76" s="27">
        <f t="shared" si="21"/>
        <v>0.00203547542890375</v>
      </c>
      <c r="Z76" s="27">
        <f t="shared" si="22"/>
        <v>0.00170502983802217</v>
      </c>
      <c r="AA76" s="27">
        <f t="shared" si="23"/>
        <v>0.00125234815278647</v>
      </c>
      <c r="AB76" s="17">
        <f>IFERROR(VLOOKUP($A76,[5]库存报告使用数据!$A$1:$D$65536,4,0),"")</f>
        <v>17.85</v>
      </c>
      <c r="AC76" s="17">
        <f>IFERROR(VLOOKUP($A76,[5]库存报告使用数据!$A$1:$G$65536,7,0),"")</f>
        <v>22.09</v>
      </c>
      <c r="AD76" s="17">
        <f>IFERROR(VLOOKUP($A76,[5]库存报告使用数据!$A$1:$J$65536,10,0),"")</f>
        <v>2.73</v>
      </c>
      <c r="AE76" s="17">
        <f>IFERROR(VLOOKUP($A76,[5]库存报告使用数据!$A$1:$M$65536,13,0),"")</f>
        <v>2.9</v>
      </c>
      <c r="AF76" s="27">
        <f t="shared" si="32"/>
        <v>0.0310001256554772</v>
      </c>
      <c r="AG76" s="27">
        <f t="shared" si="33"/>
        <v>0.172636834217519</v>
      </c>
      <c r="AH76" s="27">
        <f t="shared" si="34"/>
        <v>0.0213353805981813</v>
      </c>
      <c r="AI76" s="27">
        <f t="shared" si="35"/>
        <v>0.0113319787059938</v>
      </c>
      <c r="AJ76" s="17">
        <f>IFERROR(VLOOKUP($B76,'[3]浏览量处理(勿删)'!$A:$B,2,0),"")</f>
        <v>129</v>
      </c>
      <c r="AK76" s="17">
        <f>IFERROR(VLOOKUP($B76,'[3]浏览量处理(勿删)'!$A:$C,3,0),"")</f>
        <v>106</v>
      </c>
      <c r="AL76" s="17">
        <f>IFERROR(VLOOKUP($B76,'[3]浏览量处理(勿删)'!$A:$D,4,0),"")</f>
        <v>115</v>
      </c>
      <c r="AM76" s="17">
        <f>IFERROR(VLOOKUP($B76,'[3]浏览量处理(勿删)'!$A:$E,5,0),"")</f>
        <v>414</v>
      </c>
      <c r="AN76" s="27">
        <f t="shared" si="24"/>
        <v>0.0697674418604651</v>
      </c>
      <c r="AO76" s="27">
        <f t="shared" si="25"/>
        <v>0.0188679245283019</v>
      </c>
      <c r="AP76" s="27">
        <f t="shared" si="26"/>
        <v>0.0173913043478261</v>
      </c>
      <c r="AQ76" s="27">
        <f t="shared" si="27"/>
        <v>0.00966183574879227</v>
      </c>
      <c r="AR76" s="32">
        <f t="shared" si="28"/>
        <v>1.28571428571429</v>
      </c>
      <c r="AS76" s="32">
        <f t="shared" si="29"/>
        <v>77.1428571428572</v>
      </c>
      <c r="AT76" s="32">
        <f t="shared" si="30"/>
        <v>-22.1428571428572</v>
      </c>
      <c r="AU76" s="18">
        <f t="shared" si="31"/>
        <v>42</v>
      </c>
      <c r="AV76" s="33">
        <f>IFERROR(时间!$B$4+AU76,"上周无销量")</f>
        <v>43332</v>
      </c>
    </row>
    <row r="77" spans="1:48">
      <c r="A77" s="16" t="s">
        <v>121</v>
      </c>
      <c r="B77" s="17" t="str">
        <f>VLOOKUP(A77,[1]sku_fnsku_asin_产品名称!$A:$C,3,0)</f>
        <v>B001DXQDL8</v>
      </c>
      <c r="C77" s="17" t="str">
        <f>VLOOKUP(A77,[1]sku_fnsku_asin_产品名称!$A:$D,4,0)</f>
        <v>Premier Dead Sea Ageless Future Detoxifying Mask, All Skin Types, 2.04-Fluid Ounce</v>
      </c>
      <c r="D77" s="18">
        <f>IFERROR(VLOOKUP(A77,[4]库存报告使用数据处理!$A:$B,2,0),0)</f>
        <v>0</v>
      </c>
      <c r="E77" s="18">
        <f>IFERROR(VLOOKUP(A77,[4]库存报告使用数据处理!$A:$C,3,0),0)</f>
        <v>0</v>
      </c>
      <c r="F77" s="18">
        <f>IFERROR(VLOOKUP(A77,[4]库存报告使用数据处理!$A:$D,4,0),0)</f>
        <v>0</v>
      </c>
      <c r="G77" s="18">
        <f>IFERROR(VLOOKUP(A77,[4]库存报告使用数据处理!$A:$E,5,0),0)</f>
        <v>0</v>
      </c>
      <c r="H77" s="18">
        <f>IFERROR(VLOOKUP(A77,[4]库存报告使用数据处理!$A:$F,6,0),0)</f>
        <v>0</v>
      </c>
      <c r="I77" s="18">
        <f>IFERROR(VLOOKUP($A77,[2]数据处理!$A:$B,2,0),0)</f>
        <v>0</v>
      </c>
      <c r="J77" s="18">
        <f>IFERROR(VLOOKUP($A77,[2]数据处理!$A:$D,4,0),0)</f>
        <v>0</v>
      </c>
      <c r="K77" s="18">
        <f>IFERROR(VLOOKUP($A77,[2]数据处理!$A:$E,5,0),0)</f>
        <v>0</v>
      </c>
      <c r="L77" s="18">
        <f>IFERROR(VLOOKUP($A77,[2]数据处理!$A:$N,7,0),0)</f>
        <v>0</v>
      </c>
      <c r="M77" s="22">
        <f t="shared" si="19"/>
        <v>0</v>
      </c>
      <c r="N77" s="18">
        <f>IFERROR(VLOOKUP($A77,[2]数据处理!$A:$N,3,0),0)</f>
        <v>0</v>
      </c>
      <c r="O77" s="17">
        <f>IFERROR(VLOOKUP($A77,[2]数据处理!$A:$N,14,0),0)</f>
        <v>0</v>
      </c>
      <c r="P77" s="17">
        <f>IFERROR(VLOOKUP($A77,[5]库存报告使用数据!$A$1:$B$65536,2,0),0)</f>
        <v>0</v>
      </c>
      <c r="Q77" s="17">
        <f>IFERROR(VLOOKUP($A77,[5]库存报告使用数据!$A$1:$E$65536,5,0),0)</f>
        <v>0</v>
      </c>
      <c r="R77" s="17">
        <f>IFERROR(VLOOKUP($A77,[5]库存报告使用数据!$A$1:$H$65536,8,0),0)</f>
        <v>0</v>
      </c>
      <c r="S77" s="17">
        <f>IFERROR(VLOOKUP($A77,[5]库存报告使用数据!$A$1:$K$65536,11,0),0)</f>
        <v>0</v>
      </c>
      <c r="T77" s="17" t="str">
        <f>IFERROR(VLOOKUP($A77,[5]库存报告使用数据!$A$1:$C$65536,3,0),"")</f>
        <v/>
      </c>
      <c r="U77" s="17" t="str">
        <f>IFERROR(VLOOKUP($A77,[5]库存报告使用数据!$A$1:$F$65536,6,0),"")</f>
        <v/>
      </c>
      <c r="V77" s="17" t="str">
        <f>IFERROR(VLOOKUP($A77,[5]库存报告使用数据!$A$1:$I$65536,9,0),"")</f>
        <v/>
      </c>
      <c r="W77" s="17" t="str">
        <f>IFERROR(VLOOKUP($A77,[5]库存报告使用数据!$A$1:$L$65536,12,0),"")</f>
        <v/>
      </c>
      <c r="X77" s="27" t="str">
        <f t="shared" si="20"/>
        <v/>
      </c>
      <c r="Y77" s="27" t="str">
        <f t="shared" si="21"/>
        <v/>
      </c>
      <c r="Z77" s="27" t="str">
        <f t="shared" si="22"/>
        <v/>
      </c>
      <c r="AA77" s="27" t="str">
        <f t="shared" si="23"/>
        <v/>
      </c>
      <c r="AB77" s="17" t="str">
        <f>IFERROR(VLOOKUP($A77,[5]库存报告使用数据!$A$1:$D$65536,4,0),"")</f>
        <v/>
      </c>
      <c r="AC77" s="17" t="str">
        <f>IFERROR(VLOOKUP($A77,[5]库存报告使用数据!$A$1:$G$65536,7,0),"")</f>
        <v/>
      </c>
      <c r="AD77" s="17" t="str">
        <f>IFERROR(VLOOKUP($A77,[5]库存报告使用数据!$A$1:$J$65536,10,0),"")</f>
        <v/>
      </c>
      <c r="AE77" s="17" t="str">
        <f>IFERROR(VLOOKUP($A77,[5]库存报告使用数据!$A$1:$M$65536,13,0),"")</f>
        <v/>
      </c>
      <c r="AF77" s="27" t="str">
        <f t="shared" si="32"/>
        <v>有广告无销售广告费为</v>
      </c>
      <c r="AG77" s="27" t="str">
        <f t="shared" si="33"/>
        <v>有广告无销售广告费为</v>
      </c>
      <c r="AH77" s="27" t="str">
        <f t="shared" si="34"/>
        <v>有广告无销售广告费为</v>
      </c>
      <c r="AI77" s="27" t="str">
        <f t="shared" si="35"/>
        <v>有广告无销售广告费为</v>
      </c>
      <c r="AJ77" s="17">
        <f>IFERROR(VLOOKUP($B77,'[3]浏览量处理(勿删)'!$A:$B,2,0),"")</f>
        <v>2</v>
      </c>
      <c r="AK77" s="17">
        <f>IFERROR(VLOOKUP($B77,'[3]浏览量处理(勿删)'!$A:$C,3,0),"")</f>
        <v>14</v>
      </c>
      <c r="AL77" s="17">
        <f>IFERROR(VLOOKUP($B77,'[3]浏览量处理(勿删)'!$A:$D,4,0),"")</f>
        <v>13</v>
      </c>
      <c r="AM77" s="17">
        <f>IFERROR(VLOOKUP($B77,'[3]浏览量处理(勿删)'!$A:$E,5,0),"")</f>
        <v>57</v>
      </c>
      <c r="AN77" s="27">
        <f t="shared" si="24"/>
        <v>0</v>
      </c>
      <c r="AO77" s="27">
        <f t="shared" si="25"/>
        <v>0</v>
      </c>
      <c r="AP77" s="27">
        <f t="shared" si="26"/>
        <v>0</v>
      </c>
      <c r="AQ77" s="27">
        <f t="shared" si="27"/>
        <v>0</v>
      </c>
      <c r="AR77" s="32">
        <f t="shared" si="28"/>
        <v>0</v>
      </c>
      <c r="AS77" s="32">
        <f t="shared" si="29"/>
        <v>0</v>
      </c>
      <c r="AT77" s="32">
        <f t="shared" si="30"/>
        <v>0</v>
      </c>
      <c r="AU77" s="18" t="str">
        <f t="shared" si="31"/>
        <v>库存为0</v>
      </c>
      <c r="AV77" s="33" t="str">
        <f>IFERROR(时间!$B$4+AU77,"上周无销量")</f>
        <v>上周无销量</v>
      </c>
    </row>
    <row r="78" spans="1:48">
      <c r="A78" s="16" t="s">
        <v>122</v>
      </c>
      <c r="B78" s="17" t="str">
        <f>VLOOKUP(A78,[1]sku_fnsku_asin_产品名称!$A:$C,3,0)</f>
        <v>B001DXOWA2</v>
      </c>
      <c r="C78" s="17" t="str">
        <f>VLOOKUP(A78,[1]sku_fnsku_asin_产品名称!$A:$D,4,0)</f>
        <v>Premier Dead Sea Ageless Future Cell Renewal Cream</v>
      </c>
      <c r="D78" s="18">
        <f>IFERROR(VLOOKUP(A78,[4]库存报告使用数据处理!$A:$B,2,0),0)</f>
        <v>0</v>
      </c>
      <c r="E78" s="18">
        <f>IFERROR(VLOOKUP(A78,[4]库存报告使用数据处理!$A:$C,3,0),0)</f>
        <v>0</v>
      </c>
      <c r="F78" s="18">
        <f>IFERROR(VLOOKUP(A78,[4]库存报告使用数据处理!$A:$D,4,0),0)</f>
        <v>0</v>
      </c>
      <c r="G78" s="18">
        <f>IFERROR(VLOOKUP(A78,[4]库存报告使用数据处理!$A:$E,5,0),0)</f>
        <v>0</v>
      </c>
      <c r="H78" s="18">
        <f>IFERROR(VLOOKUP(A78,[4]库存报告使用数据处理!$A:$F,6,0),0)</f>
        <v>0</v>
      </c>
      <c r="I78" s="18">
        <f>IFERROR(VLOOKUP($A78,[2]数据处理!$A:$B,2,0),0)</f>
        <v>8</v>
      </c>
      <c r="J78" s="18">
        <f>IFERROR(VLOOKUP($A78,[2]数据处理!$A:$D,4,0),0)</f>
        <v>0</v>
      </c>
      <c r="K78" s="18">
        <f>IFERROR(VLOOKUP($A78,[2]数据处理!$A:$E,5,0),0)</f>
        <v>0</v>
      </c>
      <c r="L78" s="18">
        <f>IFERROR(VLOOKUP($A78,[2]数据处理!$A:$N,7,0),0)</f>
        <v>16</v>
      </c>
      <c r="M78" s="22">
        <f t="shared" si="19"/>
        <v>24</v>
      </c>
      <c r="N78" s="18">
        <f>IFERROR(VLOOKUP($A78,[2]数据处理!$A:$N,3,0),0)</f>
        <v>0</v>
      </c>
      <c r="O78" s="17">
        <f>IFERROR(VLOOKUP($A78,[2]数据处理!$A:$N,14,0),0)</f>
        <v>0</v>
      </c>
      <c r="P78" s="17">
        <f>IFERROR(VLOOKUP($A78,[5]库存报告使用数据!$A$1:$B$65536,2,0),0)</f>
        <v>651</v>
      </c>
      <c r="Q78" s="17">
        <f>IFERROR(VLOOKUP($A78,[5]库存报告使用数据!$A$1:$E$65536,5,0),0)</f>
        <v>0</v>
      </c>
      <c r="R78" s="17">
        <f>IFERROR(VLOOKUP($A78,[5]库存报告使用数据!$A$1:$H$65536,8,0),0)</f>
        <v>0</v>
      </c>
      <c r="S78" s="17">
        <f>IFERROR(VLOOKUP($A78,[5]库存报告使用数据!$A$1:$K$65536,11,0),0)</f>
        <v>0</v>
      </c>
      <c r="T78" s="17">
        <f>IFERROR(VLOOKUP($A78,[5]库存报告使用数据!$A$1:$C$65536,3,0),"")</f>
        <v>0</v>
      </c>
      <c r="U78" s="17">
        <f>IFERROR(VLOOKUP($A78,[5]库存报告使用数据!$A$1:$F$65536,6,0),"")</f>
        <v>0</v>
      </c>
      <c r="V78" s="17">
        <f>IFERROR(VLOOKUP($A78,[5]库存报告使用数据!$A$1:$I$65536,9,0),"")</f>
        <v>0</v>
      </c>
      <c r="W78" s="17">
        <f>IFERROR(VLOOKUP($A78,[5]库存报告使用数据!$A$1:$L$65536,12,0),"")</f>
        <v>0</v>
      </c>
      <c r="X78" s="27">
        <f t="shared" si="20"/>
        <v>0</v>
      </c>
      <c r="Y78" s="27" t="str">
        <f t="shared" si="21"/>
        <v/>
      </c>
      <c r="Z78" s="27" t="str">
        <f t="shared" si="22"/>
        <v/>
      </c>
      <c r="AA78" s="27" t="str">
        <f t="shared" si="23"/>
        <v/>
      </c>
      <c r="AB78" s="17">
        <f>IFERROR(VLOOKUP($A78,[5]库存报告使用数据!$A$1:$D$65536,4,0),"")</f>
        <v>0</v>
      </c>
      <c r="AC78" s="17">
        <f>IFERROR(VLOOKUP($A78,[5]库存报告使用数据!$A$1:$G$65536,7,0),"")</f>
        <v>0</v>
      </c>
      <c r="AD78" s="17">
        <f>IFERROR(VLOOKUP($A78,[5]库存报告使用数据!$A$1:$J$65536,10,0),"")</f>
        <v>0</v>
      </c>
      <c r="AE78" s="17">
        <f>IFERROR(VLOOKUP($A78,[5]库存报告使用数据!$A$1:$M$65536,13,0),"")</f>
        <v>0</v>
      </c>
      <c r="AF78" s="27" t="str">
        <f t="shared" si="32"/>
        <v/>
      </c>
      <c r="AG78" s="27" t="str">
        <f t="shared" si="33"/>
        <v/>
      </c>
      <c r="AH78" s="27" t="str">
        <f t="shared" si="34"/>
        <v/>
      </c>
      <c r="AI78" s="27" t="str">
        <f t="shared" si="35"/>
        <v/>
      </c>
      <c r="AJ78" s="17">
        <f>IFERROR(VLOOKUP($B78,'[3]浏览量处理(勿删)'!$A:$B,2,0),"")</f>
        <v>33</v>
      </c>
      <c r="AK78" s="17">
        <f>IFERROR(VLOOKUP($B78,'[3]浏览量处理(勿删)'!$A:$C,3,0),"")</f>
        <v>16</v>
      </c>
      <c r="AL78" s="17">
        <f>IFERROR(VLOOKUP($B78,'[3]浏览量处理(勿删)'!$A:$D,4,0),"")</f>
        <v>14</v>
      </c>
      <c r="AM78" s="17">
        <f>IFERROR(VLOOKUP($B78,'[3]浏览量处理(勿删)'!$A:$E,5,0),"")</f>
        <v>87</v>
      </c>
      <c r="AN78" s="27">
        <f t="shared" si="24"/>
        <v>0</v>
      </c>
      <c r="AO78" s="27">
        <f t="shared" si="25"/>
        <v>0</v>
      </c>
      <c r="AP78" s="27">
        <f t="shared" si="26"/>
        <v>0</v>
      </c>
      <c r="AQ78" s="27">
        <f t="shared" si="27"/>
        <v>0</v>
      </c>
      <c r="AR78" s="32">
        <f t="shared" si="28"/>
        <v>0</v>
      </c>
      <c r="AS78" s="32">
        <f t="shared" si="29"/>
        <v>0</v>
      </c>
      <c r="AT78" s="32">
        <f t="shared" si="30"/>
        <v>24</v>
      </c>
      <c r="AU78" s="18" t="str">
        <f t="shared" si="31"/>
        <v>库存为24</v>
      </c>
      <c r="AV78" s="33" t="str">
        <f>IFERROR(时间!$B$4+AU78,"上周无销量")</f>
        <v>上周无销量</v>
      </c>
    </row>
    <row r="79" spans="1:48">
      <c r="A79" s="16" t="s">
        <v>123</v>
      </c>
      <c r="B79" s="17" t="str">
        <f>VLOOKUP(A79,[1]sku_fnsku_asin_产品名称!$A:$C,3,0)</f>
        <v>B00383XLTS</v>
      </c>
      <c r="C79" s="17" t="str">
        <f>VLOOKUP(A79,[1]sku_fnsku_asin_产品名称!$A:$D,4,0)</f>
        <v>Premier Dead Sea Biox Intensive Age Treatment Eye Cream Gel</v>
      </c>
      <c r="D79" s="18">
        <f>IFERROR(VLOOKUP(A79,[4]库存报告使用数据处理!$A:$B,2,0),0)</f>
        <v>0</v>
      </c>
      <c r="E79" s="18">
        <f>IFERROR(VLOOKUP(A79,[4]库存报告使用数据处理!$A:$C,3,0),0)</f>
        <v>0</v>
      </c>
      <c r="F79" s="18">
        <f>IFERROR(VLOOKUP(A79,[4]库存报告使用数据处理!$A:$D,4,0),0)</f>
        <v>0</v>
      </c>
      <c r="G79" s="18">
        <f>IFERROR(VLOOKUP(A79,[4]库存报告使用数据处理!$A:$E,5,0),0)</f>
        <v>0</v>
      </c>
      <c r="H79" s="18">
        <f>IFERROR(VLOOKUP(A79,[4]库存报告使用数据处理!$A:$F,6,0),0)</f>
        <v>0</v>
      </c>
      <c r="I79" s="18">
        <f>IFERROR(VLOOKUP($A79,[2]数据处理!$A:$B,2,0),0)</f>
        <v>80</v>
      </c>
      <c r="J79" s="18">
        <f>IFERROR(VLOOKUP($A79,[2]数据处理!$A:$D,4,0),0)</f>
        <v>0</v>
      </c>
      <c r="K79" s="18">
        <f>IFERROR(VLOOKUP($A79,[2]数据处理!$A:$E,5,0),0)</f>
        <v>0</v>
      </c>
      <c r="L79" s="18">
        <f>IFERROR(VLOOKUP($A79,[2]数据处理!$A:$N,7,0),0)</f>
        <v>0</v>
      </c>
      <c r="M79" s="22">
        <f t="shared" si="19"/>
        <v>80</v>
      </c>
      <c r="N79" s="18">
        <f>IFERROR(VLOOKUP($A79,[2]数据处理!$A:$N,3,0),0)</f>
        <v>0</v>
      </c>
      <c r="O79" s="17">
        <f>IFERROR(VLOOKUP($A79,[2]数据处理!$A:$N,14,0),0)</f>
        <v>0</v>
      </c>
      <c r="P79" s="17">
        <f>IFERROR(VLOOKUP($A79,[5]库存报告使用数据!$A$1:$B$65536,2,0),0)</f>
        <v>0</v>
      </c>
      <c r="Q79" s="17">
        <f>IFERROR(VLOOKUP($A79,[5]库存报告使用数据!$A$1:$E$65536,5,0),0)</f>
        <v>0</v>
      </c>
      <c r="R79" s="17">
        <f>IFERROR(VLOOKUP($A79,[5]库存报告使用数据!$A$1:$H$65536,8,0),0)</f>
        <v>0</v>
      </c>
      <c r="S79" s="17">
        <f>IFERROR(VLOOKUP($A79,[5]库存报告使用数据!$A$1:$K$65536,11,0),0)</f>
        <v>131</v>
      </c>
      <c r="T79" s="17">
        <f>IFERROR(VLOOKUP($A79,[5]库存报告使用数据!$A$1:$C$65536,3,0),"")</f>
        <v>0</v>
      </c>
      <c r="U79" s="17">
        <f>IFERROR(VLOOKUP($A79,[5]库存报告使用数据!$A$1:$F$65536,6,0),"")</f>
        <v>0</v>
      </c>
      <c r="V79" s="17">
        <f>IFERROR(VLOOKUP($A79,[5]库存报告使用数据!$A$1:$I$65536,9,0),"")</f>
        <v>0</v>
      </c>
      <c r="W79" s="17">
        <f>IFERROR(VLOOKUP($A79,[5]库存报告使用数据!$A$1:$L$65536,12,0),"")</f>
        <v>0</v>
      </c>
      <c r="X79" s="27" t="str">
        <f t="shared" si="20"/>
        <v/>
      </c>
      <c r="Y79" s="27" t="str">
        <f t="shared" si="21"/>
        <v/>
      </c>
      <c r="Z79" s="27" t="str">
        <f t="shared" si="22"/>
        <v/>
      </c>
      <c r="AA79" s="27">
        <f t="shared" si="23"/>
        <v>0</v>
      </c>
      <c r="AB79" s="17">
        <f>IFERROR(VLOOKUP($A79,[5]库存报告使用数据!$A$1:$D$65536,4,0),"")</f>
        <v>0</v>
      </c>
      <c r="AC79" s="17">
        <f>IFERROR(VLOOKUP($A79,[5]库存报告使用数据!$A$1:$G$65536,7,0),"")</f>
        <v>0</v>
      </c>
      <c r="AD79" s="17">
        <f>IFERROR(VLOOKUP($A79,[5]库存报告使用数据!$A$1:$J$65536,10,0),"")</f>
        <v>0</v>
      </c>
      <c r="AE79" s="17">
        <f>IFERROR(VLOOKUP($A79,[5]库存报告使用数据!$A$1:$M$65536,13,0),"")</f>
        <v>0</v>
      </c>
      <c r="AF79" s="27" t="str">
        <f t="shared" si="32"/>
        <v/>
      </c>
      <c r="AG79" s="27" t="str">
        <f t="shared" si="33"/>
        <v/>
      </c>
      <c r="AH79" s="27" t="str">
        <f t="shared" si="34"/>
        <v/>
      </c>
      <c r="AI79" s="27" t="str">
        <f t="shared" si="35"/>
        <v/>
      </c>
      <c r="AJ79" s="17">
        <f>IFERROR(VLOOKUP($B79,'[3]浏览量处理(勿删)'!$A:$B,2,0),"")</f>
        <v>25</v>
      </c>
      <c r="AK79" s="17">
        <f>IFERROR(VLOOKUP($B79,'[3]浏览量处理(勿删)'!$A:$C,3,0),"")</f>
        <v>27</v>
      </c>
      <c r="AL79" s="17">
        <f>IFERROR(VLOOKUP($B79,'[3]浏览量处理(勿删)'!$A:$D,4,0),"")</f>
        <v>27</v>
      </c>
      <c r="AM79" s="17">
        <f>IFERROR(VLOOKUP($B79,'[3]浏览量处理(勿删)'!$A:$E,5,0),"")</f>
        <v>96</v>
      </c>
      <c r="AN79" s="27">
        <f t="shared" si="24"/>
        <v>0</v>
      </c>
      <c r="AO79" s="27">
        <f t="shared" si="25"/>
        <v>0</v>
      </c>
      <c r="AP79" s="27">
        <f t="shared" si="26"/>
        <v>0</v>
      </c>
      <c r="AQ79" s="27">
        <f t="shared" si="27"/>
        <v>0</v>
      </c>
      <c r="AR79" s="32">
        <f t="shared" si="28"/>
        <v>0</v>
      </c>
      <c r="AS79" s="32">
        <f t="shared" si="29"/>
        <v>0</v>
      </c>
      <c r="AT79" s="32">
        <f t="shared" si="30"/>
        <v>80</v>
      </c>
      <c r="AU79" s="18" t="str">
        <f t="shared" si="31"/>
        <v>库存为80</v>
      </c>
      <c r="AV79" s="33" t="str">
        <f>IFERROR(时间!$B$4+AU79,"上周无销量")</f>
        <v>上周无销量</v>
      </c>
    </row>
    <row r="80" spans="1:48">
      <c r="A80" s="16" t="s">
        <v>124</v>
      </c>
      <c r="B80" s="17" t="str">
        <f>VLOOKUP(A80,[1]sku_fnsku_asin_产品名称!$A:$C,3,0)</f>
        <v>B004H02GDI</v>
      </c>
      <c r="C80" s="17" t="str">
        <f>VLOOKUP(A80,[1]sku_fnsku_asin_产品名称!$A:$D,4,0)</f>
        <v>Dead Sea Premier Beautifying Nail Kit Milk and Honey - Body Lotion,Cuticle Oil,Nail File,Buffing Block</v>
      </c>
      <c r="D80" s="18">
        <f>IFERROR(VLOOKUP(A80,[4]库存报告使用数据处理!$A:$B,2,0),0)</f>
        <v>3</v>
      </c>
      <c r="E80" s="18">
        <f>IFERROR(VLOOKUP(A80,[4]库存报告使用数据处理!$A:$C,3,0),0)</f>
        <v>12</v>
      </c>
      <c r="F80" s="18">
        <f>IFERROR(VLOOKUP(A80,[4]库存报告使用数据处理!$A:$D,4,0),0)</f>
        <v>14</v>
      </c>
      <c r="G80" s="18">
        <f>IFERROR(VLOOKUP(A80,[4]库存报告使用数据处理!$A:$E,5,0),0)</f>
        <v>13</v>
      </c>
      <c r="H80" s="18">
        <f>IFERROR(VLOOKUP(A80,[4]库存报告使用数据处理!$A:$F,6,0),0)</f>
        <v>16.4780952380952</v>
      </c>
      <c r="I80" s="18">
        <f>IFERROR(VLOOKUP($A80,[2]数据处理!$A:$B,2,0),0)</f>
        <v>34</v>
      </c>
      <c r="J80" s="18">
        <f>IFERROR(VLOOKUP($A80,[2]数据处理!$A:$D,4,0),0)</f>
        <v>0</v>
      </c>
      <c r="K80" s="18">
        <f>IFERROR(VLOOKUP($A80,[2]数据处理!$A:$E,5,0),0)</f>
        <v>0</v>
      </c>
      <c r="L80" s="18">
        <f>IFERROR(VLOOKUP($A80,[2]数据处理!$A:$N,7,0),0)</f>
        <v>15</v>
      </c>
      <c r="M80" s="22">
        <f t="shared" si="19"/>
        <v>49</v>
      </c>
      <c r="N80" s="18">
        <f>IFERROR(VLOOKUP($A80,[2]数据处理!$A:$N,3,0),0)</f>
        <v>0</v>
      </c>
      <c r="O80" s="17">
        <f>IFERROR(VLOOKUP($A80,[2]数据处理!$A:$N,14,0),0)</f>
        <v>0</v>
      </c>
      <c r="P80" s="17">
        <f>IFERROR(VLOOKUP($A80,[5]库存报告使用数据!$A$1:$B$65536,2,0),0)</f>
        <v>41555</v>
      </c>
      <c r="Q80" s="17">
        <f>IFERROR(VLOOKUP($A80,[5]库存报告使用数据!$A$1:$E$65536,5,0),0)</f>
        <v>14070</v>
      </c>
      <c r="R80" s="17">
        <f>IFERROR(VLOOKUP($A80,[5]库存报告使用数据!$A$1:$H$65536,8,0),0)</f>
        <v>1790</v>
      </c>
      <c r="S80" s="17">
        <f>IFERROR(VLOOKUP($A80,[5]库存报告使用数据!$A$1:$K$65536,11,0),0)</f>
        <v>3099</v>
      </c>
      <c r="T80" s="17">
        <f>IFERROR(VLOOKUP($A80,[5]库存报告使用数据!$A$1:$C$65536,3,0),"")</f>
        <v>45</v>
      </c>
      <c r="U80" s="17">
        <f>IFERROR(VLOOKUP($A80,[5]库存报告使用数据!$A$1:$F$65536,6,0),"")</f>
        <v>47</v>
      </c>
      <c r="V80" s="17">
        <f>IFERROR(VLOOKUP($A80,[5]库存报告使用数据!$A$1:$I$65536,9,0),"")</f>
        <v>8</v>
      </c>
      <c r="W80" s="17">
        <f>IFERROR(VLOOKUP($A80,[5]库存报告使用数据!$A$1:$L$65536,12,0),"")</f>
        <v>10</v>
      </c>
      <c r="X80" s="27">
        <f t="shared" si="20"/>
        <v>0.0010829021778366</v>
      </c>
      <c r="Y80" s="27">
        <f t="shared" si="21"/>
        <v>0.00334044065387349</v>
      </c>
      <c r="Z80" s="27">
        <f t="shared" si="22"/>
        <v>0.00446927374301676</v>
      </c>
      <c r="AA80" s="27">
        <f t="shared" si="23"/>
        <v>0.00322684737011939</v>
      </c>
      <c r="AB80" s="17">
        <f>IFERROR(VLOOKUP($A80,[5]库存报告使用数据!$A$1:$D$65536,4,0),"")</f>
        <v>66.98</v>
      </c>
      <c r="AC80" s="17">
        <f>IFERROR(VLOOKUP($A80,[5]库存报告使用数据!$A$1:$G$65536,7,0),"")</f>
        <v>59.43</v>
      </c>
      <c r="AD80" s="17">
        <f>IFERROR(VLOOKUP($A80,[5]库存报告使用数据!$A$1:$J$65536,10,0),"")</f>
        <v>5.52</v>
      </c>
      <c r="AE80" s="17">
        <f>IFERROR(VLOOKUP($A80,[5]库存报告使用数据!$A$1:$M$65536,13,0),"")</f>
        <v>6.44</v>
      </c>
      <c r="AF80" s="27">
        <f t="shared" si="32"/>
        <v>1.35493006588834</v>
      </c>
      <c r="AG80" s="27">
        <f t="shared" si="33"/>
        <v>0.300550514391401</v>
      </c>
      <c r="AH80" s="27">
        <f t="shared" si="34"/>
        <v>0.0239278696104497</v>
      </c>
      <c r="AI80" s="27">
        <f t="shared" si="35"/>
        <v>0.0300632207926163</v>
      </c>
      <c r="AJ80" s="17">
        <f>IFERROR(VLOOKUP($B80,'[3]浏览量处理(勿删)'!$A:$B,2,0),"")</f>
        <v>61</v>
      </c>
      <c r="AK80" s="17">
        <f>IFERROR(VLOOKUP($B80,'[3]浏览量处理(勿删)'!$A:$C,3,0),"")</f>
        <v>95</v>
      </c>
      <c r="AL80" s="17">
        <f>IFERROR(VLOOKUP($B80,'[3]浏览量处理(勿删)'!$A:$D,4,0),"")</f>
        <v>105</v>
      </c>
      <c r="AM80" s="17">
        <f>IFERROR(VLOOKUP($B80,'[3]浏览量处理(勿删)'!$A:$E,5,0),"")</f>
        <v>77</v>
      </c>
      <c r="AN80" s="27">
        <f t="shared" si="24"/>
        <v>0.0491803278688525</v>
      </c>
      <c r="AO80" s="27">
        <f t="shared" si="25"/>
        <v>0.126315789473684</v>
      </c>
      <c r="AP80" s="27">
        <f t="shared" si="26"/>
        <v>0.133333333333333</v>
      </c>
      <c r="AQ80" s="27">
        <f t="shared" si="27"/>
        <v>0.168831168831169</v>
      </c>
      <c r="AR80" s="32">
        <f t="shared" si="28"/>
        <v>0.428571428571429</v>
      </c>
      <c r="AS80" s="32">
        <f t="shared" si="29"/>
        <v>25.7142857142857</v>
      </c>
      <c r="AT80" s="32">
        <f t="shared" si="30"/>
        <v>23.2857142857143</v>
      </c>
      <c r="AU80" s="18">
        <f t="shared" si="31"/>
        <v>114</v>
      </c>
      <c r="AV80" s="33">
        <f>IFERROR(时间!$B$4+AU80,"上周无销量")</f>
        <v>43404</v>
      </c>
    </row>
    <row r="81" spans="1:48">
      <c r="A81" s="16" t="s">
        <v>125</v>
      </c>
      <c r="B81" s="17" t="str">
        <f>VLOOKUP(A81,[1]sku_fnsku_asin_产品名称!$A:$C,3,0)</f>
        <v>B004H02GHY</v>
      </c>
      <c r="C81" s="17" t="str">
        <f>VLOOKUP(A81,[1]sku_fnsku_asin_产品名称!$A:$D,4,0)</f>
        <v>Premier Dead Sea Psoricalm, Very Dry Face, Body, or Scalp with Red Scaly Patches, 3.3814-Fluid Ounce</v>
      </c>
      <c r="D81" s="18">
        <f>IFERROR(VLOOKUP(A81,[4]库存报告使用数据处理!$A:$B,2,0),0)</f>
        <v>0</v>
      </c>
      <c r="E81" s="18">
        <f>IFERROR(VLOOKUP(A81,[4]库存报告使用数据处理!$A:$C,3,0),0)</f>
        <v>0</v>
      </c>
      <c r="F81" s="18">
        <f>IFERROR(VLOOKUP(A81,[4]库存报告使用数据处理!$A:$D,4,0),0)</f>
        <v>0</v>
      </c>
      <c r="G81" s="18">
        <f>IFERROR(VLOOKUP(A81,[4]库存报告使用数据处理!$A:$E,5,0),0)</f>
        <v>0</v>
      </c>
      <c r="H81" s="18">
        <f>IFERROR(VLOOKUP(A81,[4]库存报告使用数据处理!$A:$F,6,0),0)</f>
        <v>0</v>
      </c>
      <c r="I81" s="18">
        <f>IFERROR(VLOOKUP($A81,[2]数据处理!$A:$B,2,0),0)</f>
        <v>0</v>
      </c>
      <c r="J81" s="18">
        <f>IFERROR(VLOOKUP($A81,[2]数据处理!$A:$D,4,0),0)</f>
        <v>0</v>
      </c>
      <c r="K81" s="18">
        <f>IFERROR(VLOOKUP($A81,[2]数据处理!$A:$E,5,0),0)</f>
        <v>0</v>
      </c>
      <c r="L81" s="18">
        <f>IFERROR(VLOOKUP($A81,[2]数据处理!$A:$N,7,0),0)</f>
        <v>0</v>
      </c>
      <c r="M81" s="22">
        <f t="shared" si="19"/>
        <v>0</v>
      </c>
      <c r="N81" s="18">
        <f>IFERROR(VLOOKUP($A81,[2]数据处理!$A:$N,3,0),0)</f>
        <v>0</v>
      </c>
      <c r="O81" s="17">
        <f>IFERROR(VLOOKUP($A81,[2]数据处理!$A:$N,14,0),0)</f>
        <v>0</v>
      </c>
      <c r="P81" s="17">
        <f>IFERROR(VLOOKUP($A81,[5]库存报告使用数据!$A$1:$B$65536,2,0),0)</f>
        <v>0</v>
      </c>
      <c r="Q81" s="17">
        <f>IFERROR(VLOOKUP($A81,[5]库存报告使用数据!$A$1:$E$65536,5,0),0)</f>
        <v>0</v>
      </c>
      <c r="R81" s="17">
        <f>IFERROR(VLOOKUP($A81,[5]库存报告使用数据!$A$1:$H$65536,8,0),0)</f>
        <v>0</v>
      </c>
      <c r="S81" s="17">
        <f>IFERROR(VLOOKUP($A81,[5]库存报告使用数据!$A$1:$K$65536,11,0),0)</f>
        <v>0</v>
      </c>
      <c r="T81" s="17" t="str">
        <f>IFERROR(VLOOKUP($A81,[5]库存报告使用数据!$A$1:$C$65536,3,0),"")</f>
        <v/>
      </c>
      <c r="U81" s="17" t="str">
        <f>IFERROR(VLOOKUP($A81,[5]库存报告使用数据!$A$1:$F$65536,6,0),"")</f>
        <v/>
      </c>
      <c r="V81" s="17" t="str">
        <f>IFERROR(VLOOKUP($A81,[5]库存报告使用数据!$A$1:$I$65536,9,0),"")</f>
        <v/>
      </c>
      <c r="W81" s="17" t="str">
        <f>IFERROR(VLOOKUP($A81,[5]库存报告使用数据!$A$1:$L$65536,12,0),"")</f>
        <v/>
      </c>
      <c r="X81" s="27" t="str">
        <f t="shared" si="20"/>
        <v/>
      </c>
      <c r="Y81" s="27" t="str">
        <f t="shared" si="21"/>
        <v/>
      </c>
      <c r="Z81" s="27" t="str">
        <f t="shared" si="22"/>
        <v/>
      </c>
      <c r="AA81" s="27" t="str">
        <f t="shared" si="23"/>
        <v/>
      </c>
      <c r="AB81" s="17" t="str">
        <f>IFERROR(VLOOKUP($A81,[5]库存报告使用数据!$A$1:$D$65536,4,0),"")</f>
        <v/>
      </c>
      <c r="AC81" s="17" t="str">
        <f>IFERROR(VLOOKUP($A81,[5]库存报告使用数据!$A$1:$G$65536,7,0),"")</f>
        <v/>
      </c>
      <c r="AD81" s="17" t="str">
        <f>IFERROR(VLOOKUP($A81,[5]库存报告使用数据!$A$1:$J$65536,10,0),"")</f>
        <v/>
      </c>
      <c r="AE81" s="17" t="str">
        <f>IFERROR(VLOOKUP($A81,[5]库存报告使用数据!$A$1:$M$65536,13,0),"")</f>
        <v/>
      </c>
      <c r="AF81" s="27" t="str">
        <f t="shared" si="32"/>
        <v>有广告无销售广告费为</v>
      </c>
      <c r="AG81" s="27" t="str">
        <f t="shared" si="33"/>
        <v>有广告无销售广告费为</v>
      </c>
      <c r="AH81" s="27" t="str">
        <f t="shared" si="34"/>
        <v>有广告无销售广告费为</v>
      </c>
      <c r="AI81" s="27" t="str">
        <f t="shared" si="35"/>
        <v>有广告无销售广告费为</v>
      </c>
      <c r="AJ81" s="17" t="str">
        <f>IFERROR(VLOOKUP($B81,'[3]浏览量处理(勿删)'!$A:$B,2,0),"")</f>
        <v/>
      </c>
      <c r="AK81" s="17" t="str">
        <f>IFERROR(VLOOKUP($B81,'[3]浏览量处理(勿删)'!$A:$C,3,0),"")</f>
        <v/>
      </c>
      <c r="AL81" s="17" t="str">
        <f>IFERROR(VLOOKUP($B81,'[3]浏览量处理(勿删)'!$A:$D,4,0),"")</f>
        <v/>
      </c>
      <c r="AM81" s="17" t="str">
        <f>IFERROR(VLOOKUP($B81,'[3]浏览量处理(勿删)'!$A:$E,5,0),"")</f>
        <v/>
      </c>
      <c r="AN81" s="27" t="str">
        <f t="shared" si="24"/>
        <v/>
      </c>
      <c r="AO81" s="27" t="str">
        <f t="shared" si="25"/>
        <v/>
      </c>
      <c r="AP81" s="27" t="str">
        <f t="shared" si="26"/>
        <v/>
      </c>
      <c r="AQ81" s="27" t="str">
        <f t="shared" si="27"/>
        <v/>
      </c>
      <c r="AR81" s="32">
        <f t="shared" si="28"/>
        <v>0</v>
      </c>
      <c r="AS81" s="32">
        <f t="shared" si="29"/>
        <v>0</v>
      </c>
      <c r="AT81" s="32">
        <f t="shared" si="30"/>
        <v>0</v>
      </c>
      <c r="AU81" s="18" t="str">
        <f t="shared" si="31"/>
        <v>库存为0</v>
      </c>
      <c r="AV81" s="33" t="str">
        <f>IFERROR(时间!$B$4+AU81,"上周无销量")</f>
        <v>上周无销量</v>
      </c>
    </row>
    <row r="82" spans="1:48">
      <c r="A82" s="16" t="s">
        <v>126</v>
      </c>
      <c r="B82" s="17" t="str">
        <f>VLOOKUP(A82,[1]sku_fnsku_asin_产品名称!$A:$C,3,0)</f>
        <v>B0016VW618</v>
      </c>
      <c r="C82" s="17" t="str">
        <f>VLOOKUP(A82,[1]sku_fnsku_asin_产品名称!$A:$D,4,0)</f>
        <v>Premier Usa Dead Sea shaving Cream for Men All Skin</v>
      </c>
      <c r="D82" s="18">
        <f>IFERROR(VLOOKUP(A82,[4]库存报告使用数据处理!$A:$B,2,0),0)</f>
        <v>3</v>
      </c>
      <c r="E82" s="18">
        <f>IFERROR(VLOOKUP(A82,[4]库存报告使用数据处理!$A:$C,3,0),0)</f>
        <v>3</v>
      </c>
      <c r="F82" s="18">
        <f>IFERROR(VLOOKUP(A82,[4]库存报告使用数据处理!$A:$D,4,0),0)</f>
        <v>7</v>
      </c>
      <c r="G82" s="18">
        <f>IFERROR(VLOOKUP(A82,[4]库存报告使用数据处理!$A:$E,5,0),0)</f>
        <v>2</v>
      </c>
      <c r="H82" s="18">
        <f>IFERROR(VLOOKUP(A82,[4]库存报告使用数据处理!$A:$F,6,0),0)</f>
        <v>13.514</v>
      </c>
      <c r="I82" s="18">
        <f>IFERROR(VLOOKUP($A82,[2]数据处理!$A:$B,2,0),0)</f>
        <v>108</v>
      </c>
      <c r="J82" s="18">
        <f>IFERROR(VLOOKUP($A82,[2]数据处理!$A:$D,4,0),0)</f>
        <v>0</v>
      </c>
      <c r="K82" s="18">
        <f>IFERROR(VLOOKUP($A82,[2]数据处理!$A:$E,5,0),0)</f>
        <v>0</v>
      </c>
      <c r="L82" s="18">
        <f>IFERROR(VLOOKUP($A82,[2]数据处理!$A:$N,7,0),0)</f>
        <v>2</v>
      </c>
      <c r="M82" s="22">
        <f t="shared" si="19"/>
        <v>110</v>
      </c>
      <c r="N82" s="18">
        <f>IFERROR(VLOOKUP($A82,[2]数据处理!$A:$N,3,0),0)</f>
        <v>0</v>
      </c>
      <c r="O82" s="17">
        <f>IFERROR(VLOOKUP($A82,[2]数据处理!$A:$N,14,0),0)</f>
        <v>109</v>
      </c>
      <c r="P82" s="17">
        <f>IFERROR(VLOOKUP($A82,[5]库存报告使用数据!$A$1:$B$65536,2,0),0)</f>
        <v>317</v>
      </c>
      <c r="Q82" s="17">
        <f>IFERROR(VLOOKUP($A82,[5]库存报告使用数据!$A$1:$E$65536,5,0),0)</f>
        <v>200</v>
      </c>
      <c r="R82" s="17">
        <f>IFERROR(VLOOKUP($A82,[5]库存报告使用数据!$A$1:$H$65536,8,0),0)</f>
        <v>324</v>
      </c>
      <c r="S82" s="17">
        <f>IFERROR(VLOOKUP($A82,[5]库存报告使用数据!$A$1:$K$65536,11,0),0)</f>
        <v>358</v>
      </c>
      <c r="T82" s="17">
        <f>IFERROR(VLOOKUP($A82,[5]库存报告使用数据!$A$1:$C$65536,3,0),"")</f>
        <v>0</v>
      </c>
      <c r="U82" s="17">
        <f>IFERROR(VLOOKUP($A82,[5]库存报告使用数据!$A$1:$F$65536,6,0),"")</f>
        <v>1</v>
      </c>
      <c r="V82" s="17">
        <f>IFERROR(VLOOKUP($A82,[5]库存报告使用数据!$A$1:$I$65536,9,0),"")</f>
        <v>0</v>
      </c>
      <c r="W82" s="17">
        <f>IFERROR(VLOOKUP($A82,[5]库存报告使用数据!$A$1:$L$65536,12,0),"")</f>
        <v>2</v>
      </c>
      <c r="X82" s="27">
        <f t="shared" si="20"/>
        <v>0</v>
      </c>
      <c r="Y82" s="27">
        <f t="shared" si="21"/>
        <v>0.005</v>
      </c>
      <c r="Z82" s="27">
        <f t="shared" si="22"/>
        <v>0</v>
      </c>
      <c r="AA82" s="27">
        <f t="shared" si="23"/>
        <v>0.00558659217877095</v>
      </c>
      <c r="AB82" s="17">
        <f>IFERROR(VLOOKUP($A82,[5]库存报告使用数据!$A$1:$D$65536,4,0),"")</f>
        <v>0</v>
      </c>
      <c r="AC82" s="17">
        <f>IFERROR(VLOOKUP($A82,[5]库存报告使用数据!$A$1:$G$65536,7,0),"")</f>
        <v>0.69</v>
      </c>
      <c r="AD82" s="17">
        <f>IFERROR(VLOOKUP($A82,[5]库存报告使用数据!$A$1:$J$65536,10,0),"")</f>
        <v>0</v>
      </c>
      <c r="AE82" s="17">
        <f>IFERROR(VLOOKUP($A82,[5]库存报告使用数据!$A$1:$M$65536,13,0),"")</f>
        <v>2.82</v>
      </c>
      <c r="AF82" s="27">
        <f t="shared" si="32"/>
        <v>0</v>
      </c>
      <c r="AG82" s="27">
        <f t="shared" si="33"/>
        <v>0.0170193873020571</v>
      </c>
      <c r="AH82" s="27">
        <f t="shared" si="34"/>
        <v>0</v>
      </c>
      <c r="AI82" s="27">
        <f t="shared" si="35"/>
        <v>0.10433624389522</v>
      </c>
      <c r="AJ82" s="17">
        <f>IFERROR(VLOOKUP($B82,'[3]浏览量处理(勿删)'!$A:$B,2,0),"")</f>
        <v>29</v>
      </c>
      <c r="AK82" s="17">
        <f>IFERROR(VLOOKUP($B82,'[3]浏览量处理(勿删)'!$A:$C,3,0),"")</f>
        <v>31</v>
      </c>
      <c r="AL82" s="17">
        <f>IFERROR(VLOOKUP($B82,'[3]浏览量处理(勿删)'!$A:$D,4,0),"")</f>
        <v>20</v>
      </c>
      <c r="AM82" s="17">
        <f>IFERROR(VLOOKUP($B82,'[3]浏览量处理(勿删)'!$A:$E,5,0),"")</f>
        <v>31</v>
      </c>
      <c r="AN82" s="27">
        <f t="shared" si="24"/>
        <v>0.103448275862069</v>
      </c>
      <c r="AO82" s="27">
        <f t="shared" si="25"/>
        <v>0.0967741935483871</v>
      </c>
      <c r="AP82" s="27">
        <f t="shared" si="26"/>
        <v>0.35</v>
      </c>
      <c r="AQ82" s="27">
        <f t="shared" si="27"/>
        <v>0.0645161290322581</v>
      </c>
      <c r="AR82" s="32">
        <f t="shared" si="28"/>
        <v>0.428571428571429</v>
      </c>
      <c r="AS82" s="32">
        <f t="shared" si="29"/>
        <v>25.7142857142857</v>
      </c>
      <c r="AT82" s="32">
        <f t="shared" si="30"/>
        <v>84.2857142857143</v>
      </c>
      <c r="AU82" s="18">
        <f t="shared" si="31"/>
        <v>256</v>
      </c>
      <c r="AV82" s="33">
        <f>IFERROR(时间!$B$4+AU82,"上周无销量")</f>
        <v>43546</v>
      </c>
    </row>
    <row r="83" spans="1:48">
      <c r="A83" s="16" t="s">
        <v>127</v>
      </c>
      <c r="B83" s="17" t="str">
        <f>VLOOKUP(A83,[1]sku_fnsku_asin_产品名称!$A:$C,3,0)</f>
        <v>B01JSONMH6</v>
      </c>
      <c r="C83" s="17" t="str">
        <f>VLOOKUP(A83,[1]sku_fnsku_asin_产品名称!$A:$D,4,0)</f>
        <v>Gratiae Organic Beauty Renewing Peeling Gel</v>
      </c>
      <c r="D83" s="18">
        <f>IFERROR(VLOOKUP(A83,[4]库存报告使用数据处理!$A:$B,2,0),0)</f>
        <v>4</v>
      </c>
      <c r="E83" s="18">
        <f>IFERROR(VLOOKUP(A83,[4]库存报告使用数据处理!$A:$C,3,0),0)</f>
        <v>3</v>
      </c>
      <c r="F83" s="18">
        <f>IFERROR(VLOOKUP(A83,[4]库存报告使用数据处理!$A:$D,4,0),0)</f>
        <v>1</v>
      </c>
      <c r="G83" s="18">
        <f>IFERROR(VLOOKUP(A83,[4]库存报告使用数据处理!$A:$E,5,0),0)</f>
        <v>1</v>
      </c>
      <c r="H83" s="18">
        <f>IFERROR(VLOOKUP(A83,[4]库存报告使用数据处理!$A:$F,6,0),0)</f>
        <v>46.99</v>
      </c>
      <c r="I83" s="18">
        <f>IFERROR(VLOOKUP($A83,[2]数据处理!$A:$B,2,0),0)</f>
        <v>37</v>
      </c>
      <c r="J83" s="18">
        <f>IFERROR(VLOOKUP($A83,[2]数据处理!$A:$D,4,0),0)</f>
        <v>0</v>
      </c>
      <c r="K83" s="18">
        <f>IFERROR(VLOOKUP($A83,[2]数据处理!$A:$E,5,0),0)</f>
        <v>0</v>
      </c>
      <c r="L83" s="18">
        <f>IFERROR(VLOOKUP($A83,[2]数据处理!$A:$N,7,0),0)</f>
        <v>0</v>
      </c>
      <c r="M83" s="22">
        <f t="shared" si="19"/>
        <v>37</v>
      </c>
      <c r="N83" s="18">
        <f>IFERROR(VLOOKUP($A83,[2]数据处理!$A:$N,3,0),0)</f>
        <v>0</v>
      </c>
      <c r="O83" s="17">
        <f>IFERROR(VLOOKUP($A83,[2]数据处理!$A:$N,14,0),0)</f>
        <v>34</v>
      </c>
      <c r="P83" s="17">
        <f>IFERROR(VLOOKUP($A83,[5]库存报告使用数据!$A$1:$B$65536,2,0),0)</f>
        <v>165</v>
      </c>
      <c r="Q83" s="17">
        <f>IFERROR(VLOOKUP($A83,[5]库存报告使用数据!$A$1:$E$65536,5,0),0)</f>
        <v>167</v>
      </c>
      <c r="R83" s="17">
        <f>IFERROR(VLOOKUP($A83,[5]库存报告使用数据!$A$1:$H$65536,8,0),0)</f>
        <v>184</v>
      </c>
      <c r="S83" s="17">
        <f>IFERROR(VLOOKUP($A83,[5]库存报告使用数据!$A$1:$K$65536,11,0),0)</f>
        <v>185</v>
      </c>
      <c r="T83" s="17">
        <f>IFERROR(VLOOKUP($A83,[5]库存报告使用数据!$A$1:$C$65536,3,0),"")</f>
        <v>0</v>
      </c>
      <c r="U83" s="17">
        <f>IFERROR(VLOOKUP($A83,[5]库存报告使用数据!$A$1:$F$65536,6,0),"")</f>
        <v>1</v>
      </c>
      <c r="V83" s="17">
        <f>IFERROR(VLOOKUP($A83,[5]库存报告使用数据!$A$1:$I$65536,9,0),"")</f>
        <v>0</v>
      </c>
      <c r="W83" s="17">
        <f>IFERROR(VLOOKUP($A83,[5]库存报告使用数据!$A$1:$L$65536,12,0),"")</f>
        <v>0</v>
      </c>
      <c r="X83" s="27">
        <f t="shared" si="20"/>
        <v>0</v>
      </c>
      <c r="Y83" s="27">
        <f t="shared" si="21"/>
        <v>0.00598802395209581</v>
      </c>
      <c r="Z83" s="27">
        <f t="shared" si="22"/>
        <v>0</v>
      </c>
      <c r="AA83" s="27">
        <f t="shared" si="23"/>
        <v>0</v>
      </c>
      <c r="AB83" s="17">
        <f>IFERROR(VLOOKUP($A83,[5]库存报告使用数据!$A$1:$D$65536,4,0),"")</f>
        <v>0</v>
      </c>
      <c r="AC83" s="17">
        <f>IFERROR(VLOOKUP($A83,[5]库存报告使用数据!$A$1:$G$65536,7,0),"")</f>
        <v>0.4</v>
      </c>
      <c r="AD83" s="17">
        <f>IFERROR(VLOOKUP($A83,[5]库存报告使用数据!$A$1:$J$65536,10,0),"")</f>
        <v>0</v>
      </c>
      <c r="AE83" s="17">
        <f>IFERROR(VLOOKUP($A83,[5]库存报告使用数据!$A$1:$M$65536,13,0),"")</f>
        <v>0</v>
      </c>
      <c r="AF83" s="27">
        <f t="shared" si="32"/>
        <v>0</v>
      </c>
      <c r="AG83" s="27">
        <f t="shared" si="33"/>
        <v>0.00283748315244378</v>
      </c>
      <c r="AH83" s="27">
        <f t="shared" si="34"/>
        <v>0</v>
      </c>
      <c r="AI83" s="27">
        <f t="shared" si="35"/>
        <v>0</v>
      </c>
      <c r="AJ83" s="17">
        <f>IFERROR(VLOOKUP($B83,'[3]浏览量处理(勿删)'!$A:$B,2,0),"")</f>
        <v>46</v>
      </c>
      <c r="AK83" s="17">
        <f>IFERROR(VLOOKUP($B83,'[3]浏览量处理(勿删)'!$A:$C,3,0),"")</f>
        <v>44</v>
      </c>
      <c r="AL83" s="17">
        <f>IFERROR(VLOOKUP($B83,'[3]浏览量处理(勿删)'!$A:$D,4,0),"")</f>
        <v>57</v>
      </c>
      <c r="AM83" s="17">
        <f>IFERROR(VLOOKUP($B83,'[3]浏览量处理(勿删)'!$A:$E,5,0),"")</f>
        <v>263</v>
      </c>
      <c r="AN83" s="27">
        <f t="shared" si="24"/>
        <v>0.0869565217391304</v>
      </c>
      <c r="AO83" s="27">
        <f t="shared" si="25"/>
        <v>0.0681818181818182</v>
      </c>
      <c r="AP83" s="27">
        <f t="shared" si="26"/>
        <v>0.0175438596491228</v>
      </c>
      <c r="AQ83" s="27">
        <f t="shared" si="27"/>
        <v>0.00380228136882129</v>
      </c>
      <c r="AR83" s="32">
        <f t="shared" si="28"/>
        <v>0.571428571428571</v>
      </c>
      <c r="AS83" s="32">
        <f t="shared" si="29"/>
        <v>34.2857142857143</v>
      </c>
      <c r="AT83" s="32">
        <f t="shared" si="30"/>
        <v>2.71428571428572</v>
      </c>
      <c r="AU83" s="18">
        <f t="shared" si="31"/>
        <v>64</v>
      </c>
      <c r="AV83" s="33">
        <f>IFERROR(时间!$B$4+AU83,"上周无销量")</f>
        <v>43354</v>
      </c>
    </row>
    <row r="84" spans="1:48">
      <c r="A84" s="16" t="s">
        <v>128</v>
      </c>
      <c r="B84" s="17" t="str">
        <f>VLOOKUP(A84,[1]sku_fnsku_asin_产品名称!$A:$C,3,0)</f>
        <v>B003CEA88U</v>
      </c>
      <c r="C84" s="17">
        <f>VLOOKUP(A84,[1]sku_fnsku_asin_产品名称!$A:$D,4,0)</f>
        <v>0</v>
      </c>
      <c r="D84" s="18">
        <f>IFERROR(VLOOKUP(A84,[4]库存报告使用数据处理!$A:$B,2,0),0)</f>
        <v>0</v>
      </c>
      <c r="E84" s="18">
        <f>IFERROR(VLOOKUP(A84,[4]库存报告使用数据处理!$A:$C,3,0),0)</f>
        <v>0</v>
      </c>
      <c r="F84" s="18">
        <f>IFERROR(VLOOKUP(A84,[4]库存报告使用数据处理!$A:$D,4,0),0)</f>
        <v>0</v>
      </c>
      <c r="G84" s="18">
        <f>IFERROR(VLOOKUP(A84,[4]库存报告使用数据处理!$A:$E,5,0),0)</f>
        <v>0</v>
      </c>
      <c r="H84" s="18">
        <f>IFERROR(VLOOKUP(A84,[4]库存报告使用数据处理!$A:$F,6,0),0)</f>
        <v>0</v>
      </c>
      <c r="I84" s="18">
        <f>IFERROR(VLOOKUP($A84,[2]数据处理!$A:$B,2,0),0)</f>
        <v>0</v>
      </c>
      <c r="J84" s="18">
        <f>IFERROR(VLOOKUP($A84,[2]数据处理!$A:$D,4,0),0)</f>
        <v>0</v>
      </c>
      <c r="K84" s="18">
        <f>IFERROR(VLOOKUP($A84,[2]数据处理!$A:$E,5,0),0)</f>
        <v>0</v>
      </c>
      <c r="L84" s="18">
        <f>IFERROR(VLOOKUP($A84,[2]数据处理!$A:$N,7,0),0)</f>
        <v>0</v>
      </c>
      <c r="M84" s="22">
        <f t="shared" si="19"/>
        <v>0</v>
      </c>
      <c r="N84" s="18">
        <f>IFERROR(VLOOKUP($A84,[2]数据处理!$A:$N,3,0),0)</f>
        <v>1</v>
      </c>
      <c r="O84" s="17">
        <f>IFERROR(VLOOKUP($A84,[2]数据处理!$A:$N,14,0),0)</f>
        <v>0</v>
      </c>
      <c r="P84" s="17">
        <f>IFERROR(VLOOKUP($A84,[5]库存报告使用数据!$A$1:$B$65536,2,0),0)</f>
        <v>0</v>
      </c>
      <c r="Q84" s="17">
        <f>IFERROR(VLOOKUP($A84,[5]库存报告使用数据!$A$1:$E$65536,5,0),0)</f>
        <v>0</v>
      </c>
      <c r="R84" s="17">
        <f>IFERROR(VLOOKUP($A84,[5]库存报告使用数据!$A$1:$H$65536,8,0),0)</f>
        <v>0</v>
      </c>
      <c r="S84" s="17">
        <f>IFERROR(VLOOKUP($A84,[5]库存报告使用数据!$A$1:$K$65536,11,0),0)</f>
        <v>0</v>
      </c>
      <c r="T84" s="17" t="str">
        <f>IFERROR(VLOOKUP($A84,[5]库存报告使用数据!$A$1:$C$65536,3,0),"")</f>
        <v/>
      </c>
      <c r="U84" s="17" t="str">
        <f>IFERROR(VLOOKUP($A84,[5]库存报告使用数据!$A$1:$F$65536,6,0),"")</f>
        <v/>
      </c>
      <c r="V84" s="17" t="str">
        <f>IFERROR(VLOOKUP($A84,[5]库存报告使用数据!$A$1:$I$65536,9,0),"")</f>
        <v/>
      </c>
      <c r="W84" s="17" t="str">
        <f>IFERROR(VLOOKUP($A84,[5]库存报告使用数据!$A$1:$L$65536,12,0),"")</f>
        <v/>
      </c>
      <c r="X84" s="27" t="str">
        <f t="shared" si="20"/>
        <v/>
      </c>
      <c r="Y84" s="27" t="str">
        <f t="shared" si="21"/>
        <v/>
      </c>
      <c r="Z84" s="27" t="str">
        <f t="shared" si="22"/>
        <v/>
      </c>
      <c r="AA84" s="27" t="str">
        <f t="shared" si="23"/>
        <v/>
      </c>
      <c r="AB84" s="17" t="str">
        <f>IFERROR(VLOOKUP($A84,[5]库存报告使用数据!$A$1:$D$65536,4,0),"")</f>
        <v/>
      </c>
      <c r="AC84" s="17" t="str">
        <f>IFERROR(VLOOKUP($A84,[5]库存报告使用数据!$A$1:$G$65536,7,0),"")</f>
        <v/>
      </c>
      <c r="AD84" s="17" t="str">
        <f>IFERROR(VLOOKUP($A84,[5]库存报告使用数据!$A$1:$J$65536,10,0),"")</f>
        <v/>
      </c>
      <c r="AE84" s="17" t="str">
        <f>IFERROR(VLOOKUP($A84,[5]库存报告使用数据!$A$1:$M$65536,13,0),"")</f>
        <v/>
      </c>
      <c r="AF84" s="27" t="str">
        <f t="shared" si="32"/>
        <v>有广告无销售广告费为</v>
      </c>
      <c r="AG84" s="27" t="str">
        <f t="shared" si="33"/>
        <v>有广告无销售广告费为</v>
      </c>
      <c r="AH84" s="27" t="str">
        <f t="shared" si="34"/>
        <v>有广告无销售广告费为</v>
      </c>
      <c r="AI84" s="27" t="str">
        <f t="shared" si="35"/>
        <v>有广告无销售广告费为</v>
      </c>
      <c r="AJ84" s="17">
        <f>IFERROR(VLOOKUP($B84,'[3]浏览量处理(勿删)'!$A:$B,2,0),"")</f>
        <v>13</v>
      </c>
      <c r="AK84" s="17">
        <f>IFERROR(VLOOKUP($B84,'[3]浏览量处理(勿删)'!$A:$C,3,0),"")</f>
        <v>0</v>
      </c>
      <c r="AL84" s="17">
        <f>IFERROR(VLOOKUP($B84,'[3]浏览量处理(勿删)'!$A:$D,4,0),"")</f>
        <v>0</v>
      </c>
      <c r="AM84" s="17">
        <f>IFERROR(VLOOKUP($B84,'[3]浏览量处理(勿删)'!$A:$E,5,0),"")</f>
        <v>117</v>
      </c>
      <c r="AN84" s="27">
        <f t="shared" si="24"/>
        <v>0</v>
      </c>
      <c r="AO84" s="27" t="str">
        <f t="shared" si="25"/>
        <v/>
      </c>
      <c r="AP84" s="27" t="str">
        <f t="shared" si="26"/>
        <v/>
      </c>
      <c r="AQ84" s="27">
        <f t="shared" si="27"/>
        <v>0</v>
      </c>
      <c r="AR84" s="32">
        <f t="shared" si="28"/>
        <v>0</v>
      </c>
      <c r="AS84" s="32">
        <f t="shared" si="29"/>
        <v>0</v>
      </c>
      <c r="AT84" s="32">
        <f t="shared" si="30"/>
        <v>0</v>
      </c>
      <c r="AU84" s="18" t="str">
        <f t="shared" si="31"/>
        <v>库存为0</v>
      </c>
      <c r="AV84" s="33" t="str">
        <f>IFERROR(时间!$B$4+AU84,"上周无销量")</f>
        <v>上周无销量</v>
      </c>
    </row>
    <row r="85" spans="1:48">
      <c r="A85" s="16" t="s">
        <v>129</v>
      </c>
      <c r="B85" s="17" t="str">
        <f>VLOOKUP(A85,[1]sku_fnsku_asin_产品名称!$A:$C,3,0)</f>
        <v>B004OF9EPO</v>
      </c>
      <c r="C85" s="17" t="str">
        <f>VLOOKUP(A85,[1]sku_fnsku_asin_产品名称!$A:$D,4,0)</f>
        <v>Gratiae AHA Cleansing and Peeling Foam</v>
      </c>
      <c r="D85" s="18">
        <f>IFERROR(VLOOKUP(A85,[4]库存报告使用数据处理!$A:$B,2,0),0)</f>
        <v>12</v>
      </c>
      <c r="E85" s="18">
        <f>IFERROR(VLOOKUP(A85,[4]库存报告使用数据处理!$A:$C,3,0),0)</f>
        <v>8</v>
      </c>
      <c r="F85" s="18">
        <f>IFERROR(VLOOKUP(A85,[4]库存报告使用数据处理!$A:$D,4,0),0)</f>
        <v>19</v>
      </c>
      <c r="G85" s="18">
        <f>IFERROR(VLOOKUP(A85,[4]库存报告使用数据处理!$A:$E,5,0),0)</f>
        <v>12</v>
      </c>
      <c r="H85" s="18">
        <f>IFERROR(VLOOKUP(A85,[4]库存报告使用数据处理!$A:$F,6,0),0)</f>
        <v>20.7264705882353</v>
      </c>
      <c r="I85" s="18">
        <f>IFERROR(VLOOKUP($A85,[2]数据处理!$A:$B,2,0),0)</f>
        <v>51</v>
      </c>
      <c r="J85" s="18">
        <f>IFERROR(VLOOKUP($A85,[2]数据处理!$A:$D,4,0),0)</f>
        <v>0</v>
      </c>
      <c r="K85" s="18">
        <f>IFERROR(VLOOKUP($A85,[2]数据处理!$A:$E,5,0),0)</f>
        <v>0</v>
      </c>
      <c r="L85" s="18">
        <f>IFERROR(VLOOKUP($A85,[2]数据处理!$A:$N,7,0),0)</f>
        <v>1</v>
      </c>
      <c r="M85" s="22">
        <f t="shared" si="19"/>
        <v>52</v>
      </c>
      <c r="N85" s="18">
        <f>IFERROR(VLOOKUP($A85,[2]数据处理!$A:$N,3,0),0)</f>
        <v>1</v>
      </c>
      <c r="O85" s="17">
        <f>IFERROR(VLOOKUP($A85,[2]数据处理!$A:$N,14,0),0)</f>
        <v>56</v>
      </c>
      <c r="P85" s="17">
        <f>IFERROR(VLOOKUP($A85,[5]库存报告使用数据!$A$1:$B$65536,2,0),0)</f>
        <v>4728</v>
      </c>
      <c r="Q85" s="17">
        <f>IFERROR(VLOOKUP($A85,[5]库存报告使用数据!$A$1:$E$65536,5,0),0)</f>
        <v>5355</v>
      </c>
      <c r="R85" s="17">
        <f>IFERROR(VLOOKUP($A85,[5]库存报告使用数据!$A$1:$H$65536,8,0),0)</f>
        <v>26584</v>
      </c>
      <c r="S85" s="17">
        <f>IFERROR(VLOOKUP($A85,[5]库存报告使用数据!$A$1:$K$65536,11,0),0)</f>
        <v>2067</v>
      </c>
      <c r="T85" s="17">
        <f>IFERROR(VLOOKUP($A85,[5]库存报告使用数据!$A$1:$C$65536,3,0),"")</f>
        <v>24</v>
      </c>
      <c r="U85" s="17">
        <f>IFERROR(VLOOKUP($A85,[5]库存报告使用数据!$A$1:$F$65536,6,0),"")</f>
        <v>12</v>
      </c>
      <c r="V85" s="17">
        <f>IFERROR(VLOOKUP($A85,[5]库存报告使用数据!$A$1:$I$65536,9,0),"")</f>
        <v>42</v>
      </c>
      <c r="W85" s="17">
        <f>IFERROR(VLOOKUP($A85,[5]库存报告使用数据!$A$1:$L$65536,12,0),"")</f>
        <v>13</v>
      </c>
      <c r="X85" s="27">
        <f t="shared" si="20"/>
        <v>0.0050761421319797</v>
      </c>
      <c r="Y85" s="27">
        <f t="shared" si="21"/>
        <v>0.00224089635854342</v>
      </c>
      <c r="Z85" s="27">
        <f t="shared" si="22"/>
        <v>0.00157989768281673</v>
      </c>
      <c r="AA85" s="27">
        <f t="shared" si="23"/>
        <v>0.00628930817610063</v>
      </c>
      <c r="AB85" s="17">
        <f>IFERROR(VLOOKUP($A85,[5]库存报告使用数据!$A$1:$D$65536,4,0),"")</f>
        <v>15.66</v>
      </c>
      <c r="AC85" s="17">
        <f>IFERROR(VLOOKUP($A85,[5]库存报告使用数据!$A$1:$G$65536,7,0),"")</f>
        <v>4</v>
      </c>
      <c r="AD85" s="17">
        <f>IFERROR(VLOOKUP($A85,[5]库存报告使用数据!$A$1:$J$65536,10,0),"")</f>
        <v>40.65</v>
      </c>
      <c r="AE85" s="17">
        <f>IFERROR(VLOOKUP($A85,[5]库存报告使用数据!$A$1:$M$65536,13,0),"")</f>
        <v>4.5</v>
      </c>
      <c r="AF85" s="27">
        <f t="shared" si="32"/>
        <v>0.0629629629629629</v>
      </c>
      <c r="AG85" s="27">
        <f t="shared" si="33"/>
        <v>0.0241237405988364</v>
      </c>
      <c r="AH85" s="27">
        <f t="shared" si="34"/>
        <v>0.103224216351863</v>
      </c>
      <c r="AI85" s="27">
        <f t="shared" si="35"/>
        <v>0.0180928054491273</v>
      </c>
      <c r="AJ85" s="17">
        <f>IFERROR(VLOOKUP($B85,'[3]浏览量处理(勿删)'!$A:$B,2,0),"")</f>
        <v>55</v>
      </c>
      <c r="AK85" s="17">
        <f>IFERROR(VLOOKUP($B85,'[3]浏览量处理(勿删)'!$A:$C,3,0),"")</f>
        <v>49</v>
      </c>
      <c r="AL85" s="17">
        <f>IFERROR(VLOOKUP($B85,'[3]浏览量处理(勿删)'!$A:$D,4,0),"")</f>
        <v>54</v>
      </c>
      <c r="AM85" s="17">
        <f>IFERROR(VLOOKUP($B85,'[3]浏览量处理(勿删)'!$A:$E,5,0),"")</f>
        <v>147</v>
      </c>
      <c r="AN85" s="27">
        <f t="shared" si="24"/>
        <v>0.218181818181818</v>
      </c>
      <c r="AO85" s="27">
        <f t="shared" si="25"/>
        <v>0.163265306122449</v>
      </c>
      <c r="AP85" s="27">
        <f t="shared" si="26"/>
        <v>0.351851851851852</v>
      </c>
      <c r="AQ85" s="27">
        <f t="shared" si="27"/>
        <v>0.0816326530612245</v>
      </c>
      <c r="AR85" s="32">
        <f t="shared" si="28"/>
        <v>1.71428571428571</v>
      </c>
      <c r="AS85" s="32">
        <f t="shared" si="29"/>
        <v>102.857142857143</v>
      </c>
      <c r="AT85" s="32">
        <f t="shared" si="30"/>
        <v>-50.8571428571428</v>
      </c>
      <c r="AU85" s="18">
        <f t="shared" si="31"/>
        <v>30</v>
      </c>
      <c r="AV85" s="33">
        <f>IFERROR(时间!$B$4+AU85,"上周无销量")</f>
        <v>43320</v>
      </c>
    </row>
    <row r="86" spans="1:48">
      <c r="A86" s="16" t="s">
        <v>130</v>
      </c>
      <c r="B86" s="17" t="str">
        <f>VLOOKUP(A86,[1]sku_fnsku_asin_产品名称!$A:$C,3,0)</f>
        <v>B00158196K</v>
      </c>
      <c r="C86" s="17" t="str">
        <f>VLOOKUP(A86,[1]sku_fnsku_asin_产品名称!$A:$D,4,0)</f>
        <v>Premier Dead Sea Body Butter Passion Fruit Scent</v>
      </c>
      <c r="D86" s="18">
        <f>IFERROR(VLOOKUP(A86,[4]库存报告使用数据处理!$A:$B,2,0),0)</f>
        <v>4</v>
      </c>
      <c r="E86" s="18">
        <f>IFERROR(VLOOKUP(A86,[4]库存报告使用数据处理!$A:$C,3,0),0)</f>
        <v>7</v>
      </c>
      <c r="F86" s="18">
        <f>IFERROR(VLOOKUP(A86,[4]库存报告使用数据处理!$A:$D,4,0),0)</f>
        <v>9</v>
      </c>
      <c r="G86" s="18">
        <f>IFERROR(VLOOKUP(A86,[4]库存报告使用数据处理!$A:$E,5,0),0)</f>
        <v>8</v>
      </c>
      <c r="H86" s="18">
        <f>IFERROR(VLOOKUP(A86,[4]库存报告使用数据处理!$A:$F,6,0),0)</f>
        <v>20.99</v>
      </c>
      <c r="I86" s="18">
        <f>IFERROR(VLOOKUP($A86,[2]数据处理!$A:$B,2,0),0)</f>
        <v>30</v>
      </c>
      <c r="J86" s="18">
        <f>IFERROR(VLOOKUP($A86,[2]数据处理!$A:$D,4,0),0)</f>
        <v>0</v>
      </c>
      <c r="K86" s="18">
        <f>IFERROR(VLOOKUP($A86,[2]数据处理!$A:$E,5,0),0)</f>
        <v>0</v>
      </c>
      <c r="L86" s="18">
        <f>IFERROR(VLOOKUP($A86,[2]数据处理!$A:$N,7,0),0)</f>
        <v>1</v>
      </c>
      <c r="M86" s="22">
        <f t="shared" si="19"/>
        <v>31</v>
      </c>
      <c r="N86" s="18">
        <f>IFERROR(VLOOKUP($A86,[2]数据处理!$A:$N,3,0),0)</f>
        <v>2</v>
      </c>
      <c r="O86" s="17">
        <f>IFERROR(VLOOKUP($A86,[2]数据处理!$A:$N,14,0),0)</f>
        <v>31</v>
      </c>
      <c r="P86" s="17">
        <f>IFERROR(VLOOKUP($A86,[5]库存报告使用数据!$A$1:$B$65536,2,0),0)</f>
        <v>6749</v>
      </c>
      <c r="Q86" s="17">
        <f>IFERROR(VLOOKUP($A86,[5]库存报告使用数据!$A$1:$E$65536,5,0),0)</f>
        <v>14352</v>
      </c>
      <c r="R86" s="17">
        <f>IFERROR(VLOOKUP($A86,[5]库存报告使用数据!$A$1:$H$65536,8,0),0)</f>
        <v>18063</v>
      </c>
      <c r="S86" s="17">
        <f>IFERROR(VLOOKUP($A86,[5]库存报告使用数据!$A$1:$K$65536,11,0),0)</f>
        <v>13356</v>
      </c>
      <c r="T86" s="17">
        <f>IFERROR(VLOOKUP($A86,[5]库存报告使用数据!$A$1:$C$65536,3,0),"")</f>
        <v>23</v>
      </c>
      <c r="U86" s="17">
        <f>IFERROR(VLOOKUP($A86,[5]库存报告使用数据!$A$1:$F$65536,6,0),"")</f>
        <v>21</v>
      </c>
      <c r="V86" s="17">
        <f>IFERROR(VLOOKUP($A86,[5]库存报告使用数据!$A$1:$I$65536,9,0),"")</f>
        <v>21</v>
      </c>
      <c r="W86" s="17">
        <f>IFERROR(VLOOKUP($A86,[5]库存报告使用数据!$A$1:$L$65536,12,0),"")</f>
        <v>25</v>
      </c>
      <c r="X86" s="27">
        <f t="shared" si="20"/>
        <v>0.00340791228330123</v>
      </c>
      <c r="Y86" s="27">
        <f t="shared" si="21"/>
        <v>0.00146321070234114</v>
      </c>
      <c r="Z86" s="27">
        <f t="shared" si="22"/>
        <v>0.00116259757515363</v>
      </c>
      <c r="AA86" s="27">
        <f t="shared" si="23"/>
        <v>0.00187181790955376</v>
      </c>
      <c r="AB86" s="17">
        <f>IFERROR(VLOOKUP($A86,[5]库存报告使用数据!$A$1:$D$65536,4,0),"")</f>
        <v>16.08</v>
      </c>
      <c r="AC86" s="17">
        <f>IFERROR(VLOOKUP($A86,[5]库存报告使用数据!$A$1:$G$65536,7,0),"")</f>
        <v>18.23</v>
      </c>
      <c r="AD86" s="17">
        <f>IFERROR(VLOOKUP($A86,[5]库存报告使用数据!$A$1:$J$65536,10,0),"")</f>
        <v>18.93</v>
      </c>
      <c r="AE86" s="17">
        <f>IFERROR(VLOOKUP($A86,[5]库存报告使用数据!$A$1:$M$65536,13,0),"")</f>
        <v>18.94</v>
      </c>
      <c r="AF86" s="27">
        <f t="shared" si="32"/>
        <v>0.191519771319676</v>
      </c>
      <c r="AG86" s="27">
        <f t="shared" si="33"/>
        <v>0.124072687674403</v>
      </c>
      <c r="AH86" s="27">
        <f t="shared" si="34"/>
        <v>0.10020644751469</v>
      </c>
      <c r="AI86" s="27">
        <f t="shared" si="35"/>
        <v>0.112791805621725</v>
      </c>
      <c r="AJ86" s="17">
        <f>IFERROR(VLOOKUP($B86,'[3]浏览量处理(勿删)'!$A:$B,2,0),"")</f>
        <v>44</v>
      </c>
      <c r="AK86" s="17">
        <f>IFERROR(VLOOKUP($B86,'[3]浏览量处理(勿删)'!$A:$C,3,0),"")</f>
        <v>26</v>
      </c>
      <c r="AL86" s="17">
        <f>IFERROR(VLOOKUP($B86,'[3]浏览量处理(勿删)'!$A:$D,4,0),"")</f>
        <v>41</v>
      </c>
      <c r="AM86" s="17">
        <f>IFERROR(VLOOKUP($B86,'[3]浏览量处理(勿删)'!$A:$E,5,0),"")</f>
        <v>105</v>
      </c>
      <c r="AN86" s="27">
        <f t="shared" si="24"/>
        <v>0.0909090909090909</v>
      </c>
      <c r="AO86" s="27">
        <f t="shared" si="25"/>
        <v>0.269230769230769</v>
      </c>
      <c r="AP86" s="27">
        <f t="shared" si="26"/>
        <v>0.219512195121951</v>
      </c>
      <c r="AQ86" s="27">
        <f t="shared" si="27"/>
        <v>0.0761904761904762</v>
      </c>
      <c r="AR86" s="32">
        <f t="shared" si="28"/>
        <v>0.571428571428571</v>
      </c>
      <c r="AS86" s="32">
        <f t="shared" si="29"/>
        <v>34.2857142857143</v>
      </c>
      <c r="AT86" s="32">
        <f t="shared" si="30"/>
        <v>-3.28571428571428</v>
      </c>
      <c r="AU86" s="18">
        <f t="shared" si="31"/>
        <v>54</v>
      </c>
      <c r="AV86" s="33">
        <f>IFERROR(时间!$B$4+AU86,"上周无销量")</f>
        <v>43344</v>
      </c>
    </row>
    <row r="87" spans="1:48">
      <c r="A87" s="16" t="s">
        <v>131</v>
      </c>
      <c r="B87" s="17" t="str">
        <f>VLOOKUP(A87,[1]sku_fnsku_asin_产品名称!$A:$C,3,0)</f>
        <v>B002DV0KDQ</v>
      </c>
      <c r="C87" s="17" t="str">
        <f>VLOOKUP(A87,[1]sku_fnsku_asin_产品名称!$A:$D,4,0)</f>
        <v>Premier Dead Sea Luxury Moisture Cream for Multi-Use</v>
      </c>
      <c r="D87" s="18">
        <f>IFERROR(VLOOKUP(A87,[4]库存报告使用数据处理!$A:$B,2,0),0)</f>
        <v>1</v>
      </c>
      <c r="E87" s="18">
        <f>IFERROR(VLOOKUP(A87,[4]库存报告使用数据处理!$A:$C,3,0),0)</f>
        <v>3</v>
      </c>
      <c r="F87" s="18">
        <f>IFERROR(VLOOKUP(A87,[4]库存报告使用数据处理!$A:$D,4,0),0)</f>
        <v>8</v>
      </c>
      <c r="G87" s="18">
        <f>IFERROR(VLOOKUP(A87,[4]库存报告使用数据处理!$A:$E,5,0),0)</f>
        <v>1</v>
      </c>
      <c r="H87" s="18">
        <f>IFERROR(VLOOKUP(A87,[4]库存报告使用数据处理!$A:$F,6,0),0)</f>
        <v>17.8361538461538</v>
      </c>
      <c r="I87" s="18">
        <f>IFERROR(VLOOKUP($A87,[2]数据处理!$A:$B,2,0),0)</f>
        <v>161</v>
      </c>
      <c r="J87" s="18">
        <f>IFERROR(VLOOKUP($A87,[2]数据处理!$A:$D,4,0),0)</f>
        <v>0</v>
      </c>
      <c r="K87" s="18">
        <f>IFERROR(VLOOKUP($A87,[2]数据处理!$A:$E,5,0),0)</f>
        <v>0</v>
      </c>
      <c r="L87" s="18">
        <f>IFERROR(VLOOKUP($A87,[2]数据处理!$A:$N,7,0),0)</f>
        <v>1</v>
      </c>
      <c r="M87" s="22">
        <f t="shared" si="19"/>
        <v>162</v>
      </c>
      <c r="N87" s="18">
        <f>IFERROR(VLOOKUP($A87,[2]数据处理!$A:$N,3,0),0)</f>
        <v>0</v>
      </c>
      <c r="O87" s="17">
        <f>IFERROR(VLOOKUP($A87,[2]数据处理!$A:$N,14,0),0)</f>
        <v>149</v>
      </c>
      <c r="P87" s="17">
        <f>IFERROR(VLOOKUP($A87,[5]库存报告使用数据!$A$1:$B$65536,2,0),0)</f>
        <v>1056</v>
      </c>
      <c r="Q87" s="17">
        <f>IFERROR(VLOOKUP($A87,[5]库存报告使用数据!$A$1:$E$65536,5,0),0)</f>
        <v>1157</v>
      </c>
      <c r="R87" s="17">
        <f>IFERROR(VLOOKUP($A87,[5]库存报告使用数据!$A$1:$H$65536,8,0),0)</f>
        <v>1502</v>
      </c>
      <c r="S87" s="17">
        <f>IFERROR(VLOOKUP($A87,[5]库存报告使用数据!$A$1:$K$65536,11,0),0)</f>
        <v>2375</v>
      </c>
      <c r="T87" s="17">
        <f>IFERROR(VLOOKUP($A87,[5]库存报告使用数据!$A$1:$C$65536,3,0),"")</f>
        <v>5</v>
      </c>
      <c r="U87" s="17">
        <f>IFERROR(VLOOKUP($A87,[5]库存报告使用数据!$A$1:$F$65536,6,0),"")</f>
        <v>8</v>
      </c>
      <c r="V87" s="17">
        <f>IFERROR(VLOOKUP($A87,[5]库存报告使用数据!$A$1:$I$65536,9,0),"")</f>
        <v>3</v>
      </c>
      <c r="W87" s="17">
        <f>IFERROR(VLOOKUP($A87,[5]库存报告使用数据!$A$1:$L$65536,12,0),"")</f>
        <v>5</v>
      </c>
      <c r="X87" s="27">
        <f t="shared" si="20"/>
        <v>0.00473484848484848</v>
      </c>
      <c r="Y87" s="27">
        <f t="shared" si="21"/>
        <v>0.00691443388072602</v>
      </c>
      <c r="Z87" s="27">
        <f t="shared" si="22"/>
        <v>0.00199733688415446</v>
      </c>
      <c r="AA87" s="27">
        <f t="shared" si="23"/>
        <v>0.00210526315789474</v>
      </c>
      <c r="AB87" s="17">
        <f>IFERROR(VLOOKUP($A87,[5]库存报告使用数据!$A$1:$D$65536,4,0),"")</f>
        <v>5.47</v>
      </c>
      <c r="AC87" s="17">
        <f>IFERROR(VLOOKUP($A87,[5]库存报告使用数据!$A$1:$G$65536,7,0),"")</f>
        <v>5.82</v>
      </c>
      <c r="AD87" s="17">
        <f>IFERROR(VLOOKUP($A87,[5]库存报告使用数据!$A$1:$J$65536,10,0),"")</f>
        <v>1.77</v>
      </c>
      <c r="AE87" s="17">
        <f>IFERROR(VLOOKUP($A87,[5]库存报告使用数据!$A$1:$M$65536,13,0),"")</f>
        <v>3.32</v>
      </c>
      <c r="AF87" s="27">
        <f t="shared" si="32"/>
        <v>0.306680467503343</v>
      </c>
      <c r="AG87" s="27">
        <f t="shared" si="33"/>
        <v>0.108767844050546</v>
      </c>
      <c r="AH87" s="27">
        <f t="shared" si="34"/>
        <v>0.0124045801526718</v>
      </c>
      <c r="AI87" s="27">
        <f t="shared" si="35"/>
        <v>0.186138784663821</v>
      </c>
      <c r="AJ87" s="17">
        <f>IFERROR(VLOOKUP($B87,'[3]浏览量处理(勿删)'!$A:$B,2,0),"")</f>
        <v>67</v>
      </c>
      <c r="AK87" s="17">
        <f>IFERROR(VLOOKUP($B87,'[3]浏览量处理(勿删)'!$A:$C,3,0),"")</f>
        <v>30</v>
      </c>
      <c r="AL87" s="17">
        <f>IFERROR(VLOOKUP($B87,'[3]浏览量处理(勿删)'!$A:$D,4,0),"")</f>
        <v>44</v>
      </c>
      <c r="AM87" s="17">
        <f>IFERROR(VLOOKUP($B87,'[3]浏览量处理(勿删)'!$A:$E,5,0),"")</f>
        <v>113</v>
      </c>
      <c r="AN87" s="27">
        <f t="shared" si="24"/>
        <v>0.0149253731343284</v>
      </c>
      <c r="AO87" s="27">
        <f t="shared" si="25"/>
        <v>0.1</v>
      </c>
      <c r="AP87" s="27">
        <f t="shared" si="26"/>
        <v>0.181818181818182</v>
      </c>
      <c r="AQ87" s="27">
        <f t="shared" si="27"/>
        <v>0.00884955752212389</v>
      </c>
      <c r="AR87" s="32">
        <f t="shared" si="28"/>
        <v>0.142857142857143</v>
      </c>
      <c r="AS87" s="32">
        <f t="shared" si="29"/>
        <v>8.57142857142857</v>
      </c>
      <c r="AT87" s="32">
        <f t="shared" si="30"/>
        <v>153.428571428571</v>
      </c>
      <c r="AU87" s="18">
        <f t="shared" si="31"/>
        <v>1134</v>
      </c>
      <c r="AV87" s="33">
        <f>IFERROR(时间!$B$4+AU87,"上周无销量")</f>
        <v>44424</v>
      </c>
    </row>
    <row r="88" spans="1:48">
      <c r="A88" s="16" t="s">
        <v>132</v>
      </c>
      <c r="B88" s="17" t="str">
        <f>VLOOKUP(A88,[1]sku_fnsku_asin_产品名称!$A:$C,3,0)</f>
        <v>B004HFNFU6</v>
      </c>
      <c r="C88" s="17">
        <f>VLOOKUP(A88,[1]sku_fnsku_asin_产品名称!$A:$D,4,0)</f>
        <v>0</v>
      </c>
      <c r="D88" s="18">
        <f>IFERROR(VLOOKUP(A88,[4]库存报告使用数据处理!$A:$B,2,0),0)</f>
        <v>0</v>
      </c>
      <c r="E88" s="18">
        <f>IFERROR(VLOOKUP(A88,[4]库存报告使用数据处理!$A:$C,3,0),0)</f>
        <v>0</v>
      </c>
      <c r="F88" s="18">
        <f>IFERROR(VLOOKUP(A88,[4]库存报告使用数据处理!$A:$D,4,0),0)</f>
        <v>0</v>
      </c>
      <c r="G88" s="18">
        <f>IFERROR(VLOOKUP(A88,[4]库存报告使用数据处理!$A:$E,5,0),0)</f>
        <v>0</v>
      </c>
      <c r="H88" s="18">
        <f>IFERROR(VLOOKUP(A88,[4]库存报告使用数据处理!$A:$F,6,0),0)</f>
        <v>0</v>
      </c>
      <c r="I88" s="18">
        <f>IFERROR(VLOOKUP($A88,[2]数据处理!$A:$B,2,0),0)</f>
        <v>0</v>
      </c>
      <c r="J88" s="18">
        <f>IFERROR(VLOOKUP($A88,[2]数据处理!$A:$D,4,0),0)</f>
        <v>0</v>
      </c>
      <c r="K88" s="18">
        <f>IFERROR(VLOOKUP($A88,[2]数据处理!$A:$E,5,0),0)</f>
        <v>0</v>
      </c>
      <c r="L88" s="18">
        <f>IFERROR(VLOOKUP($A88,[2]数据处理!$A:$N,7,0),0)</f>
        <v>0</v>
      </c>
      <c r="M88" s="22">
        <f t="shared" si="19"/>
        <v>0</v>
      </c>
      <c r="N88" s="18">
        <f>IFERROR(VLOOKUP($A88,[2]数据处理!$A:$N,3,0),0)</f>
        <v>0</v>
      </c>
      <c r="O88" s="17">
        <f>IFERROR(VLOOKUP($A88,[2]数据处理!$A:$N,14,0),0)</f>
        <v>0</v>
      </c>
      <c r="P88" s="17">
        <f>IFERROR(VLOOKUP($A88,[5]库存报告使用数据!$A$1:$B$65536,2,0),0)</f>
        <v>0</v>
      </c>
      <c r="Q88" s="17">
        <f>IFERROR(VLOOKUP($A88,[5]库存报告使用数据!$A$1:$E$65536,5,0),0)</f>
        <v>0</v>
      </c>
      <c r="R88" s="17">
        <f>IFERROR(VLOOKUP($A88,[5]库存报告使用数据!$A$1:$H$65536,8,0),0)</f>
        <v>0</v>
      </c>
      <c r="S88" s="17">
        <f>IFERROR(VLOOKUP($A88,[5]库存报告使用数据!$A$1:$K$65536,11,0),0)</f>
        <v>0</v>
      </c>
      <c r="T88" s="17" t="str">
        <f>IFERROR(VLOOKUP($A88,[5]库存报告使用数据!$A$1:$C$65536,3,0),"")</f>
        <v/>
      </c>
      <c r="U88" s="17" t="str">
        <f>IFERROR(VLOOKUP($A88,[5]库存报告使用数据!$A$1:$F$65536,6,0),"")</f>
        <v/>
      </c>
      <c r="V88" s="17" t="str">
        <f>IFERROR(VLOOKUP($A88,[5]库存报告使用数据!$A$1:$I$65536,9,0),"")</f>
        <v/>
      </c>
      <c r="W88" s="17" t="str">
        <f>IFERROR(VLOOKUP($A88,[5]库存报告使用数据!$A$1:$L$65536,12,0),"")</f>
        <v/>
      </c>
      <c r="X88" s="27" t="str">
        <f t="shared" si="20"/>
        <v/>
      </c>
      <c r="Y88" s="27" t="str">
        <f t="shared" si="21"/>
        <v/>
      </c>
      <c r="Z88" s="27" t="str">
        <f t="shared" si="22"/>
        <v/>
      </c>
      <c r="AA88" s="27" t="str">
        <f t="shared" si="23"/>
        <v/>
      </c>
      <c r="AB88" s="17" t="str">
        <f>IFERROR(VLOOKUP($A88,[5]库存报告使用数据!$A$1:$D$65536,4,0),"")</f>
        <v/>
      </c>
      <c r="AC88" s="17" t="str">
        <f>IFERROR(VLOOKUP($A88,[5]库存报告使用数据!$A$1:$G$65536,7,0),"")</f>
        <v/>
      </c>
      <c r="AD88" s="17" t="str">
        <f>IFERROR(VLOOKUP($A88,[5]库存报告使用数据!$A$1:$J$65536,10,0),"")</f>
        <v/>
      </c>
      <c r="AE88" s="17" t="str">
        <f>IFERROR(VLOOKUP($A88,[5]库存报告使用数据!$A$1:$M$65536,13,0),"")</f>
        <v/>
      </c>
      <c r="AF88" s="27" t="str">
        <f t="shared" si="32"/>
        <v>有广告无销售广告费为</v>
      </c>
      <c r="AG88" s="27" t="str">
        <f t="shared" si="33"/>
        <v>有广告无销售广告费为</v>
      </c>
      <c r="AH88" s="27" t="str">
        <f t="shared" si="34"/>
        <v>有广告无销售广告费为</v>
      </c>
      <c r="AI88" s="27" t="str">
        <f t="shared" si="35"/>
        <v>有广告无销售广告费为</v>
      </c>
      <c r="AJ88" s="17" t="str">
        <f>IFERROR(VLOOKUP($B88,'[3]浏览量处理(勿删)'!$A:$B,2,0),"")</f>
        <v/>
      </c>
      <c r="AK88" s="17" t="str">
        <f>IFERROR(VLOOKUP($B88,'[3]浏览量处理(勿删)'!$A:$C,3,0),"")</f>
        <v/>
      </c>
      <c r="AL88" s="17" t="str">
        <f>IFERROR(VLOOKUP($B88,'[3]浏览量处理(勿删)'!$A:$D,4,0),"")</f>
        <v/>
      </c>
      <c r="AM88" s="17" t="str">
        <f>IFERROR(VLOOKUP($B88,'[3]浏览量处理(勿删)'!$A:$E,5,0),"")</f>
        <v/>
      </c>
      <c r="AN88" s="27" t="str">
        <f t="shared" si="24"/>
        <v/>
      </c>
      <c r="AO88" s="27" t="str">
        <f t="shared" si="25"/>
        <v/>
      </c>
      <c r="AP88" s="27" t="str">
        <f t="shared" si="26"/>
        <v/>
      </c>
      <c r="AQ88" s="27" t="str">
        <f t="shared" si="27"/>
        <v/>
      </c>
      <c r="AR88" s="32">
        <f t="shared" si="28"/>
        <v>0</v>
      </c>
      <c r="AS88" s="32">
        <f t="shared" si="29"/>
        <v>0</v>
      </c>
      <c r="AT88" s="32">
        <f t="shared" si="30"/>
        <v>0</v>
      </c>
      <c r="AU88" s="18" t="str">
        <f t="shared" si="31"/>
        <v>库存为0</v>
      </c>
      <c r="AV88" s="33" t="str">
        <f>IFERROR(时间!$B$4+AU88,"上周无销量")</f>
        <v>上周无销量</v>
      </c>
    </row>
    <row r="89" spans="1:48">
      <c r="A89" s="16" t="s">
        <v>133</v>
      </c>
      <c r="B89" s="17" t="str">
        <f>VLOOKUP(A89,[1]sku_fnsku_asin_产品名称!$A:$C,3,0)</f>
        <v>B003NQ7P0Q</v>
      </c>
      <c r="C89" s="17">
        <f>VLOOKUP(A89,[1]sku_fnsku_asin_产品名称!$A:$D,4,0)</f>
        <v>0</v>
      </c>
      <c r="D89" s="18">
        <f>IFERROR(VLOOKUP(A89,[4]库存报告使用数据处理!$A:$B,2,0),0)</f>
        <v>0</v>
      </c>
      <c r="E89" s="18">
        <f>IFERROR(VLOOKUP(A89,[4]库存报告使用数据处理!$A:$C,3,0),0)</f>
        <v>0</v>
      </c>
      <c r="F89" s="18">
        <f>IFERROR(VLOOKUP(A89,[4]库存报告使用数据处理!$A:$D,4,0),0)</f>
        <v>0</v>
      </c>
      <c r="G89" s="18">
        <f>IFERROR(VLOOKUP(A89,[4]库存报告使用数据处理!$A:$E,5,0),0)</f>
        <v>0</v>
      </c>
      <c r="H89" s="18">
        <f>IFERROR(VLOOKUP(A89,[4]库存报告使用数据处理!$A:$F,6,0),0)</f>
        <v>0</v>
      </c>
      <c r="I89" s="18">
        <f>IFERROR(VLOOKUP($A89,[2]数据处理!$A:$B,2,0),0)</f>
        <v>0</v>
      </c>
      <c r="J89" s="18">
        <f>IFERROR(VLOOKUP($A89,[2]数据处理!$A:$D,4,0),0)</f>
        <v>0</v>
      </c>
      <c r="K89" s="18">
        <f>IFERROR(VLOOKUP($A89,[2]数据处理!$A:$E,5,0),0)</f>
        <v>0</v>
      </c>
      <c r="L89" s="18">
        <f>IFERROR(VLOOKUP($A89,[2]数据处理!$A:$N,7,0),0)</f>
        <v>0</v>
      </c>
      <c r="M89" s="22">
        <f t="shared" si="19"/>
        <v>0</v>
      </c>
      <c r="N89" s="18">
        <f>IFERROR(VLOOKUP($A89,[2]数据处理!$A:$N,3,0),0)</f>
        <v>0</v>
      </c>
      <c r="O89" s="17">
        <f>IFERROR(VLOOKUP($A89,[2]数据处理!$A:$N,14,0),0)</f>
        <v>0</v>
      </c>
      <c r="P89" s="17">
        <f>IFERROR(VLOOKUP($A89,[5]库存报告使用数据!$A$1:$B$65536,2,0),0)</f>
        <v>0</v>
      </c>
      <c r="Q89" s="17">
        <f>IFERROR(VLOOKUP($A89,[5]库存报告使用数据!$A$1:$E$65536,5,0),0)</f>
        <v>0</v>
      </c>
      <c r="R89" s="17">
        <f>IFERROR(VLOOKUP($A89,[5]库存报告使用数据!$A$1:$H$65536,8,0),0)</f>
        <v>0</v>
      </c>
      <c r="S89" s="17">
        <f>IFERROR(VLOOKUP($A89,[5]库存报告使用数据!$A$1:$K$65536,11,0),0)</f>
        <v>0</v>
      </c>
      <c r="T89" s="17" t="str">
        <f>IFERROR(VLOOKUP($A89,[5]库存报告使用数据!$A$1:$C$65536,3,0),"")</f>
        <v/>
      </c>
      <c r="U89" s="17" t="str">
        <f>IFERROR(VLOOKUP($A89,[5]库存报告使用数据!$A$1:$F$65536,6,0),"")</f>
        <v/>
      </c>
      <c r="V89" s="17" t="str">
        <f>IFERROR(VLOOKUP($A89,[5]库存报告使用数据!$A$1:$I$65536,9,0),"")</f>
        <v/>
      </c>
      <c r="W89" s="17" t="str">
        <f>IFERROR(VLOOKUP($A89,[5]库存报告使用数据!$A$1:$L$65536,12,0),"")</f>
        <v/>
      </c>
      <c r="X89" s="27" t="str">
        <f t="shared" si="20"/>
        <v/>
      </c>
      <c r="Y89" s="27" t="str">
        <f t="shared" si="21"/>
        <v/>
      </c>
      <c r="Z89" s="27" t="str">
        <f t="shared" si="22"/>
        <v/>
      </c>
      <c r="AA89" s="27" t="str">
        <f t="shared" si="23"/>
        <v/>
      </c>
      <c r="AB89" s="17" t="str">
        <f>IFERROR(VLOOKUP($A89,[5]库存报告使用数据!$A$1:$D$65536,4,0),"")</f>
        <v/>
      </c>
      <c r="AC89" s="17" t="str">
        <f>IFERROR(VLOOKUP($A89,[5]库存报告使用数据!$A$1:$G$65536,7,0),"")</f>
        <v/>
      </c>
      <c r="AD89" s="17" t="str">
        <f>IFERROR(VLOOKUP($A89,[5]库存报告使用数据!$A$1:$J$65536,10,0),"")</f>
        <v/>
      </c>
      <c r="AE89" s="17" t="str">
        <f>IFERROR(VLOOKUP($A89,[5]库存报告使用数据!$A$1:$M$65536,13,0),"")</f>
        <v/>
      </c>
      <c r="AF89" s="27" t="str">
        <f t="shared" si="32"/>
        <v>有广告无销售广告费为</v>
      </c>
      <c r="AG89" s="27" t="str">
        <f t="shared" si="33"/>
        <v>有广告无销售广告费为</v>
      </c>
      <c r="AH89" s="27" t="str">
        <f t="shared" si="34"/>
        <v>有广告无销售广告费为</v>
      </c>
      <c r="AI89" s="27" t="str">
        <f t="shared" si="35"/>
        <v>有广告无销售广告费为</v>
      </c>
      <c r="AJ89" s="17">
        <f>IFERROR(VLOOKUP($B89,'[3]浏览量处理(勿删)'!$A:$B,2,0),"")</f>
        <v>34</v>
      </c>
      <c r="AK89" s="17">
        <f>IFERROR(VLOOKUP($B89,'[3]浏览量处理(勿删)'!$A:$C,3,0),"")</f>
        <v>0</v>
      </c>
      <c r="AL89" s="17">
        <f>IFERROR(VLOOKUP($B89,'[3]浏览量处理(勿删)'!$A:$D,4,0),"")</f>
        <v>0</v>
      </c>
      <c r="AM89" s="17">
        <f>IFERROR(VLOOKUP($B89,'[3]浏览量处理(勿删)'!$A:$E,5,0),"")</f>
        <v>137</v>
      </c>
      <c r="AN89" s="27">
        <f t="shared" si="24"/>
        <v>0</v>
      </c>
      <c r="AO89" s="27" t="str">
        <f t="shared" si="25"/>
        <v/>
      </c>
      <c r="AP89" s="27" t="str">
        <f t="shared" si="26"/>
        <v/>
      </c>
      <c r="AQ89" s="27">
        <f t="shared" si="27"/>
        <v>0</v>
      </c>
      <c r="AR89" s="32">
        <f t="shared" si="28"/>
        <v>0</v>
      </c>
      <c r="AS89" s="32">
        <f t="shared" si="29"/>
        <v>0</v>
      </c>
      <c r="AT89" s="32">
        <f t="shared" si="30"/>
        <v>0</v>
      </c>
      <c r="AU89" s="18" t="str">
        <f t="shared" si="31"/>
        <v>库存为0</v>
      </c>
      <c r="AV89" s="33" t="str">
        <f>IFERROR(时间!$B$4+AU89,"上周无销量")</f>
        <v>上周无销量</v>
      </c>
    </row>
    <row r="90" spans="1:48">
      <c r="A90" s="16" t="s">
        <v>134</v>
      </c>
      <c r="B90" s="17" t="str">
        <f>VLOOKUP(A90,[1]sku_fnsku_asin_产品名称!$A:$C,3,0)</f>
        <v>B000VEWF2Q</v>
      </c>
      <c r="C90" s="17">
        <f>VLOOKUP(A90,[1]sku_fnsku_asin_产品名称!$A:$D,4,0)</f>
        <v>0</v>
      </c>
      <c r="D90" s="18">
        <f>IFERROR(VLOOKUP(A90,[4]库存报告使用数据处理!$A:$B,2,0),0)</f>
        <v>0</v>
      </c>
      <c r="E90" s="18">
        <f>IFERROR(VLOOKUP(A90,[4]库存报告使用数据处理!$A:$C,3,0),0)</f>
        <v>0</v>
      </c>
      <c r="F90" s="18">
        <f>IFERROR(VLOOKUP(A90,[4]库存报告使用数据处理!$A:$D,4,0),0)</f>
        <v>0</v>
      </c>
      <c r="G90" s="18">
        <f>IFERROR(VLOOKUP(A90,[4]库存报告使用数据处理!$A:$E,5,0),0)</f>
        <v>0</v>
      </c>
      <c r="H90" s="18">
        <f>IFERROR(VLOOKUP(A90,[4]库存报告使用数据处理!$A:$F,6,0),0)</f>
        <v>0</v>
      </c>
      <c r="I90" s="18">
        <f>IFERROR(VLOOKUP($A90,[2]数据处理!$A:$B,2,0),0)</f>
        <v>0</v>
      </c>
      <c r="J90" s="18">
        <f>IFERROR(VLOOKUP($A90,[2]数据处理!$A:$D,4,0),0)</f>
        <v>0</v>
      </c>
      <c r="K90" s="18">
        <f>IFERROR(VLOOKUP($A90,[2]数据处理!$A:$E,5,0),0)</f>
        <v>0</v>
      </c>
      <c r="L90" s="18">
        <f>IFERROR(VLOOKUP($A90,[2]数据处理!$A:$N,7,0),0)</f>
        <v>0</v>
      </c>
      <c r="M90" s="22">
        <f t="shared" si="19"/>
        <v>0</v>
      </c>
      <c r="N90" s="18">
        <f>IFERROR(VLOOKUP($A90,[2]数据处理!$A:$N,3,0),0)</f>
        <v>1</v>
      </c>
      <c r="O90" s="17">
        <f>IFERROR(VLOOKUP($A90,[2]数据处理!$A:$N,14,0),0)</f>
        <v>0</v>
      </c>
      <c r="P90" s="17">
        <f>IFERROR(VLOOKUP($A90,[5]库存报告使用数据!$A$1:$B$65536,2,0),0)</f>
        <v>0</v>
      </c>
      <c r="Q90" s="17">
        <f>IFERROR(VLOOKUP($A90,[5]库存报告使用数据!$A$1:$E$65536,5,0),0)</f>
        <v>0</v>
      </c>
      <c r="R90" s="17">
        <f>IFERROR(VLOOKUP($A90,[5]库存报告使用数据!$A$1:$H$65536,8,0),0)</f>
        <v>0</v>
      </c>
      <c r="S90" s="17">
        <f>IFERROR(VLOOKUP($A90,[5]库存报告使用数据!$A$1:$K$65536,11,0),0)</f>
        <v>0</v>
      </c>
      <c r="T90" s="17" t="str">
        <f>IFERROR(VLOOKUP($A90,[5]库存报告使用数据!$A$1:$C$65536,3,0),"")</f>
        <v/>
      </c>
      <c r="U90" s="17" t="str">
        <f>IFERROR(VLOOKUP($A90,[5]库存报告使用数据!$A$1:$F$65536,6,0),"")</f>
        <v/>
      </c>
      <c r="V90" s="17" t="str">
        <f>IFERROR(VLOOKUP($A90,[5]库存报告使用数据!$A$1:$I$65536,9,0),"")</f>
        <v/>
      </c>
      <c r="W90" s="17" t="str">
        <f>IFERROR(VLOOKUP($A90,[5]库存报告使用数据!$A$1:$L$65536,12,0),"")</f>
        <v/>
      </c>
      <c r="X90" s="27" t="str">
        <f t="shared" si="20"/>
        <v/>
      </c>
      <c r="Y90" s="27" t="str">
        <f t="shared" si="21"/>
        <v/>
      </c>
      <c r="Z90" s="27" t="str">
        <f t="shared" si="22"/>
        <v/>
      </c>
      <c r="AA90" s="27" t="str">
        <f t="shared" si="23"/>
        <v/>
      </c>
      <c r="AB90" s="17" t="str">
        <f>IFERROR(VLOOKUP($A90,[5]库存报告使用数据!$A$1:$D$65536,4,0),"")</f>
        <v/>
      </c>
      <c r="AC90" s="17" t="str">
        <f>IFERROR(VLOOKUP($A90,[5]库存报告使用数据!$A$1:$G$65536,7,0),"")</f>
        <v/>
      </c>
      <c r="AD90" s="17" t="str">
        <f>IFERROR(VLOOKUP($A90,[5]库存报告使用数据!$A$1:$J$65536,10,0),"")</f>
        <v/>
      </c>
      <c r="AE90" s="17" t="str">
        <f>IFERROR(VLOOKUP($A90,[5]库存报告使用数据!$A$1:$M$65536,13,0),"")</f>
        <v/>
      </c>
      <c r="AF90" s="27" t="str">
        <f t="shared" si="32"/>
        <v>有广告无销售广告费为</v>
      </c>
      <c r="AG90" s="27" t="str">
        <f t="shared" si="33"/>
        <v>有广告无销售广告费为</v>
      </c>
      <c r="AH90" s="27" t="str">
        <f t="shared" si="34"/>
        <v>有广告无销售广告费为</v>
      </c>
      <c r="AI90" s="27" t="str">
        <f t="shared" si="35"/>
        <v>有广告无销售广告费为</v>
      </c>
      <c r="AJ90" s="17" t="str">
        <f>IFERROR(VLOOKUP($B90,'[3]浏览量处理(勿删)'!$A:$B,2,0),"")</f>
        <v/>
      </c>
      <c r="AK90" s="17" t="str">
        <f>IFERROR(VLOOKUP($B90,'[3]浏览量处理(勿删)'!$A:$C,3,0),"")</f>
        <v/>
      </c>
      <c r="AL90" s="17" t="str">
        <f>IFERROR(VLOOKUP($B90,'[3]浏览量处理(勿删)'!$A:$D,4,0),"")</f>
        <v/>
      </c>
      <c r="AM90" s="17" t="str">
        <f>IFERROR(VLOOKUP($B90,'[3]浏览量处理(勿删)'!$A:$E,5,0),"")</f>
        <v/>
      </c>
      <c r="AN90" s="27" t="str">
        <f t="shared" si="24"/>
        <v/>
      </c>
      <c r="AO90" s="27" t="str">
        <f t="shared" si="25"/>
        <v/>
      </c>
      <c r="AP90" s="27" t="str">
        <f t="shared" si="26"/>
        <v/>
      </c>
      <c r="AQ90" s="27" t="str">
        <f t="shared" si="27"/>
        <v/>
      </c>
      <c r="AR90" s="32">
        <f t="shared" si="28"/>
        <v>0</v>
      </c>
      <c r="AS90" s="32">
        <f t="shared" si="29"/>
        <v>0</v>
      </c>
      <c r="AT90" s="32">
        <f t="shared" si="30"/>
        <v>0</v>
      </c>
      <c r="AU90" s="18" t="str">
        <f t="shared" si="31"/>
        <v>库存为0</v>
      </c>
      <c r="AV90" s="33" t="str">
        <f>IFERROR(时间!$B$4+AU90,"上周无销量")</f>
        <v>上周无销量</v>
      </c>
    </row>
    <row r="91" spans="1:48">
      <c r="A91" s="16" t="s">
        <v>135</v>
      </c>
      <c r="B91" s="17" t="str">
        <f>VLOOKUP(A91,[1]sku_fnsku_asin_产品名称!$A:$C,3,0)</f>
        <v>B00117F5PG</v>
      </c>
      <c r="C91" s="17" t="str">
        <f>VLOOKUP(A91,[1]sku_fnsku_asin_产品名称!$A:$D,4,0)</f>
        <v>Premier Dead Sea Vitamin Concentrated Facial Serum, Vitamin E and C, 1.7-Fluid Ounce</v>
      </c>
      <c r="D91" s="18">
        <f>IFERROR(VLOOKUP(A91,[4]库存报告使用数据处理!$A:$B,2,0),0)</f>
        <v>0</v>
      </c>
      <c r="E91" s="18">
        <f>IFERROR(VLOOKUP(A91,[4]库存报告使用数据处理!$A:$C,3,0),0)</f>
        <v>0</v>
      </c>
      <c r="F91" s="18">
        <f>IFERROR(VLOOKUP(A91,[4]库存报告使用数据处理!$A:$D,4,0),0)</f>
        <v>0</v>
      </c>
      <c r="G91" s="18">
        <f>IFERROR(VLOOKUP(A91,[4]库存报告使用数据处理!$A:$E,5,0),0)</f>
        <v>0</v>
      </c>
      <c r="H91" s="18">
        <f>IFERROR(VLOOKUP(A91,[4]库存报告使用数据处理!$A:$F,6,0),0)</f>
        <v>0</v>
      </c>
      <c r="I91" s="18">
        <f>IFERROR(VLOOKUP($A91,[2]数据处理!$A:$B,2,0),0)</f>
        <v>0</v>
      </c>
      <c r="J91" s="18">
        <f>IFERROR(VLOOKUP($A91,[2]数据处理!$A:$D,4,0),0)</f>
        <v>0</v>
      </c>
      <c r="K91" s="18">
        <f>IFERROR(VLOOKUP($A91,[2]数据处理!$A:$E,5,0),0)</f>
        <v>0</v>
      </c>
      <c r="L91" s="18">
        <f>IFERROR(VLOOKUP($A91,[2]数据处理!$A:$N,7,0),0)</f>
        <v>0</v>
      </c>
      <c r="M91" s="22">
        <f t="shared" si="19"/>
        <v>0</v>
      </c>
      <c r="N91" s="18">
        <f>IFERROR(VLOOKUP($A91,[2]数据处理!$A:$N,3,0),0)</f>
        <v>0</v>
      </c>
      <c r="O91" s="17">
        <f>IFERROR(VLOOKUP($A91,[2]数据处理!$A:$N,14,0),0)</f>
        <v>0</v>
      </c>
      <c r="P91" s="17">
        <f>IFERROR(VLOOKUP($A91,[5]库存报告使用数据!$A$1:$B$65536,2,0),0)</f>
        <v>0</v>
      </c>
      <c r="Q91" s="17">
        <f>IFERROR(VLOOKUP($A91,[5]库存报告使用数据!$A$1:$E$65536,5,0),0)</f>
        <v>0</v>
      </c>
      <c r="R91" s="17">
        <f>IFERROR(VLOOKUP($A91,[5]库存报告使用数据!$A$1:$H$65536,8,0),0)</f>
        <v>0</v>
      </c>
      <c r="S91" s="17">
        <f>IFERROR(VLOOKUP($A91,[5]库存报告使用数据!$A$1:$K$65536,11,0),0)</f>
        <v>0</v>
      </c>
      <c r="T91" s="17" t="str">
        <f>IFERROR(VLOOKUP($A91,[5]库存报告使用数据!$A$1:$C$65536,3,0),"")</f>
        <v/>
      </c>
      <c r="U91" s="17" t="str">
        <f>IFERROR(VLOOKUP($A91,[5]库存报告使用数据!$A$1:$F$65536,6,0),"")</f>
        <v/>
      </c>
      <c r="V91" s="17" t="str">
        <f>IFERROR(VLOOKUP($A91,[5]库存报告使用数据!$A$1:$I$65536,9,0),"")</f>
        <v/>
      </c>
      <c r="W91" s="17" t="str">
        <f>IFERROR(VLOOKUP($A91,[5]库存报告使用数据!$A$1:$L$65536,12,0),"")</f>
        <v/>
      </c>
      <c r="X91" s="27" t="str">
        <f t="shared" si="20"/>
        <v/>
      </c>
      <c r="Y91" s="27" t="str">
        <f t="shared" si="21"/>
        <v/>
      </c>
      <c r="Z91" s="27" t="str">
        <f t="shared" si="22"/>
        <v/>
      </c>
      <c r="AA91" s="27" t="str">
        <f t="shared" si="23"/>
        <v/>
      </c>
      <c r="AB91" s="17" t="str">
        <f>IFERROR(VLOOKUP($A91,[5]库存报告使用数据!$A$1:$D$65536,4,0),"")</f>
        <v/>
      </c>
      <c r="AC91" s="17" t="str">
        <f>IFERROR(VLOOKUP($A91,[5]库存报告使用数据!$A$1:$G$65536,7,0),"")</f>
        <v/>
      </c>
      <c r="AD91" s="17" t="str">
        <f>IFERROR(VLOOKUP($A91,[5]库存报告使用数据!$A$1:$J$65536,10,0),"")</f>
        <v/>
      </c>
      <c r="AE91" s="17" t="str">
        <f>IFERROR(VLOOKUP($A91,[5]库存报告使用数据!$A$1:$M$65536,13,0),"")</f>
        <v/>
      </c>
      <c r="AF91" s="27" t="str">
        <f t="shared" si="32"/>
        <v>有广告无销售广告费为</v>
      </c>
      <c r="AG91" s="27" t="str">
        <f t="shared" si="33"/>
        <v>有广告无销售广告费为</v>
      </c>
      <c r="AH91" s="27" t="str">
        <f t="shared" si="34"/>
        <v>有广告无销售广告费为</v>
      </c>
      <c r="AI91" s="27" t="str">
        <f t="shared" si="35"/>
        <v>有广告无销售广告费为</v>
      </c>
      <c r="AJ91" s="17">
        <f>IFERROR(VLOOKUP($B91,'[3]浏览量处理(勿删)'!$A:$B,2,0),"")</f>
        <v>129</v>
      </c>
      <c r="AK91" s="17">
        <f>IFERROR(VLOOKUP($B91,'[3]浏览量处理(勿删)'!$A:$C,3,0),"")</f>
        <v>106</v>
      </c>
      <c r="AL91" s="17">
        <f>IFERROR(VLOOKUP($B91,'[3]浏览量处理(勿删)'!$A:$D,4,0),"")</f>
        <v>115</v>
      </c>
      <c r="AM91" s="17">
        <f>IFERROR(VLOOKUP($B91,'[3]浏览量处理(勿删)'!$A:$E,5,0),"")</f>
        <v>414</v>
      </c>
      <c r="AN91" s="27">
        <f t="shared" si="24"/>
        <v>0</v>
      </c>
      <c r="AO91" s="27">
        <f t="shared" si="25"/>
        <v>0</v>
      </c>
      <c r="AP91" s="27">
        <f t="shared" si="26"/>
        <v>0</v>
      </c>
      <c r="AQ91" s="27">
        <f t="shared" si="27"/>
        <v>0</v>
      </c>
      <c r="AR91" s="32">
        <f t="shared" si="28"/>
        <v>0</v>
      </c>
      <c r="AS91" s="32">
        <f t="shared" si="29"/>
        <v>0</v>
      </c>
      <c r="AT91" s="32">
        <f t="shared" si="30"/>
        <v>0</v>
      </c>
      <c r="AU91" s="18" t="str">
        <f t="shared" si="31"/>
        <v>库存为0</v>
      </c>
      <c r="AV91" s="33" t="str">
        <f>IFERROR(时间!$B$4+AU91,"上周无销量")</f>
        <v>上周无销量</v>
      </c>
    </row>
    <row r="92" spans="1:48">
      <c r="A92" s="16" t="s">
        <v>136</v>
      </c>
      <c r="B92" s="17" t="str">
        <f>VLOOKUP(A92,[1]sku_fnsku_asin_产品名称!$A:$C,3,0)</f>
        <v>B004X9BRRO</v>
      </c>
      <c r="C92" s="17">
        <f>VLOOKUP(A92,[1]sku_fnsku_asin_产品名称!$A:$D,4,0)</f>
        <v>0</v>
      </c>
      <c r="D92" s="18">
        <f>IFERROR(VLOOKUP(A92,[4]库存报告使用数据处理!$A:$B,2,0),0)</f>
        <v>0</v>
      </c>
      <c r="E92" s="18">
        <f>IFERROR(VLOOKUP(A92,[4]库存报告使用数据处理!$A:$C,3,0),0)</f>
        <v>0</v>
      </c>
      <c r="F92" s="18">
        <f>IFERROR(VLOOKUP(A92,[4]库存报告使用数据处理!$A:$D,4,0),0)</f>
        <v>0</v>
      </c>
      <c r="G92" s="18">
        <f>IFERROR(VLOOKUP(A92,[4]库存报告使用数据处理!$A:$E,5,0),0)</f>
        <v>0</v>
      </c>
      <c r="H92" s="18">
        <f>IFERROR(VLOOKUP(A92,[4]库存报告使用数据处理!$A:$F,6,0),0)</f>
        <v>0</v>
      </c>
      <c r="I92" s="18">
        <f>IFERROR(VLOOKUP($A92,[2]数据处理!$A:$B,2,0),0)</f>
        <v>0</v>
      </c>
      <c r="J92" s="18">
        <f>IFERROR(VLOOKUP($A92,[2]数据处理!$A:$D,4,0),0)</f>
        <v>0</v>
      </c>
      <c r="K92" s="18">
        <f>IFERROR(VLOOKUP($A92,[2]数据处理!$A:$E,5,0),0)</f>
        <v>0</v>
      </c>
      <c r="L92" s="18">
        <f>IFERROR(VLOOKUP($A92,[2]数据处理!$A:$N,7,0),0)</f>
        <v>0</v>
      </c>
      <c r="M92" s="22">
        <f t="shared" si="19"/>
        <v>0</v>
      </c>
      <c r="N92" s="18">
        <f>IFERROR(VLOOKUP($A92,[2]数据处理!$A:$N,3,0),0)</f>
        <v>0</v>
      </c>
      <c r="O92" s="17">
        <f>IFERROR(VLOOKUP($A92,[2]数据处理!$A:$N,14,0),0)</f>
        <v>0</v>
      </c>
      <c r="P92" s="17">
        <f>IFERROR(VLOOKUP($A92,[5]库存报告使用数据!$A$1:$B$65536,2,0),0)</f>
        <v>0</v>
      </c>
      <c r="Q92" s="17">
        <f>IFERROR(VLOOKUP($A92,[5]库存报告使用数据!$A$1:$E$65536,5,0),0)</f>
        <v>0</v>
      </c>
      <c r="R92" s="17">
        <f>IFERROR(VLOOKUP($A92,[5]库存报告使用数据!$A$1:$H$65536,8,0),0)</f>
        <v>0</v>
      </c>
      <c r="S92" s="17">
        <f>IFERROR(VLOOKUP($A92,[5]库存报告使用数据!$A$1:$K$65536,11,0),0)</f>
        <v>0</v>
      </c>
      <c r="T92" s="17" t="str">
        <f>IFERROR(VLOOKUP($A92,[5]库存报告使用数据!$A$1:$C$65536,3,0),"")</f>
        <v/>
      </c>
      <c r="U92" s="17" t="str">
        <f>IFERROR(VLOOKUP($A92,[5]库存报告使用数据!$A$1:$F$65536,6,0),"")</f>
        <v/>
      </c>
      <c r="V92" s="17" t="str">
        <f>IFERROR(VLOOKUP($A92,[5]库存报告使用数据!$A$1:$I$65536,9,0),"")</f>
        <v/>
      </c>
      <c r="W92" s="17" t="str">
        <f>IFERROR(VLOOKUP($A92,[5]库存报告使用数据!$A$1:$L$65536,12,0),"")</f>
        <v/>
      </c>
      <c r="X92" s="27" t="str">
        <f t="shared" si="20"/>
        <v/>
      </c>
      <c r="Y92" s="27" t="str">
        <f t="shared" si="21"/>
        <v/>
      </c>
      <c r="Z92" s="27" t="str">
        <f t="shared" si="22"/>
        <v/>
      </c>
      <c r="AA92" s="27" t="str">
        <f t="shared" si="23"/>
        <v/>
      </c>
      <c r="AB92" s="17" t="str">
        <f>IFERROR(VLOOKUP($A92,[5]库存报告使用数据!$A$1:$D$65536,4,0),"")</f>
        <v/>
      </c>
      <c r="AC92" s="17" t="str">
        <f>IFERROR(VLOOKUP($A92,[5]库存报告使用数据!$A$1:$G$65536,7,0),"")</f>
        <v/>
      </c>
      <c r="AD92" s="17" t="str">
        <f>IFERROR(VLOOKUP($A92,[5]库存报告使用数据!$A$1:$J$65536,10,0),"")</f>
        <v/>
      </c>
      <c r="AE92" s="17" t="str">
        <f>IFERROR(VLOOKUP($A92,[5]库存报告使用数据!$A$1:$M$65536,13,0),"")</f>
        <v/>
      </c>
      <c r="AF92" s="27" t="str">
        <f t="shared" si="32"/>
        <v>有广告无销售广告费为</v>
      </c>
      <c r="AG92" s="27" t="str">
        <f t="shared" si="33"/>
        <v>有广告无销售广告费为</v>
      </c>
      <c r="AH92" s="27" t="str">
        <f t="shared" si="34"/>
        <v>有广告无销售广告费为</v>
      </c>
      <c r="AI92" s="27" t="str">
        <f t="shared" si="35"/>
        <v>有广告无销售广告费为</v>
      </c>
      <c r="AJ92" s="17" t="str">
        <f>IFERROR(VLOOKUP($B92,'[3]浏览量处理(勿删)'!$A:$B,2,0),"")</f>
        <v/>
      </c>
      <c r="AK92" s="17" t="str">
        <f>IFERROR(VLOOKUP($B92,'[3]浏览量处理(勿删)'!$A:$C,3,0),"")</f>
        <v/>
      </c>
      <c r="AL92" s="17" t="str">
        <f>IFERROR(VLOOKUP($B92,'[3]浏览量处理(勿删)'!$A:$D,4,0),"")</f>
        <v/>
      </c>
      <c r="AM92" s="17" t="str">
        <f>IFERROR(VLOOKUP($B92,'[3]浏览量处理(勿删)'!$A:$E,5,0),"")</f>
        <v/>
      </c>
      <c r="AN92" s="27" t="str">
        <f t="shared" si="24"/>
        <v/>
      </c>
      <c r="AO92" s="27" t="str">
        <f t="shared" si="25"/>
        <v/>
      </c>
      <c r="AP92" s="27" t="str">
        <f t="shared" si="26"/>
        <v/>
      </c>
      <c r="AQ92" s="27" t="str">
        <f t="shared" si="27"/>
        <v/>
      </c>
      <c r="AR92" s="32">
        <f t="shared" si="28"/>
        <v>0</v>
      </c>
      <c r="AS92" s="32">
        <f t="shared" si="29"/>
        <v>0</v>
      </c>
      <c r="AT92" s="32">
        <f t="shared" si="30"/>
        <v>0</v>
      </c>
      <c r="AU92" s="18" t="str">
        <f t="shared" si="31"/>
        <v>库存为0</v>
      </c>
      <c r="AV92" s="33" t="str">
        <f>IFERROR(时间!$B$4+AU92,"上周无销量")</f>
        <v>上周无销量</v>
      </c>
    </row>
    <row r="93" spans="1:48">
      <c r="A93" s="16" t="s">
        <v>137</v>
      </c>
      <c r="B93" s="17" t="str">
        <f>VLOOKUP(A93,[1]sku_fnsku_asin_产品名称!$A:$C,3,0)</f>
        <v>B0761V7L2R</v>
      </c>
      <c r="C93" s="17" t="str">
        <f>VLOOKUP(A93,[1]sku_fnsku_asin_产品名称!$A:$D,4,0)</f>
        <v>ZAIAI Womens Hooded Warm Winter Faux Fur Lined Parkas Anoraks Long Coats Black L</v>
      </c>
      <c r="D93" s="18">
        <f>IFERROR(VLOOKUP(A93,[4]库存报告使用数据处理!$A:$B,2,0),0)</f>
        <v>0</v>
      </c>
      <c r="E93" s="18">
        <f>IFERROR(VLOOKUP(A93,[4]库存报告使用数据处理!$A:$C,3,0),0)</f>
        <v>1</v>
      </c>
      <c r="F93" s="18">
        <f>IFERROR(VLOOKUP(A93,[4]库存报告使用数据处理!$A:$D,4,0),0)</f>
        <v>0</v>
      </c>
      <c r="G93" s="18">
        <f>IFERROR(VLOOKUP(A93,[4]库存报告使用数据处理!$A:$E,5,0),0)</f>
        <v>1</v>
      </c>
      <c r="H93" s="18">
        <f>IFERROR(VLOOKUP(A93,[4]库存报告使用数据处理!$A:$F,6,0),0)</f>
        <v>34.39</v>
      </c>
      <c r="I93" s="18">
        <f>IFERROR(VLOOKUP($A93,[2]数据处理!$A:$B,2,0),0)</f>
        <v>11</v>
      </c>
      <c r="J93" s="18">
        <f>IFERROR(VLOOKUP($A93,[2]数据处理!$A:$D,4,0),0)</f>
        <v>0</v>
      </c>
      <c r="K93" s="18">
        <f>IFERROR(VLOOKUP($A93,[2]数据处理!$A:$E,5,0),0)</f>
        <v>0</v>
      </c>
      <c r="L93" s="18">
        <f>IFERROR(VLOOKUP($A93,[2]数据处理!$A:$N,7,0),0)</f>
        <v>0</v>
      </c>
      <c r="M93" s="22">
        <f t="shared" si="19"/>
        <v>11</v>
      </c>
      <c r="N93" s="18">
        <f>IFERROR(VLOOKUP($A93,[2]数据处理!$A:$N,3,0),0)</f>
        <v>0</v>
      </c>
      <c r="O93" s="17">
        <f>IFERROR(VLOOKUP($A93,[2]数据处理!$A:$N,14,0),0)</f>
        <v>11</v>
      </c>
      <c r="P93" s="17">
        <f>IFERROR(VLOOKUP($A93,[5]库存报告使用数据!$A$1:$B$65536,2,0),0)</f>
        <v>0</v>
      </c>
      <c r="Q93" s="17">
        <f>IFERROR(VLOOKUP($A93,[5]库存报告使用数据!$A$1:$E$65536,5,0),0)</f>
        <v>1284</v>
      </c>
      <c r="R93" s="17">
        <f>IFERROR(VLOOKUP($A93,[5]库存报告使用数据!$A$1:$H$65536,8,0),0)</f>
        <v>761</v>
      </c>
      <c r="S93" s="17">
        <f>IFERROR(VLOOKUP($A93,[5]库存报告使用数据!$A$1:$K$65536,11,0),0)</f>
        <v>605</v>
      </c>
      <c r="T93" s="17">
        <f>IFERROR(VLOOKUP($A93,[5]库存报告使用数据!$A$1:$C$65536,3,0),"")</f>
        <v>0</v>
      </c>
      <c r="U93" s="17">
        <f>IFERROR(VLOOKUP($A93,[5]库存报告使用数据!$A$1:$F$65536,6,0),"")</f>
        <v>2</v>
      </c>
      <c r="V93" s="17">
        <f>IFERROR(VLOOKUP($A93,[5]库存报告使用数据!$A$1:$I$65536,9,0),"")</f>
        <v>1</v>
      </c>
      <c r="W93" s="17">
        <f>IFERROR(VLOOKUP($A93,[5]库存报告使用数据!$A$1:$L$65536,12,0),"")</f>
        <v>2</v>
      </c>
      <c r="X93" s="27" t="str">
        <f t="shared" si="20"/>
        <v/>
      </c>
      <c r="Y93" s="27">
        <f t="shared" si="21"/>
        <v>0.00155763239875389</v>
      </c>
      <c r="Z93" s="27">
        <f t="shared" si="22"/>
        <v>0.00131406044678055</v>
      </c>
      <c r="AA93" s="27">
        <f t="shared" si="23"/>
        <v>0.00330578512396694</v>
      </c>
      <c r="AB93" s="17">
        <f>IFERROR(VLOOKUP($A93,[5]库存报告使用数据!$A$1:$D$65536,4,0),"")</f>
        <v>0</v>
      </c>
      <c r="AC93" s="17">
        <f>IFERROR(VLOOKUP($A93,[5]库存报告使用数据!$A$1:$G$65536,7,0),"")</f>
        <v>0.99</v>
      </c>
      <c r="AD93" s="17">
        <f>IFERROR(VLOOKUP($A93,[5]库存报告使用数据!$A$1:$J$65536,10,0),"")</f>
        <v>0.5</v>
      </c>
      <c r="AE93" s="17">
        <f>IFERROR(VLOOKUP($A93,[5]库存报告使用数据!$A$1:$M$65536,13,0),"")</f>
        <v>1.21</v>
      </c>
      <c r="AF93" s="27" t="str">
        <f t="shared" si="32"/>
        <v/>
      </c>
      <c r="AG93" s="27">
        <f t="shared" si="33"/>
        <v>0.0287874382087816</v>
      </c>
      <c r="AH93" s="27" t="str">
        <f t="shared" si="34"/>
        <v>有广告无销售广告费为0.5</v>
      </c>
      <c r="AI93" s="27">
        <f t="shared" si="35"/>
        <v>0.035184646699622</v>
      </c>
      <c r="AJ93" s="17">
        <f>IFERROR(VLOOKUP($B93,'[3]浏览量处理(勿删)'!$A:$B,2,0),"")</f>
        <v>3</v>
      </c>
      <c r="AK93" s="17">
        <f>IFERROR(VLOOKUP($B93,'[3]浏览量处理(勿删)'!$A:$C,3,0),"")</f>
        <v>8</v>
      </c>
      <c r="AL93" s="17">
        <f>IFERROR(VLOOKUP($B93,'[3]浏览量处理(勿删)'!$A:$D,4,0),"")</f>
        <v>4</v>
      </c>
      <c r="AM93" s="17">
        <f>IFERROR(VLOOKUP($B93,'[3]浏览量处理(勿删)'!$A:$E,5,0),"")</f>
        <v>2</v>
      </c>
      <c r="AN93" s="27">
        <f t="shared" si="24"/>
        <v>0</v>
      </c>
      <c r="AO93" s="27">
        <f t="shared" si="25"/>
        <v>0.125</v>
      </c>
      <c r="AP93" s="27">
        <f t="shared" si="26"/>
        <v>0</v>
      </c>
      <c r="AQ93" s="27">
        <f t="shared" si="27"/>
        <v>0.5</v>
      </c>
      <c r="AR93" s="32">
        <f t="shared" si="28"/>
        <v>0</v>
      </c>
      <c r="AS93" s="32">
        <f t="shared" si="29"/>
        <v>0</v>
      </c>
      <c r="AT93" s="32">
        <f t="shared" si="30"/>
        <v>11</v>
      </c>
      <c r="AU93" s="18" t="str">
        <f t="shared" si="31"/>
        <v>库存为11</v>
      </c>
      <c r="AV93" s="33" t="str">
        <f>IFERROR(时间!$B$4+AU93,"上周无销量")</f>
        <v>上周无销量</v>
      </c>
    </row>
    <row r="94" spans="1:48">
      <c r="A94" s="16" t="s">
        <v>138</v>
      </c>
      <c r="B94" s="17" t="str">
        <f>VLOOKUP(A94,[1]sku_fnsku_asin_产品名称!$A:$C,3,0)</f>
        <v>B0761QBHM9</v>
      </c>
      <c r="C94" s="17" t="str">
        <f>VLOOKUP(A94,[1]sku_fnsku_asin_产品名称!$A:$D,4,0)</f>
        <v>ZAIAI Womens Hooded Warm Winter Faux Fur Lined Parkas Anoraks Long Coats Black M</v>
      </c>
      <c r="D94" s="18">
        <f>IFERROR(VLOOKUP(A94,[4]库存报告使用数据处理!$A:$B,2,0),0)</f>
        <v>0</v>
      </c>
      <c r="E94" s="18">
        <f>IFERROR(VLOOKUP(A94,[4]库存报告使用数据处理!$A:$C,3,0),0)</f>
        <v>0</v>
      </c>
      <c r="F94" s="18">
        <f>IFERROR(VLOOKUP(A94,[4]库存报告使用数据处理!$A:$D,4,0),0)</f>
        <v>0</v>
      </c>
      <c r="G94" s="18">
        <f>IFERROR(VLOOKUP(A94,[4]库存报告使用数据处理!$A:$E,5,0),0)</f>
        <v>0</v>
      </c>
      <c r="H94" s="18">
        <f>IFERROR(VLOOKUP(A94,[4]库存报告使用数据处理!$A:$F,6,0),0)</f>
        <v>0</v>
      </c>
      <c r="I94" s="18">
        <f>IFERROR(VLOOKUP($A94,[2]数据处理!$A:$B,2,0),0)</f>
        <v>12</v>
      </c>
      <c r="J94" s="18">
        <f>IFERROR(VLOOKUP($A94,[2]数据处理!$A:$D,4,0),0)</f>
        <v>0</v>
      </c>
      <c r="K94" s="18">
        <f>IFERROR(VLOOKUP($A94,[2]数据处理!$A:$E,5,0),0)</f>
        <v>0</v>
      </c>
      <c r="L94" s="18">
        <f>IFERROR(VLOOKUP($A94,[2]数据处理!$A:$N,7,0),0)</f>
        <v>0</v>
      </c>
      <c r="M94" s="22">
        <f t="shared" si="19"/>
        <v>12</v>
      </c>
      <c r="N94" s="18">
        <f>IFERROR(VLOOKUP($A94,[2]数据处理!$A:$N,3,0),0)</f>
        <v>0</v>
      </c>
      <c r="O94" s="17">
        <f>IFERROR(VLOOKUP($A94,[2]数据处理!$A:$N,14,0),0)</f>
        <v>12</v>
      </c>
      <c r="P94" s="17">
        <f>IFERROR(VLOOKUP($A94,[5]库存报告使用数据!$A$1:$B$65536,2,0),0)</f>
        <v>0</v>
      </c>
      <c r="Q94" s="17">
        <f>IFERROR(VLOOKUP($A94,[5]库存报告使用数据!$A$1:$E$65536,5,0),0)</f>
        <v>451</v>
      </c>
      <c r="R94" s="17">
        <f>IFERROR(VLOOKUP($A94,[5]库存报告使用数据!$A$1:$H$65536,8,0),0)</f>
        <v>215</v>
      </c>
      <c r="S94" s="17">
        <f>IFERROR(VLOOKUP($A94,[5]库存报告使用数据!$A$1:$K$65536,11,0),0)</f>
        <v>253</v>
      </c>
      <c r="T94" s="17">
        <f>IFERROR(VLOOKUP($A94,[5]库存报告使用数据!$A$1:$C$65536,3,0),"")</f>
        <v>0</v>
      </c>
      <c r="U94" s="17">
        <f>IFERROR(VLOOKUP($A94,[5]库存报告使用数据!$A$1:$F$65536,6,0),"")</f>
        <v>0</v>
      </c>
      <c r="V94" s="17">
        <f>IFERROR(VLOOKUP($A94,[5]库存报告使用数据!$A$1:$I$65536,9,0),"")</f>
        <v>0</v>
      </c>
      <c r="W94" s="17">
        <f>IFERROR(VLOOKUP($A94,[5]库存报告使用数据!$A$1:$L$65536,12,0),"")</f>
        <v>0</v>
      </c>
      <c r="X94" s="27" t="str">
        <f t="shared" si="20"/>
        <v/>
      </c>
      <c r="Y94" s="27">
        <f t="shared" si="21"/>
        <v>0</v>
      </c>
      <c r="Z94" s="27">
        <f t="shared" si="22"/>
        <v>0</v>
      </c>
      <c r="AA94" s="27">
        <f t="shared" si="23"/>
        <v>0</v>
      </c>
      <c r="AB94" s="17">
        <f>IFERROR(VLOOKUP($A94,[5]库存报告使用数据!$A$1:$D$65536,4,0),"")</f>
        <v>0</v>
      </c>
      <c r="AC94" s="17">
        <f>IFERROR(VLOOKUP($A94,[5]库存报告使用数据!$A$1:$G$65536,7,0),"")</f>
        <v>0</v>
      </c>
      <c r="AD94" s="17">
        <f>IFERROR(VLOOKUP($A94,[5]库存报告使用数据!$A$1:$J$65536,10,0),"")</f>
        <v>0</v>
      </c>
      <c r="AE94" s="17">
        <f>IFERROR(VLOOKUP($A94,[5]库存报告使用数据!$A$1:$M$65536,13,0),"")</f>
        <v>0</v>
      </c>
      <c r="AF94" s="27" t="str">
        <f t="shared" si="32"/>
        <v/>
      </c>
      <c r="AG94" s="27" t="str">
        <f t="shared" si="33"/>
        <v/>
      </c>
      <c r="AH94" s="27" t="str">
        <f t="shared" si="34"/>
        <v/>
      </c>
      <c r="AI94" s="27" t="str">
        <f t="shared" si="35"/>
        <v/>
      </c>
      <c r="AJ94" s="17">
        <f>IFERROR(VLOOKUP($B94,'[3]浏览量处理(勿删)'!$A:$B,2,0),"")</f>
        <v>3</v>
      </c>
      <c r="AK94" s="17">
        <f>IFERROR(VLOOKUP($B94,'[3]浏览量处理(勿删)'!$A:$C,3,0),"")</f>
        <v>5</v>
      </c>
      <c r="AL94" s="17">
        <f>IFERROR(VLOOKUP($B94,'[3]浏览量处理(勿删)'!$A:$D,4,0),"")</f>
        <v>6</v>
      </c>
      <c r="AM94" s="17">
        <f>IFERROR(VLOOKUP($B94,'[3]浏览量处理(勿删)'!$A:$E,5,0),"")</f>
        <v>9</v>
      </c>
      <c r="AN94" s="27">
        <f t="shared" si="24"/>
        <v>0</v>
      </c>
      <c r="AO94" s="27">
        <f t="shared" si="25"/>
        <v>0</v>
      </c>
      <c r="AP94" s="27">
        <f t="shared" si="26"/>
        <v>0</v>
      </c>
      <c r="AQ94" s="27">
        <f t="shared" si="27"/>
        <v>0</v>
      </c>
      <c r="AR94" s="32">
        <f t="shared" si="28"/>
        <v>0</v>
      </c>
      <c r="AS94" s="32">
        <f t="shared" si="29"/>
        <v>0</v>
      </c>
      <c r="AT94" s="32">
        <f t="shared" si="30"/>
        <v>12</v>
      </c>
      <c r="AU94" s="18" t="str">
        <f t="shared" si="31"/>
        <v>库存为12</v>
      </c>
      <c r="AV94" s="33" t="str">
        <f>IFERROR(时间!$B$4+AU94,"上周无销量")</f>
        <v>上周无销量</v>
      </c>
    </row>
    <row r="95" spans="1:48">
      <c r="A95" s="16" t="s">
        <v>139</v>
      </c>
      <c r="B95" s="17" t="str">
        <f>VLOOKUP(A95,[1]sku_fnsku_asin_产品名称!$A:$C,3,0)</f>
        <v>B0761S8TXR</v>
      </c>
      <c r="C95" s="17" t="str">
        <f>VLOOKUP(A95,[1]sku_fnsku_asin_产品名称!$A:$D,4,0)</f>
        <v>ZAIAI Womens Hooded Warm Winter Faux Fur Lined Parkas Anoraks Long Coats Black S</v>
      </c>
      <c r="D95" s="18">
        <f>IFERROR(VLOOKUP(A95,[4]库存报告使用数据处理!$A:$B,2,0),0)</f>
        <v>0</v>
      </c>
      <c r="E95" s="18">
        <f>IFERROR(VLOOKUP(A95,[4]库存报告使用数据处理!$A:$C,3,0),0)</f>
        <v>1</v>
      </c>
      <c r="F95" s="18">
        <f>IFERROR(VLOOKUP(A95,[4]库存报告使用数据处理!$A:$D,4,0),0)</f>
        <v>0</v>
      </c>
      <c r="G95" s="18">
        <f>IFERROR(VLOOKUP(A95,[4]库存报告使用数据处理!$A:$E,5,0),0)</f>
        <v>0</v>
      </c>
      <c r="H95" s="18">
        <f>IFERROR(VLOOKUP(A95,[4]库存报告使用数据处理!$A:$F,6,0),0)</f>
        <v>38.8</v>
      </c>
      <c r="I95" s="18">
        <f>IFERROR(VLOOKUP($A95,[2]数据处理!$A:$B,2,0),0)</f>
        <v>14</v>
      </c>
      <c r="J95" s="18">
        <f>IFERROR(VLOOKUP($A95,[2]数据处理!$A:$D,4,0),0)</f>
        <v>0</v>
      </c>
      <c r="K95" s="18">
        <f>IFERROR(VLOOKUP($A95,[2]数据处理!$A:$E,5,0),0)</f>
        <v>0</v>
      </c>
      <c r="L95" s="18">
        <f>IFERROR(VLOOKUP($A95,[2]数据处理!$A:$N,7,0),0)</f>
        <v>0</v>
      </c>
      <c r="M95" s="22">
        <f t="shared" si="19"/>
        <v>14</v>
      </c>
      <c r="N95" s="18">
        <f>IFERROR(VLOOKUP($A95,[2]数据处理!$A:$N,3,0),0)</f>
        <v>0</v>
      </c>
      <c r="O95" s="17">
        <f>IFERROR(VLOOKUP($A95,[2]数据处理!$A:$N,14,0),0)</f>
        <v>14</v>
      </c>
      <c r="P95" s="17">
        <f>IFERROR(VLOOKUP($A95,[5]库存报告使用数据!$A$1:$B$65536,2,0),0)</f>
        <v>0</v>
      </c>
      <c r="Q95" s="17">
        <f>IFERROR(VLOOKUP($A95,[5]库存报告使用数据!$A$1:$E$65536,5,0),0)</f>
        <v>759</v>
      </c>
      <c r="R95" s="17">
        <f>IFERROR(VLOOKUP($A95,[5]库存报告使用数据!$A$1:$H$65536,8,0),0)</f>
        <v>277</v>
      </c>
      <c r="S95" s="17">
        <f>IFERROR(VLOOKUP($A95,[5]库存报告使用数据!$A$1:$K$65536,11,0),0)</f>
        <v>318</v>
      </c>
      <c r="T95" s="17">
        <f>IFERROR(VLOOKUP($A95,[5]库存报告使用数据!$A$1:$C$65536,3,0),"")</f>
        <v>0</v>
      </c>
      <c r="U95" s="17">
        <f>IFERROR(VLOOKUP($A95,[5]库存报告使用数据!$A$1:$F$65536,6,0),"")</f>
        <v>2</v>
      </c>
      <c r="V95" s="17">
        <f>IFERROR(VLOOKUP($A95,[5]库存报告使用数据!$A$1:$I$65536,9,0),"")</f>
        <v>0</v>
      </c>
      <c r="W95" s="17">
        <f>IFERROR(VLOOKUP($A95,[5]库存报告使用数据!$A$1:$L$65536,12,0),"")</f>
        <v>1</v>
      </c>
      <c r="X95" s="27" t="str">
        <f t="shared" si="20"/>
        <v/>
      </c>
      <c r="Y95" s="27">
        <f t="shared" si="21"/>
        <v>0.00263504611330698</v>
      </c>
      <c r="Z95" s="27">
        <f t="shared" si="22"/>
        <v>0</v>
      </c>
      <c r="AA95" s="27">
        <f t="shared" si="23"/>
        <v>0.00314465408805031</v>
      </c>
      <c r="AB95" s="17">
        <f>IFERROR(VLOOKUP($A95,[5]库存报告使用数据!$A$1:$D$65536,4,0),"")</f>
        <v>0</v>
      </c>
      <c r="AC95" s="17">
        <f>IFERROR(VLOOKUP($A95,[5]库存报告使用数据!$A$1:$G$65536,7,0),"")</f>
        <v>1.07</v>
      </c>
      <c r="AD95" s="17">
        <f>IFERROR(VLOOKUP($A95,[5]库存报告使用数据!$A$1:$J$65536,10,0),"")</f>
        <v>0</v>
      </c>
      <c r="AE95" s="17">
        <f>IFERROR(VLOOKUP($A95,[5]库存报告使用数据!$A$1:$M$65536,13,0),"")</f>
        <v>0.52</v>
      </c>
      <c r="AF95" s="27" t="str">
        <f t="shared" si="32"/>
        <v/>
      </c>
      <c r="AG95" s="27">
        <f t="shared" si="33"/>
        <v>0.0275773195876289</v>
      </c>
      <c r="AH95" s="27" t="str">
        <f t="shared" si="34"/>
        <v/>
      </c>
      <c r="AI95" s="27" t="str">
        <f t="shared" si="35"/>
        <v>有广告无销售广告费为0.52</v>
      </c>
      <c r="AJ95" s="17">
        <f>IFERROR(VLOOKUP($B95,'[3]浏览量处理(勿删)'!$A:$B,2,0),"")</f>
        <v>3</v>
      </c>
      <c r="AK95" s="17">
        <f>IFERROR(VLOOKUP($B95,'[3]浏览量处理(勿删)'!$A:$C,3,0),"")</f>
        <v>5</v>
      </c>
      <c r="AL95" s="17">
        <f>IFERROR(VLOOKUP($B95,'[3]浏览量处理(勿删)'!$A:$D,4,0),"")</f>
        <v>4</v>
      </c>
      <c r="AM95" s="17">
        <f>IFERROR(VLOOKUP($B95,'[3]浏览量处理(勿删)'!$A:$E,5,0),"")</f>
        <v>7</v>
      </c>
      <c r="AN95" s="27">
        <f t="shared" si="24"/>
        <v>0</v>
      </c>
      <c r="AO95" s="27">
        <f t="shared" si="25"/>
        <v>0.2</v>
      </c>
      <c r="AP95" s="27">
        <f t="shared" si="26"/>
        <v>0</v>
      </c>
      <c r="AQ95" s="27">
        <f t="shared" si="27"/>
        <v>0</v>
      </c>
      <c r="AR95" s="32">
        <f t="shared" si="28"/>
        <v>0</v>
      </c>
      <c r="AS95" s="32">
        <f t="shared" si="29"/>
        <v>0</v>
      </c>
      <c r="AT95" s="32">
        <f t="shared" si="30"/>
        <v>14</v>
      </c>
      <c r="AU95" s="18" t="str">
        <f t="shared" si="31"/>
        <v>库存为14</v>
      </c>
      <c r="AV95" s="33" t="str">
        <f>IFERROR(时间!$B$4+AU95,"上周无销量")</f>
        <v>上周无销量</v>
      </c>
    </row>
    <row r="96" spans="1:48">
      <c r="A96" s="16" t="s">
        <v>140</v>
      </c>
      <c r="B96" s="17" t="str">
        <f>VLOOKUP(A96,[1]sku_fnsku_asin_产品名称!$A:$C,3,0)</f>
        <v>B0761N3HJ3</v>
      </c>
      <c r="C96" s="17" t="str">
        <f>VLOOKUP(A96,[1]sku_fnsku_asin_产品名称!$A:$D,4,0)</f>
        <v>Womens Hooded Warm Winter Faux Fur Lined Parkas Anoraks Long Coats Black XL</v>
      </c>
      <c r="D96" s="18">
        <f>IFERROR(VLOOKUP(A96,[4]库存报告使用数据处理!$A:$B,2,0),0)</f>
        <v>0</v>
      </c>
      <c r="E96" s="18">
        <f>IFERROR(VLOOKUP(A96,[4]库存报告使用数据处理!$A:$C,3,0),0)</f>
        <v>0</v>
      </c>
      <c r="F96" s="18">
        <f>IFERROR(VLOOKUP(A96,[4]库存报告使用数据处理!$A:$D,4,0),0)</f>
        <v>0</v>
      </c>
      <c r="G96" s="18">
        <f>IFERROR(VLOOKUP(A96,[4]库存报告使用数据处理!$A:$E,5,0),0)</f>
        <v>0</v>
      </c>
      <c r="H96" s="18">
        <f>IFERROR(VLOOKUP(A96,[4]库存报告使用数据处理!$A:$F,6,0),0)</f>
        <v>0</v>
      </c>
      <c r="I96" s="18">
        <f>IFERROR(VLOOKUP($A96,[2]数据处理!$A:$B,2,0),0)</f>
        <v>12</v>
      </c>
      <c r="J96" s="18">
        <f>IFERROR(VLOOKUP($A96,[2]数据处理!$A:$D,4,0),0)</f>
        <v>0</v>
      </c>
      <c r="K96" s="18">
        <f>IFERROR(VLOOKUP($A96,[2]数据处理!$A:$E,5,0),0)</f>
        <v>0</v>
      </c>
      <c r="L96" s="18">
        <f>IFERROR(VLOOKUP($A96,[2]数据处理!$A:$N,7,0),0)</f>
        <v>0</v>
      </c>
      <c r="M96" s="22">
        <f t="shared" si="19"/>
        <v>12</v>
      </c>
      <c r="N96" s="18">
        <f>IFERROR(VLOOKUP($A96,[2]数据处理!$A:$N,3,0),0)</f>
        <v>0</v>
      </c>
      <c r="O96" s="17">
        <f>IFERROR(VLOOKUP($A96,[2]数据处理!$A:$N,14,0),0)</f>
        <v>11</v>
      </c>
      <c r="P96" s="17">
        <f>IFERROR(VLOOKUP($A96,[5]库存报告使用数据!$A$1:$B$65536,2,0),0)</f>
        <v>0</v>
      </c>
      <c r="Q96" s="17">
        <f>IFERROR(VLOOKUP($A96,[5]库存报告使用数据!$A$1:$E$65536,5,0),0)</f>
        <v>1992</v>
      </c>
      <c r="R96" s="17">
        <f>IFERROR(VLOOKUP($A96,[5]库存报告使用数据!$A$1:$H$65536,8,0),0)</f>
        <v>1681</v>
      </c>
      <c r="S96" s="17">
        <f>IFERROR(VLOOKUP($A96,[5]库存报告使用数据!$A$1:$K$65536,11,0),0)</f>
        <v>1279</v>
      </c>
      <c r="T96" s="17">
        <f>IFERROR(VLOOKUP($A96,[5]库存报告使用数据!$A$1:$C$65536,3,0),"")</f>
        <v>0</v>
      </c>
      <c r="U96" s="17">
        <f>IFERROR(VLOOKUP($A96,[5]库存报告使用数据!$A$1:$F$65536,6,0),"")</f>
        <v>3</v>
      </c>
      <c r="V96" s="17">
        <f>IFERROR(VLOOKUP($A96,[5]库存报告使用数据!$A$1:$I$65536,9,0),"")</f>
        <v>3</v>
      </c>
      <c r="W96" s="17">
        <f>IFERROR(VLOOKUP($A96,[5]库存报告使用数据!$A$1:$L$65536,12,0),"")</f>
        <v>6</v>
      </c>
      <c r="X96" s="27" t="str">
        <f t="shared" si="20"/>
        <v/>
      </c>
      <c r="Y96" s="27">
        <f t="shared" si="21"/>
        <v>0.00150602409638554</v>
      </c>
      <c r="Z96" s="27">
        <f t="shared" si="22"/>
        <v>0.00178465199286139</v>
      </c>
      <c r="AA96" s="27">
        <f t="shared" si="23"/>
        <v>0.00469116497263487</v>
      </c>
      <c r="AB96" s="17">
        <f>IFERROR(VLOOKUP($A96,[5]库存报告使用数据!$A$1:$D$65536,4,0),"")</f>
        <v>0</v>
      </c>
      <c r="AC96" s="17">
        <f>IFERROR(VLOOKUP($A96,[5]库存报告使用数据!$A$1:$G$65536,7,0),"")</f>
        <v>1.91</v>
      </c>
      <c r="AD96" s="17">
        <f>IFERROR(VLOOKUP($A96,[5]库存报告使用数据!$A$1:$J$65536,10,0),"")</f>
        <v>1.39</v>
      </c>
      <c r="AE96" s="17">
        <f>IFERROR(VLOOKUP($A96,[5]库存报告使用数据!$A$1:$M$65536,13,0),"")</f>
        <v>2.98</v>
      </c>
      <c r="AF96" s="27" t="str">
        <f t="shared" si="32"/>
        <v/>
      </c>
      <c r="AG96" s="27" t="str">
        <f t="shared" si="33"/>
        <v>有广告无销售广告费为1.91</v>
      </c>
      <c r="AH96" s="27" t="str">
        <f t="shared" si="34"/>
        <v>有广告无销售广告费为1.39</v>
      </c>
      <c r="AI96" s="27" t="str">
        <f t="shared" si="35"/>
        <v>有广告无销售广告费为2.98</v>
      </c>
      <c r="AJ96" s="17">
        <f>IFERROR(VLOOKUP($B96,'[3]浏览量处理(勿删)'!$A:$B,2,0),"")</f>
        <v>3</v>
      </c>
      <c r="AK96" s="17">
        <f>IFERROR(VLOOKUP($B96,'[3]浏览量处理(勿删)'!$A:$C,3,0),"")</f>
        <v>6</v>
      </c>
      <c r="AL96" s="17">
        <f>IFERROR(VLOOKUP($B96,'[3]浏览量处理(勿删)'!$A:$D,4,0),"")</f>
        <v>5</v>
      </c>
      <c r="AM96" s="17">
        <f>IFERROR(VLOOKUP($B96,'[3]浏览量处理(勿删)'!$A:$E,5,0),"")</f>
        <v>13</v>
      </c>
      <c r="AN96" s="27">
        <f t="shared" si="24"/>
        <v>0</v>
      </c>
      <c r="AO96" s="27">
        <f t="shared" si="25"/>
        <v>0</v>
      </c>
      <c r="AP96" s="27">
        <f t="shared" si="26"/>
        <v>0</v>
      </c>
      <c r="AQ96" s="27">
        <f t="shared" si="27"/>
        <v>0</v>
      </c>
      <c r="AR96" s="32">
        <f t="shared" si="28"/>
        <v>0</v>
      </c>
      <c r="AS96" s="32">
        <f t="shared" si="29"/>
        <v>0</v>
      </c>
      <c r="AT96" s="32">
        <f t="shared" si="30"/>
        <v>12</v>
      </c>
      <c r="AU96" s="18" t="str">
        <f t="shared" si="31"/>
        <v>库存为12</v>
      </c>
      <c r="AV96" s="33" t="str">
        <f>IFERROR(时间!$B$4+AU96,"上周无销量")</f>
        <v>上周无销量</v>
      </c>
    </row>
    <row r="97" spans="1:48">
      <c r="A97" s="16" t="s">
        <v>141</v>
      </c>
      <c r="B97" s="17" t="str">
        <f>VLOOKUP(A97,[1]sku_fnsku_asin_产品名称!$A:$C,3,0)</f>
        <v>B0761R93J2</v>
      </c>
      <c r="C97" s="17" t="str">
        <f>VLOOKUP(A97,[1]sku_fnsku_asin_产品名称!$A:$D,4,0)</f>
        <v>ZAIAI Womens Hooded Warm Winter Faux Fur Lined Parkas Anoraks Long Coats Black XXL</v>
      </c>
      <c r="D97" s="18">
        <f>IFERROR(VLOOKUP(A97,[4]库存报告使用数据处理!$A:$B,2,0),0)</f>
        <v>0</v>
      </c>
      <c r="E97" s="18">
        <f>IFERROR(VLOOKUP(A97,[4]库存报告使用数据处理!$A:$C,3,0),0)</f>
        <v>0</v>
      </c>
      <c r="F97" s="18">
        <f>IFERROR(VLOOKUP(A97,[4]库存报告使用数据处理!$A:$D,4,0),0)</f>
        <v>0</v>
      </c>
      <c r="G97" s="18">
        <f>IFERROR(VLOOKUP(A97,[4]库存报告使用数据处理!$A:$E,5,0),0)</f>
        <v>1</v>
      </c>
      <c r="H97" s="18">
        <f>IFERROR(VLOOKUP(A97,[4]库存报告使用数据处理!$A:$F,6,0),0)</f>
        <v>34.39</v>
      </c>
      <c r="I97" s="18">
        <f>IFERROR(VLOOKUP($A97,[2]数据处理!$A:$B,2,0),0)</f>
        <v>14</v>
      </c>
      <c r="J97" s="18">
        <f>IFERROR(VLOOKUP($A97,[2]数据处理!$A:$D,4,0),0)</f>
        <v>0</v>
      </c>
      <c r="K97" s="18">
        <f>IFERROR(VLOOKUP($A97,[2]数据处理!$A:$E,5,0),0)</f>
        <v>0</v>
      </c>
      <c r="L97" s="18">
        <f>IFERROR(VLOOKUP($A97,[2]数据处理!$A:$N,7,0),0)</f>
        <v>0</v>
      </c>
      <c r="M97" s="22">
        <f t="shared" si="19"/>
        <v>14</v>
      </c>
      <c r="N97" s="18">
        <f>IFERROR(VLOOKUP($A97,[2]数据处理!$A:$N,3,0),0)</f>
        <v>0</v>
      </c>
      <c r="O97" s="17">
        <f>IFERROR(VLOOKUP($A97,[2]数据处理!$A:$N,14,0),0)</f>
        <v>12</v>
      </c>
      <c r="P97" s="17">
        <f>IFERROR(VLOOKUP($A97,[5]库存报告使用数据!$A$1:$B$65536,2,0),0)</f>
        <v>0</v>
      </c>
      <c r="Q97" s="17">
        <f>IFERROR(VLOOKUP($A97,[5]库存报告使用数据!$A$1:$E$65536,5,0),0)</f>
        <v>2349</v>
      </c>
      <c r="R97" s="17">
        <f>IFERROR(VLOOKUP($A97,[5]库存报告使用数据!$A$1:$H$65536,8,0),0)</f>
        <v>1198</v>
      </c>
      <c r="S97" s="17">
        <f>IFERROR(VLOOKUP($A97,[5]库存报告使用数据!$A$1:$K$65536,11,0),0)</f>
        <v>1098</v>
      </c>
      <c r="T97" s="17">
        <f>IFERROR(VLOOKUP($A97,[5]库存报告使用数据!$A$1:$C$65536,3,0),"")</f>
        <v>0</v>
      </c>
      <c r="U97" s="17">
        <f>IFERROR(VLOOKUP($A97,[5]库存报告使用数据!$A$1:$F$65536,6,0),"")</f>
        <v>2</v>
      </c>
      <c r="V97" s="17">
        <f>IFERROR(VLOOKUP($A97,[5]库存报告使用数据!$A$1:$I$65536,9,0),"")</f>
        <v>2</v>
      </c>
      <c r="W97" s="17">
        <f>IFERROR(VLOOKUP($A97,[5]库存报告使用数据!$A$1:$L$65536,12,0),"")</f>
        <v>3</v>
      </c>
      <c r="X97" s="27" t="str">
        <f t="shared" si="20"/>
        <v/>
      </c>
      <c r="Y97" s="27">
        <f t="shared" si="21"/>
        <v>0.000851426138782461</v>
      </c>
      <c r="Z97" s="27">
        <f t="shared" si="22"/>
        <v>0.00166944908180301</v>
      </c>
      <c r="AA97" s="27">
        <f t="shared" si="23"/>
        <v>0.00273224043715847</v>
      </c>
      <c r="AB97" s="17">
        <f>IFERROR(VLOOKUP($A97,[5]库存报告使用数据!$A$1:$D$65536,4,0),"")</f>
        <v>0</v>
      </c>
      <c r="AC97" s="17">
        <f>IFERROR(VLOOKUP($A97,[5]库存报告使用数据!$A$1:$G$65536,7,0),"")</f>
        <v>0.93</v>
      </c>
      <c r="AD97" s="17">
        <f>IFERROR(VLOOKUP($A97,[5]库存报告使用数据!$A$1:$J$65536,10,0),"")</f>
        <v>0.53</v>
      </c>
      <c r="AE97" s="17">
        <f>IFERROR(VLOOKUP($A97,[5]库存报告使用数据!$A$1:$M$65536,13,0),"")</f>
        <v>1.79</v>
      </c>
      <c r="AF97" s="27" t="str">
        <f t="shared" si="32"/>
        <v/>
      </c>
      <c r="AG97" s="27" t="str">
        <f t="shared" si="33"/>
        <v>有广告无销售广告费为0.93</v>
      </c>
      <c r="AH97" s="27" t="str">
        <f t="shared" si="34"/>
        <v>有广告无销售广告费为0.53</v>
      </c>
      <c r="AI97" s="27">
        <f t="shared" si="35"/>
        <v>0.0520500145391102</v>
      </c>
      <c r="AJ97" s="17">
        <f>IFERROR(VLOOKUP($B97,'[3]浏览量处理(勿删)'!$A:$B,2,0),"")</f>
        <v>3</v>
      </c>
      <c r="AK97" s="17">
        <f>IFERROR(VLOOKUP($B97,'[3]浏览量处理(勿删)'!$A:$C,3,0),"")</f>
        <v>13</v>
      </c>
      <c r="AL97" s="17">
        <f>IFERROR(VLOOKUP($B97,'[3]浏览量处理(勿删)'!$A:$D,4,0),"")</f>
        <v>9</v>
      </c>
      <c r="AM97" s="17">
        <f>IFERROR(VLOOKUP($B97,'[3]浏览量处理(勿删)'!$A:$E,5,0),"")</f>
        <v>13</v>
      </c>
      <c r="AN97" s="27">
        <f t="shared" si="24"/>
        <v>0</v>
      </c>
      <c r="AO97" s="27">
        <f t="shared" si="25"/>
        <v>0</v>
      </c>
      <c r="AP97" s="27">
        <f t="shared" si="26"/>
        <v>0</v>
      </c>
      <c r="AQ97" s="27">
        <f t="shared" si="27"/>
        <v>0.0769230769230769</v>
      </c>
      <c r="AR97" s="32">
        <f t="shared" si="28"/>
        <v>0</v>
      </c>
      <c r="AS97" s="32">
        <f t="shared" si="29"/>
        <v>0</v>
      </c>
      <c r="AT97" s="32">
        <f t="shared" si="30"/>
        <v>14</v>
      </c>
      <c r="AU97" s="18" t="str">
        <f t="shared" si="31"/>
        <v>库存为14</v>
      </c>
      <c r="AV97" s="33" t="str">
        <f>IFERROR(时间!$B$4+AU97,"上周无销量")</f>
        <v>上周无销量</v>
      </c>
    </row>
    <row r="98" spans="1:48">
      <c r="A98" s="16" t="s">
        <v>142</v>
      </c>
      <c r="B98" s="17" t="str">
        <f>VLOOKUP(A98,[1]sku_fnsku_asin_产品名称!$A:$C,3,0)</f>
        <v>B0761S59N6</v>
      </c>
      <c r="C98" s="17" t="str">
        <f>VLOOKUP(A98,[1]sku_fnsku_asin_产品名称!$A:$D,4,0)</f>
        <v>ZAIAI Womens Wool Jacket Coat Outwear Parka Overcoat Beige L</v>
      </c>
      <c r="D98" s="18">
        <f>IFERROR(VLOOKUP(A98,[4]库存报告使用数据处理!$A:$B,2,0),0)</f>
        <v>0</v>
      </c>
      <c r="E98" s="18">
        <f>IFERROR(VLOOKUP(A98,[4]库存报告使用数据处理!$A:$C,3,0),0)</f>
        <v>0</v>
      </c>
      <c r="F98" s="18">
        <f>IFERROR(VLOOKUP(A98,[4]库存报告使用数据处理!$A:$D,4,0),0)</f>
        <v>0</v>
      </c>
      <c r="G98" s="18">
        <f>IFERROR(VLOOKUP(A98,[4]库存报告使用数据处理!$A:$E,5,0),0)</f>
        <v>1</v>
      </c>
      <c r="H98" s="18">
        <f>IFERROR(VLOOKUP(A98,[4]库存报告使用数据处理!$A:$F,6,0),0)</f>
        <v>42.99</v>
      </c>
      <c r="I98" s="18">
        <f>IFERROR(VLOOKUP($A98,[2]数据处理!$A:$B,2,0),0)</f>
        <v>6</v>
      </c>
      <c r="J98" s="18">
        <f>IFERROR(VLOOKUP($A98,[2]数据处理!$A:$D,4,0),0)</f>
        <v>0</v>
      </c>
      <c r="K98" s="18">
        <f>IFERROR(VLOOKUP($A98,[2]数据处理!$A:$E,5,0),0)</f>
        <v>0</v>
      </c>
      <c r="L98" s="18">
        <f>IFERROR(VLOOKUP($A98,[2]数据处理!$A:$N,7,0),0)</f>
        <v>0</v>
      </c>
      <c r="M98" s="22">
        <f t="shared" si="19"/>
        <v>6</v>
      </c>
      <c r="N98" s="18">
        <f>IFERROR(VLOOKUP($A98,[2]数据处理!$A:$N,3,0),0)</f>
        <v>0</v>
      </c>
      <c r="O98" s="17">
        <f>IFERROR(VLOOKUP($A98,[2]数据处理!$A:$N,14,0),0)</f>
        <v>6</v>
      </c>
      <c r="P98" s="17">
        <f>IFERROR(VLOOKUP($A98,[5]库存报告使用数据!$A$1:$B$65536,2,0),0)</f>
        <v>0</v>
      </c>
      <c r="Q98" s="17">
        <f>IFERROR(VLOOKUP($A98,[5]库存报告使用数据!$A$1:$E$65536,5,0),0)</f>
        <v>922</v>
      </c>
      <c r="R98" s="17">
        <f>IFERROR(VLOOKUP($A98,[5]库存报告使用数据!$A$1:$H$65536,8,0),0)</f>
        <v>471</v>
      </c>
      <c r="S98" s="17">
        <f>IFERROR(VLOOKUP($A98,[5]库存报告使用数据!$A$1:$K$65536,11,0),0)</f>
        <v>672</v>
      </c>
      <c r="T98" s="17">
        <f>IFERROR(VLOOKUP($A98,[5]库存报告使用数据!$A$1:$C$65536,3,0),"")</f>
        <v>0</v>
      </c>
      <c r="U98" s="17">
        <f>IFERROR(VLOOKUP($A98,[5]库存报告使用数据!$A$1:$F$65536,6,0),"")</f>
        <v>4</v>
      </c>
      <c r="V98" s="17">
        <f>IFERROR(VLOOKUP($A98,[5]库存报告使用数据!$A$1:$I$65536,9,0),"")</f>
        <v>1</v>
      </c>
      <c r="W98" s="17">
        <f>IFERROR(VLOOKUP($A98,[5]库存报告使用数据!$A$1:$L$65536,12,0),"")</f>
        <v>0</v>
      </c>
      <c r="X98" s="27" t="str">
        <f t="shared" si="20"/>
        <v/>
      </c>
      <c r="Y98" s="27">
        <f t="shared" si="21"/>
        <v>0.00433839479392625</v>
      </c>
      <c r="Z98" s="27">
        <f t="shared" si="22"/>
        <v>0.00212314225053079</v>
      </c>
      <c r="AA98" s="27">
        <f t="shared" si="23"/>
        <v>0</v>
      </c>
      <c r="AB98" s="17">
        <f>IFERROR(VLOOKUP($A98,[5]库存报告使用数据!$A$1:$D$65536,4,0),"")</f>
        <v>0</v>
      </c>
      <c r="AC98" s="17">
        <f>IFERROR(VLOOKUP($A98,[5]库存报告使用数据!$A$1:$G$65536,7,0),"")</f>
        <v>1.83</v>
      </c>
      <c r="AD98" s="17">
        <f>IFERROR(VLOOKUP($A98,[5]库存报告使用数据!$A$1:$J$65536,10,0),"")</f>
        <v>0.77</v>
      </c>
      <c r="AE98" s="17">
        <f>IFERROR(VLOOKUP($A98,[5]库存报告使用数据!$A$1:$M$65536,13,0),"")</f>
        <v>0</v>
      </c>
      <c r="AF98" s="27" t="str">
        <f t="shared" si="32"/>
        <v/>
      </c>
      <c r="AG98" s="27" t="str">
        <f t="shared" si="33"/>
        <v>有广告无销售广告费为1.83</v>
      </c>
      <c r="AH98" s="27" t="str">
        <f t="shared" si="34"/>
        <v>有广告无销售广告费为0.77</v>
      </c>
      <c r="AI98" s="27">
        <f t="shared" si="35"/>
        <v>0</v>
      </c>
      <c r="AJ98" s="17">
        <f>IFERROR(VLOOKUP($B98,'[3]浏览量处理(勿删)'!$A:$B,2,0),"")</f>
        <v>4</v>
      </c>
      <c r="AK98" s="17">
        <f>IFERROR(VLOOKUP($B98,'[3]浏览量处理(勿删)'!$A:$C,3,0),"")</f>
        <v>6</v>
      </c>
      <c r="AL98" s="17">
        <f>IFERROR(VLOOKUP($B98,'[3]浏览量处理(勿删)'!$A:$D,4,0),"")</f>
        <v>17</v>
      </c>
      <c r="AM98" s="17">
        <f>IFERROR(VLOOKUP($B98,'[3]浏览量处理(勿删)'!$A:$E,5,0),"")</f>
        <v>10</v>
      </c>
      <c r="AN98" s="27">
        <f t="shared" si="24"/>
        <v>0</v>
      </c>
      <c r="AO98" s="27">
        <f t="shared" si="25"/>
        <v>0</v>
      </c>
      <c r="AP98" s="27">
        <f t="shared" si="26"/>
        <v>0</v>
      </c>
      <c r="AQ98" s="27">
        <f t="shared" si="27"/>
        <v>0.1</v>
      </c>
      <c r="AR98" s="32">
        <f t="shared" si="28"/>
        <v>0</v>
      </c>
      <c r="AS98" s="32">
        <f t="shared" si="29"/>
        <v>0</v>
      </c>
      <c r="AT98" s="32">
        <f t="shared" si="30"/>
        <v>6</v>
      </c>
      <c r="AU98" s="18" t="str">
        <f t="shared" si="31"/>
        <v>库存为6</v>
      </c>
      <c r="AV98" s="33" t="str">
        <f>IFERROR(时间!$B$4+AU98,"上周无销量")</f>
        <v>上周无销量</v>
      </c>
    </row>
    <row r="99" spans="1:48">
      <c r="A99" s="16" t="s">
        <v>143</v>
      </c>
      <c r="B99" s="17" t="str">
        <f>VLOOKUP(A99,[1]sku_fnsku_asin_产品名称!$A:$C,3,0)</f>
        <v>B0761NM1NH</v>
      </c>
      <c r="C99" s="17" t="str">
        <f>VLOOKUP(A99,[1]sku_fnsku_asin_产品名称!$A:$D,4,0)</f>
        <v>ZAIAI Womens Wool Jacket Coat Outwear Parka Overcoat Beige M</v>
      </c>
      <c r="D99" s="18">
        <f>IFERROR(VLOOKUP(A99,[4]库存报告使用数据处理!$A:$B,2,0),0)</f>
        <v>0</v>
      </c>
      <c r="E99" s="18">
        <f>IFERROR(VLOOKUP(A99,[4]库存报告使用数据处理!$A:$C,3,0),0)</f>
        <v>0</v>
      </c>
      <c r="F99" s="18">
        <f>IFERROR(VLOOKUP(A99,[4]库存报告使用数据处理!$A:$D,4,0),0)</f>
        <v>0</v>
      </c>
      <c r="G99" s="18">
        <f>IFERROR(VLOOKUP(A99,[4]库存报告使用数据处理!$A:$E,5,0),0)</f>
        <v>0</v>
      </c>
      <c r="H99" s="18">
        <f>IFERROR(VLOOKUP(A99,[4]库存报告使用数据处理!$A:$F,6,0),0)</f>
        <v>0</v>
      </c>
      <c r="I99" s="18">
        <f>IFERROR(VLOOKUP($A99,[2]数据处理!$A:$B,2,0),0)</f>
        <v>8</v>
      </c>
      <c r="J99" s="18">
        <f>IFERROR(VLOOKUP($A99,[2]数据处理!$A:$D,4,0),0)</f>
        <v>0</v>
      </c>
      <c r="K99" s="18">
        <f>IFERROR(VLOOKUP($A99,[2]数据处理!$A:$E,5,0),0)</f>
        <v>0</v>
      </c>
      <c r="L99" s="18">
        <f>IFERROR(VLOOKUP($A99,[2]数据处理!$A:$N,7,0),0)</f>
        <v>0</v>
      </c>
      <c r="M99" s="22">
        <f t="shared" si="19"/>
        <v>8</v>
      </c>
      <c r="N99" s="18">
        <f>IFERROR(VLOOKUP($A99,[2]数据处理!$A:$N,3,0),0)</f>
        <v>0</v>
      </c>
      <c r="O99" s="17">
        <f>IFERROR(VLOOKUP($A99,[2]数据处理!$A:$N,14,0),0)</f>
        <v>7</v>
      </c>
      <c r="P99" s="17">
        <f>IFERROR(VLOOKUP($A99,[5]库存报告使用数据!$A$1:$B$65536,2,0),0)</f>
        <v>0</v>
      </c>
      <c r="Q99" s="17">
        <f>IFERROR(VLOOKUP($A99,[5]库存报告使用数据!$A$1:$E$65536,5,0),0)</f>
        <v>194</v>
      </c>
      <c r="R99" s="17">
        <f>IFERROR(VLOOKUP($A99,[5]库存报告使用数据!$A$1:$H$65536,8,0),0)</f>
        <v>107</v>
      </c>
      <c r="S99" s="17">
        <f>IFERROR(VLOOKUP($A99,[5]库存报告使用数据!$A$1:$K$65536,11,0),0)</f>
        <v>171</v>
      </c>
      <c r="T99" s="17">
        <f>IFERROR(VLOOKUP($A99,[5]库存报告使用数据!$A$1:$C$65536,3,0),"")</f>
        <v>0</v>
      </c>
      <c r="U99" s="17">
        <f>IFERROR(VLOOKUP($A99,[5]库存报告使用数据!$A$1:$F$65536,6,0),"")</f>
        <v>0</v>
      </c>
      <c r="V99" s="17">
        <f>IFERROR(VLOOKUP($A99,[5]库存报告使用数据!$A$1:$I$65536,9,0),"")</f>
        <v>1</v>
      </c>
      <c r="W99" s="17">
        <f>IFERROR(VLOOKUP($A99,[5]库存报告使用数据!$A$1:$L$65536,12,0),"")</f>
        <v>2</v>
      </c>
      <c r="X99" s="27" t="str">
        <f t="shared" si="20"/>
        <v/>
      </c>
      <c r="Y99" s="27">
        <f t="shared" si="21"/>
        <v>0</v>
      </c>
      <c r="Z99" s="27">
        <f t="shared" si="22"/>
        <v>0.00934579439252336</v>
      </c>
      <c r="AA99" s="27">
        <f t="shared" si="23"/>
        <v>0.0116959064327485</v>
      </c>
      <c r="AB99" s="17">
        <f>IFERROR(VLOOKUP($A99,[5]库存报告使用数据!$A$1:$D$65536,4,0),"")</f>
        <v>0</v>
      </c>
      <c r="AC99" s="17">
        <f>IFERROR(VLOOKUP($A99,[5]库存报告使用数据!$A$1:$G$65536,7,0),"")</f>
        <v>0</v>
      </c>
      <c r="AD99" s="17">
        <f>IFERROR(VLOOKUP($A99,[5]库存报告使用数据!$A$1:$J$65536,10,0),"")</f>
        <v>0.64</v>
      </c>
      <c r="AE99" s="17">
        <f>IFERROR(VLOOKUP($A99,[5]库存报告使用数据!$A$1:$M$65536,13,0),"")</f>
        <v>0.97</v>
      </c>
      <c r="AF99" s="27" t="str">
        <f t="shared" si="32"/>
        <v/>
      </c>
      <c r="AG99" s="27" t="str">
        <f t="shared" si="33"/>
        <v/>
      </c>
      <c r="AH99" s="27" t="str">
        <f t="shared" si="34"/>
        <v>有广告无销售广告费为0.64</v>
      </c>
      <c r="AI99" s="27" t="str">
        <f t="shared" si="35"/>
        <v>有广告无销售广告费为0.97</v>
      </c>
      <c r="AJ99" s="17">
        <f>IFERROR(VLOOKUP($B99,'[3]浏览量处理(勿删)'!$A:$B,2,0),"")</f>
        <v>8</v>
      </c>
      <c r="AK99" s="17">
        <f>IFERROR(VLOOKUP($B99,'[3]浏览量处理(勿删)'!$A:$C,3,0),"")</f>
        <v>9</v>
      </c>
      <c r="AL99" s="17">
        <f>IFERROR(VLOOKUP($B99,'[3]浏览量处理(勿删)'!$A:$D,4,0),"")</f>
        <v>6</v>
      </c>
      <c r="AM99" s="17">
        <f>IFERROR(VLOOKUP($B99,'[3]浏览量处理(勿删)'!$A:$E,5,0),"")</f>
        <v>6</v>
      </c>
      <c r="AN99" s="27">
        <f t="shared" si="24"/>
        <v>0</v>
      </c>
      <c r="AO99" s="27">
        <f t="shared" si="25"/>
        <v>0</v>
      </c>
      <c r="AP99" s="27">
        <f t="shared" si="26"/>
        <v>0</v>
      </c>
      <c r="AQ99" s="27">
        <f t="shared" si="27"/>
        <v>0</v>
      </c>
      <c r="AR99" s="32">
        <f t="shared" si="28"/>
        <v>0</v>
      </c>
      <c r="AS99" s="32">
        <f t="shared" si="29"/>
        <v>0</v>
      </c>
      <c r="AT99" s="32">
        <f t="shared" si="30"/>
        <v>8</v>
      </c>
      <c r="AU99" s="18" t="str">
        <f t="shared" si="31"/>
        <v>库存为8</v>
      </c>
      <c r="AV99" s="33" t="str">
        <f>IFERROR(时间!$B$4+AU99,"上周无销量")</f>
        <v>上周无销量</v>
      </c>
    </row>
    <row r="100" spans="1:48">
      <c r="A100" s="16" t="s">
        <v>144</v>
      </c>
      <c r="B100" s="17" t="str">
        <f>VLOOKUP(A100,[1]sku_fnsku_asin_产品名称!$A:$C,3,0)</f>
        <v>B0761Q9VPH</v>
      </c>
      <c r="C100" s="17" t="str">
        <f>VLOOKUP(A100,[1]sku_fnsku_asin_产品名称!$A:$D,4,0)</f>
        <v>ZAIAI Womens Wool Jacket Coat Outwear Parka Overcoat Beige S</v>
      </c>
      <c r="D100" s="18">
        <f>IFERROR(VLOOKUP(A100,[4]库存报告使用数据处理!$A:$B,2,0),0)</f>
        <v>0</v>
      </c>
      <c r="E100" s="18">
        <f>IFERROR(VLOOKUP(A100,[4]库存报告使用数据处理!$A:$C,3,0),0)</f>
        <v>0</v>
      </c>
      <c r="F100" s="18">
        <f>IFERROR(VLOOKUP(A100,[4]库存报告使用数据处理!$A:$D,4,0),0)</f>
        <v>0</v>
      </c>
      <c r="G100" s="18">
        <f>IFERROR(VLOOKUP(A100,[4]库存报告使用数据处理!$A:$E,5,0),0)</f>
        <v>0</v>
      </c>
      <c r="H100" s="18">
        <f>IFERROR(VLOOKUP(A100,[4]库存报告使用数据处理!$A:$F,6,0),0)</f>
        <v>0</v>
      </c>
      <c r="I100" s="18">
        <f>IFERROR(VLOOKUP($A100,[2]数据处理!$A:$B,2,0),0)</f>
        <v>7</v>
      </c>
      <c r="J100" s="18">
        <f>IFERROR(VLOOKUP($A100,[2]数据处理!$A:$D,4,0),0)</f>
        <v>0</v>
      </c>
      <c r="K100" s="18">
        <f>IFERROR(VLOOKUP($A100,[2]数据处理!$A:$E,5,0),0)</f>
        <v>0</v>
      </c>
      <c r="L100" s="18">
        <f>IFERROR(VLOOKUP($A100,[2]数据处理!$A:$N,7,0),0)</f>
        <v>0</v>
      </c>
      <c r="M100" s="22">
        <f t="shared" si="19"/>
        <v>7</v>
      </c>
      <c r="N100" s="18">
        <f>IFERROR(VLOOKUP($A100,[2]数据处理!$A:$N,3,0),0)</f>
        <v>0</v>
      </c>
      <c r="O100" s="17">
        <f>IFERROR(VLOOKUP($A100,[2]数据处理!$A:$N,14,0),0)</f>
        <v>7</v>
      </c>
      <c r="P100" s="17">
        <f>IFERROR(VLOOKUP($A100,[5]库存报告使用数据!$A$1:$B$65536,2,0),0)</f>
        <v>0</v>
      </c>
      <c r="Q100" s="17">
        <f>IFERROR(VLOOKUP($A100,[5]库存报告使用数据!$A$1:$E$65536,5,0),0)</f>
        <v>913</v>
      </c>
      <c r="R100" s="17">
        <f>IFERROR(VLOOKUP($A100,[5]库存报告使用数据!$A$1:$H$65536,8,0),0)</f>
        <v>249</v>
      </c>
      <c r="S100" s="17">
        <f>IFERROR(VLOOKUP($A100,[5]库存报告使用数据!$A$1:$K$65536,11,0),0)</f>
        <v>135</v>
      </c>
      <c r="T100" s="17">
        <f>IFERROR(VLOOKUP($A100,[5]库存报告使用数据!$A$1:$C$65536,3,0),"")</f>
        <v>0</v>
      </c>
      <c r="U100" s="17">
        <f>IFERROR(VLOOKUP($A100,[5]库存报告使用数据!$A$1:$F$65536,6,0),"")</f>
        <v>3</v>
      </c>
      <c r="V100" s="17">
        <f>IFERROR(VLOOKUP($A100,[5]库存报告使用数据!$A$1:$I$65536,9,0),"")</f>
        <v>1</v>
      </c>
      <c r="W100" s="17">
        <f>IFERROR(VLOOKUP($A100,[5]库存报告使用数据!$A$1:$L$65536,12,0),"")</f>
        <v>1</v>
      </c>
      <c r="X100" s="27" t="str">
        <f t="shared" si="20"/>
        <v/>
      </c>
      <c r="Y100" s="27">
        <f t="shared" si="21"/>
        <v>0.00328587075575027</v>
      </c>
      <c r="Z100" s="27">
        <f t="shared" si="22"/>
        <v>0.00401606425702811</v>
      </c>
      <c r="AA100" s="27">
        <f t="shared" si="23"/>
        <v>0.00740740740740741</v>
      </c>
      <c r="AB100" s="17">
        <f>IFERROR(VLOOKUP($A100,[5]库存报告使用数据!$A$1:$D$65536,4,0),"")</f>
        <v>0</v>
      </c>
      <c r="AC100" s="17">
        <f>IFERROR(VLOOKUP($A100,[5]库存报告使用数据!$A$1:$G$65536,7,0),"")</f>
        <v>1.22</v>
      </c>
      <c r="AD100" s="17">
        <f>IFERROR(VLOOKUP($A100,[5]库存报告使用数据!$A$1:$J$65536,10,0),"")</f>
        <v>0.25</v>
      </c>
      <c r="AE100" s="17">
        <f>IFERROR(VLOOKUP($A100,[5]库存报告使用数据!$A$1:$M$65536,13,0),"")</f>
        <v>0.55</v>
      </c>
      <c r="AF100" s="27" t="str">
        <f t="shared" si="32"/>
        <v/>
      </c>
      <c r="AG100" s="27" t="str">
        <f t="shared" si="33"/>
        <v>有广告无销售广告费为1.22</v>
      </c>
      <c r="AH100" s="27" t="str">
        <f t="shared" si="34"/>
        <v>有广告无销售广告费为0.25</v>
      </c>
      <c r="AI100" s="27" t="str">
        <f t="shared" si="35"/>
        <v>有广告无销售广告费为0.55</v>
      </c>
      <c r="AJ100" s="17">
        <f>IFERROR(VLOOKUP($B100,'[3]浏览量处理(勿删)'!$A:$B,2,0),"")</f>
        <v>9</v>
      </c>
      <c r="AK100" s="17">
        <f>IFERROR(VLOOKUP($B100,'[3]浏览量处理(勿删)'!$A:$C,3,0),"")</f>
        <v>15</v>
      </c>
      <c r="AL100" s="17">
        <f>IFERROR(VLOOKUP($B100,'[3]浏览量处理(勿删)'!$A:$D,4,0),"")</f>
        <v>5</v>
      </c>
      <c r="AM100" s="17">
        <f>IFERROR(VLOOKUP($B100,'[3]浏览量处理(勿删)'!$A:$E,5,0),"")</f>
        <v>20</v>
      </c>
      <c r="AN100" s="27">
        <f t="shared" si="24"/>
        <v>0</v>
      </c>
      <c r="AO100" s="27">
        <f t="shared" si="25"/>
        <v>0</v>
      </c>
      <c r="AP100" s="27">
        <f t="shared" si="26"/>
        <v>0</v>
      </c>
      <c r="AQ100" s="27">
        <f t="shared" si="27"/>
        <v>0</v>
      </c>
      <c r="AR100" s="32">
        <f t="shared" si="28"/>
        <v>0</v>
      </c>
      <c r="AS100" s="32">
        <f t="shared" si="29"/>
        <v>0</v>
      </c>
      <c r="AT100" s="32">
        <f t="shared" si="30"/>
        <v>7</v>
      </c>
      <c r="AU100" s="18" t="str">
        <f t="shared" si="31"/>
        <v>库存为7</v>
      </c>
      <c r="AV100" s="33" t="str">
        <f>IFERROR(时间!$B$4+AU100,"上周无销量")</f>
        <v>上周无销量</v>
      </c>
    </row>
    <row r="101" spans="1:48">
      <c r="A101" s="16" t="s">
        <v>145</v>
      </c>
      <c r="B101" s="17" t="str">
        <f>VLOOKUP(A101,[1]sku_fnsku_asin_产品名称!$A:$C,3,0)</f>
        <v>B0761Q7KPX</v>
      </c>
      <c r="C101" s="17" t="str">
        <f>VLOOKUP(A101,[1]sku_fnsku_asin_产品名称!$A:$D,4,0)</f>
        <v>ZAIAI Womens Wool Jacket Coat Outwear Parka Overcoat Beige XL</v>
      </c>
      <c r="D101" s="18">
        <f>IFERROR(VLOOKUP(A101,[4]库存报告使用数据处理!$A:$B,2,0),0)</f>
        <v>0</v>
      </c>
      <c r="E101" s="18">
        <f>IFERROR(VLOOKUP(A101,[4]库存报告使用数据处理!$A:$C,3,0),0)</f>
        <v>0</v>
      </c>
      <c r="F101" s="18">
        <f>IFERROR(VLOOKUP(A101,[4]库存报告使用数据处理!$A:$D,4,0),0)</f>
        <v>0</v>
      </c>
      <c r="G101" s="18">
        <f>IFERROR(VLOOKUP(A101,[4]库存报告使用数据处理!$A:$E,5,0),0)</f>
        <v>0</v>
      </c>
      <c r="H101" s="18">
        <f>IFERROR(VLOOKUP(A101,[4]库存报告使用数据处理!$A:$F,6,0),0)</f>
        <v>0</v>
      </c>
      <c r="I101" s="18">
        <f>IFERROR(VLOOKUP($A101,[2]数据处理!$A:$B,2,0),0)</f>
        <v>7</v>
      </c>
      <c r="J101" s="18">
        <f>IFERROR(VLOOKUP($A101,[2]数据处理!$A:$D,4,0),0)</f>
        <v>0</v>
      </c>
      <c r="K101" s="18">
        <f>IFERROR(VLOOKUP($A101,[2]数据处理!$A:$E,5,0),0)</f>
        <v>0</v>
      </c>
      <c r="L101" s="18">
        <f>IFERROR(VLOOKUP($A101,[2]数据处理!$A:$N,7,0),0)</f>
        <v>0</v>
      </c>
      <c r="M101" s="22">
        <f t="shared" si="19"/>
        <v>7</v>
      </c>
      <c r="N101" s="18">
        <f>IFERROR(VLOOKUP($A101,[2]数据处理!$A:$N,3,0),0)</f>
        <v>0</v>
      </c>
      <c r="O101" s="17">
        <f>IFERROR(VLOOKUP($A101,[2]数据处理!$A:$N,14,0),0)</f>
        <v>7</v>
      </c>
      <c r="P101" s="17">
        <f>IFERROR(VLOOKUP($A101,[5]库存报告使用数据!$A$1:$B$65536,2,0),0)</f>
        <v>0</v>
      </c>
      <c r="Q101" s="17">
        <f>IFERROR(VLOOKUP($A101,[5]库存报告使用数据!$A$1:$E$65536,5,0),0)</f>
        <v>2747</v>
      </c>
      <c r="R101" s="17">
        <f>IFERROR(VLOOKUP($A101,[5]库存报告使用数据!$A$1:$H$65536,8,0),0)</f>
        <v>1712</v>
      </c>
      <c r="S101" s="17">
        <f>IFERROR(VLOOKUP($A101,[5]库存报告使用数据!$A$1:$K$65536,11,0),0)</f>
        <v>1294</v>
      </c>
      <c r="T101" s="17">
        <f>IFERROR(VLOOKUP($A101,[5]库存报告使用数据!$A$1:$C$65536,3,0),"")</f>
        <v>0</v>
      </c>
      <c r="U101" s="17">
        <f>IFERROR(VLOOKUP($A101,[5]库存报告使用数据!$A$1:$F$65536,6,0),"")</f>
        <v>8</v>
      </c>
      <c r="V101" s="17">
        <f>IFERROR(VLOOKUP($A101,[5]库存报告使用数据!$A$1:$I$65536,9,0),"")</f>
        <v>3</v>
      </c>
      <c r="W101" s="17">
        <f>IFERROR(VLOOKUP($A101,[5]库存报告使用数据!$A$1:$L$65536,12,0),"")</f>
        <v>3</v>
      </c>
      <c r="X101" s="27" t="str">
        <f t="shared" si="20"/>
        <v/>
      </c>
      <c r="Y101" s="27">
        <f t="shared" si="21"/>
        <v>0.00291226792864944</v>
      </c>
      <c r="Z101" s="27">
        <f t="shared" si="22"/>
        <v>0.00175233644859813</v>
      </c>
      <c r="AA101" s="27">
        <f t="shared" si="23"/>
        <v>0.00231839258114374</v>
      </c>
      <c r="AB101" s="17">
        <f>IFERROR(VLOOKUP($A101,[5]库存报告使用数据!$A$1:$D$65536,4,0),"")</f>
        <v>0</v>
      </c>
      <c r="AC101" s="17">
        <f>IFERROR(VLOOKUP($A101,[5]库存报告使用数据!$A$1:$G$65536,7,0),"")</f>
        <v>3.61</v>
      </c>
      <c r="AD101" s="17">
        <f>IFERROR(VLOOKUP($A101,[5]库存报告使用数据!$A$1:$J$65536,10,0),"")</f>
        <v>0.99</v>
      </c>
      <c r="AE101" s="17">
        <f>IFERROR(VLOOKUP($A101,[5]库存报告使用数据!$A$1:$M$65536,13,0),"")</f>
        <v>0.98</v>
      </c>
      <c r="AF101" s="27" t="str">
        <f t="shared" si="32"/>
        <v/>
      </c>
      <c r="AG101" s="27" t="str">
        <f t="shared" si="33"/>
        <v>有广告无销售广告费为3.61</v>
      </c>
      <c r="AH101" s="27" t="str">
        <f t="shared" si="34"/>
        <v>有广告无销售广告费为0.99</v>
      </c>
      <c r="AI101" s="27" t="str">
        <f t="shared" si="35"/>
        <v>有广告无销售广告费为0.98</v>
      </c>
      <c r="AJ101" s="17">
        <f>IFERROR(VLOOKUP($B101,'[3]浏览量处理(勿删)'!$A:$B,2,0),"")</f>
        <v>5</v>
      </c>
      <c r="AK101" s="17">
        <f>IFERROR(VLOOKUP($B101,'[3]浏览量处理(勿删)'!$A:$C,3,0),"")</f>
        <v>7</v>
      </c>
      <c r="AL101" s="17">
        <f>IFERROR(VLOOKUP($B101,'[3]浏览量处理(勿删)'!$A:$D,4,0),"")</f>
        <v>10</v>
      </c>
      <c r="AM101" s="17">
        <f>IFERROR(VLOOKUP($B101,'[3]浏览量处理(勿删)'!$A:$E,5,0),"")</f>
        <v>12</v>
      </c>
      <c r="AN101" s="27">
        <f t="shared" si="24"/>
        <v>0</v>
      </c>
      <c r="AO101" s="27">
        <f t="shared" si="25"/>
        <v>0</v>
      </c>
      <c r="AP101" s="27">
        <f t="shared" si="26"/>
        <v>0</v>
      </c>
      <c r="AQ101" s="27">
        <f t="shared" si="27"/>
        <v>0</v>
      </c>
      <c r="AR101" s="32">
        <f t="shared" si="28"/>
        <v>0</v>
      </c>
      <c r="AS101" s="32">
        <f t="shared" si="29"/>
        <v>0</v>
      </c>
      <c r="AT101" s="32">
        <f t="shared" si="30"/>
        <v>7</v>
      </c>
      <c r="AU101" s="18" t="str">
        <f t="shared" si="31"/>
        <v>库存为7</v>
      </c>
      <c r="AV101" s="33" t="str">
        <f>IFERROR(时间!$B$4+AU101,"上周无销量")</f>
        <v>上周无销量</v>
      </c>
    </row>
    <row r="102" spans="1:48">
      <c r="A102" s="16" t="s">
        <v>146</v>
      </c>
      <c r="B102" s="17" t="str">
        <f>VLOOKUP(A102,[1]sku_fnsku_asin_产品名称!$A:$C,3,0)</f>
        <v>B0761QW2JK</v>
      </c>
      <c r="C102" s="17" t="str">
        <f>VLOOKUP(A102,[1]sku_fnsku_asin_产品名称!$A:$D,4,0)</f>
        <v>ZAIAI Womens Wool Jacket Coat Outwear Parka Overcoat Beige XXL</v>
      </c>
      <c r="D102" s="18">
        <f>IFERROR(VLOOKUP(A102,[4]库存报告使用数据处理!$A:$B,2,0),0)</f>
        <v>0</v>
      </c>
      <c r="E102" s="18">
        <f>IFERROR(VLOOKUP(A102,[4]库存报告使用数据处理!$A:$C,3,0),0)</f>
        <v>0</v>
      </c>
      <c r="F102" s="18">
        <f>IFERROR(VLOOKUP(A102,[4]库存报告使用数据处理!$A:$D,4,0),0)</f>
        <v>0</v>
      </c>
      <c r="G102" s="18">
        <f>IFERROR(VLOOKUP(A102,[4]库存报告使用数据处理!$A:$E,5,0),0)</f>
        <v>0</v>
      </c>
      <c r="H102" s="18">
        <f>IFERROR(VLOOKUP(A102,[4]库存报告使用数据处理!$A:$F,6,0),0)</f>
        <v>0</v>
      </c>
      <c r="I102" s="18">
        <f>IFERROR(VLOOKUP($A102,[2]数据处理!$A:$B,2,0),0)</f>
        <v>7</v>
      </c>
      <c r="J102" s="18">
        <f>IFERROR(VLOOKUP($A102,[2]数据处理!$A:$D,4,0),0)</f>
        <v>0</v>
      </c>
      <c r="K102" s="18">
        <f>IFERROR(VLOOKUP($A102,[2]数据处理!$A:$E,5,0),0)</f>
        <v>0</v>
      </c>
      <c r="L102" s="18">
        <f>IFERROR(VLOOKUP($A102,[2]数据处理!$A:$N,7,0),0)</f>
        <v>0</v>
      </c>
      <c r="M102" s="22">
        <f t="shared" si="19"/>
        <v>7</v>
      </c>
      <c r="N102" s="18">
        <f>IFERROR(VLOOKUP($A102,[2]数据处理!$A:$N,3,0),0)</f>
        <v>0</v>
      </c>
      <c r="O102" s="17">
        <f>IFERROR(VLOOKUP($A102,[2]数据处理!$A:$N,14,0),0)</f>
        <v>7</v>
      </c>
      <c r="P102" s="17">
        <f>IFERROR(VLOOKUP($A102,[5]库存报告使用数据!$A$1:$B$65536,2,0),0)</f>
        <v>0</v>
      </c>
      <c r="Q102" s="17">
        <f>IFERROR(VLOOKUP($A102,[5]库存报告使用数据!$A$1:$E$65536,5,0),0)</f>
        <v>1129</v>
      </c>
      <c r="R102" s="17">
        <f>IFERROR(VLOOKUP($A102,[5]库存报告使用数据!$A$1:$H$65536,8,0),0)</f>
        <v>643</v>
      </c>
      <c r="S102" s="17">
        <f>IFERROR(VLOOKUP($A102,[5]库存报告使用数据!$A$1:$K$65536,11,0),0)</f>
        <v>483</v>
      </c>
      <c r="T102" s="17">
        <f>IFERROR(VLOOKUP($A102,[5]库存报告使用数据!$A$1:$C$65536,3,0),"")</f>
        <v>0</v>
      </c>
      <c r="U102" s="17">
        <f>IFERROR(VLOOKUP($A102,[5]库存报告使用数据!$A$1:$F$65536,6,0),"")</f>
        <v>3</v>
      </c>
      <c r="V102" s="17">
        <f>IFERROR(VLOOKUP($A102,[5]库存报告使用数据!$A$1:$I$65536,9,0),"")</f>
        <v>2</v>
      </c>
      <c r="W102" s="17">
        <f>IFERROR(VLOOKUP($A102,[5]库存报告使用数据!$A$1:$L$65536,12,0),"")</f>
        <v>1</v>
      </c>
      <c r="X102" s="27" t="str">
        <f t="shared" si="20"/>
        <v/>
      </c>
      <c r="Y102" s="27">
        <f t="shared" si="21"/>
        <v>0.00265721877767936</v>
      </c>
      <c r="Z102" s="27">
        <f t="shared" si="22"/>
        <v>0.0031104199066874</v>
      </c>
      <c r="AA102" s="27">
        <f t="shared" si="23"/>
        <v>0.0020703933747412</v>
      </c>
      <c r="AB102" s="17">
        <f>IFERROR(VLOOKUP($A102,[5]库存报告使用数据!$A$1:$D$65536,4,0),"")</f>
        <v>0</v>
      </c>
      <c r="AC102" s="17">
        <f>IFERROR(VLOOKUP($A102,[5]库存报告使用数据!$A$1:$G$65536,7,0),"")</f>
        <v>1.5</v>
      </c>
      <c r="AD102" s="17">
        <f>IFERROR(VLOOKUP($A102,[5]库存报告使用数据!$A$1:$J$65536,10,0),"")</f>
        <v>1.26</v>
      </c>
      <c r="AE102" s="17">
        <f>IFERROR(VLOOKUP($A102,[5]库存报告使用数据!$A$1:$M$65536,13,0),"")</f>
        <v>0.37</v>
      </c>
      <c r="AF102" s="27" t="str">
        <f t="shared" si="32"/>
        <v/>
      </c>
      <c r="AG102" s="27" t="str">
        <f t="shared" si="33"/>
        <v>有广告无销售广告费为1.5</v>
      </c>
      <c r="AH102" s="27" t="str">
        <f t="shared" si="34"/>
        <v>有广告无销售广告费为1.26</v>
      </c>
      <c r="AI102" s="27" t="str">
        <f t="shared" si="35"/>
        <v>有广告无销售广告费为0.37</v>
      </c>
      <c r="AJ102" s="17">
        <f>IFERROR(VLOOKUP($B102,'[3]浏览量处理(勿删)'!$A:$B,2,0),"")</f>
        <v>7</v>
      </c>
      <c r="AK102" s="17">
        <f>IFERROR(VLOOKUP($B102,'[3]浏览量处理(勿删)'!$A:$C,3,0),"")</f>
        <v>12</v>
      </c>
      <c r="AL102" s="17">
        <f>IFERROR(VLOOKUP($B102,'[3]浏览量处理(勿删)'!$A:$D,4,0),"")</f>
        <v>4</v>
      </c>
      <c r="AM102" s="17">
        <f>IFERROR(VLOOKUP($B102,'[3]浏览量处理(勿删)'!$A:$E,5,0),"")</f>
        <v>11</v>
      </c>
      <c r="AN102" s="27">
        <f t="shared" si="24"/>
        <v>0</v>
      </c>
      <c r="AO102" s="27">
        <f t="shared" si="25"/>
        <v>0</v>
      </c>
      <c r="AP102" s="27">
        <f t="shared" si="26"/>
        <v>0</v>
      </c>
      <c r="AQ102" s="27">
        <f t="shared" si="27"/>
        <v>0</v>
      </c>
      <c r="AR102" s="32">
        <f t="shared" si="28"/>
        <v>0</v>
      </c>
      <c r="AS102" s="32">
        <f t="shared" si="29"/>
        <v>0</v>
      </c>
      <c r="AT102" s="32">
        <f t="shared" si="30"/>
        <v>7</v>
      </c>
      <c r="AU102" s="18" t="str">
        <f t="shared" si="31"/>
        <v>库存为7</v>
      </c>
      <c r="AV102" s="33" t="str">
        <f>IFERROR(时间!$B$4+AU102,"上周无销量")</f>
        <v>上周无销量</v>
      </c>
    </row>
    <row r="103" spans="1:48">
      <c r="A103" s="16" t="s">
        <v>147</v>
      </c>
      <c r="B103" s="17" t="str">
        <f>VLOOKUP(A103,[1]sku_fnsku_asin_产品名称!$A:$C,3,0)</f>
        <v>B0761PXTK8</v>
      </c>
      <c r="C103" s="17" t="str">
        <f>VLOOKUP(A103,[1]sku_fnsku_asin_产品名称!$A:$D,4,0)</f>
        <v>ZAIAI Womens Hooded Warm Coats Parkas With Fax Fur Jackets Navy L</v>
      </c>
      <c r="D103" s="18">
        <f>IFERROR(VLOOKUP(A103,[4]库存报告使用数据处理!$A:$B,2,0),0)</f>
        <v>0</v>
      </c>
      <c r="E103" s="18">
        <f>IFERROR(VLOOKUP(A103,[4]库存报告使用数据处理!$A:$C,3,0),0)</f>
        <v>0</v>
      </c>
      <c r="F103" s="18">
        <f>IFERROR(VLOOKUP(A103,[4]库存报告使用数据处理!$A:$D,4,0),0)</f>
        <v>1</v>
      </c>
      <c r="G103" s="18">
        <f>IFERROR(VLOOKUP(A103,[4]库存报告使用数据处理!$A:$E,5,0),0)</f>
        <v>0</v>
      </c>
      <c r="H103" s="18">
        <f>IFERROR(VLOOKUP(A103,[4]库存报告使用数据处理!$A:$F,6,0),0)</f>
        <v>42.49</v>
      </c>
      <c r="I103" s="18">
        <f>IFERROR(VLOOKUP($A103,[2]数据处理!$A:$B,2,0),0)</f>
        <v>0</v>
      </c>
      <c r="J103" s="18">
        <f>IFERROR(VLOOKUP($A103,[2]数据处理!$A:$D,4,0),0)</f>
        <v>0</v>
      </c>
      <c r="K103" s="18">
        <f>IFERROR(VLOOKUP($A103,[2]数据处理!$A:$E,5,0),0)</f>
        <v>0</v>
      </c>
      <c r="L103" s="18">
        <f>IFERROR(VLOOKUP($A103,[2]数据处理!$A:$N,7,0),0)</f>
        <v>0</v>
      </c>
      <c r="M103" s="22">
        <f t="shared" si="19"/>
        <v>0</v>
      </c>
      <c r="N103" s="18">
        <f>IFERROR(VLOOKUP($A103,[2]数据处理!$A:$N,3,0),0)</f>
        <v>0</v>
      </c>
      <c r="O103" s="17">
        <f>IFERROR(VLOOKUP($A103,[2]数据处理!$A:$N,14,0),0)</f>
        <v>0</v>
      </c>
      <c r="P103" s="17">
        <f>IFERROR(VLOOKUP($A103,[5]库存报告使用数据!$A$1:$B$65536,2,0),0)</f>
        <v>0</v>
      </c>
      <c r="Q103" s="17">
        <f>IFERROR(VLOOKUP($A103,[5]库存报告使用数据!$A$1:$E$65536,5,0),0)</f>
        <v>0</v>
      </c>
      <c r="R103" s="17">
        <f>IFERROR(VLOOKUP($A103,[5]库存报告使用数据!$A$1:$H$65536,8,0),0)</f>
        <v>6636</v>
      </c>
      <c r="S103" s="17">
        <f>IFERROR(VLOOKUP($A103,[5]库存报告使用数据!$A$1:$K$65536,11,0),0)</f>
        <v>5463</v>
      </c>
      <c r="T103" s="17">
        <f>IFERROR(VLOOKUP($A103,[5]库存报告使用数据!$A$1:$C$65536,3,0),"")</f>
        <v>0</v>
      </c>
      <c r="U103" s="17">
        <f>IFERROR(VLOOKUP($A103,[5]库存报告使用数据!$A$1:$F$65536,6,0),"")</f>
        <v>0</v>
      </c>
      <c r="V103" s="17">
        <f>IFERROR(VLOOKUP($A103,[5]库存报告使用数据!$A$1:$I$65536,9,0),"")</f>
        <v>8</v>
      </c>
      <c r="W103" s="17">
        <f>IFERROR(VLOOKUP($A103,[5]库存报告使用数据!$A$1:$L$65536,12,0),"")</f>
        <v>5</v>
      </c>
      <c r="X103" s="27" t="str">
        <f t="shared" si="20"/>
        <v/>
      </c>
      <c r="Y103" s="27" t="str">
        <f t="shared" si="21"/>
        <v/>
      </c>
      <c r="Z103" s="27">
        <f t="shared" si="22"/>
        <v>0.00120554550934298</v>
      </c>
      <c r="AA103" s="27">
        <f t="shared" si="23"/>
        <v>0.000915248032216731</v>
      </c>
      <c r="AB103" s="17">
        <f>IFERROR(VLOOKUP($A103,[5]库存报告使用数据!$A$1:$D$65536,4,0),"")</f>
        <v>0</v>
      </c>
      <c r="AC103" s="17">
        <f>IFERROR(VLOOKUP($A103,[5]库存报告使用数据!$A$1:$G$65536,7,0),"")</f>
        <v>0</v>
      </c>
      <c r="AD103" s="17">
        <f>IFERROR(VLOOKUP($A103,[5]库存报告使用数据!$A$1:$J$65536,10,0),"")</f>
        <v>4.04</v>
      </c>
      <c r="AE103" s="17">
        <f>IFERROR(VLOOKUP($A103,[5]库存报告使用数据!$A$1:$M$65536,13,0),"")</f>
        <v>2.59</v>
      </c>
      <c r="AF103" s="27" t="str">
        <f t="shared" si="32"/>
        <v/>
      </c>
      <c r="AG103" s="27" t="str">
        <f t="shared" si="33"/>
        <v/>
      </c>
      <c r="AH103" s="27">
        <f t="shared" si="34"/>
        <v>0.0950811955754295</v>
      </c>
      <c r="AI103" s="27" t="str">
        <f t="shared" si="35"/>
        <v>有广告无销售广告费为2.59</v>
      </c>
      <c r="AJ103" s="17">
        <f>IFERROR(VLOOKUP($B103,'[3]浏览量处理(勿删)'!$A:$B,2,0),"")</f>
        <v>0</v>
      </c>
      <c r="AK103" s="17">
        <f>IFERROR(VLOOKUP($B103,'[3]浏览量处理(勿删)'!$A:$C,3,0),"")</f>
        <v>0</v>
      </c>
      <c r="AL103" s="17">
        <f>IFERROR(VLOOKUP($B103,'[3]浏览量处理(勿删)'!$A:$D,4,0),"")</f>
        <v>9</v>
      </c>
      <c r="AM103" s="17">
        <f>IFERROR(VLOOKUP($B103,'[3]浏览量处理(勿删)'!$A:$E,5,0),"")</f>
        <v>15</v>
      </c>
      <c r="AN103" s="27" t="str">
        <f t="shared" si="24"/>
        <v/>
      </c>
      <c r="AO103" s="27" t="str">
        <f t="shared" si="25"/>
        <v/>
      </c>
      <c r="AP103" s="27">
        <f t="shared" si="26"/>
        <v>0.111111111111111</v>
      </c>
      <c r="AQ103" s="27">
        <f t="shared" si="27"/>
        <v>0</v>
      </c>
      <c r="AR103" s="32">
        <f t="shared" si="28"/>
        <v>0</v>
      </c>
      <c r="AS103" s="32">
        <f t="shared" si="29"/>
        <v>0</v>
      </c>
      <c r="AT103" s="32">
        <f t="shared" si="30"/>
        <v>0</v>
      </c>
      <c r="AU103" s="18" t="str">
        <f t="shared" si="31"/>
        <v>库存为0</v>
      </c>
      <c r="AV103" s="33" t="str">
        <f>IFERROR(时间!$B$4+AU103,"上周无销量")</f>
        <v>上周无销量</v>
      </c>
    </row>
    <row r="104" spans="1:48">
      <c r="A104" s="16" t="s">
        <v>148</v>
      </c>
      <c r="B104" s="17" t="str">
        <f>VLOOKUP(A104,[1]sku_fnsku_asin_产品名称!$A:$C,3,0)</f>
        <v>B0761Q4YF6</v>
      </c>
      <c r="C104" s="17" t="str">
        <f>VLOOKUP(A104,[1]sku_fnsku_asin_产品名称!$A:$D,4,0)</f>
        <v>Womens Hooded Warm Coats Parkas With Fax Fur Jackets Navy M</v>
      </c>
      <c r="D104" s="18">
        <f>IFERROR(VLOOKUP(A104,[4]库存报告使用数据处理!$A:$B,2,0),0)</f>
        <v>0</v>
      </c>
      <c r="E104" s="18">
        <f>IFERROR(VLOOKUP(A104,[4]库存报告使用数据处理!$A:$C,3,0),0)</f>
        <v>0</v>
      </c>
      <c r="F104" s="18">
        <f>IFERROR(VLOOKUP(A104,[4]库存报告使用数据处理!$A:$D,4,0),0)</f>
        <v>0</v>
      </c>
      <c r="G104" s="18">
        <f>IFERROR(VLOOKUP(A104,[4]库存报告使用数据处理!$A:$E,5,0),0)</f>
        <v>3</v>
      </c>
      <c r="H104" s="18">
        <f>IFERROR(VLOOKUP(A104,[4]库存报告使用数据处理!$A:$F,6,0),0)</f>
        <v>34.39</v>
      </c>
      <c r="I104" s="18">
        <f>IFERROR(VLOOKUP($A104,[2]数据处理!$A:$B,2,0),0)</f>
        <v>0</v>
      </c>
      <c r="J104" s="18">
        <f>IFERROR(VLOOKUP($A104,[2]数据处理!$A:$D,4,0),0)</f>
        <v>0</v>
      </c>
      <c r="K104" s="18">
        <f>IFERROR(VLOOKUP($A104,[2]数据处理!$A:$E,5,0),0)</f>
        <v>0</v>
      </c>
      <c r="L104" s="18">
        <f>IFERROR(VLOOKUP($A104,[2]数据处理!$A:$N,7,0),0)</f>
        <v>0</v>
      </c>
      <c r="M104" s="22">
        <f t="shared" si="19"/>
        <v>0</v>
      </c>
      <c r="N104" s="18">
        <f>IFERROR(VLOOKUP($A104,[2]数据处理!$A:$N,3,0),0)</f>
        <v>1</v>
      </c>
      <c r="O104" s="17">
        <f>IFERROR(VLOOKUP($A104,[2]数据处理!$A:$N,14,0),0)</f>
        <v>0</v>
      </c>
      <c r="P104" s="17">
        <f>IFERROR(VLOOKUP($A104,[5]库存报告使用数据!$A$1:$B$65536,2,0),0)</f>
        <v>0</v>
      </c>
      <c r="Q104" s="17">
        <f>IFERROR(VLOOKUP($A104,[5]库存报告使用数据!$A$1:$E$65536,5,0),0)</f>
        <v>0</v>
      </c>
      <c r="R104" s="17">
        <f>IFERROR(VLOOKUP($A104,[5]库存报告使用数据!$A$1:$H$65536,8,0),0)</f>
        <v>0</v>
      </c>
      <c r="S104" s="17">
        <f>IFERROR(VLOOKUP($A104,[5]库存报告使用数据!$A$1:$K$65536,11,0),0)</f>
        <v>272</v>
      </c>
      <c r="T104" s="17">
        <f>IFERROR(VLOOKUP($A104,[5]库存报告使用数据!$A$1:$C$65536,3,0),"")</f>
        <v>0</v>
      </c>
      <c r="U104" s="17">
        <f>IFERROR(VLOOKUP($A104,[5]库存报告使用数据!$A$1:$F$65536,6,0),"")</f>
        <v>0</v>
      </c>
      <c r="V104" s="17">
        <f>IFERROR(VLOOKUP($A104,[5]库存报告使用数据!$A$1:$I$65536,9,0),"")</f>
        <v>0</v>
      </c>
      <c r="W104" s="17">
        <f>IFERROR(VLOOKUP($A104,[5]库存报告使用数据!$A$1:$L$65536,12,0),"")</f>
        <v>1</v>
      </c>
      <c r="X104" s="27" t="str">
        <f t="shared" si="20"/>
        <v/>
      </c>
      <c r="Y104" s="27" t="str">
        <f t="shared" si="21"/>
        <v/>
      </c>
      <c r="Z104" s="27" t="str">
        <f t="shared" si="22"/>
        <v/>
      </c>
      <c r="AA104" s="27">
        <f t="shared" si="23"/>
        <v>0.00367647058823529</v>
      </c>
      <c r="AB104" s="17">
        <f>IFERROR(VLOOKUP($A104,[5]库存报告使用数据!$A$1:$D$65536,4,0),"")</f>
        <v>0</v>
      </c>
      <c r="AC104" s="17">
        <f>IFERROR(VLOOKUP($A104,[5]库存报告使用数据!$A$1:$G$65536,7,0),"")</f>
        <v>0</v>
      </c>
      <c r="AD104" s="17">
        <f>IFERROR(VLOOKUP($A104,[5]库存报告使用数据!$A$1:$J$65536,10,0),"")</f>
        <v>0</v>
      </c>
      <c r="AE104" s="17">
        <f>IFERROR(VLOOKUP($A104,[5]库存报告使用数据!$A$1:$M$65536,13,0),"")</f>
        <v>0.37</v>
      </c>
      <c r="AF104" s="27" t="str">
        <f t="shared" si="32"/>
        <v/>
      </c>
      <c r="AG104" s="27" t="str">
        <f t="shared" si="33"/>
        <v/>
      </c>
      <c r="AH104" s="27" t="str">
        <f t="shared" si="34"/>
        <v/>
      </c>
      <c r="AI104" s="27">
        <f t="shared" si="35"/>
        <v>0.00358631385092566</v>
      </c>
      <c r="AJ104" s="17">
        <f>IFERROR(VLOOKUP($B104,'[3]浏览量处理(勿删)'!$A:$B,2,0),"")</f>
        <v>0</v>
      </c>
      <c r="AK104" s="17">
        <f>IFERROR(VLOOKUP($B104,'[3]浏览量处理(勿删)'!$A:$C,3,0),"")</f>
        <v>0</v>
      </c>
      <c r="AL104" s="17">
        <f>IFERROR(VLOOKUP($B104,'[3]浏览量处理(勿删)'!$A:$D,4,0),"")</f>
        <v>0</v>
      </c>
      <c r="AM104" s="17">
        <f>IFERROR(VLOOKUP($B104,'[3]浏览量处理(勿删)'!$A:$E,5,0),"")</f>
        <v>3</v>
      </c>
      <c r="AN104" s="27" t="str">
        <f t="shared" si="24"/>
        <v/>
      </c>
      <c r="AO104" s="27" t="str">
        <f t="shared" si="25"/>
        <v/>
      </c>
      <c r="AP104" s="27" t="str">
        <f t="shared" si="26"/>
        <v/>
      </c>
      <c r="AQ104" s="27">
        <f t="shared" si="27"/>
        <v>1</v>
      </c>
      <c r="AR104" s="32">
        <f t="shared" si="28"/>
        <v>0</v>
      </c>
      <c r="AS104" s="32">
        <f t="shared" si="29"/>
        <v>0</v>
      </c>
      <c r="AT104" s="32">
        <f t="shared" si="30"/>
        <v>0</v>
      </c>
      <c r="AU104" s="18" t="str">
        <f t="shared" si="31"/>
        <v>库存为0</v>
      </c>
      <c r="AV104" s="33" t="str">
        <f>IFERROR(时间!$B$4+AU104,"上周无销量")</f>
        <v>上周无销量</v>
      </c>
    </row>
    <row r="105" spans="1:48">
      <c r="A105" s="16" t="s">
        <v>149</v>
      </c>
      <c r="B105" s="17" t="str">
        <f>VLOOKUP(A105,[1]sku_fnsku_asin_产品名称!$A:$C,3,0)</f>
        <v>B0761PL2N2</v>
      </c>
      <c r="C105" s="17" t="str">
        <f>VLOOKUP(A105,[1]sku_fnsku_asin_产品名称!$A:$D,4,0)</f>
        <v>Womens Hooded Warm Coats Parkas With Fax Fur Jackets Navy S</v>
      </c>
      <c r="D105" s="18">
        <f>IFERROR(VLOOKUP(A105,[4]库存报告使用数据处理!$A:$B,2,0),0)</f>
        <v>0</v>
      </c>
      <c r="E105" s="18">
        <f>IFERROR(VLOOKUP(A105,[4]库存报告使用数据处理!$A:$C,3,0),0)</f>
        <v>0</v>
      </c>
      <c r="F105" s="18">
        <f>IFERROR(VLOOKUP(A105,[4]库存报告使用数据处理!$A:$D,4,0),0)</f>
        <v>0</v>
      </c>
      <c r="G105" s="18">
        <f>IFERROR(VLOOKUP(A105,[4]库存报告使用数据处理!$A:$E,5,0),0)</f>
        <v>0</v>
      </c>
      <c r="H105" s="18">
        <f>IFERROR(VLOOKUP(A105,[4]库存报告使用数据处理!$A:$F,6,0),0)</f>
        <v>0</v>
      </c>
      <c r="I105" s="18">
        <f>IFERROR(VLOOKUP($A105,[2]数据处理!$A:$B,2,0),0)</f>
        <v>7</v>
      </c>
      <c r="J105" s="18">
        <f>IFERROR(VLOOKUP($A105,[2]数据处理!$A:$D,4,0),0)</f>
        <v>0</v>
      </c>
      <c r="K105" s="18">
        <f>IFERROR(VLOOKUP($A105,[2]数据处理!$A:$E,5,0),0)</f>
        <v>0</v>
      </c>
      <c r="L105" s="18">
        <f>IFERROR(VLOOKUP($A105,[2]数据处理!$A:$N,7,0),0)</f>
        <v>0</v>
      </c>
      <c r="M105" s="22">
        <f t="shared" si="19"/>
        <v>7</v>
      </c>
      <c r="N105" s="18">
        <f>IFERROR(VLOOKUP($A105,[2]数据处理!$A:$N,3,0),0)</f>
        <v>0</v>
      </c>
      <c r="O105" s="17">
        <f>IFERROR(VLOOKUP($A105,[2]数据处理!$A:$N,14,0),0)</f>
        <v>7</v>
      </c>
      <c r="P105" s="17">
        <f>IFERROR(VLOOKUP($A105,[5]库存报告使用数据!$A$1:$B$65536,2,0),0)</f>
        <v>0</v>
      </c>
      <c r="Q105" s="17">
        <f>IFERROR(VLOOKUP($A105,[5]库存报告使用数据!$A$1:$E$65536,5,0),0)</f>
        <v>824</v>
      </c>
      <c r="R105" s="17">
        <f>IFERROR(VLOOKUP($A105,[5]库存报告使用数据!$A$1:$H$65536,8,0),0)</f>
        <v>1118</v>
      </c>
      <c r="S105" s="17">
        <f>IFERROR(VLOOKUP($A105,[5]库存报告使用数据!$A$1:$K$65536,11,0),0)</f>
        <v>322</v>
      </c>
      <c r="T105" s="17">
        <f>IFERROR(VLOOKUP($A105,[5]库存报告使用数据!$A$1:$C$65536,3,0),"")</f>
        <v>0</v>
      </c>
      <c r="U105" s="17">
        <f>IFERROR(VLOOKUP($A105,[5]库存报告使用数据!$A$1:$F$65536,6,0),"")</f>
        <v>2</v>
      </c>
      <c r="V105" s="17">
        <f>IFERROR(VLOOKUP($A105,[5]库存报告使用数据!$A$1:$I$65536,9,0),"")</f>
        <v>8</v>
      </c>
      <c r="W105" s="17">
        <f>IFERROR(VLOOKUP($A105,[5]库存报告使用数据!$A$1:$L$65536,12,0),"")</f>
        <v>1</v>
      </c>
      <c r="X105" s="27" t="str">
        <f t="shared" si="20"/>
        <v/>
      </c>
      <c r="Y105" s="27">
        <f t="shared" si="21"/>
        <v>0.00242718446601942</v>
      </c>
      <c r="Z105" s="27">
        <f t="shared" si="22"/>
        <v>0.00715563506261181</v>
      </c>
      <c r="AA105" s="27">
        <f t="shared" si="23"/>
        <v>0.0031055900621118</v>
      </c>
      <c r="AB105" s="17">
        <f>IFERROR(VLOOKUP($A105,[5]库存报告使用数据!$A$1:$D$65536,4,0),"")</f>
        <v>0</v>
      </c>
      <c r="AC105" s="17">
        <f>IFERROR(VLOOKUP($A105,[5]库存报告使用数据!$A$1:$G$65536,7,0),"")</f>
        <v>1.27</v>
      </c>
      <c r="AD105" s="17">
        <f>IFERROR(VLOOKUP($A105,[5]库存报告使用数据!$A$1:$J$65536,10,0),"")</f>
        <v>4.82</v>
      </c>
      <c r="AE105" s="17">
        <f>IFERROR(VLOOKUP($A105,[5]库存报告使用数据!$A$1:$M$65536,13,0),"")</f>
        <v>0.28</v>
      </c>
      <c r="AF105" s="27" t="str">
        <f t="shared" si="32"/>
        <v/>
      </c>
      <c r="AG105" s="27" t="str">
        <f t="shared" si="33"/>
        <v>有广告无销售广告费为1.27</v>
      </c>
      <c r="AH105" s="27" t="str">
        <f t="shared" si="34"/>
        <v>有广告无销售广告费为4.82</v>
      </c>
      <c r="AI105" s="27" t="str">
        <f t="shared" si="35"/>
        <v>有广告无销售广告费为0.28</v>
      </c>
      <c r="AJ105" s="17">
        <f>IFERROR(VLOOKUP($B105,'[3]浏览量处理(勿删)'!$A:$B,2,0),"")</f>
        <v>5</v>
      </c>
      <c r="AK105" s="17">
        <f>IFERROR(VLOOKUP($B105,'[3]浏览量处理(勿删)'!$A:$C,3,0),"")</f>
        <v>12</v>
      </c>
      <c r="AL105" s="17">
        <f>IFERROR(VLOOKUP($B105,'[3]浏览量处理(勿删)'!$A:$D,4,0),"")</f>
        <v>5</v>
      </c>
      <c r="AM105" s="17">
        <f>IFERROR(VLOOKUP($B105,'[3]浏览量处理(勿删)'!$A:$E,5,0),"")</f>
        <v>12</v>
      </c>
      <c r="AN105" s="27">
        <f t="shared" si="24"/>
        <v>0</v>
      </c>
      <c r="AO105" s="27">
        <f t="shared" si="25"/>
        <v>0</v>
      </c>
      <c r="AP105" s="27">
        <f t="shared" si="26"/>
        <v>0</v>
      </c>
      <c r="AQ105" s="27">
        <f t="shared" si="27"/>
        <v>0</v>
      </c>
      <c r="AR105" s="32">
        <f t="shared" si="28"/>
        <v>0</v>
      </c>
      <c r="AS105" s="32">
        <f t="shared" si="29"/>
        <v>0</v>
      </c>
      <c r="AT105" s="32">
        <f t="shared" si="30"/>
        <v>7</v>
      </c>
      <c r="AU105" s="18" t="str">
        <f t="shared" si="31"/>
        <v>库存为7</v>
      </c>
      <c r="AV105" s="33" t="str">
        <f>IFERROR(时间!$B$4+AU105,"上周无销量")</f>
        <v>上周无销量</v>
      </c>
    </row>
    <row r="106" spans="1:48">
      <c r="A106" s="16" t="s">
        <v>150</v>
      </c>
      <c r="B106" s="17" t="str">
        <f>VLOOKUP(A106,[1]sku_fnsku_asin_产品名称!$A:$C,3,0)</f>
        <v>B0761RRL7M</v>
      </c>
      <c r="C106" s="17" t="str">
        <f>VLOOKUP(A106,[1]sku_fnsku_asin_产品名称!$A:$D,4,0)</f>
        <v>ZAIAI Womens Hooded Warm Coats Parkas With Fax Fur Jackets Navy XL</v>
      </c>
      <c r="D106" s="18">
        <f>IFERROR(VLOOKUP(A106,[4]库存报告使用数据处理!$A:$B,2,0),0)</f>
        <v>0</v>
      </c>
      <c r="E106" s="18">
        <f>IFERROR(VLOOKUP(A106,[4]库存报告使用数据处理!$A:$C,3,0),0)</f>
        <v>0</v>
      </c>
      <c r="F106" s="18">
        <f>IFERROR(VLOOKUP(A106,[4]库存报告使用数据处理!$A:$D,4,0),0)</f>
        <v>0</v>
      </c>
      <c r="G106" s="18">
        <f>IFERROR(VLOOKUP(A106,[4]库存报告使用数据处理!$A:$E,5,0),0)</f>
        <v>1</v>
      </c>
      <c r="H106" s="18">
        <f>IFERROR(VLOOKUP(A106,[4]库存报告使用数据处理!$A:$F,6,0),0)</f>
        <v>34.39</v>
      </c>
      <c r="I106" s="18">
        <f>IFERROR(VLOOKUP($A106,[2]数据处理!$A:$B,2,0),0)</f>
        <v>6</v>
      </c>
      <c r="J106" s="18">
        <f>IFERROR(VLOOKUP($A106,[2]数据处理!$A:$D,4,0),0)</f>
        <v>0</v>
      </c>
      <c r="K106" s="18">
        <f>IFERROR(VLOOKUP($A106,[2]数据处理!$A:$E,5,0),0)</f>
        <v>0</v>
      </c>
      <c r="L106" s="18">
        <f>IFERROR(VLOOKUP($A106,[2]数据处理!$A:$N,7,0),0)</f>
        <v>0</v>
      </c>
      <c r="M106" s="22">
        <f t="shared" si="19"/>
        <v>6</v>
      </c>
      <c r="N106" s="18">
        <f>IFERROR(VLOOKUP($A106,[2]数据处理!$A:$N,3,0),0)</f>
        <v>0</v>
      </c>
      <c r="O106" s="17">
        <f>IFERROR(VLOOKUP($A106,[2]数据处理!$A:$N,14,0),0)</f>
        <v>3</v>
      </c>
      <c r="P106" s="17">
        <f>IFERROR(VLOOKUP($A106,[5]库存报告使用数据!$A$1:$B$65536,2,0),0)</f>
        <v>0</v>
      </c>
      <c r="Q106" s="17">
        <f>IFERROR(VLOOKUP($A106,[5]库存报告使用数据!$A$1:$E$65536,5,0),0)</f>
        <v>1928</v>
      </c>
      <c r="R106" s="17">
        <f>IFERROR(VLOOKUP($A106,[5]库存报告使用数据!$A$1:$H$65536,8,0),0)</f>
        <v>473</v>
      </c>
      <c r="S106" s="17">
        <f>IFERROR(VLOOKUP($A106,[5]库存报告使用数据!$A$1:$K$65536,11,0),0)</f>
        <v>440</v>
      </c>
      <c r="T106" s="17">
        <f>IFERROR(VLOOKUP($A106,[5]库存报告使用数据!$A$1:$C$65536,3,0),"")</f>
        <v>0</v>
      </c>
      <c r="U106" s="17">
        <f>IFERROR(VLOOKUP($A106,[5]库存报告使用数据!$A$1:$F$65536,6,0),"")</f>
        <v>12</v>
      </c>
      <c r="V106" s="17">
        <f>IFERROR(VLOOKUP($A106,[5]库存报告使用数据!$A$1:$I$65536,9,0),"")</f>
        <v>3</v>
      </c>
      <c r="W106" s="17">
        <f>IFERROR(VLOOKUP($A106,[5]库存报告使用数据!$A$1:$L$65536,12,0),"")</f>
        <v>0</v>
      </c>
      <c r="X106" s="27" t="str">
        <f t="shared" si="20"/>
        <v/>
      </c>
      <c r="Y106" s="27">
        <f t="shared" si="21"/>
        <v>0.00622406639004149</v>
      </c>
      <c r="Z106" s="27">
        <f t="shared" si="22"/>
        <v>0.00634249471458774</v>
      </c>
      <c r="AA106" s="27">
        <f t="shared" si="23"/>
        <v>0</v>
      </c>
      <c r="AB106" s="17">
        <f>IFERROR(VLOOKUP($A106,[5]库存报告使用数据!$A$1:$D$65536,4,0),"")</f>
        <v>0</v>
      </c>
      <c r="AC106" s="17">
        <f>IFERROR(VLOOKUP($A106,[5]库存报告使用数据!$A$1:$G$65536,7,0),"")</f>
        <v>7.49</v>
      </c>
      <c r="AD106" s="17">
        <f>IFERROR(VLOOKUP($A106,[5]库存报告使用数据!$A$1:$J$65536,10,0),"")</f>
        <v>2</v>
      </c>
      <c r="AE106" s="17">
        <f>IFERROR(VLOOKUP($A106,[5]库存报告使用数据!$A$1:$M$65536,13,0),"")</f>
        <v>0</v>
      </c>
      <c r="AF106" s="27" t="str">
        <f t="shared" si="32"/>
        <v/>
      </c>
      <c r="AG106" s="27" t="str">
        <f t="shared" si="33"/>
        <v>有广告无销售广告费为7.49</v>
      </c>
      <c r="AH106" s="27" t="str">
        <f t="shared" si="34"/>
        <v>有广告无销售广告费为2</v>
      </c>
      <c r="AI106" s="27">
        <f t="shared" si="35"/>
        <v>0</v>
      </c>
      <c r="AJ106" s="17">
        <f>IFERROR(VLOOKUP($B106,'[3]浏览量处理(勿删)'!$A:$B,2,0),"")</f>
        <v>4</v>
      </c>
      <c r="AK106" s="17">
        <f>IFERROR(VLOOKUP($B106,'[3]浏览量处理(勿删)'!$A:$C,3,0),"")</f>
        <v>13</v>
      </c>
      <c r="AL106" s="17">
        <f>IFERROR(VLOOKUP($B106,'[3]浏览量处理(勿删)'!$A:$D,4,0),"")</f>
        <v>5</v>
      </c>
      <c r="AM106" s="17">
        <f>IFERROR(VLOOKUP($B106,'[3]浏览量处理(勿删)'!$A:$E,5,0),"")</f>
        <v>4</v>
      </c>
      <c r="AN106" s="27">
        <f t="shared" si="24"/>
        <v>0</v>
      </c>
      <c r="AO106" s="27">
        <f t="shared" si="25"/>
        <v>0</v>
      </c>
      <c r="AP106" s="27">
        <f t="shared" si="26"/>
        <v>0</v>
      </c>
      <c r="AQ106" s="27">
        <f t="shared" si="27"/>
        <v>0.25</v>
      </c>
      <c r="AR106" s="32">
        <f t="shared" si="28"/>
        <v>0</v>
      </c>
      <c r="AS106" s="32">
        <f t="shared" si="29"/>
        <v>0</v>
      </c>
      <c r="AT106" s="32">
        <f t="shared" si="30"/>
        <v>6</v>
      </c>
      <c r="AU106" s="18" t="str">
        <f t="shared" si="31"/>
        <v>库存为6</v>
      </c>
      <c r="AV106" s="33" t="str">
        <f>IFERROR(时间!$B$4+AU106,"上周无销量")</f>
        <v>上周无销量</v>
      </c>
    </row>
    <row r="107" spans="1:48">
      <c r="A107" s="16" t="s">
        <v>151</v>
      </c>
      <c r="B107" s="17" t="str">
        <f>VLOOKUP(A107,[1]sku_fnsku_asin_产品名称!$A:$C,3,0)</f>
        <v>B0761NGYTK</v>
      </c>
      <c r="C107" s="17" t="str">
        <f>VLOOKUP(A107,[1]sku_fnsku_asin_产品名称!$A:$D,4,0)</f>
        <v>Womens Hooded Warm Coats Parkas With Fax Fur Jackets Navy XXL</v>
      </c>
      <c r="D107" s="18">
        <f>IFERROR(VLOOKUP(A107,[4]库存报告使用数据处理!$A:$B,2,0),0)</f>
        <v>0</v>
      </c>
      <c r="E107" s="18">
        <f>IFERROR(VLOOKUP(A107,[4]库存报告使用数据处理!$A:$C,3,0),0)</f>
        <v>0</v>
      </c>
      <c r="F107" s="18">
        <f>IFERROR(VLOOKUP(A107,[4]库存报告使用数据处理!$A:$D,4,0),0)</f>
        <v>2</v>
      </c>
      <c r="G107" s="18">
        <f>IFERROR(VLOOKUP(A107,[4]库存报告使用数据处理!$A:$E,5,0),0)</f>
        <v>0</v>
      </c>
      <c r="H107" s="18">
        <f>IFERROR(VLOOKUP(A107,[4]库存报告使用数据处理!$A:$F,6,0),0)</f>
        <v>42.49</v>
      </c>
      <c r="I107" s="18">
        <f>IFERROR(VLOOKUP($A107,[2]数据处理!$A:$B,2,0),0)</f>
        <v>4</v>
      </c>
      <c r="J107" s="18">
        <f>IFERROR(VLOOKUP($A107,[2]数据处理!$A:$D,4,0),0)</f>
        <v>0</v>
      </c>
      <c r="K107" s="18">
        <f>IFERROR(VLOOKUP($A107,[2]数据处理!$A:$E,5,0),0)</f>
        <v>0</v>
      </c>
      <c r="L107" s="18">
        <f>IFERROR(VLOOKUP($A107,[2]数据处理!$A:$N,7,0),0)</f>
        <v>0</v>
      </c>
      <c r="M107" s="22">
        <f t="shared" si="19"/>
        <v>4</v>
      </c>
      <c r="N107" s="18">
        <f>IFERROR(VLOOKUP($A107,[2]数据处理!$A:$N,3,0),0)</f>
        <v>0</v>
      </c>
      <c r="O107" s="17">
        <f>IFERROR(VLOOKUP($A107,[2]数据处理!$A:$N,14,0),0)</f>
        <v>4</v>
      </c>
      <c r="P107" s="17">
        <f>IFERROR(VLOOKUP($A107,[5]库存报告使用数据!$A$1:$B$65536,2,0),0)</f>
        <v>0</v>
      </c>
      <c r="Q107" s="17">
        <f>IFERROR(VLOOKUP($A107,[5]库存报告使用数据!$A$1:$E$65536,5,0),0)</f>
        <v>11069</v>
      </c>
      <c r="R107" s="17">
        <f>IFERROR(VLOOKUP($A107,[5]库存报告使用数据!$A$1:$H$65536,8,0),0)</f>
        <v>8204</v>
      </c>
      <c r="S107" s="17">
        <f>IFERROR(VLOOKUP($A107,[5]库存报告使用数据!$A$1:$K$65536,11,0),0)</f>
        <v>7863</v>
      </c>
      <c r="T107" s="17">
        <f>IFERROR(VLOOKUP($A107,[5]库存报告使用数据!$A$1:$C$65536,3,0),"")</f>
        <v>0</v>
      </c>
      <c r="U107" s="17">
        <f>IFERROR(VLOOKUP($A107,[5]库存报告使用数据!$A$1:$F$65536,6,0),"")</f>
        <v>28</v>
      </c>
      <c r="V107" s="17">
        <f>IFERROR(VLOOKUP($A107,[5]库存报告使用数据!$A$1:$I$65536,9,0),"")</f>
        <v>18</v>
      </c>
      <c r="W107" s="17">
        <f>IFERROR(VLOOKUP($A107,[5]库存报告使用数据!$A$1:$L$65536,12,0),"")</f>
        <v>31</v>
      </c>
      <c r="X107" s="27" t="str">
        <f t="shared" si="20"/>
        <v/>
      </c>
      <c r="Y107" s="27">
        <f t="shared" si="21"/>
        <v>0.00252958713524257</v>
      </c>
      <c r="Z107" s="27">
        <f t="shared" si="22"/>
        <v>0.00219405168210629</v>
      </c>
      <c r="AA107" s="27">
        <f t="shared" si="23"/>
        <v>0.00394251557929543</v>
      </c>
      <c r="AB107" s="17">
        <f>IFERROR(VLOOKUP($A107,[5]库存报告使用数据!$A$1:$D$65536,4,0),"")</f>
        <v>0</v>
      </c>
      <c r="AC107" s="17">
        <f>IFERROR(VLOOKUP($A107,[5]库存报告使用数据!$A$1:$G$65536,7,0),"")</f>
        <v>13.42</v>
      </c>
      <c r="AD107" s="17">
        <f>IFERROR(VLOOKUP($A107,[5]库存报告使用数据!$A$1:$J$65536,10,0),"")</f>
        <v>7.74</v>
      </c>
      <c r="AE107" s="17">
        <f>IFERROR(VLOOKUP($A107,[5]库存报告使用数据!$A$1:$M$65536,13,0),"")</f>
        <v>14.51</v>
      </c>
      <c r="AF107" s="27" t="str">
        <f t="shared" si="32"/>
        <v/>
      </c>
      <c r="AG107" s="27" t="str">
        <f t="shared" si="33"/>
        <v>有广告无销售广告费为13.42</v>
      </c>
      <c r="AH107" s="27">
        <f t="shared" si="34"/>
        <v>0.0910802541774535</v>
      </c>
      <c r="AI107" s="27" t="str">
        <f t="shared" si="35"/>
        <v>有广告无销售广告费为14.51</v>
      </c>
      <c r="AJ107" s="17">
        <f>IFERROR(VLOOKUP($B107,'[3]浏览量处理(勿删)'!$A:$B,2,0),"")</f>
        <v>3</v>
      </c>
      <c r="AK107" s="17">
        <f>IFERROR(VLOOKUP($B107,'[3]浏览量处理(勿删)'!$A:$C,3,0),"")</f>
        <v>27</v>
      </c>
      <c r="AL107" s="17">
        <f>IFERROR(VLOOKUP($B107,'[3]浏览量处理(勿删)'!$A:$D,4,0),"")</f>
        <v>19</v>
      </c>
      <c r="AM107" s="17">
        <f>IFERROR(VLOOKUP($B107,'[3]浏览量处理(勿删)'!$A:$E,5,0),"")</f>
        <v>56</v>
      </c>
      <c r="AN107" s="27">
        <f t="shared" si="24"/>
        <v>0</v>
      </c>
      <c r="AO107" s="27">
        <f t="shared" si="25"/>
        <v>0</v>
      </c>
      <c r="AP107" s="27">
        <f t="shared" si="26"/>
        <v>0.105263157894737</v>
      </c>
      <c r="AQ107" s="27">
        <f t="shared" si="27"/>
        <v>0</v>
      </c>
      <c r="AR107" s="32">
        <f t="shared" si="28"/>
        <v>0</v>
      </c>
      <c r="AS107" s="32">
        <f t="shared" si="29"/>
        <v>0</v>
      </c>
      <c r="AT107" s="32">
        <f t="shared" si="30"/>
        <v>4</v>
      </c>
      <c r="AU107" s="18" t="str">
        <f t="shared" si="31"/>
        <v>库存为4</v>
      </c>
      <c r="AV107" s="33" t="str">
        <f>IFERROR(时间!$B$4+AU107,"上周无销量")</f>
        <v>上周无销量</v>
      </c>
    </row>
    <row r="108" spans="1:48">
      <c r="A108" s="16" t="s">
        <v>152</v>
      </c>
      <c r="B108" s="17" t="str">
        <f>VLOOKUP(A108,[1]sku_fnsku_asin_产品名称!$A:$C,3,0)</f>
        <v>B0761PSPTJ</v>
      </c>
      <c r="C108" s="17" t="str">
        <f>VLOOKUP(A108,[1]sku_fnsku_asin_产品名称!$A:$D,4,0)</f>
        <v>ZAIAI Women's Parkas Anoraks Long Coats with Removable Faux Fur Trim Hood Black L</v>
      </c>
      <c r="D108" s="18">
        <f>IFERROR(VLOOKUP(A108,[4]库存报告使用数据处理!$A:$B,2,0),0)</f>
        <v>1</v>
      </c>
      <c r="E108" s="18">
        <f>IFERROR(VLOOKUP(A108,[4]库存报告使用数据处理!$A:$C,3,0),0)</f>
        <v>0</v>
      </c>
      <c r="F108" s="18">
        <f>IFERROR(VLOOKUP(A108,[4]库存报告使用数据处理!$A:$D,4,0),0)</f>
        <v>0</v>
      </c>
      <c r="G108" s="18">
        <f>IFERROR(VLOOKUP(A108,[4]库存报告使用数据处理!$A:$E,5,0),0)</f>
        <v>0</v>
      </c>
      <c r="H108" s="18">
        <f>IFERROR(VLOOKUP(A108,[4]库存报告使用数据处理!$A:$F,6,0),0)</f>
        <v>38.99</v>
      </c>
      <c r="I108" s="18">
        <f>IFERROR(VLOOKUP($A108,[2]数据处理!$A:$B,2,0),0)</f>
        <v>11</v>
      </c>
      <c r="J108" s="18">
        <f>IFERROR(VLOOKUP($A108,[2]数据处理!$A:$D,4,0),0)</f>
        <v>0</v>
      </c>
      <c r="K108" s="18">
        <f>IFERROR(VLOOKUP($A108,[2]数据处理!$A:$E,5,0),0)</f>
        <v>0</v>
      </c>
      <c r="L108" s="18">
        <f>IFERROR(VLOOKUP($A108,[2]数据处理!$A:$N,7,0),0)</f>
        <v>0</v>
      </c>
      <c r="M108" s="22">
        <f t="shared" si="19"/>
        <v>11</v>
      </c>
      <c r="N108" s="18">
        <f>IFERROR(VLOOKUP($A108,[2]数据处理!$A:$N,3,0),0)</f>
        <v>1</v>
      </c>
      <c r="O108" s="17">
        <f>IFERROR(VLOOKUP($A108,[2]数据处理!$A:$N,14,0),0)</f>
        <v>11</v>
      </c>
      <c r="P108" s="17">
        <f>IFERROR(VLOOKUP($A108,[5]库存报告使用数据!$A$1:$B$65536,2,0),0)</f>
        <v>0</v>
      </c>
      <c r="Q108" s="17">
        <f>IFERROR(VLOOKUP($A108,[5]库存报告使用数据!$A$1:$E$65536,5,0),0)</f>
        <v>3541</v>
      </c>
      <c r="R108" s="17">
        <f>IFERROR(VLOOKUP($A108,[5]库存报告使用数据!$A$1:$H$65536,8,0),0)</f>
        <v>3245</v>
      </c>
      <c r="S108" s="17">
        <f>IFERROR(VLOOKUP($A108,[5]库存报告使用数据!$A$1:$K$65536,11,0),0)</f>
        <v>3327</v>
      </c>
      <c r="T108" s="17">
        <f>IFERROR(VLOOKUP($A108,[5]库存报告使用数据!$A$1:$C$65536,3,0),"")</f>
        <v>0</v>
      </c>
      <c r="U108" s="17">
        <f>IFERROR(VLOOKUP($A108,[5]库存报告使用数据!$A$1:$F$65536,6,0),"")</f>
        <v>6</v>
      </c>
      <c r="V108" s="17">
        <f>IFERROR(VLOOKUP($A108,[5]库存报告使用数据!$A$1:$I$65536,9,0),"")</f>
        <v>2</v>
      </c>
      <c r="W108" s="17">
        <f>IFERROR(VLOOKUP($A108,[5]库存报告使用数据!$A$1:$L$65536,12,0),"")</f>
        <v>5</v>
      </c>
      <c r="X108" s="27" t="str">
        <f t="shared" si="20"/>
        <v/>
      </c>
      <c r="Y108" s="27">
        <f t="shared" si="21"/>
        <v>0.00169443659983056</v>
      </c>
      <c r="Z108" s="27">
        <f t="shared" si="22"/>
        <v>0.00061633281972265</v>
      </c>
      <c r="AA108" s="27">
        <f t="shared" si="23"/>
        <v>0.00150285542530809</v>
      </c>
      <c r="AB108" s="17">
        <f>IFERROR(VLOOKUP($A108,[5]库存报告使用数据!$A$1:$D$65536,4,0),"")</f>
        <v>0</v>
      </c>
      <c r="AC108" s="17">
        <f>IFERROR(VLOOKUP($A108,[5]库存报告使用数据!$A$1:$G$65536,7,0),"")</f>
        <v>3.08</v>
      </c>
      <c r="AD108" s="17">
        <f>IFERROR(VLOOKUP($A108,[5]库存报告使用数据!$A$1:$J$65536,10,0),"")</f>
        <v>0.52</v>
      </c>
      <c r="AE108" s="17">
        <f>IFERROR(VLOOKUP($A108,[5]库存报告使用数据!$A$1:$M$65536,13,0),"")</f>
        <v>2.18</v>
      </c>
      <c r="AF108" s="27">
        <f t="shared" si="32"/>
        <v>0</v>
      </c>
      <c r="AG108" s="27" t="str">
        <f t="shared" si="33"/>
        <v>有广告无销售广告费为3.08</v>
      </c>
      <c r="AH108" s="27" t="str">
        <f t="shared" si="34"/>
        <v>有广告无销售广告费为0.52</v>
      </c>
      <c r="AI108" s="27" t="str">
        <f t="shared" si="35"/>
        <v>有广告无销售广告费为2.18</v>
      </c>
      <c r="AJ108" s="17">
        <f>IFERROR(VLOOKUP($B108,'[3]浏览量处理(勿删)'!$A:$B,2,0),"")</f>
        <v>12</v>
      </c>
      <c r="AK108" s="17">
        <f>IFERROR(VLOOKUP($B108,'[3]浏览量处理(勿删)'!$A:$C,3,0),"")</f>
        <v>7</v>
      </c>
      <c r="AL108" s="17">
        <f>IFERROR(VLOOKUP($B108,'[3]浏览量处理(勿删)'!$A:$D,4,0),"")</f>
        <v>5</v>
      </c>
      <c r="AM108" s="17">
        <f>IFERROR(VLOOKUP($B108,'[3]浏览量处理(勿删)'!$A:$E,5,0),"")</f>
        <v>22</v>
      </c>
      <c r="AN108" s="27">
        <f t="shared" si="24"/>
        <v>0.0833333333333333</v>
      </c>
      <c r="AO108" s="27">
        <f t="shared" si="25"/>
        <v>0</v>
      </c>
      <c r="AP108" s="27">
        <f t="shared" si="26"/>
        <v>0</v>
      </c>
      <c r="AQ108" s="27">
        <f t="shared" si="27"/>
        <v>0</v>
      </c>
      <c r="AR108" s="32">
        <f t="shared" si="28"/>
        <v>0.142857142857143</v>
      </c>
      <c r="AS108" s="32">
        <f t="shared" si="29"/>
        <v>8.57142857142857</v>
      </c>
      <c r="AT108" s="32">
        <f t="shared" si="30"/>
        <v>2.42857142857143</v>
      </c>
      <c r="AU108" s="18">
        <f t="shared" si="31"/>
        <v>77</v>
      </c>
      <c r="AV108" s="33">
        <f>IFERROR(时间!$B$4+AU108,"上周无销量")</f>
        <v>43367</v>
      </c>
    </row>
    <row r="109" spans="1:48">
      <c r="A109" s="16" t="s">
        <v>153</v>
      </c>
      <c r="B109" s="17" t="str">
        <f>VLOOKUP(A109,[1]sku_fnsku_asin_产品名称!$A:$C,3,0)</f>
        <v>B0761PWSG1</v>
      </c>
      <c r="C109" s="17" t="str">
        <f>VLOOKUP(A109,[1]sku_fnsku_asin_产品名称!$A:$D,4,0)</f>
        <v>ZAIAI Women's Parkas Anoraks Long Coats with Removable Faux Fur Trim Hood Black M</v>
      </c>
      <c r="D109" s="18">
        <f>IFERROR(VLOOKUP(A109,[4]库存报告使用数据处理!$A:$B,2,0),0)</f>
        <v>0</v>
      </c>
      <c r="E109" s="18">
        <f>IFERROR(VLOOKUP(A109,[4]库存报告使用数据处理!$A:$C,3,0),0)</f>
        <v>0</v>
      </c>
      <c r="F109" s="18">
        <f>IFERROR(VLOOKUP(A109,[4]库存报告使用数据处理!$A:$D,4,0),0)</f>
        <v>1</v>
      </c>
      <c r="G109" s="18">
        <f>IFERROR(VLOOKUP(A109,[4]库存报告使用数据处理!$A:$E,5,0),0)</f>
        <v>0</v>
      </c>
      <c r="H109" s="18">
        <f>IFERROR(VLOOKUP(A109,[4]库存报告使用数据处理!$A:$F,6,0),0)</f>
        <v>42.99</v>
      </c>
      <c r="I109" s="18">
        <f>IFERROR(VLOOKUP($A109,[2]数据处理!$A:$B,2,0),0)</f>
        <v>10</v>
      </c>
      <c r="J109" s="18">
        <f>IFERROR(VLOOKUP($A109,[2]数据处理!$A:$D,4,0),0)</f>
        <v>0</v>
      </c>
      <c r="K109" s="18">
        <f>IFERROR(VLOOKUP($A109,[2]数据处理!$A:$E,5,0),0)</f>
        <v>0</v>
      </c>
      <c r="L109" s="18">
        <f>IFERROR(VLOOKUP($A109,[2]数据处理!$A:$N,7,0),0)</f>
        <v>0</v>
      </c>
      <c r="M109" s="22">
        <f t="shared" si="19"/>
        <v>10</v>
      </c>
      <c r="N109" s="18">
        <f>IFERROR(VLOOKUP($A109,[2]数据处理!$A:$N,3,0),0)</f>
        <v>0</v>
      </c>
      <c r="O109" s="17">
        <f>IFERROR(VLOOKUP($A109,[2]数据处理!$A:$N,14,0),0)</f>
        <v>9</v>
      </c>
      <c r="P109" s="17">
        <f>IFERROR(VLOOKUP($A109,[5]库存报告使用数据!$A$1:$B$65536,2,0),0)</f>
        <v>0</v>
      </c>
      <c r="Q109" s="17">
        <f>IFERROR(VLOOKUP($A109,[5]库存报告使用数据!$A$1:$E$65536,5,0),0)</f>
        <v>902</v>
      </c>
      <c r="R109" s="17">
        <f>IFERROR(VLOOKUP($A109,[5]库存报告使用数据!$A$1:$H$65536,8,0),0)</f>
        <v>1366</v>
      </c>
      <c r="S109" s="17">
        <f>IFERROR(VLOOKUP($A109,[5]库存报告使用数据!$A$1:$K$65536,11,0),0)</f>
        <v>1665</v>
      </c>
      <c r="T109" s="17">
        <f>IFERROR(VLOOKUP($A109,[5]库存报告使用数据!$A$1:$C$65536,3,0),"")</f>
        <v>0</v>
      </c>
      <c r="U109" s="17">
        <f>IFERROR(VLOOKUP($A109,[5]库存报告使用数据!$A$1:$F$65536,6,0),"")</f>
        <v>3</v>
      </c>
      <c r="V109" s="17">
        <f>IFERROR(VLOOKUP($A109,[5]库存报告使用数据!$A$1:$I$65536,9,0),"")</f>
        <v>0</v>
      </c>
      <c r="W109" s="17">
        <f>IFERROR(VLOOKUP($A109,[5]库存报告使用数据!$A$1:$L$65536,12,0),"")</f>
        <v>2</v>
      </c>
      <c r="X109" s="27" t="str">
        <f t="shared" si="20"/>
        <v/>
      </c>
      <c r="Y109" s="27">
        <f t="shared" si="21"/>
        <v>0.00332594235033259</v>
      </c>
      <c r="Z109" s="27">
        <f t="shared" si="22"/>
        <v>0</v>
      </c>
      <c r="AA109" s="27">
        <f t="shared" si="23"/>
        <v>0.0012012012012012</v>
      </c>
      <c r="AB109" s="17">
        <f>IFERROR(VLOOKUP($A109,[5]库存报告使用数据!$A$1:$D$65536,4,0),"")</f>
        <v>0</v>
      </c>
      <c r="AC109" s="17">
        <f>IFERROR(VLOOKUP($A109,[5]库存报告使用数据!$A$1:$G$65536,7,0),"")</f>
        <v>0.99</v>
      </c>
      <c r="AD109" s="17">
        <f>IFERROR(VLOOKUP($A109,[5]库存报告使用数据!$A$1:$J$65536,10,0),"")</f>
        <v>0</v>
      </c>
      <c r="AE109" s="17">
        <f>IFERROR(VLOOKUP($A109,[5]库存报告使用数据!$A$1:$M$65536,13,0),"")</f>
        <v>0.64</v>
      </c>
      <c r="AF109" s="27" t="str">
        <f t="shared" si="32"/>
        <v/>
      </c>
      <c r="AG109" s="27" t="str">
        <f t="shared" si="33"/>
        <v>有广告无销售广告费为0.99</v>
      </c>
      <c r="AH109" s="27">
        <f t="shared" si="34"/>
        <v>0</v>
      </c>
      <c r="AI109" s="27" t="str">
        <f t="shared" si="35"/>
        <v>有广告无销售广告费为0.64</v>
      </c>
      <c r="AJ109" s="17">
        <f>IFERROR(VLOOKUP($B109,'[3]浏览量处理(勿删)'!$A:$B,2,0),"")</f>
        <v>1</v>
      </c>
      <c r="AK109" s="17">
        <f>IFERROR(VLOOKUP($B109,'[3]浏览量处理(勿删)'!$A:$C,3,0),"")</f>
        <v>10</v>
      </c>
      <c r="AL109" s="17">
        <f>IFERROR(VLOOKUP($B109,'[3]浏览量处理(勿删)'!$A:$D,4,0),"")</f>
        <v>8</v>
      </c>
      <c r="AM109" s="17">
        <f>IFERROR(VLOOKUP($B109,'[3]浏览量处理(勿删)'!$A:$E,5,0),"")</f>
        <v>18</v>
      </c>
      <c r="AN109" s="27">
        <f t="shared" si="24"/>
        <v>0</v>
      </c>
      <c r="AO109" s="27">
        <f t="shared" si="25"/>
        <v>0</v>
      </c>
      <c r="AP109" s="27">
        <f t="shared" si="26"/>
        <v>0.125</v>
      </c>
      <c r="AQ109" s="27">
        <f t="shared" si="27"/>
        <v>0</v>
      </c>
      <c r="AR109" s="32">
        <f t="shared" si="28"/>
        <v>0</v>
      </c>
      <c r="AS109" s="32">
        <f t="shared" si="29"/>
        <v>0</v>
      </c>
      <c r="AT109" s="32">
        <f t="shared" si="30"/>
        <v>10</v>
      </c>
      <c r="AU109" s="18" t="str">
        <f t="shared" si="31"/>
        <v>库存为10</v>
      </c>
      <c r="AV109" s="33" t="str">
        <f>IFERROR(时间!$B$4+AU109,"上周无销量")</f>
        <v>上周无销量</v>
      </c>
    </row>
    <row r="110" spans="1:48">
      <c r="A110" s="16" t="s">
        <v>154</v>
      </c>
      <c r="B110" s="17" t="str">
        <f>VLOOKUP(A110,[1]sku_fnsku_asin_产品名称!$A:$C,3,0)</f>
        <v>B0761PDMGN</v>
      </c>
      <c r="C110" s="17" t="str">
        <f>VLOOKUP(A110,[1]sku_fnsku_asin_产品名称!$A:$D,4,0)</f>
        <v>ZAIAI Women's Parkas Anoraks Long Coats with Removable Faux Fur Trim Hood Black S</v>
      </c>
      <c r="D110" s="18">
        <f>IFERROR(VLOOKUP(A110,[4]库存报告使用数据处理!$A:$B,2,0),0)</f>
        <v>1</v>
      </c>
      <c r="E110" s="18">
        <f>IFERROR(VLOOKUP(A110,[4]库存报告使用数据处理!$A:$C,3,0),0)</f>
        <v>0</v>
      </c>
      <c r="F110" s="18">
        <f>IFERROR(VLOOKUP(A110,[4]库存报告使用数据处理!$A:$D,4,0),0)</f>
        <v>0</v>
      </c>
      <c r="G110" s="18">
        <f>IFERROR(VLOOKUP(A110,[4]库存报告使用数据处理!$A:$E,5,0),0)</f>
        <v>1</v>
      </c>
      <c r="H110" s="18">
        <f>IFERROR(VLOOKUP(A110,[4]库存报告使用数据处理!$A:$F,6,0),0)</f>
        <v>39.05</v>
      </c>
      <c r="I110" s="18">
        <f>IFERROR(VLOOKUP($A110,[2]数据处理!$A:$B,2,0),0)</f>
        <v>13</v>
      </c>
      <c r="J110" s="18">
        <f>IFERROR(VLOOKUP($A110,[2]数据处理!$A:$D,4,0),0)</f>
        <v>0</v>
      </c>
      <c r="K110" s="18">
        <f>IFERROR(VLOOKUP($A110,[2]数据处理!$A:$E,5,0),0)</f>
        <v>0</v>
      </c>
      <c r="L110" s="18">
        <f>IFERROR(VLOOKUP($A110,[2]数据处理!$A:$N,7,0),0)</f>
        <v>0</v>
      </c>
      <c r="M110" s="22">
        <f t="shared" si="19"/>
        <v>13</v>
      </c>
      <c r="N110" s="18">
        <f>IFERROR(VLOOKUP($A110,[2]数据处理!$A:$N,3,0),0)</f>
        <v>0</v>
      </c>
      <c r="O110" s="17">
        <f>IFERROR(VLOOKUP($A110,[2]数据处理!$A:$N,14,0),0)</f>
        <v>13</v>
      </c>
      <c r="P110" s="17">
        <f>IFERROR(VLOOKUP($A110,[5]库存报告使用数据!$A$1:$B$65536,2,0),0)</f>
        <v>0</v>
      </c>
      <c r="Q110" s="17">
        <f>IFERROR(VLOOKUP($A110,[5]库存报告使用数据!$A$1:$E$65536,5,0),0)</f>
        <v>5568</v>
      </c>
      <c r="R110" s="17">
        <f>IFERROR(VLOOKUP($A110,[5]库存报告使用数据!$A$1:$H$65536,8,0),0)</f>
        <v>4532</v>
      </c>
      <c r="S110" s="17">
        <f>IFERROR(VLOOKUP($A110,[5]库存报告使用数据!$A$1:$K$65536,11,0),0)</f>
        <v>636</v>
      </c>
      <c r="T110" s="17">
        <f>IFERROR(VLOOKUP($A110,[5]库存报告使用数据!$A$1:$C$65536,3,0),"")</f>
        <v>0</v>
      </c>
      <c r="U110" s="17">
        <f>IFERROR(VLOOKUP($A110,[5]库存报告使用数据!$A$1:$F$65536,6,0),"")</f>
        <v>19</v>
      </c>
      <c r="V110" s="17">
        <f>IFERROR(VLOOKUP($A110,[5]库存报告使用数据!$A$1:$I$65536,9,0),"")</f>
        <v>23</v>
      </c>
      <c r="W110" s="17">
        <f>IFERROR(VLOOKUP($A110,[5]库存报告使用数据!$A$1:$L$65536,12,0),"")</f>
        <v>8</v>
      </c>
      <c r="X110" s="27" t="str">
        <f t="shared" si="20"/>
        <v/>
      </c>
      <c r="Y110" s="27">
        <f t="shared" si="21"/>
        <v>0.00341235632183908</v>
      </c>
      <c r="Z110" s="27">
        <f t="shared" si="22"/>
        <v>0.00507502206531333</v>
      </c>
      <c r="AA110" s="27">
        <f t="shared" si="23"/>
        <v>0.0125786163522013</v>
      </c>
      <c r="AB110" s="17">
        <f>IFERROR(VLOOKUP($A110,[5]库存报告使用数据!$A$1:$D$65536,4,0),"")</f>
        <v>0</v>
      </c>
      <c r="AC110" s="17">
        <f>IFERROR(VLOOKUP($A110,[5]库存报告使用数据!$A$1:$G$65536,7,0),"")</f>
        <v>7.72</v>
      </c>
      <c r="AD110" s="17">
        <f>IFERROR(VLOOKUP($A110,[5]库存报告使用数据!$A$1:$J$65536,10,0),"")</f>
        <v>10.29</v>
      </c>
      <c r="AE110" s="17">
        <f>IFERROR(VLOOKUP($A110,[5]库存报告使用数据!$A$1:$M$65536,13,0),"")</f>
        <v>3.51</v>
      </c>
      <c r="AF110" s="27">
        <f t="shared" si="32"/>
        <v>0</v>
      </c>
      <c r="AG110" s="27" t="str">
        <f t="shared" si="33"/>
        <v>有广告无销售广告费为7.72</v>
      </c>
      <c r="AH110" s="27" t="str">
        <f t="shared" si="34"/>
        <v>有广告无销售广告费为10.29</v>
      </c>
      <c r="AI110" s="27">
        <f t="shared" si="35"/>
        <v>0.0898847631241997</v>
      </c>
      <c r="AJ110" s="17">
        <f>IFERROR(VLOOKUP($B110,'[3]浏览量处理(勿删)'!$A:$B,2,0),"")</f>
        <v>5</v>
      </c>
      <c r="AK110" s="17">
        <f>IFERROR(VLOOKUP($B110,'[3]浏览量处理(勿删)'!$A:$C,3,0),"")</f>
        <v>23</v>
      </c>
      <c r="AL110" s="17">
        <f>IFERROR(VLOOKUP($B110,'[3]浏览量处理(勿删)'!$A:$D,4,0),"")</f>
        <v>25</v>
      </c>
      <c r="AM110" s="17">
        <f>IFERROR(VLOOKUP($B110,'[3]浏览量处理(勿删)'!$A:$E,5,0),"")</f>
        <v>4</v>
      </c>
      <c r="AN110" s="27">
        <f t="shared" si="24"/>
        <v>0.2</v>
      </c>
      <c r="AO110" s="27">
        <f t="shared" si="25"/>
        <v>0</v>
      </c>
      <c r="AP110" s="27">
        <f t="shared" si="26"/>
        <v>0</v>
      </c>
      <c r="AQ110" s="27">
        <f t="shared" si="27"/>
        <v>0.25</v>
      </c>
      <c r="AR110" s="32">
        <f t="shared" si="28"/>
        <v>0.142857142857143</v>
      </c>
      <c r="AS110" s="32">
        <f t="shared" si="29"/>
        <v>8.57142857142857</v>
      </c>
      <c r="AT110" s="32">
        <f t="shared" si="30"/>
        <v>4.42857142857143</v>
      </c>
      <c r="AU110" s="18">
        <f t="shared" si="31"/>
        <v>91</v>
      </c>
      <c r="AV110" s="33">
        <f>IFERROR(时间!$B$4+AU110,"上周无销量")</f>
        <v>43381</v>
      </c>
    </row>
    <row r="111" spans="1:48">
      <c r="A111" s="16" t="s">
        <v>155</v>
      </c>
      <c r="B111" s="17" t="str">
        <f>VLOOKUP(A111,[1]sku_fnsku_asin_产品名称!$A:$C,3,0)</f>
        <v>B0761PVQYZ</v>
      </c>
      <c r="C111" s="17" t="str">
        <f>VLOOKUP(A111,[1]sku_fnsku_asin_产品名称!$A:$D,4,0)</f>
        <v>ZAIAI Women's Parkas Anoraks Long Coats with Removable Faux Fur Trim Hood Black XL</v>
      </c>
      <c r="D111" s="18">
        <f>IFERROR(VLOOKUP(A111,[4]库存报告使用数据处理!$A:$B,2,0),0)</f>
        <v>0</v>
      </c>
      <c r="E111" s="18">
        <f>IFERROR(VLOOKUP(A111,[4]库存报告使用数据处理!$A:$C,3,0),0)</f>
        <v>0</v>
      </c>
      <c r="F111" s="18">
        <f>IFERROR(VLOOKUP(A111,[4]库存报告使用数据处理!$A:$D,4,0),0)</f>
        <v>0</v>
      </c>
      <c r="G111" s="18">
        <f>IFERROR(VLOOKUP(A111,[4]库存报告使用数据处理!$A:$E,5,0),0)</f>
        <v>0</v>
      </c>
      <c r="H111" s="18">
        <f>IFERROR(VLOOKUP(A111,[4]库存报告使用数据处理!$A:$F,6,0),0)</f>
        <v>0</v>
      </c>
      <c r="I111" s="18">
        <f>IFERROR(VLOOKUP($A111,[2]数据处理!$A:$B,2,0),0)</f>
        <v>7</v>
      </c>
      <c r="J111" s="18">
        <f>IFERROR(VLOOKUP($A111,[2]数据处理!$A:$D,4,0),0)</f>
        <v>0</v>
      </c>
      <c r="K111" s="18">
        <f>IFERROR(VLOOKUP($A111,[2]数据处理!$A:$E,5,0),0)</f>
        <v>0</v>
      </c>
      <c r="L111" s="18">
        <f>IFERROR(VLOOKUP($A111,[2]数据处理!$A:$N,7,0),0)</f>
        <v>0</v>
      </c>
      <c r="M111" s="22">
        <f t="shared" si="19"/>
        <v>7</v>
      </c>
      <c r="N111" s="18">
        <f>IFERROR(VLOOKUP($A111,[2]数据处理!$A:$N,3,0),0)</f>
        <v>1</v>
      </c>
      <c r="O111" s="17">
        <f>IFERROR(VLOOKUP($A111,[2]数据处理!$A:$N,14,0),0)</f>
        <v>0</v>
      </c>
      <c r="P111" s="17">
        <f>IFERROR(VLOOKUP($A111,[5]库存报告使用数据!$A$1:$B$65536,2,0),0)</f>
        <v>0</v>
      </c>
      <c r="Q111" s="17">
        <f>IFERROR(VLOOKUP($A111,[5]库存报告使用数据!$A$1:$E$65536,5,0),0)</f>
        <v>2235</v>
      </c>
      <c r="R111" s="17">
        <f>IFERROR(VLOOKUP($A111,[5]库存报告使用数据!$A$1:$H$65536,8,0),0)</f>
        <v>1638</v>
      </c>
      <c r="S111" s="17">
        <f>IFERROR(VLOOKUP($A111,[5]库存报告使用数据!$A$1:$K$65536,11,0),0)</f>
        <v>1849</v>
      </c>
      <c r="T111" s="17">
        <f>IFERROR(VLOOKUP($A111,[5]库存报告使用数据!$A$1:$C$65536,3,0),"")</f>
        <v>0</v>
      </c>
      <c r="U111" s="17">
        <f>IFERROR(VLOOKUP($A111,[5]库存报告使用数据!$A$1:$F$65536,6,0),"")</f>
        <v>5</v>
      </c>
      <c r="V111" s="17">
        <f>IFERROR(VLOOKUP($A111,[5]库存报告使用数据!$A$1:$I$65536,9,0),"")</f>
        <v>9</v>
      </c>
      <c r="W111" s="17">
        <f>IFERROR(VLOOKUP($A111,[5]库存报告使用数据!$A$1:$L$65536,12,0),"")</f>
        <v>8</v>
      </c>
      <c r="X111" s="27" t="str">
        <f t="shared" si="20"/>
        <v/>
      </c>
      <c r="Y111" s="27">
        <f t="shared" si="21"/>
        <v>0.00223713646532438</v>
      </c>
      <c r="Z111" s="27">
        <f t="shared" si="22"/>
        <v>0.00549450549450549</v>
      </c>
      <c r="AA111" s="27">
        <f t="shared" si="23"/>
        <v>0.00432666306111412</v>
      </c>
      <c r="AB111" s="17">
        <f>IFERROR(VLOOKUP($A111,[5]库存报告使用数据!$A$1:$D$65536,4,0),"")</f>
        <v>0</v>
      </c>
      <c r="AC111" s="17">
        <f>IFERROR(VLOOKUP($A111,[5]库存报告使用数据!$A$1:$G$65536,7,0),"")</f>
        <v>2.23</v>
      </c>
      <c r="AD111" s="17">
        <f>IFERROR(VLOOKUP($A111,[5]库存报告使用数据!$A$1:$J$65536,10,0),"")</f>
        <v>3.4</v>
      </c>
      <c r="AE111" s="17">
        <f>IFERROR(VLOOKUP($A111,[5]库存报告使用数据!$A$1:$M$65536,13,0),"")</f>
        <v>2.85</v>
      </c>
      <c r="AF111" s="27" t="str">
        <f t="shared" si="32"/>
        <v/>
      </c>
      <c r="AG111" s="27" t="str">
        <f t="shared" si="33"/>
        <v>有广告无销售广告费为2.23</v>
      </c>
      <c r="AH111" s="27" t="str">
        <f t="shared" si="34"/>
        <v>有广告无销售广告费为3.4</v>
      </c>
      <c r="AI111" s="27" t="str">
        <f t="shared" si="35"/>
        <v>有广告无销售广告费为2.85</v>
      </c>
      <c r="AJ111" s="17">
        <f>IFERROR(VLOOKUP($B111,'[3]浏览量处理(勿删)'!$A:$B,2,0),"")</f>
        <v>2</v>
      </c>
      <c r="AK111" s="17">
        <f>IFERROR(VLOOKUP($B111,'[3]浏览量处理(勿删)'!$A:$C,3,0),"")</f>
        <v>10</v>
      </c>
      <c r="AL111" s="17">
        <f>IFERROR(VLOOKUP($B111,'[3]浏览量处理(勿删)'!$A:$D,4,0),"")</f>
        <v>11</v>
      </c>
      <c r="AM111" s="17">
        <f>IFERROR(VLOOKUP($B111,'[3]浏览量处理(勿删)'!$A:$E,5,0),"")</f>
        <v>14</v>
      </c>
      <c r="AN111" s="27">
        <f t="shared" si="24"/>
        <v>0</v>
      </c>
      <c r="AO111" s="27">
        <f t="shared" si="25"/>
        <v>0</v>
      </c>
      <c r="AP111" s="27">
        <f t="shared" si="26"/>
        <v>0</v>
      </c>
      <c r="AQ111" s="27">
        <f t="shared" si="27"/>
        <v>0</v>
      </c>
      <c r="AR111" s="32">
        <f t="shared" si="28"/>
        <v>0</v>
      </c>
      <c r="AS111" s="32">
        <f t="shared" si="29"/>
        <v>0</v>
      </c>
      <c r="AT111" s="32">
        <f t="shared" si="30"/>
        <v>7</v>
      </c>
      <c r="AU111" s="18" t="str">
        <f t="shared" si="31"/>
        <v>库存为7</v>
      </c>
      <c r="AV111" s="33" t="str">
        <f>IFERROR(时间!$B$4+AU111,"上周无销量")</f>
        <v>上周无销量</v>
      </c>
    </row>
    <row r="112" spans="1:48">
      <c r="A112" s="16" t="s">
        <v>156</v>
      </c>
      <c r="B112" s="17" t="str">
        <f>VLOOKUP(A112,[1]sku_fnsku_asin_产品名称!$A:$C,3,0)</f>
        <v>B0761NLN4R</v>
      </c>
      <c r="C112" s="17" t="str">
        <f>VLOOKUP(A112,[1]sku_fnsku_asin_产品名称!$A:$D,4,0)</f>
        <v>ZAIAI Women's Parkas Anoraks Long Coats with Removable Faux Fur Trim Hood Black XXL</v>
      </c>
      <c r="D112" s="18">
        <f>IFERROR(VLOOKUP(A112,[4]库存报告使用数据处理!$A:$B,2,0),0)</f>
        <v>0</v>
      </c>
      <c r="E112" s="18">
        <f>IFERROR(VLOOKUP(A112,[4]库存报告使用数据处理!$A:$C,3,0),0)</f>
        <v>0</v>
      </c>
      <c r="F112" s="18">
        <f>IFERROR(VLOOKUP(A112,[4]库存报告使用数据处理!$A:$D,4,0),0)</f>
        <v>0</v>
      </c>
      <c r="G112" s="18">
        <f>IFERROR(VLOOKUP(A112,[4]库存报告使用数据处理!$A:$E,5,0),0)</f>
        <v>0</v>
      </c>
      <c r="H112" s="18">
        <f>IFERROR(VLOOKUP(A112,[4]库存报告使用数据处理!$A:$F,6,0),0)</f>
        <v>0</v>
      </c>
      <c r="I112" s="18">
        <f>IFERROR(VLOOKUP($A112,[2]数据处理!$A:$B,2,0),0)</f>
        <v>1</v>
      </c>
      <c r="J112" s="18">
        <f>IFERROR(VLOOKUP($A112,[2]数据处理!$A:$D,4,0),0)</f>
        <v>0</v>
      </c>
      <c r="K112" s="18">
        <f>IFERROR(VLOOKUP($A112,[2]数据处理!$A:$E,5,0),0)</f>
        <v>0</v>
      </c>
      <c r="L112" s="18">
        <f>IFERROR(VLOOKUP($A112,[2]数据处理!$A:$N,7,0),0)</f>
        <v>0</v>
      </c>
      <c r="M112" s="22">
        <f t="shared" si="19"/>
        <v>1</v>
      </c>
      <c r="N112" s="18">
        <f>IFERROR(VLOOKUP($A112,[2]数据处理!$A:$N,3,0),0)</f>
        <v>0</v>
      </c>
      <c r="O112" s="17">
        <f>IFERROR(VLOOKUP($A112,[2]数据处理!$A:$N,14,0),0)</f>
        <v>0</v>
      </c>
      <c r="P112" s="17">
        <f>IFERROR(VLOOKUP($A112,[5]库存报告使用数据!$A$1:$B$65536,2,0),0)</f>
        <v>3175</v>
      </c>
      <c r="Q112" s="17">
        <f>IFERROR(VLOOKUP($A112,[5]库存报告使用数据!$A$1:$E$65536,5,0),0)</f>
        <v>0</v>
      </c>
      <c r="R112" s="17">
        <f>IFERROR(VLOOKUP($A112,[5]库存报告使用数据!$A$1:$H$65536,8,0),0)</f>
        <v>0</v>
      </c>
      <c r="S112" s="17">
        <f>IFERROR(VLOOKUP($A112,[5]库存报告使用数据!$A$1:$K$65536,11,0),0)</f>
        <v>0</v>
      </c>
      <c r="T112" s="17">
        <f>IFERROR(VLOOKUP($A112,[5]库存报告使用数据!$A$1:$C$65536,3,0),"")</f>
        <v>11</v>
      </c>
      <c r="U112" s="17">
        <f>IFERROR(VLOOKUP($A112,[5]库存报告使用数据!$A$1:$F$65536,6,0),"")</f>
        <v>0</v>
      </c>
      <c r="V112" s="17">
        <f>IFERROR(VLOOKUP($A112,[5]库存报告使用数据!$A$1:$I$65536,9,0),"")</f>
        <v>0</v>
      </c>
      <c r="W112" s="17">
        <f>IFERROR(VLOOKUP($A112,[5]库存报告使用数据!$A$1:$L$65536,12,0),"")</f>
        <v>0</v>
      </c>
      <c r="X112" s="27">
        <f t="shared" si="20"/>
        <v>0.00346456692913386</v>
      </c>
      <c r="Y112" s="27" t="str">
        <f t="shared" si="21"/>
        <v/>
      </c>
      <c r="Z112" s="27" t="str">
        <f t="shared" si="22"/>
        <v/>
      </c>
      <c r="AA112" s="27" t="str">
        <f t="shared" si="23"/>
        <v/>
      </c>
      <c r="AB112" s="17">
        <f>IFERROR(VLOOKUP($A112,[5]库存报告使用数据!$A$1:$D$65536,4,0),"")</f>
        <v>6.13</v>
      </c>
      <c r="AC112" s="17">
        <f>IFERROR(VLOOKUP($A112,[5]库存报告使用数据!$A$1:$G$65536,7,0),"")</f>
        <v>0</v>
      </c>
      <c r="AD112" s="17">
        <f>IFERROR(VLOOKUP($A112,[5]库存报告使用数据!$A$1:$J$65536,10,0),"")</f>
        <v>0</v>
      </c>
      <c r="AE112" s="17">
        <f>IFERROR(VLOOKUP($A112,[5]库存报告使用数据!$A$1:$M$65536,13,0),"")</f>
        <v>0</v>
      </c>
      <c r="AF112" s="27" t="str">
        <f t="shared" si="32"/>
        <v>有广告无销售广告费为6.13</v>
      </c>
      <c r="AG112" s="27" t="str">
        <f t="shared" si="33"/>
        <v/>
      </c>
      <c r="AH112" s="27" t="str">
        <f t="shared" si="34"/>
        <v/>
      </c>
      <c r="AI112" s="27" t="str">
        <f t="shared" si="35"/>
        <v/>
      </c>
      <c r="AJ112" s="17">
        <f>IFERROR(VLOOKUP($B112,'[3]浏览量处理(勿删)'!$A:$B,2,0),"")</f>
        <v>3</v>
      </c>
      <c r="AK112" s="17">
        <f>IFERROR(VLOOKUP($B112,'[3]浏览量处理(勿删)'!$A:$C,3,0),"")</f>
        <v>0</v>
      </c>
      <c r="AL112" s="17">
        <f>IFERROR(VLOOKUP($B112,'[3]浏览量处理(勿删)'!$A:$D,4,0),"")</f>
        <v>0</v>
      </c>
      <c r="AM112" s="17">
        <f>IFERROR(VLOOKUP($B112,'[3]浏览量处理(勿删)'!$A:$E,5,0),"")</f>
        <v>1</v>
      </c>
      <c r="AN112" s="27">
        <f t="shared" si="24"/>
        <v>0</v>
      </c>
      <c r="AO112" s="27" t="str">
        <f t="shared" si="25"/>
        <v/>
      </c>
      <c r="AP112" s="27" t="str">
        <f t="shared" si="26"/>
        <v/>
      </c>
      <c r="AQ112" s="27">
        <f t="shared" si="27"/>
        <v>0</v>
      </c>
      <c r="AR112" s="32">
        <f t="shared" si="28"/>
        <v>0</v>
      </c>
      <c r="AS112" s="32">
        <f t="shared" si="29"/>
        <v>0</v>
      </c>
      <c r="AT112" s="32">
        <f t="shared" si="30"/>
        <v>1</v>
      </c>
      <c r="AU112" s="18" t="str">
        <f t="shared" si="31"/>
        <v>库存为1</v>
      </c>
      <c r="AV112" s="33" t="str">
        <f>IFERROR(时间!$B$4+AU112,"上周无销量")</f>
        <v>上周无销量</v>
      </c>
    </row>
    <row r="113" spans="1:48">
      <c r="A113" s="16" t="s">
        <v>157</v>
      </c>
      <c r="B113" s="17" t="str">
        <f>VLOOKUP(A113,[1]sku_fnsku_asin_产品名称!$A:$C,3,0)</f>
        <v>B0761P4LKC</v>
      </c>
      <c r="C113" s="17" t="str">
        <f>VLOOKUP(A113,[1]sku_fnsku_asin_产品名称!$A:$D,4,0)</f>
        <v>ZAIAI Women's Parka Winter Coat Overcoat Long Down Jacket Outwear Beige L</v>
      </c>
      <c r="D113" s="18">
        <f>IFERROR(VLOOKUP(A113,[4]库存报告使用数据处理!$A:$B,2,0),0)</f>
        <v>0</v>
      </c>
      <c r="E113" s="18">
        <f>IFERROR(VLOOKUP(A113,[4]库存报告使用数据处理!$A:$C,3,0),0)</f>
        <v>0</v>
      </c>
      <c r="F113" s="18">
        <f>IFERROR(VLOOKUP(A113,[4]库存报告使用数据处理!$A:$D,4,0),0)</f>
        <v>1</v>
      </c>
      <c r="G113" s="18">
        <f>IFERROR(VLOOKUP(A113,[4]库存报告使用数据处理!$A:$E,5,0),0)</f>
        <v>1</v>
      </c>
      <c r="H113" s="18">
        <f>IFERROR(VLOOKUP(A113,[4]库存报告使用数据处理!$A:$F,6,0),0)</f>
        <v>34.39</v>
      </c>
      <c r="I113" s="18">
        <f>IFERROR(VLOOKUP($A113,[2]数据处理!$A:$B,2,0),0)</f>
        <v>6</v>
      </c>
      <c r="J113" s="18">
        <f>IFERROR(VLOOKUP($A113,[2]数据处理!$A:$D,4,0),0)</f>
        <v>0</v>
      </c>
      <c r="K113" s="18">
        <f>IFERROR(VLOOKUP($A113,[2]数据处理!$A:$E,5,0),0)</f>
        <v>0</v>
      </c>
      <c r="L113" s="18">
        <f>IFERROR(VLOOKUP($A113,[2]数据处理!$A:$N,7,0),0)</f>
        <v>0</v>
      </c>
      <c r="M113" s="22">
        <f t="shared" si="19"/>
        <v>6</v>
      </c>
      <c r="N113" s="18">
        <f>IFERROR(VLOOKUP($A113,[2]数据处理!$A:$N,3,0),0)</f>
        <v>0</v>
      </c>
      <c r="O113" s="17">
        <f>IFERROR(VLOOKUP($A113,[2]数据处理!$A:$N,14,0),0)</f>
        <v>6</v>
      </c>
      <c r="P113" s="17">
        <f>IFERROR(VLOOKUP($A113,[5]库存报告使用数据!$A$1:$B$65536,2,0),0)</f>
        <v>0</v>
      </c>
      <c r="Q113" s="17">
        <f>IFERROR(VLOOKUP($A113,[5]库存报告使用数据!$A$1:$E$65536,5,0),0)</f>
        <v>4970</v>
      </c>
      <c r="R113" s="17">
        <f>IFERROR(VLOOKUP($A113,[5]库存报告使用数据!$A$1:$H$65536,8,0),0)</f>
        <v>4126</v>
      </c>
      <c r="S113" s="17">
        <f>IFERROR(VLOOKUP($A113,[5]库存报告使用数据!$A$1:$K$65536,11,0),0)</f>
        <v>6337</v>
      </c>
      <c r="T113" s="17">
        <f>IFERROR(VLOOKUP($A113,[5]库存报告使用数据!$A$1:$C$65536,3,0),"")</f>
        <v>0</v>
      </c>
      <c r="U113" s="17">
        <f>IFERROR(VLOOKUP($A113,[5]库存报告使用数据!$A$1:$F$65536,6,0),"")</f>
        <v>22</v>
      </c>
      <c r="V113" s="17">
        <f>IFERROR(VLOOKUP($A113,[5]库存报告使用数据!$A$1:$I$65536,9,0),"")</f>
        <v>20</v>
      </c>
      <c r="W113" s="17">
        <f>IFERROR(VLOOKUP($A113,[5]库存报告使用数据!$A$1:$L$65536,12,0),"")</f>
        <v>31</v>
      </c>
      <c r="X113" s="27" t="str">
        <f t="shared" si="20"/>
        <v/>
      </c>
      <c r="Y113" s="27">
        <f t="shared" si="21"/>
        <v>0.00442655935613682</v>
      </c>
      <c r="Z113" s="27">
        <f t="shared" si="22"/>
        <v>0.00484730974309258</v>
      </c>
      <c r="AA113" s="27">
        <f t="shared" si="23"/>
        <v>0.0048919046867603</v>
      </c>
      <c r="AB113" s="17">
        <f>IFERROR(VLOOKUP($A113,[5]库存报告使用数据!$A$1:$D$65536,4,0),"")</f>
        <v>0</v>
      </c>
      <c r="AC113" s="17">
        <f>IFERROR(VLOOKUP($A113,[5]库存报告使用数据!$A$1:$G$65536,7,0),"")</f>
        <v>7.15</v>
      </c>
      <c r="AD113" s="17">
        <f>IFERROR(VLOOKUP($A113,[5]库存报告使用数据!$A$1:$J$65536,10,0),"")</f>
        <v>6.82</v>
      </c>
      <c r="AE113" s="17">
        <f>IFERROR(VLOOKUP($A113,[5]库存报告使用数据!$A$1:$M$65536,13,0),"")</f>
        <v>12.18</v>
      </c>
      <c r="AF113" s="27" t="str">
        <f t="shared" si="32"/>
        <v/>
      </c>
      <c r="AG113" s="27" t="str">
        <f t="shared" si="33"/>
        <v>有广告无销售广告费为7.15</v>
      </c>
      <c r="AH113" s="27">
        <f t="shared" si="34"/>
        <v>0.198313463216051</v>
      </c>
      <c r="AI113" s="27">
        <f t="shared" si="35"/>
        <v>0.354172724629253</v>
      </c>
      <c r="AJ113" s="17">
        <f>IFERROR(VLOOKUP($B113,'[3]浏览量处理(勿删)'!$A:$B,2,0),"")</f>
        <v>4</v>
      </c>
      <c r="AK113" s="17">
        <f>IFERROR(VLOOKUP($B113,'[3]浏览量处理(勿删)'!$A:$C,3,0),"")</f>
        <v>19</v>
      </c>
      <c r="AL113" s="17">
        <f>IFERROR(VLOOKUP($B113,'[3]浏览量处理(勿删)'!$A:$D,4,0),"")</f>
        <v>30</v>
      </c>
      <c r="AM113" s="17">
        <f>IFERROR(VLOOKUP($B113,'[3]浏览量处理(勿删)'!$A:$E,5,0),"")</f>
        <v>31</v>
      </c>
      <c r="AN113" s="27">
        <f t="shared" si="24"/>
        <v>0</v>
      </c>
      <c r="AO113" s="27">
        <f t="shared" si="25"/>
        <v>0</v>
      </c>
      <c r="AP113" s="27">
        <f t="shared" si="26"/>
        <v>0.0333333333333333</v>
      </c>
      <c r="AQ113" s="27">
        <f t="shared" si="27"/>
        <v>0.032258064516129</v>
      </c>
      <c r="AR113" s="32">
        <f t="shared" si="28"/>
        <v>0</v>
      </c>
      <c r="AS113" s="32">
        <f t="shared" si="29"/>
        <v>0</v>
      </c>
      <c r="AT113" s="32">
        <f t="shared" si="30"/>
        <v>6</v>
      </c>
      <c r="AU113" s="18" t="str">
        <f t="shared" si="31"/>
        <v>库存为6</v>
      </c>
      <c r="AV113" s="33" t="str">
        <f>IFERROR(时间!$B$4+AU113,"上周无销量")</f>
        <v>上周无销量</v>
      </c>
    </row>
    <row r="114" spans="1:48">
      <c r="A114" s="16" t="s">
        <v>158</v>
      </c>
      <c r="B114" s="17" t="str">
        <f>VLOOKUP(A114,[1]sku_fnsku_asin_产品名称!$A:$C,3,0)</f>
        <v>B0761NJPNM</v>
      </c>
      <c r="C114" s="17" t="str">
        <f>VLOOKUP(A114,[1]sku_fnsku_asin_产品名称!$A:$D,4,0)</f>
        <v>ZAIAI Women's Parka Winter Coat Overcoat Long Down Jacket Outwear Beige M</v>
      </c>
      <c r="D114" s="18">
        <f>IFERROR(VLOOKUP(A114,[4]库存报告使用数据处理!$A:$B,2,0),0)</f>
        <v>0</v>
      </c>
      <c r="E114" s="18">
        <f>IFERROR(VLOOKUP(A114,[4]库存报告使用数据处理!$A:$C,3,0),0)</f>
        <v>0</v>
      </c>
      <c r="F114" s="18">
        <f>IFERROR(VLOOKUP(A114,[4]库存报告使用数据处理!$A:$D,4,0),0)</f>
        <v>0</v>
      </c>
      <c r="G114" s="18">
        <f>IFERROR(VLOOKUP(A114,[4]库存报告使用数据处理!$A:$E,5,0),0)</f>
        <v>0</v>
      </c>
      <c r="H114" s="18">
        <f>IFERROR(VLOOKUP(A114,[4]库存报告使用数据处理!$A:$F,6,0),0)</f>
        <v>0</v>
      </c>
      <c r="I114" s="18">
        <f>IFERROR(VLOOKUP($A114,[2]数据处理!$A:$B,2,0),0)</f>
        <v>6</v>
      </c>
      <c r="J114" s="18">
        <f>IFERROR(VLOOKUP($A114,[2]数据处理!$A:$D,4,0),0)</f>
        <v>0</v>
      </c>
      <c r="K114" s="18">
        <f>IFERROR(VLOOKUP($A114,[2]数据处理!$A:$E,5,0),0)</f>
        <v>0</v>
      </c>
      <c r="L114" s="18">
        <f>IFERROR(VLOOKUP($A114,[2]数据处理!$A:$N,7,0),0)</f>
        <v>0</v>
      </c>
      <c r="M114" s="22">
        <f t="shared" si="19"/>
        <v>6</v>
      </c>
      <c r="N114" s="18">
        <f>IFERROR(VLOOKUP($A114,[2]数据处理!$A:$N,3,0),0)</f>
        <v>0</v>
      </c>
      <c r="O114" s="17">
        <f>IFERROR(VLOOKUP($A114,[2]数据处理!$A:$N,14,0),0)</f>
        <v>6</v>
      </c>
      <c r="P114" s="17">
        <f>IFERROR(VLOOKUP($A114,[5]库存报告使用数据!$A$1:$B$65536,2,0),0)</f>
        <v>0</v>
      </c>
      <c r="Q114" s="17">
        <f>IFERROR(VLOOKUP($A114,[5]库存报告使用数据!$A$1:$E$65536,5,0),0)</f>
        <v>6677</v>
      </c>
      <c r="R114" s="17">
        <f>IFERROR(VLOOKUP($A114,[5]库存报告使用数据!$A$1:$H$65536,8,0),0)</f>
        <v>4647</v>
      </c>
      <c r="S114" s="17">
        <f>IFERROR(VLOOKUP($A114,[5]库存报告使用数据!$A$1:$K$65536,11,0),0)</f>
        <v>2281</v>
      </c>
      <c r="T114" s="17">
        <f>IFERROR(VLOOKUP($A114,[5]库存报告使用数据!$A$1:$C$65536,3,0),"")</f>
        <v>0</v>
      </c>
      <c r="U114" s="17">
        <f>IFERROR(VLOOKUP($A114,[5]库存报告使用数据!$A$1:$F$65536,6,0),"")</f>
        <v>24</v>
      </c>
      <c r="V114" s="17">
        <f>IFERROR(VLOOKUP($A114,[5]库存报告使用数据!$A$1:$I$65536,9,0),"")</f>
        <v>20</v>
      </c>
      <c r="W114" s="17">
        <f>IFERROR(VLOOKUP($A114,[5]库存报告使用数据!$A$1:$L$65536,12,0),"")</f>
        <v>14</v>
      </c>
      <c r="X114" s="27" t="str">
        <f t="shared" si="20"/>
        <v/>
      </c>
      <c r="Y114" s="27">
        <f t="shared" si="21"/>
        <v>0.0035944286356148</v>
      </c>
      <c r="Z114" s="27">
        <f t="shared" si="22"/>
        <v>0.00430385194749301</v>
      </c>
      <c r="AA114" s="27">
        <f t="shared" si="23"/>
        <v>0.00613765892152565</v>
      </c>
      <c r="AB114" s="17">
        <f>IFERROR(VLOOKUP($A114,[5]库存报告使用数据!$A$1:$D$65536,4,0),"")</f>
        <v>0</v>
      </c>
      <c r="AC114" s="17">
        <f>IFERROR(VLOOKUP($A114,[5]库存报告使用数据!$A$1:$G$65536,7,0),"")</f>
        <v>10.53</v>
      </c>
      <c r="AD114" s="17">
        <f>IFERROR(VLOOKUP($A114,[5]库存报告使用数据!$A$1:$J$65536,10,0),"")</f>
        <v>7.34</v>
      </c>
      <c r="AE114" s="17">
        <f>IFERROR(VLOOKUP($A114,[5]库存报告使用数据!$A$1:$M$65536,13,0),"")</f>
        <v>6.48</v>
      </c>
      <c r="AF114" s="27" t="str">
        <f t="shared" si="32"/>
        <v/>
      </c>
      <c r="AG114" s="27" t="str">
        <f t="shared" si="33"/>
        <v>有广告无销售广告费为10.53</v>
      </c>
      <c r="AH114" s="27" t="str">
        <f t="shared" si="34"/>
        <v>有广告无销售广告费为7.34</v>
      </c>
      <c r="AI114" s="27" t="str">
        <f t="shared" si="35"/>
        <v>有广告无销售广告费为6.48</v>
      </c>
      <c r="AJ114" s="17">
        <f>IFERROR(VLOOKUP($B114,'[3]浏览量处理(勿删)'!$A:$B,2,0),"")</f>
        <v>11</v>
      </c>
      <c r="AK114" s="17">
        <f>IFERROR(VLOOKUP($B114,'[3]浏览量处理(勿删)'!$A:$C,3,0),"")</f>
        <v>26</v>
      </c>
      <c r="AL114" s="17">
        <f>IFERROR(VLOOKUP($B114,'[3]浏览量处理(勿删)'!$A:$D,4,0),"")</f>
        <v>17</v>
      </c>
      <c r="AM114" s="17">
        <f>IFERROR(VLOOKUP($B114,'[3]浏览量处理(勿删)'!$A:$E,5,0),"")</f>
        <v>19</v>
      </c>
      <c r="AN114" s="27">
        <f t="shared" si="24"/>
        <v>0</v>
      </c>
      <c r="AO114" s="27">
        <f t="shared" si="25"/>
        <v>0</v>
      </c>
      <c r="AP114" s="27">
        <f t="shared" si="26"/>
        <v>0</v>
      </c>
      <c r="AQ114" s="27">
        <f t="shared" si="27"/>
        <v>0</v>
      </c>
      <c r="AR114" s="32">
        <f t="shared" si="28"/>
        <v>0</v>
      </c>
      <c r="AS114" s="32">
        <f t="shared" si="29"/>
        <v>0</v>
      </c>
      <c r="AT114" s="32">
        <f t="shared" si="30"/>
        <v>6</v>
      </c>
      <c r="AU114" s="18" t="str">
        <f t="shared" si="31"/>
        <v>库存为6</v>
      </c>
      <c r="AV114" s="33" t="str">
        <f>IFERROR(时间!$B$4+AU114,"上周无销量")</f>
        <v>上周无销量</v>
      </c>
    </row>
    <row r="115" spans="1:48">
      <c r="A115" s="16" t="s">
        <v>159</v>
      </c>
      <c r="B115" s="17" t="str">
        <f>VLOOKUP(A115,[1]sku_fnsku_asin_产品名称!$A:$C,3,0)</f>
        <v>B0761NM3SZ</v>
      </c>
      <c r="C115" s="17" t="str">
        <f>VLOOKUP(A115,[1]sku_fnsku_asin_产品名称!$A:$D,4,0)</f>
        <v>ZAIAI Women's Parka Winter Coat Overcoat Long Down Jacket Outwear Beige S</v>
      </c>
      <c r="D115" s="18">
        <f>IFERROR(VLOOKUP(A115,[4]库存报告使用数据处理!$A:$B,2,0),0)</f>
        <v>0</v>
      </c>
      <c r="E115" s="18">
        <f>IFERROR(VLOOKUP(A115,[4]库存报告使用数据处理!$A:$C,3,0),0)</f>
        <v>1</v>
      </c>
      <c r="F115" s="18">
        <f>IFERROR(VLOOKUP(A115,[4]库存报告使用数据处理!$A:$D,4,0),0)</f>
        <v>1</v>
      </c>
      <c r="G115" s="18">
        <f>IFERROR(VLOOKUP(A115,[4]库存报告使用数据处理!$A:$E,5,0),0)</f>
        <v>0</v>
      </c>
      <c r="H115" s="18">
        <f>IFERROR(VLOOKUP(A115,[4]库存报告使用数据处理!$A:$F,6,0),0)</f>
        <v>42.74</v>
      </c>
      <c r="I115" s="18">
        <f>IFERROR(VLOOKUP($A115,[2]数据处理!$A:$B,2,0),0)</f>
        <v>5</v>
      </c>
      <c r="J115" s="18">
        <f>IFERROR(VLOOKUP($A115,[2]数据处理!$A:$D,4,0),0)</f>
        <v>0</v>
      </c>
      <c r="K115" s="18">
        <f>IFERROR(VLOOKUP($A115,[2]数据处理!$A:$E,5,0),0)</f>
        <v>0</v>
      </c>
      <c r="L115" s="18">
        <f>IFERROR(VLOOKUP($A115,[2]数据处理!$A:$N,7,0),0)</f>
        <v>0</v>
      </c>
      <c r="M115" s="22">
        <f t="shared" si="19"/>
        <v>5</v>
      </c>
      <c r="N115" s="18">
        <f>IFERROR(VLOOKUP($A115,[2]数据处理!$A:$N,3,0),0)</f>
        <v>0</v>
      </c>
      <c r="O115" s="17">
        <f>IFERROR(VLOOKUP($A115,[2]数据处理!$A:$N,14,0),0)</f>
        <v>4</v>
      </c>
      <c r="P115" s="17">
        <f>IFERROR(VLOOKUP($A115,[5]库存报告使用数据!$A$1:$B$65536,2,0),0)</f>
        <v>0</v>
      </c>
      <c r="Q115" s="17">
        <f>IFERROR(VLOOKUP($A115,[5]库存报告使用数据!$A$1:$E$65536,5,0),0)</f>
        <v>28104</v>
      </c>
      <c r="R115" s="17">
        <f>IFERROR(VLOOKUP($A115,[5]库存报告使用数据!$A$1:$H$65536,8,0),0)</f>
        <v>8258</v>
      </c>
      <c r="S115" s="17">
        <f>IFERROR(VLOOKUP($A115,[5]库存报告使用数据!$A$1:$K$65536,11,0),0)</f>
        <v>7135</v>
      </c>
      <c r="T115" s="17">
        <f>IFERROR(VLOOKUP($A115,[5]库存报告使用数据!$A$1:$C$65536,3,0),"")</f>
        <v>0</v>
      </c>
      <c r="U115" s="17">
        <f>IFERROR(VLOOKUP($A115,[5]库存报告使用数据!$A$1:$F$65536,6,0),"")</f>
        <v>60</v>
      </c>
      <c r="V115" s="17">
        <f>IFERROR(VLOOKUP($A115,[5]库存报告使用数据!$A$1:$I$65536,9,0),"")</f>
        <v>18</v>
      </c>
      <c r="W115" s="17">
        <f>IFERROR(VLOOKUP($A115,[5]库存报告使用数据!$A$1:$L$65536,12,0),"")</f>
        <v>11</v>
      </c>
      <c r="X115" s="27" t="str">
        <f t="shared" si="20"/>
        <v/>
      </c>
      <c r="Y115" s="27">
        <f t="shared" si="21"/>
        <v>0.00213492741246798</v>
      </c>
      <c r="Z115" s="27">
        <f t="shared" si="22"/>
        <v>0.00217970452894163</v>
      </c>
      <c r="AA115" s="27">
        <f t="shared" si="23"/>
        <v>0.001541695865452</v>
      </c>
      <c r="AB115" s="17">
        <f>IFERROR(VLOOKUP($A115,[5]库存报告使用数据!$A$1:$D$65536,4,0),"")</f>
        <v>0</v>
      </c>
      <c r="AC115" s="17">
        <f>IFERROR(VLOOKUP($A115,[5]库存报告使用数据!$A$1:$G$65536,7,0),"")</f>
        <v>35.15</v>
      </c>
      <c r="AD115" s="17">
        <f>IFERROR(VLOOKUP($A115,[5]库存报告使用数据!$A$1:$J$65536,10,0),"")</f>
        <v>5.44</v>
      </c>
      <c r="AE115" s="17">
        <f>IFERROR(VLOOKUP($A115,[5]库存报告使用数据!$A$1:$M$65536,13,0),"")</f>
        <v>4.34</v>
      </c>
      <c r="AF115" s="27" t="str">
        <f t="shared" si="32"/>
        <v/>
      </c>
      <c r="AG115" s="27">
        <f t="shared" si="33"/>
        <v>0.822414599906411</v>
      </c>
      <c r="AH115" s="27">
        <f t="shared" si="34"/>
        <v>0.127281235376696</v>
      </c>
      <c r="AI115" s="27" t="str">
        <f t="shared" si="35"/>
        <v>有广告无销售广告费为4.34</v>
      </c>
      <c r="AJ115" s="17">
        <f>IFERROR(VLOOKUP($B115,'[3]浏览量处理(勿删)'!$A:$B,2,0),"")</f>
        <v>8</v>
      </c>
      <c r="AK115" s="17">
        <f>IFERROR(VLOOKUP($B115,'[3]浏览量处理(勿删)'!$A:$C,3,0),"")</f>
        <v>41</v>
      </c>
      <c r="AL115" s="17">
        <f>IFERROR(VLOOKUP($B115,'[3]浏览量处理(勿删)'!$A:$D,4,0),"")</f>
        <v>23</v>
      </c>
      <c r="AM115" s="17">
        <f>IFERROR(VLOOKUP($B115,'[3]浏览量处理(勿删)'!$A:$E,5,0),"")</f>
        <v>14</v>
      </c>
      <c r="AN115" s="27">
        <f t="shared" si="24"/>
        <v>0</v>
      </c>
      <c r="AO115" s="27">
        <f t="shared" si="25"/>
        <v>0.024390243902439</v>
      </c>
      <c r="AP115" s="27">
        <f t="shared" si="26"/>
        <v>0.0434782608695652</v>
      </c>
      <c r="AQ115" s="27">
        <f t="shared" si="27"/>
        <v>0</v>
      </c>
      <c r="AR115" s="32">
        <f t="shared" si="28"/>
        <v>0</v>
      </c>
      <c r="AS115" s="32">
        <f t="shared" si="29"/>
        <v>0</v>
      </c>
      <c r="AT115" s="32">
        <f t="shared" si="30"/>
        <v>5</v>
      </c>
      <c r="AU115" s="18" t="str">
        <f t="shared" si="31"/>
        <v>库存为5</v>
      </c>
      <c r="AV115" s="33" t="str">
        <f>IFERROR(时间!$B$4+AU115,"上周无销量")</f>
        <v>上周无销量</v>
      </c>
    </row>
    <row r="116" spans="1:48">
      <c r="A116" s="16" t="s">
        <v>160</v>
      </c>
      <c r="B116" s="17" t="str">
        <f>VLOOKUP(A116,[1]sku_fnsku_asin_产品名称!$A:$C,3,0)</f>
        <v>B0761NNM84</v>
      </c>
      <c r="C116" s="17" t="str">
        <f>VLOOKUP(A116,[1]sku_fnsku_asin_产品名称!$A:$D,4,0)</f>
        <v>ZAIAI Women's Parka Winter Coat Overcoat Long Down Jacket Outwear Beige XL</v>
      </c>
      <c r="D116" s="18">
        <f>IFERROR(VLOOKUP(A116,[4]库存报告使用数据处理!$A:$B,2,0),0)</f>
        <v>0</v>
      </c>
      <c r="E116" s="18">
        <f>IFERROR(VLOOKUP(A116,[4]库存报告使用数据处理!$A:$C,3,0),0)</f>
        <v>0</v>
      </c>
      <c r="F116" s="18">
        <f>IFERROR(VLOOKUP(A116,[4]库存报告使用数据处理!$A:$D,4,0),0)</f>
        <v>0</v>
      </c>
      <c r="G116" s="18">
        <f>IFERROR(VLOOKUP(A116,[4]库存报告使用数据处理!$A:$E,5,0),0)</f>
        <v>0</v>
      </c>
      <c r="H116" s="18">
        <f>IFERROR(VLOOKUP(A116,[4]库存报告使用数据处理!$A:$F,6,0),0)</f>
        <v>0</v>
      </c>
      <c r="I116" s="18">
        <f>IFERROR(VLOOKUP($A116,[2]数据处理!$A:$B,2,0),0)</f>
        <v>4</v>
      </c>
      <c r="J116" s="18">
        <f>IFERROR(VLOOKUP($A116,[2]数据处理!$A:$D,4,0),0)</f>
        <v>0</v>
      </c>
      <c r="K116" s="18">
        <f>IFERROR(VLOOKUP($A116,[2]数据处理!$A:$E,5,0),0)</f>
        <v>0</v>
      </c>
      <c r="L116" s="18">
        <f>IFERROR(VLOOKUP($A116,[2]数据处理!$A:$N,7,0),0)</f>
        <v>0</v>
      </c>
      <c r="M116" s="22">
        <f t="shared" si="19"/>
        <v>4</v>
      </c>
      <c r="N116" s="18">
        <f>IFERROR(VLOOKUP($A116,[2]数据处理!$A:$N,3,0),0)</f>
        <v>0</v>
      </c>
      <c r="O116" s="17">
        <f>IFERROR(VLOOKUP($A116,[2]数据处理!$A:$N,14,0),0)</f>
        <v>2</v>
      </c>
      <c r="P116" s="17">
        <f>IFERROR(VLOOKUP($A116,[5]库存报告使用数据!$A$1:$B$65536,2,0),0)</f>
        <v>0</v>
      </c>
      <c r="Q116" s="17">
        <f>IFERROR(VLOOKUP($A116,[5]库存报告使用数据!$A$1:$E$65536,5,0),0)</f>
        <v>6139</v>
      </c>
      <c r="R116" s="17">
        <f>IFERROR(VLOOKUP($A116,[5]库存报告使用数据!$A$1:$H$65536,8,0),0)</f>
        <v>3975</v>
      </c>
      <c r="S116" s="17">
        <f>IFERROR(VLOOKUP($A116,[5]库存报告使用数据!$A$1:$K$65536,11,0),0)</f>
        <v>3902</v>
      </c>
      <c r="T116" s="17">
        <f>IFERROR(VLOOKUP($A116,[5]库存报告使用数据!$A$1:$C$65536,3,0),"")</f>
        <v>0</v>
      </c>
      <c r="U116" s="17">
        <f>IFERROR(VLOOKUP($A116,[5]库存报告使用数据!$A$1:$F$65536,6,0),"")</f>
        <v>25</v>
      </c>
      <c r="V116" s="17">
        <f>IFERROR(VLOOKUP($A116,[5]库存报告使用数据!$A$1:$I$65536,9,0),"")</f>
        <v>29</v>
      </c>
      <c r="W116" s="17">
        <f>IFERROR(VLOOKUP($A116,[5]库存报告使用数据!$A$1:$L$65536,12,0),"")</f>
        <v>17</v>
      </c>
      <c r="X116" s="27" t="str">
        <f t="shared" si="20"/>
        <v/>
      </c>
      <c r="Y116" s="27">
        <f t="shared" si="21"/>
        <v>0.00407232448281479</v>
      </c>
      <c r="Z116" s="27">
        <f t="shared" si="22"/>
        <v>0.00729559748427673</v>
      </c>
      <c r="AA116" s="27">
        <f t="shared" si="23"/>
        <v>0.00435674013326499</v>
      </c>
      <c r="AB116" s="17">
        <f>IFERROR(VLOOKUP($A116,[5]库存报告使用数据!$A$1:$D$65536,4,0),"")</f>
        <v>0</v>
      </c>
      <c r="AC116" s="17">
        <f>IFERROR(VLOOKUP($A116,[5]库存报告使用数据!$A$1:$G$65536,7,0),"")</f>
        <v>13.5</v>
      </c>
      <c r="AD116" s="17">
        <f>IFERROR(VLOOKUP($A116,[5]库存报告使用数据!$A$1:$J$65536,10,0),"")</f>
        <v>14.9</v>
      </c>
      <c r="AE116" s="17">
        <f>IFERROR(VLOOKUP($A116,[5]库存报告使用数据!$A$1:$M$65536,13,0),"")</f>
        <v>7.29</v>
      </c>
      <c r="AF116" s="27" t="str">
        <f t="shared" si="32"/>
        <v/>
      </c>
      <c r="AG116" s="27" t="str">
        <f t="shared" si="33"/>
        <v>有广告无销售广告费为13.5</v>
      </c>
      <c r="AH116" s="27" t="str">
        <f t="shared" si="34"/>
        <v>有广告无销售广告费为14.9</v>
      </c>
      <c r="AI116" s="27" t="str">
        <f t="shared" si="35"/>
        <v>有广告无销售广告费为7.29</v>
      </c>
      <c r="AJ116" s="17">
        <f>IFERROR(VLOOKUP($B116,'[3]浏览量处理(勿删)'!$A:$B,2,0),"")</f>
        <v>3</v>
      </c>
      <c r="AK116" s="17">
        <f>IFERROR(VLOOKUP($B116,'[3]浏览量处理(勿删)'!$A:$C,3,0),"")</f>
        <v>19</v>
      </c>
      <c r="AL116" s="17">
        <f>IFERROR(VLOOKUP($B116,'[3]浏览量处理(勿删)'!$A:$D,4,0),"")</f>
        <v>7</v>
      </c>
      <c r="AM116" s="17">
        <f>IFERROR(VLOOKUP($B116,'[3]浏览量处理(勿删)'!$A:$E,5,0),"")</f>
        <v>29</v>
      </c>
      <c r="AN116" s="27">
        <f t="shared" si="24"/>
        <v>0</v>
      </c>
      <c r="AO116" s="27">
        <f t="shared" si="25"/>
        <v>0</v>
      </c>
      <c r="AP116" s="27">
        <f t="shared" si="26"/>
        <v>0</v>
      </c>
      <c r="AQ116" s="27">
        <f t="shared" si="27"/>
        <v>0</v>
      </c>
      <c r="AR116" s="32">
        <f t="shared" si="28"/>
        <v>0</v>
      </c>
      <c r="AS116" s="32">
        <f t="shared" si="29"/>
        <v>0</v>
      </c>
      <c r="AT116" s="32">
        <f t="shared" si="30"/>
        <v>4</v>
      </c>
      <c r="AU116" s="18" t="str">
        <f t="shared" si="31"/>
        <v>库存为4</v>
      </c>
      <c r="AV116" s="33" t="str">
        <f>IFERROR(时间!$B$4+AU116,"上周无销量")</f>
        <v>上周无销量</v>
      </c>
    </row>
    <row r="117" spans="1:48">
      <c r="A117" s="16" t="s">
        <v>161</v>
      </c>
      <c r="B117" s="17" t="str">
        <f>VLOOKUP(A117,[1]sku_fnsku_asin_产品名称!$A:$C,3,0)</f>
        <v>B0761PTZY2</v>
      </c>
      <c r="C117" s="17" t="str">
        <f>VLOOKUP(A117,[1]sku_fnsku_asin_产品名称!$A:$D,4,0)</f>
        <v>ZAIAI Women's Parka Winter Coat Overcoat Long Down Jacket Outwear Beige XXL</v>
      </c>
      <c r="D117" s="18">
        <f>IFERROR(VLOOKUP(A117,[4]库存报告使用数据处理!$A:$B,2,0),0)</f>
        <v>0</v>
      </c>
      <c r="E117" s="18">
        <f>IFERROR(VLOOKUP(A117,[4]库存报告使用数据处理!$A:$C,3,0),0)</f>
        <v>2</v>
      </c>
      <c r="F117" s="18">
        <f>IFERROR(VLOOKUP(A117,[4]库存报告使用数据处理!$A:$D,4,0),0)</f>
        <v>0</v>
      </c>
      <c r="G117" s="18">
        <f>IFERROR(VLOOKUP(A117,[4]库存报告使用数据处理!$A:$E,5,0),0)</f>
        <v>0</v>
      </c>
      <c r="H117" s="18">
        <f>IFERROR(VLOOKUP(A117,[4]库存报告使用数据处理!$A:$F,6,0),0)</f>
        <v>42.99</v>
      </c>
      <c r="I117" s="18">
        <f>IFERROR(VLOOKUP($A117,[2]数据处理!$A:$B,2,0),0)</f>
        <v>1</v>
      </c>
      <c r="J117" s="18">
        <f>IFERROR(VLOOKUP($A117,[2]数据处理!$A:$D,4,0),0)</f>
        <v>0</v>
      </c>
      <c r="K117" s="18">
        <f>IFERROR(VLOOKUP($A117,[2]数据处理!$A:$E,5,0),0)</f>
        <v>0</v>
      </c>
      <c r="L117" s="18">
        <f>IFERROR(VLOOKUP($A117,[2]数据处理!$A:$N,7,0),0)</f>
        <v>0</v>
      </c>
      <c r="M117" s="22">
        <f t="shared" si="19"/>
        <v>1</v>
      </c>
      <c r="N117" s="18">
        <f>IFERROR(VLOOKUP($A117,[2]数据处理!$A:$N,3,0),0)</f>
        <v>0</v>
      </c>
      <c r="O117" s="17">
        <f>IFERROR(VLOOKUP($A117,[2]数据处理!$A:$N,14,0),0)</f>
        <v>0</v>
      </c>
      <c r="P117" s="17">
        <f>IFERROR(VLOOKUP($A117,[5]库存报告使用数据!$A$1:$B$65536,2,0),0)</f>
        <v>0</v>
      </c>
      <c r="Q117" s="17">
        <f>IFERROR(VLOOKUP($A117,[5]库存报告使用数据!$A$1:$E$65536,5,0),0)</f>
        <v>1812</v>
      </c>
      <c r="R117" s="17">
        <f>IFERROR(VLOOKUP($A117,[5]库存报告使用数据!$A$1:$H$65536,8,0),0)</f>
        <v>947</v>
      </c>
      <c r="S117" s="17">
        <f>IFERROR(VLOOKUP($A117,[5]库存报告使用数据!$A$1:$K$65536,11,0),0)</f>
        <v>1679</v>
      </c>
      <c r="T117" s="17">
        <f>IFERROR(VLOOKUP($A117,[5]库存报告使用数据!$A$1:$C$65536,3,0),"")</f>
        <v>0</v>
      </c>
      <c r="U117" s="17">
        <f>IFERROR(VLOOKUP($A117,[5]库存报告使用数据!$A$1:$F$65536,6,0),"")</f>
        <v>13</v>
      </c>
      <c r="V117" s="17">
        <f>IFERROR(VLOOKUP($A117,[5]库存报告使用数据!$A$1:$I$65536,9,0),"")</f>
        <v>2</v>
      </c>
      <c r="W117" s="17">
        <f>IFERROR(VLOOKUP($A117,[5]库存报告使用数据!$A$1:$L$65536,12,0),"")</f>
        <v>7</v>
      </c>
      <c r="X117" s="27" t="str">
        <f t="shared" si="20"/>
        <v/>
      </c>
      <c r="Y117" s="27">
        <f t="shared" si="21"/>
        <v>0.00717439293598234</v>
      </c>
      <c r="Z117" s="27">
        <f t="shared" si="22"/>
        <v>0.00211193241816262</v>
      </c>
      <c r="AA117" s="27">
        <f t="shared" si="23"/>
        <v>0.00416914830256105</v>
      </c>
      <c r="AB117" s="17">
        <f>IFERROR(VLOOKUP($A117,[5]库存报告使用数据!$A$1:$D$65536,4,0),"")</f>
        <v>0</v>
      </c>
      <c r="AC117" s="17">
        <f>IFERROR(VLOOKUP($A117,[5]库存报告使用数据!$A$1:$G$65536,7,0),"")</f>
        <v>7.43</v>
      </c>
      <c r="AD117" s="17">
        <f>IFERROR(VLOOKUP($A117,[5]库存报告使用数据!$A$1:$J$65536,10,0),"")</f>
        <v>1.79</v>
      </c>
      <c r="AE117" s="17">
        <f>IFERROR(VLOOKUP($A117,[5]库存报告使用数据!$A$1:$M$65536,13,0),"")</f>
        <v>3.16</v>
      </c>
      <c r="AF117" s="27" t="str">
        <f t="shared" si="32"/>
        <v/>
      </c>
      <c r="AG117" s="27">
        <f t="shared" si="33"/>
        <v>0.0864154454524308</v>
      </c>
      <c r="AH117" s="27" t="str">
        <f t="shared" si="34"/>
        <v>有广告无销售广告费为1.79</v>
      </c>
      <c r="AI117" s="27" t="str">
        <f t="shared" si="35"/>
        <v>有广告无销售广告费为3.16</v>
      </c>
      <c r="AJ117" s="17">
        <f>IFERROR(VLOOKUP($B117,'[3]浏览量处理(勿删)'!$A:$B,2,0),"")</f>
        <v>4</v>
      </c>
      <c r="AK117" s="17">
        <f>IFERROR(VLOOKUP($B117,'[3]浏览量处理(勿删)'!$A:$C,3,0),"")</f>
        <v>19</v>
      </c>
      <c r="AL117" s="17">
        <f>IFERROR(VLOOKUP($B117,'[3]浏览量处理(勿删)'!$A:$D,4,0),"")</f>
        <v>8</v>
      </c>
      <c r="AM117" s="17">
        <f>IFERROR(VLOOKUP($B117,'[3]浏览量处理(勿删)'!$A:$E,5,0),"")</f>
        <v>14</v>
      </c>
      <c r="AN117" s="27">
        <f t="shared" si="24"/>
        <v>0</v>
      </c>
      <c r="AO117" s="27">
        <f t="shared" si="25"/>
        <v>0.105263157894737</v>
      </c>
      <c r="AP117" s="27">
        <f t="shared" si="26"/>
        <v>0</v>
      </c>
      <c r="AQ117" s="27">
        <f t="shared" si="27"/>
        <v>0</v>
      </c>
      <c r="AR117" s="32">
        <f t="shared" si="28"/>
        <v>0</v>
      </c>
      <c r="AS117" s="32">
        <f t="shared" si="29"/>
        <v>0</v>
      </c>
      <c r="AT117" s="32">
        <f t="shared" si="30"/>
        <v>1</v>
      </c>
      <c r="AU117" s="18" t="str">
        <f t="shared" si="31"/>
        <v>库存为1</v>
      </c>
      <c r="AV117" s="33" t="str">
        <f>IFERROR(时间!$B$4+AU117,"上周无销量")</f>
        <v>上周无销量</v>
      </c>
    </row>
    <row r="118" spans="1:48">
      <c r="A118" s="16" t="s">
        <v>162</v>
      </c>
      <c r="B118" s="17" t="str">
        <f>VLOOKUP(A118,[1]sku_fnsku_asin_产品名称!$A:$C,3,0)</f>
        <v>B0761NJH9L</v>
      </c>
      <c r="C118" s="17" t="str">
        <f>VLOOKUP(A118,[1]sku_fnsku_asin_产品名称!$A:$D,4,0)</f>
        <v>ZAIAI Women's Parka Winter Coat Overcoat Long Down Jacket Outwear Navy L</v>
      </c>
      <c r="D118" s="18">
        <f>IFERROR(VLOOKUP(A118,[4]库存报告使用数据处理!$A:$B,2,0),0)</f>
        <v>0</v>
      </c>
      <c r="E118" s="18">
        <f>IFERROR(VLOOKUP(A118,[4]库存报告使用数据处理!$A:$C,3,0),0)</f>
        <v>0</v>
      </c>
      <c r="F118" s="18">
        <f>IFERROR(VLOOKUP(A118,[4]库存报告使用数据处理!$A:$D,4,0),0)</f>
        <v>0</v>
      </c>
      <c r="G118" s="18">
        <f>IFERROR(VLOOKUP(A118,[4]库存报告使用数据处理!$A:$E,5,0),0)</f>
        <v>0</v>
      </c>
      <c r="H118" s="18">
        <f>IFERROR(VLOOKUP(A118,[4]库存报告使用数据处理!$A:$F,6,0),0)</f>
        <v>0</v>
      </c>
      <c r="I118" s="18">
        <f>IFERROR(VLOOKUP($A118,[2]数据处理!$A:$B,2,0),0)</f>
        <v>1</v>
      </c>
      <c r="J118" s="18">
        <f>IFERROR(VLOOKUP($A118,[2]数据处理!$A:$D,4,0),0)</f>
        <v>0</v>
      </c>
      <c r="K118" s="18">
        <f>IFERROR(VLOOKUP($A118,[2]数据处理!$A:$E,5,0),0)</f>
        <v>0</v>
      </c>
      <c r="L118" s="18">
        <f>IFERROR(VLOOKUP($A118,[2]数据处理!$A:$N,7,0),0)</f>
        <v>0</v>
      </c>
      <c r="M118" s="22">
        <f t="shared" si="19"/>
        <v>1</v>
      </c>
      <c r="N118" s="18">
        <f>IFERROR(VLOOKUP($A118,[2]数据处理!$A:$N,3,0),0)</f>
        <v>0</v>
      </c>
      <c r="O118" s="17">
        <f>IFERROR(VLOOKUP($A118,[2]数据处理!$A:$N,14,0),0)</f>
        <v>0</v>
      </c>
      <c r="P118" s="17">
        <f>IFERROR(VLOOKUP($A118,[5]库存报告使用数据!$A$1:$B$65536,2,0),0)</f>
        <v>0</v>
      </c>
      <c r="Q118" s="17">
        <f>IFERROR(VLOOKUP($A118,[5]库存报告使用数据!$A$1:$E$65536,5,0),0)</f>
        <v>1721</v>
      </c>
      <c r="R118" s="17">
        <f>IFERROR(VLOOKUP($A118,[5]库存报告使用数据!$A$1:$H$65536,8,0),0)</f>
        <v>1005</v>
      </c>
      <c r="S118" s="17">
        <f>IFERROR(VLOOKUP($A118,[5]库存报告使用数据!$A$1:$K$65536,11,0),0)</f>
        <v>1904</v>
      </c>
      <c r="T118" s="17">
        <f>IFERROR(VLOOKUP($A118,[5]库存报告使用数据!$A$1:$C$65536,3,0),"")</f>
        <v>0</v>
      </c>
      <c r="U118" s="17">
        <f>IFERROR(VLOOKUP($A118,[5]库存报告使用数据!$A$1:$F$65536,6,0),"")</f>
        <v>9</v>
      </c>
      <c r="V118" s="17">
        <f>IFERROR(VLOOKUP($A118,[5]库存报告使用数据!$A$1:$I$65536,9,0),"")</f>
        <v>4</v>
      </c>
      <c r="W118" s="17">
        <f>IFERROR(VLOOKUP($A118,[5]库存报告使用数据!$A$1:$L$65536,12,0),"")</f>
        <v>6</v>
      </c>
      <c r="X118" s="27" t="str">
        <f t="shared" si="20"/>
        <v/>
      </c>
      <c r="Y118" s="27">
        <f t="shared" si="21"/>
        <v>0.0052295177222545</v>
      </c>
      <c r="Z118" s="27">
        <f t="shared" si="22"/>
        <v>0.00398009950248756</v>
      </c>
      <c r="AA118" s="27">
        <f t="shared" si="23"/>
        <v>0.00315126050420168</v>
      </c>
      <c r="AB118" s="17">
        <f>IFERROR(VLOOKUP($A118,[5]库存报告使用数据!$A$1:$D$65536,4,0),"")</f>
        <v>0</v>
      </c>
      <c r="AC118" s="17">
        <f>IFERROR(VLOOKUP($A118,[5]库存报告使用数据!$A$1:$G$65536,7,0),"")</f>
        <v>5.41</v>
      </c>
      <c r="AD118" s="17">
        <f>IFERROR(VLOOKUP($A118,[5]库存报告使用数据!$A$1:$J$65536,10,0),"")</f>
        <v>2.01</v>
      </c>
      <c r="AE118" s="17">
        <f>IFERROR(VLOOKUP($A118,[5]库存报告使用数据!$A$1:$M$65536,13,0),"")</f>
        <v>2.45</v>
      </c>
      <c r="AF118" s="27" t="str">
        <f t="shared" si="32"/>
        <v/>
      </c>
      <c r="AG118" s="27" t="str">
        <f t="shared" si="33"/>
        <v>有广告无销售广告费为5.41</v>
      </c>
      <c r="AH118" s="27" t="str">
        <f t="shared" si="34"/>
        <v>有广告无销售广告费为2.01</v>
      </c>
      <c r="AI118" s="27" t="str">
        <f t="shared" si="35"/>
        <v>有广告无销售广告费为2.45</v>
      </c>
      <c r="AJ118" s="17">
        <f>IFERROR(VLOOKUP($B118,'[3]浏览量处理(勿删)'!$A:$B,2,0),"")</f>
        <v>2</v>
      </c>
      <c r="AK118" s="17">
        <f>IFERROR(VLOOKUP($B118,'[3]浏览量处理(勿删)'!$A:$C,3,0),"")</f>
        <v>6</v>
      </c>
      <c r="AL118" s="17">
        <f>IFERROR(VLOOKUP($B118,'[3]浏览量处理(勿删)'!$A:$D,4,0),"")</f>
        <v>13</v>
      </c>
      <c r="AM118" s="17">
        <f>IFERROR(VLOOKUP($B118,'[3]浏览量处理(勿删)'!$A:$E,5,0),"")</f>
        <v>9</v>
      </c>
      <c r="AN118" s="27">
        <f t="shared" si="24"/>
        <v>0</v>
      </c>
      <c r="AO118" s="27">
        <f t="shared" si="25"/>
        <v>0</v>
      </c>
      <c r="AP118" s="27">
        <f t="shared" si="26"/>
        <v>0</v>
      </c>
      <c r="AQ118" s="27">
        <f t="shared" si="27"/>
        <v>0</v>
      </c>
      <c r="AR118" s="32">
        <f t="shared" si="28"/>
        <v>0</v>
      </c>
      <c r="AS118" s="32">
        <f t="shared" si="29"/>
        <v>0</v>
      </c>
      <c r="AT118" s="32">
        <f t="shared" si="30"/>
        <v>1</v>
      </c>
      <c r="AU118" s="18" t="str">
        <f t="shared" si="31"/>
        <v>库存为1</v>
      </c>
      <c r="AV118" s="33" t="str">
        <f>IFERROR(时间!$B$4+AU118,"上周无销量")</f>
        <v>上周无销量</v>
      </c>
    </row>
    <row r="119" spans="1:48">
      <c r="A119" s="16" t="s">
        <v>163</v>
      </c>
      <c r="B119" s="17" t="str">
        <f>VLOOKUP(A119,[1]sku_fnsku_asin_产品名称!$A:$C,3,0)</f>
        <v>B0761P4LK2</v>
      </c>
      <c r="C119" s="17" t="str">
        <f>VLOOKUP(A119,[1]sku_fnsku_asin_产品名称!$A:$D,4,0)</f>
        <v>ZAIAI Women's Parka Winter Coat Overcoat Long Down Jacket Outwear Navy M</v>
      </c>
      <c r="D119" s="18">
        <f>IFERROR(VLOOKUP(A119,[4]库存报告使用数据处理!$A:$B,2,0),0)</f>
        <v>0</v>
      </c>
      <c r="E119" s="18">
        <f>IFERROR(VLOOKUP(A119,[4]库存报告使用数据处理!$A:$C,3,0),0)</f>
        <v>0</v>
      </c>
      <c r="F119" s="18">
        <f>IFERROR(VLOOKUP(A119,[4]库存报告使用数据处理!$A:$D,4,0),0)</f>
        <v>0</v>
      </c>
      <c r="G119" s="18">
        <f>IFERROR(VLOOKUP(A119,[4]库存报告使用数据处理!$A:$E,5,0),0)</f>
        <v>0</v>
      </c>
      <c r="H119" s="18">
        <f>IFERROR(VLOOKUP(A119,[4]库存报告使用数据处理!$A:$F,6,0),0)</f>
        <v>0</v>
      </c>
      <c r="I119" s="18">
        <f>IFERROR(VLOOKUP($A119,[2]数据处理!$A:$B,2,0),0)</f>
        <v>5</v>
      </c>
      <c r="J119" s="18">
        <f>IFERROR(VLOOKUP($A119,[2]数据处理!$A:$D,4,0),0)</f>
        <v>0</v>
      </c>
      <c r="K119" s="18">
        <f>IFERROR(VLOOKUP($A119,[2]数据处理!$A:$E,5,0),0)</f>
        <v>0</v>
      </c>
      <c r="L119" s="18">
        <f>IFERROR(VLOOKUP($A119,[2]数据处理!$A:$N,7,0),0)</f>
        <v>0</v>
      </c>
      <c r="M119" s="22">
        <f t="shared" si="19"/>
        <v>5</v>
      </c>
      <c r="N119" s="18">
        <f>IFERROR(VLOOKUP($A119,[2]数据处理!$A:$N,3,0),0)</f>
        <v>0</v>
      </c>
      <c r="O119" s="17">
        <f>IFERROR(VLOOKUP($A119,[2]数据处理!$A:$N,14,0),0)</f>
        <v>5</v>
      </c>
      <c r="P119" s="17">
        <f>IFERROR(VLOOKUP($A119,[5]库存报告使用数据!$A$1:$B$65536,2,0),0)</f>
        <v>0</v>
      </c>
      <c r="Q119" s="17">
        <f>IFERROR(VLOOKUP($A119,[5]库存报告使用数据!$A$1:$E$65536,5,0),0)</f>
        <v>28269</v>
      </c>
      <c r="R119" s="17">
        <f>IFERROR(VLOOKUP($A119,[5]库存报告使用数据!$A$1:$H$65536,8,0),0)</f>
        <v>8981</v>
      </c>
      <c r="S119" s="17">
        <f>IFERROR(VLOOKUP($A119,[5]库存报告使用数据!$A$1:$K$65536,11,0),0)</f>
        <v>8222</v>
      </c>
      <c r="T119" s="17">
        <f>IFERROR(VLOOKUP($A119,[5]库存报告使用数据!$A$1:$C$65536,3,0),"")</f>
        <v>0</v>
      </c>
      <c r="U119" s="17">
        <f>IFERROR(VLOOKUP($A119,[5]库存报告使用数据!$A$1:$F$65536,6,0),"")</f>
        <v>41</v>
      </c>
      <c r="V119" s="17">
        <f>IFERROR(VLOOKUP($A119,[5]库存报告使用数据!$A$1:$I$65536,9,0),"")</f>
        <v>26</v>
      </c>
      <c r="W119" s="17">
        <f>IFERROR(VLOOKUP($A119,[5]库存报告使用数据!$A$1:$L$65536,12,0),"")</f>
        <v>16</v>
      </c>
      <c r="X119" s="27" t="str">
        <f t="shared" si="20"/>
        <v/>
      </c>
      <c r="Y119" s="27">
        <f t="shared" si="21"/>
        <v>0.00145035197566239</v>
      </c>
      <c r="Z119" s="27">
        <f t="shared" si="22"/>
        <v>0.00289500055673088</v>
      </c>
      <c r="AA119" s="27">
        <f t="shared" si="23"/>
        <v>0.00194599854050109</v>
      </c>
      <c r="AB119" s="17">
        <f>IFERROR(VLOOKUP($A119,[5]库存报告使用数据!$A$1:$D$65536,4,0),"")</f>
        <v>0</v>
      </c>
      <c r="AC119" s="17">
        <f>IFERROR(VLOOKUP($A119,[5]库存报告使用数据!$A$1:$G$65536,7,0),"")</f>
        <v>19.31</v>
      </c>
      <c r="AD119" s="17">
        <f>IFERROR(VLOOKUP($A119,[5]库存报告使用数据!$A$1:$J$65536,10,0),"")</f>
        <v>10.68</v>
      </c>
      <c r="AE119" s="17">
        <f>IFERROR(VLOOKUP($A119,[5]库存报告使用数据!$A$1:$M$65536,13,0),"")</f>
        <v>7.36</v>
      </c>
      <c r="AF119" s="27" t="str">
        <f t="shared" si="32"/>
        <v/>
      </c>
      <c r="AG119" s="27" t="str">
        <f t="shared" si="33"/>
        <v>有广告无销售广告费为19.31</v>
      </c>
      <c r="AH119" s="27" t="str">
        <f t="shared" si="34"/>
        <v>有广告无销售广告费为10.68</v>
      </c>
      <c r="AI119" s="27" t="str">
        <f t="shared" si="35"/>
        <v>有广告无销售广告费为7.36</v>
      </c>
      <c r="AJ119" s="17">
        <f>IFERROR(VLOOKUP($B119,'[3]浏览量处理(勿删)'!$A:$B,2,0),"")</f>
        <v>6</v>
      </c>
      <c r="AK119" s="17">
        <f>IFERROR(VLOOKUP($B119,'[3]浏览量处理(勿删)'!$A:$C,3,0),"")</f>
        <v>34</v>
      </c>
      <c r="AL119" s="17">
        <f>IFERROR(VLOOKUP($B119,'[3]浏览量处理(勿删)'!$A:$D,4,0),"")</f>
        <v>15</v>
      </c>
      <c r="AM119" s="17">
        <f>IFERROR(VLOOKUP($B119,'[3]浏览量处理(勿删)'!$A:$E,5,0),"")</f>
        <v>58</v>
      </c>
      <c r="AN119" s="27">
        <f t="shared" si="24"/>
        <v>0</v>
      </c>
      <c r="AO119" s="27">
        <f t="shared" si="25"/>
        <v>0</v>
      </c>
      <c r="AP119" s="27">
        <f t="shared" si="26"/>
        <v>0</v>
      </c>
      <c r="AQ119" s="27">
        <f t="shared" si="27"/>
        <v>0</v>
      </c>
      <c r="AR119" s="32">
        <f t="shared" si="28"/>
        <v>0</v>
      </c>
      <c r="AS119" s="32">
        <f t="shared" si="29"/>
        <v>0</v>
      </c>
      <c r="AT119" s="32">
        <f t="shared" si="30"/>
        <v>5</v>
      </c>
      <c r="AU119" s="18" t="str">
        <f t="shared" si="31"/>
        <v>库存为5</v>
      </c>
      <c r="AV119" s="33" t="str">
        <f>IFERROR(时间!$B$4+AU119,"上周无销量")</f>
        <v>上周无销量</v>
      </c>
    </row>
    <row r="120" spans="1:48">
      <c r="A120" s="16" t="s">
        <v>164</v>
      </c>
      <c r="B120" s="17" t="str">
        <f>VLOOKUP(A120,[1]sku_fnsku_asin_产品名称!$A:$C,3,0)</f>
        <v>B0761N286T</v>
      </c>
      <c r="C120" s="17" t="str">
        <f>VLOOKUP(A120,[1]sku_fnsku_asin_产品名称!$A:$D,4,0)</f>
        <v>ZAIAI Women's Parka Winter Coat Overcoat Long Down Jacket Outwear Navy S</v>
      </c>
      <c r="D120" s="18">
        <f>IFERROR(VLOOKUP(A120,[4]库存报告使用数据处理!$A:$B,2,0),0)</f>
        <v>0</v>
      </c>
      <c r="E120" s="18">
        <f>IFERROR(VLOOKUP(A120,[4]库存报告使用数据处理!$A:$C,3,0),0)</f>
        <v>0</v>
      </c>
      <c r="F120" s="18">
        <f>IFERROR(VLOOKUP(A120,[4]库存报告使用数据处理!$A:$D,4,0),0)</f>
        <v>0</v>
      </c>
      <c r="G120" s="18">
        <f>IFERROR(VLOOKUP(A120,[4]库存报告使用数据处理!$A:$E,5,0),0)</f>
        <v>0</v>
      </c>
      <c r="H120" s="18">
        <f>IFERROR(VLOOKUP(A120,[4]库存报告使用数据处理!$A:$F,6,0),0)</f>
        <v>0</v>
      </c>
      <c r="I120" s="18">
        <f>IFERROR(VLOOKUP($A120,[2]数据处理!$A:$B,2,0),0)</f>
        <v>8</v>
      </c>
      <c r="J120" s="18">
        <f>IFERROR(VLOOKUP($A120,[2]数据处理!$A:$D,4,0),0)</f>
        <v>0</v>
      </c>
      <c r="K120" s="18">
        <f>IFERROR(VLOOKUP($A120,[2]数据处理!$A:$E,5,0),0)</f>
        <v>0</v>
      </c>
      <c r="L120" s="18">
        <f>IFERROR(VLOOKUP($A120,[2]数据处理!$A:$N,7,0),0)</f>
        <v>0</v>
      </c>
      <c r="M120" s="22">
        <f t="shared" si="19"/>
        <v>8</v>
      </c>
      <c r="N120" s="18">
        <f>IFERROR(VLOOKUP($A120,[2]数据处理!$A:$N,3,0),0)</f>
        <v>0</v>
      </c>
      <c r="O120" s="17">
        <f>IFERROR(VLOOKUP($A120,[2]数据处理!$A:$N,14,0),0)</f>
        <v>8</v>
      </c>
      <c r="P120" s="17">
        <f>IFERROR(VLOOKUP($A120,[5]库存报告使用数据!$A$1:$B$65536,2,0),0)</f>
        <v>0</v>
      </c>
      <c r="Q120" s="17">
        <f>IFERROR(VLOOKUP($A120,[5]库存报告使用数据!$A$1:$E$65536,5,0),0)</f>
        <v>1568</v>
      </c>
      <c r="R120" s="17">
        <f>IFERROR(VLOOKUP($A120,[5]库存报告使用数据!$A$1:$H$65536,8,0),0)</f>
        <v>2118</v>
      </c>
      <c r="S120" s="17">
        <f>IFERROR(VLOOKUP($A120,[5]库存报告使用数据!$A$1:$K$65536,11,0),0)</f>
        <v>1727</v>
      </c>
      <c r="T120" s="17">
        <f>IFERROR(VLOOKUP($A120,[5]库存报告使用数据!$A$1:$C$65536,3,0),"")</f>
        <v>0</v>
      </c>
      <c r="U120" s="17">
        <f>IFERROR(VLOOKUP($A120,[5]库存报告使用数据!$A$1:$F$65536,6,0),"")</f>
        <v>8</v>
      </c>
      <c r="V120" s="17">
        <f>IFERROR(VLOOKUP($A120,[5]库存报告使用数据!$A$1:$I$65536,9,0),"")</f>
        <v>11</v>
      </c>
      <c r="W120" s="17">
        <f>IFERROR(VLOOKUP($A120,[5]库存报告使用数据!$A$1:$L$65536,12,0),"")</f>
        <v>8</v>
      </c>
      <c r="X120" s="27" t="str">
        <f t="shared" si="20"/>
        <v/>
      </c>
      <c r="Y120" s="27">
        <f t="shared" si="21"/>
        <v>0.00510204081632653</v>
      </c>
      <c r="Z120" s="27">
        <f t="shared" si="22"/>
        <v>0.00519357884796978</v>
      </c>
      <c r="AA120" s="27">
        <f t="shared" si="23"/>
        <v>0.00463231036479444</v>
      </c>
      <c r="AB120" s="17">
        <f>IFERROR(VLOOKUP($A120,[5]库存报告使用数据!$A$1:$D$65536,4,0),"")</f>
        <v>0</v>
      </c>
      <c r="AC120" s="17">
        <f>IFERROR(VLOOKUP($A120,[5]库存报告使用数据!$A$1:$G$65536,7,0),"")</f>
        <v>3.45</v>
      </c>
      <c r="AD120" s="17">
        <f>IFERROR(VLOOKUP($A120,[5]库存报告使用数据!$A$1:$J$65536,10,0),"")</f>
        <v>6.31</v>
      </c>
      <c r="AE120" s="17">
        <f>IFERROR(VLOOKUP($A120,[5]库存报告使用数据!$A$1:$M$65536,13,0),"")</f>
        <v>3.32</v>
      </c>
      <c r="AF120" s="27" t="str">
        <f t="shared" si="32"/>
        <v/>
      </c>
      <c r="AG120" s="27" t="str">
        <f t="shared" si="33"/>
        <v>有广告无销售广告费为3.45</v>
      </c>
      <c r="AH120" s="27" t="str">
        <f t="shared" si="34"/>
        <v>有广告无销售广告费为6.31</v>
      </c>
      <c r="AI120" s="27" t="str">
        <f t="shared" si="35"/>
        <v>有广告无销售广告费为3.32</v>
      </c>
      <c r="AJ120" s="17">
        <f>IFERROR(VLOOKUP($B120,'[3]浏览量处理(勿删)'!$A:$B,2,0),"")</f>
        <v>3</v>
      </c>
      <c r="AK120" s="17">
        <f>IFERROR(VLOOKUP($B120,'[3]浏览量处理(勿删)'!$A:$C,3,0),"")</f>
        <v>15</v>
      </c>
      <c r="AL120" s="17">
        <f>IFERROR(VLOOKUP($B120,'[3]浏览量处理(勿删)'!$A:$D,4,0),"")</f>
        <v>16</v>
      </c>
      <c r="AM120" s="17">
        <f>IFERROR(VLOOKUP($B120,'[3]浏览量处理(勿删)'!$A:$E,5,0),"")</f>
        <v>9</v>
      </c>
      <c r="AN120" s="27">
        <f t="shared" si="24"/>
        <v>0</v>
      </c>
      <c r="AO120" s="27">
        <f t="shared" si="25"/>
        <v>0</v>
      </c>
      <c r="AP120" s="27">
        <f t="shared" si="26"/>
        <v>0</v>
      </c>
      <c r="AQ120" s="27">
        <f t="shared" si="27"/>
        <v>0</v>
      </c>
      <c r="AR120" s="32">
        <f t="shared" si="28"/>
        <v>0</v>
      </c>
      <c r="AS120" s="32">
        <f t="shared" si="29"/>
        <v>0</v>
      </c>
      <c r="AT120" s="32">
        <f t="shared" si="30"/>
        <v>8</v>
      </c>
      <c r="AU120" s="18" t="str">
        <f t="shared" si="31"/>
        <v>库存为8</v>
      </c>
      <c r="AV120" s="33" t="str">
        <f>IFERROR(时间!$B$4+AU120,"上周无销量")</f>
        <v>上周无销量</v>
      </c>
    </row>
    <row r="121" spans="1:48">
      <c r="A121" s="16" t="s">
        <v>165</v>
      </c>
      <c r="B121" s="17" t="str">
        <f>VLOOKUP(A121,[1]sku_fnsku_asin_产品名称!$A:$C,3,0)</f>
        <v>B0761NG4W8</v>
      </c>
      <c r="C121" s="17" t="str">
        <f>VLOOKUP(A121,[1]sku_fnsku_asin_产品名称!$A:$D,4,0)</f>
        <v>ZAIAI Women's Parka Winter Coat Overcoat Long Down Jacket Outwear Navy XL</v>
      </c>
      <c r="D121" s="18">
        <f>IFERROR(VLOOKUP(A121,[4]库存报告使用数据处理!$A:$B,2,0),0)</f>
        <v>0</v>
      </c>
      <c r="E121" s="18">
        <f>IFERROR(VLOOKUP(A121,[4]库存报告使用数据处理!$A:$C,3,0),0)</f>
        <v>0</v>
      </c>
      <c r="F121" s="18">
        <f>IFERROR(VLOOKUP(A121,[4]库存报告使用数据处理!$A:$D,4,0),0)</f>
        <v>0</v>
      </c>
      <c r="G121" s="18">
        <f>IFERROR(VLOOKUP(A121,[4]库存报告使用数据处理!$A:$E,5,0),0)</f>
        <v>0</v>
      </c>
      <c r="H121" s="18">
        <f>IFERROR(VLOOKUP(A121,[4]库存报告使用数据处理!$A:$F,6,0),0)</f>
        <v>0</v>
      </c>
      <c r="I121" s="18">
        <f>IFERROR(VLOOKUP($A121,[2]数据处理!$A:$B,2,0),0)</f>
        <v>1</v>
      </c>
      <c r="J121" s="18">
        <f>IFERROR(VLOOKUP($A121,[2]数据处理!$A:$D,4,0),0)</f>
        <v>0</v>
      </c>
      <c r="K121" s="18">
        <f>IFERROR(VLOOKUP($A121,[2]数据处理!$A:$E,5,0),0)</f>
        <v>0</v>
      </c>
      <c r="L121" s="18">
        <f>IFERROR(VLOOKUP($A121,[2]数据处理!$A:$N,7,0),0)</f>
        <v>0</v>
      </c>
      <c r="M121" s="22">
        <f t="shared" si="19"/>
        <v>1</v>
      </c>
      <c r="N121" s="18">
        <f>IFERROR(VLOOKUP($A121,[2]数据处理!$A:$N,3,0),0)</f>
        <v>0</v>
      </c>
      <c r="O121" s="17">
        <f>IFERROR(VLOOKUP($A121,[2]数据处理!$A:$N,14,0),0)</f>
        <v>0</v>
      </c>
      <c r="P121" s="17">
        <f>IFERROR(VLOOKUP($A121,[5]库存报告使用数据!$A$1:$B$65536,2,0),0)</f>
        <v>0</v>
      </c>
      <c r="Q121" s="17">
        <f>IFERROR(VLOOKUP($A121,[5]库存报告使用数据!$A$1:$E$65536,5,0),0)</f>
        <v>0</v>
      </c>
      <c r="R121" s="17">
        <f>IFERROR(VLOOKUP($A121,[5]库存报告使用数据!$A$1:$H$65536,8,0),0)</f>
        <v>0</v>
      </c>
      <c r="S121" s="17">
        <f>IFERROR(VLOOKUP($A121,[5]库存报告使用数据!$A$1:$K$65536,11,0),0)</f>
        <v>0</v>
      </c>
      <c r="T121" s="17" t="str">
        <f>IFERROR(VLOOKUP($A121,[5]库存报告使用数据!$A$1:$C$65536,3,0),"")</f>
        <v/>
      </c>
      <c r="U121" s="17" t="str">
        <f>IFERROR(VLOOKUP($A121,[5]库存报告使用数据!$A$1:$F$65536,6,0),"")</f>
        <v/>
      </c>
      <c r="V121" s="17" t="str">
        <f>IFERROR(VLOOKUP($A121,[5]库存报告使用数据!$A$1:$I$65536,9,0),"")</f>
        <v/>
      </c>
      <c r="W121" s="17" t="str">
        <f>IFERROR(VLOOKUP($A121,[5]库存报告使用数据!$A$1:$L$65536,12,0),"")</f>
        <v/>
      </c>
      <c r="X121" s="27" t="str">
        <f t="shared" si="20"/>
        <v/>
      </c>
      <c r="Y121" s="27" t="str">
        <f t="shared" si="21"/>
        <v/>
      </c>
      <c r="Z121" s="27" t="str">
        <f t="shared" si="22"/>
        <v/>
      </c>
      <c r="AA121" s="27" t="str">
        <f t="shared" si="23"/>
        <v/>
      </c>
      <c r="AB121" s="17" t="str">
        <f>IFERROR(VLOOKUP($A121,[5]库存报告使用数据!$A$1:$D$65536,4,0),"")</f>
        <v/>
      </c>
      <c r="AC121" s="17" t="str">
        <f>IFERROR(VLOOKUP($A121,[5]库存报告使用数据!$A$1:$G$65536,7,0),"")</f>
        <v/>
      </c>
      <c r="AD121" s="17" t="str">
        <f>IFERROR(VLOOKUP($A121,[5]库存报告使用数据!$A$1:$J$65536,10,0),"")</f>
        <v/>
      </c>
      <c r="AE121" s="17" t="str">
        <f>IFERROR(VLOOKUP($A121,[5]库存报告使用数据!$A$1:$M$65536,13,0),"")</f>
        <v/>
      </c>
      <c r="AF121" s="27" t="str">
        <f t="shared" si="32"/>
        <v>有广告无销售广告费为</v>
      </c>
      <c r="AG121" s="27" t="str">
        <f t="shared" si="33"/>
        <v>有广告无销售广告费为</v>
      </c>
      <c r="AH121" s="27" t="str">
        <f t="shared" si="34"/>
        <v>有广告无销售广告费为</v>
      </c>
      <c r="AI121" s="27" t="str">
        <f t="shared" si="35"/>
        <v>有广告无销售广告费为</v>
      </c>
      <c r="AJ121" s="17">
        <f>IFERROR(VLOOKUP($B121,'[3]浏览量处理(勿删)'!$A:$B,2,0),"")</f>
        <v>5</v>
      </c>
      <c r="AK121" s="17">
        <f>IFERROR(VLOOKUP($B121,'[3]浏览量处理(勿删)'!$A:$C,3,0),"")</f>
        <v>0</v>
      </c>
      <c r="AL121" s="17">
        <f>IFERROR(VLOOKUP($B121,'[3]浏览量处理(勿删)'!$A:$D,4,0),"")</f>
        <v>0</v>
      </c>
      <c r="AM121" s="17">
        <f>IFERROR(VLOOKUP($B121,'[3]浏览量处理(勿删)'!$A:$E,5,0),"")</f>
        <v>11</v>
      </c>
      <c r="AN121" s="27">
        <f t="shared" si="24"/>
        <v>0</v>
      </c>
      <c r="AO121" s="27" t="str">
        <f t="shared" si="25"/>
        <v/>
      </c>
      <c r="AP121" s="27" t="str">
        <f t="shared" si="26"/>
        <v/>
      </c>
      <c r="AQ121" s="27">
        <f t="shared" si="27"/>
        <v>0</v>
      </c>
      <c r="AR121" s="32">
        <f t="shared" si="28"/>
        <v>0</v>
      </c>
      <c r="AS121" s="32">
        <f t="shared" si="29"/>
        <v>0</v>
      </c>
      <c r="AT121" s="32">
        <f t="shared" si="30"/>
        <v>1</v>
      </c>
      <c r="AU121" s="18" t="str">
        <f t="shared" si="31"/>
        <v>库存为1</v>
      </c>
      <c r="AV121" s="33" t="str">
        <f>IFERROR(时间!$B$4+AU121,"上周无销量")</f>
        <v>上周无销量</v>
      </c>
    </row>
    <row r="122" spans="1:48">
      <c r="A122" s="16" t="s">
        <v>166</v>
      </c>
      <c r="B122" s="17" t="str">
        <f>VLOOKUP(A122,[1]sku_fnsku_asin_产品名称!$A:$C,3,0)</f>
        <v>B0761PV7ZS</v>
      </c>
      <c r="C122" s="17" t="str">
        <f>VLOOKUP(A122,[1]sku_fnsku_asin_产品名称!$A:$D,4,0)</f>
        <v>ZAIAI Women's Parka Winter Coat Overcoat Long Down Jacket Outwear Navy XXL</v>
      </c>
      <c r="D122" s="18">
        <f>IFERROR(VLOOKUP(A122,[4]库存报告使用数据处理!$A:$B,2,0),0)</f>
        <v>0</v>
      </c>
      <c r="E122" s="18">
        <f>IFERROR(VLOOKUP(A122,[4]库存报告使用数据处理!$A:$C,3,0),0)</f>
        <v>0</v>
      </c>
      <c r="F122" s="18">
        <f>IFERROR(VLOOKUP(A122,[4]库存报告使用数据处理!$A:$D,4,0),0)</f>
        <v>0</v>
      </c>
      <c r="G122" s="18">
        <f>IFERROR(VLOOKUP(A122,[4]库存报告使用数据处理!$A:$E,5,0),0)</f>
        <v>0</v>
      </c>
      <c r="H122" s="18">
        <f>IFERROR(VLOOKUP(A122,[4]库存报告使用数据处理!$A:$F,6,0),0)</f>
        <v>0</v>
      </c>
      <c r="I122" s="18">
        <f>IFERROR(VLOOKUP($A122,[2]数据处理!$A:$B,2,0),0)</f>
        <v>1</v>
      </c>
      <c r="J122" s="18">
        <f>IFERROR(VLOOKUP($A122,[2]数据处理!$A:$D,4,0),0)</f>
        <v>0</v>
      </c>
      <c r="K122" s="18">
        <f>IFERROR(VLOOKUP($A122,[2]数据处理!$A:$E,5,0),0)</f>
        <v>0</v>
      </c>
      <c r="L122" s="18">
        <f>IFERROR(VLOOKUP($A122,[2]数据处理!$A:$N,7,0),0)</f>
        <v>0</v>
      </c>
      <c r="M122" s="22">
        <f t="shared" si="19"/>
        <v>1</v>
      </c>
      <c r="N122" s="18">
        <f>IFERROR(VLOOKUP($A122,[2]数据处理!$A:$N,3,0),0)</f>
        <v>0</v>
      </c>
      <c r="O122" s="17">
        <f>IFERROR(VLOOKUP($A122,[2]数据处理!$A:$N,14,0),0)</f>
        <v>0</v>
      </c>
      <c r="P122" s="17">
        <f>IFERROR(VLOOKUP($A122,[5]库存报告使用数据!$A$1:$B$65536,2,0),0)</f>
        <v>11310</v>
      </c>
      <c r="Q122" s="17">
        <f>IFERROR(VLOOKUP($A122,[5]库存报告使用数据!$A$1:$E$65536,5,0),0)</f>
        <v>0</v>
      </c>
      <c r="R122" s="17">
        <f>IFERROR(VLOOKUP($A122,[5]库存报告使用数据!$A$1:$H$65536,8,0),0)</f>
        <v>0</v>
      </c>
      <c r="S122" s="17">
        <f>IFERROR(VLOOKUP($A122,[5]库存报告使用数据!$A$1:$K$65536,11,0),0)</f>
        <v>0</v>
      </c>
      <c r="T122" s="17">
        <f>IFERROR(VLOOKUP($A122,[5]库存报告使用数据!$A$1:$C$65536,3,0),"")</f>
        <v>28</v>
      </c>
      <c r="U122" s="17">
        <f>IFERROR(VLOOKUP($A122,[5]库存报告使用数据!$A$1:$F$65536,6,0),"")</f>
        <v>0</v>
      </c>
      <c r="V122" s="17">
        <f>IFERROR(VLOOKUP($A122,[5]库存报告使用数据!$A$1:$I$65536,9,0),"")</f>
        <v>0</v>
      </c>
      <c r="W122" s="17">
        <f>IFERROR(VLOOKUP($A122,[5]库存报告使用数据!$A$1:$L$65536,12,0),"")</f>
        <v>0</v>
      </c>
      <c r="X122" s="27">
        <f t="shared" si="20"/>
        <v>0.00247568523430592</v>
      </c>
      <c r="Y122" s="27" t="str">
        <f t="shared" si="21"/>
        <v/>
      </c>
      <c r="Z122" s="27" t="str">
        <f t="shared" si="22"/>
        <v/>
      </c>
      <c r="AA122" s="27" t="str">
        <f t="shared" si="23"/>
        <v/>
      </c>
      <c r="AB122" s="17">
        <f>IFERROR(VLOOKUP($A122,[5]库存报告使用数据!$A$1:$D$65536,4,0),"")</f>
        <v>14.28</v>
      </c>
      <c r="AC122" s="17">
        <f>IFERROR(VLOOKUP($A122,[5]库存报告使用数据!$A$1:$G$65536,7,0),"")</f>
        <v>0</v>
      </c>
      <c r="AD122" s="17">
        <f>IFERROR(VLOOKUP($A122,[5]库存报告使用数据!$A$1:$J$65536,10,0),"")</f>
        <v>0</v>
      </c>
      <c r="AE122" s="17">
        <f>IFERROR(VLOOKUP($A122,[5]库存报告使用数据!$A$1:$M$65536,13,0),"")</f>
        <v>0</v>
      </c>
      <c r="AF122" s="27" t="str">
        <f t="shared" si="32"/>
        <v>有广告无销售广告费为14.28</v>
      </c>
      <c r="AG122" s="27" t="str">
        <f t="shared" si="33"/>
        <v/>
      </c>
      <c r="AH122" s="27" t="str">
        <f t="shared" si="34"/>
        <v/>
      </c>
      <c r="AI122" s="27" t="str">
        <f t="shared" si="35"/>
        <v/>
      </c>
      <c r="AJ122" s="17">
        <f>IFERROR(VLOOKUP($B122,'[3]浏览量处理(勿删)'!$A:$B,2,0),"")</f>
        <v>7</v>
      </c>
      <c r="AK122" s="17">
        <f>IFERROR(VLOOKUP($B122,'[3]浏览量处理(勿删)'!$A:$C,3,0),"")</f>
        <v>0</v>
      </c>
      <c r="AL122" s="17">
        <f>IFERROR(VLOOKUP($B122,'[3]浏览量处理(勿删)'!$A:$D,4,0),"")</f>
        <v>0</v>
      </c>
      <c r="AM122" s="17">
        <f>IFERROR(VLOOKUP($B122,'[3]浏览量处理(勿删)'!$A:$E,5,0),"")</f>
        <v>12</v>
      </c>
      <c r="AN122" s="27">
        <f t="shared" si="24"/>
        <v>0</v>
      </c>
      <c r="AO122" s="27" t="str">
        <f t="shared" si="25"/>
        <v/>
      </c>
      <c r="AP122" s="27" t="str">
        <f t="shared" si="26"/>
        <v/>
      </c>
      <c r="AQ122" s="27">
        <f t="shared" si="27"/>
        <v>0</v>
      </c>
      <c r="AR122" s="32">
        <f t="shared" si="28"/>
        <v>0</v>
      </c>
      <c r="AS122" s="32">
        <f t="shared" si="29"/>
        <v>0</v>
      </c>
      <c r="AT122" s="32">
        <f t="shared" si="30"/>
        <v>1</v>
      </c>
      <c r="AU122" s="18" t="str">
        <f t="shared" si="31"/>
        <v>库存为1</v>
      </c>
      <c r="AV122" s="33" t="str">
        <f>IFERROR(时间!$B$4+AU122,"上周无销量")</f>
        <v>上周无销量</v>
      </c>
    </row>
    <row r="123" spans="1:48">
      <c r="A123" s="16" t="s">
        <v>167</v>
      </c>
      <c r="B123" s="17" t="str">
        <f>VLOOKUP(A123,[1]sku_fnsku_asin_产品名称!$A:$C,3,0)</f>
        <v>B0761NMRB4</v>
      </c>
      <c r="C123" s="17" t="str">
        <f>VLOOKUP(A123,[1]sku_fnsku_asin_产品名称!$A:$D,4,0)</f>
        <v>ZAIAI Women's Coat With Fur Hood With 90% Down Parka Puffer Jacket Black M</v>
      </c>
      <c r="D123" s="18">
        <f>IFERROR(VLOOKUP(A123,[4]库存报告使用数据处理!$A:$B,2,0),0)</f>
        <v>0</v>
      </c>
      <c r="E123" s="18">
        <f>IFERROR(VLOOKUP(A123,[4]库存报告使用数据处理!$A:$C,3,0),0)</f>
        <v>0</v>
      </c>
      <c r="F123" s="18">
        <f>IFERROR(VLOOKUP(A123,[4]库存报告使用数据处理!$A:$D,4,0),0)</f>
        <v>0</v>
      </c>
      <c r="G123" s="18">
        <f>IFERROR(VLOOKUP(A123,[4]库存报告使用数据处理!$A:$E,5,0),0)</f>
        <v>0</v>
      </c>
      <c r="H123" s="18">
        <f>IFERROR(VLOOKUP(A123,[4]库存报告使用数据处理!$A:$F,6,0),0)</f>
        <v>0</v>
      </c>
      <c r="I123" s="18">
        <f>IFERROR(VLOOKUP($A123,[2]数据处理!$A:$B,2,0),0)</f>
        <v>11</v>
      </c>
      <c r="J123" s="18">
        <f>IFERROR(VLOOKUP($A123,[2]数据处理!$A:$D,4,0),0)</f>
        <v>0</v>
      </c>
      <c r="K123" s="18">
        <f>IFERROR(VLOOKUP($A123,[2]数据处理!$A:$E,5,0),0)</f>
        <v>0</v>
      </c>
      <c r="L123" s="18">
        <f>IFERROR(VLOOKUP($A123,[2]数据处理!$A:$N,7,0),0)</f>
        <v>0</v>
      </c>
      <c r="M123" s="22">
        <f t="shared" si="19"/>
        <v>11</v>
      </c>
      <c r="N123" s="18">
        <f>IFERROR(VLOOKUP($A123,[2]数据处理!$A:$N,3,0),0)</f>
        <v>0</v>
      </c>
      <c r="O123" s="17">
        <f>IFERROR(VLOOKUP($A123,[2]数据处理!$A:$N,14,0),0)</f>
        <v>10</v>
      </c>
      <c r="P123" s="17">
        <f>IFERROR(VLOOKUP($A123,[5]库存报告使用数据!$A$1:$B$65536,2,0),0)</f>
        <v>0</v>
      </c>
      <c r="Q123" s="17">
        <f>IFERROR(VLOOKUP($A123,[5]库存报告使用数据!$A$1:$E$65536,5,0),0)</f>
        <v>2728</v>
      </c>
      <c r="R123" s="17">
        <f>IFERROR(VLOOKUP($A123,[5]库存报告使用数据!$A$1:$H$65536,8,0),0)</f>
        <v>1270</v>
      </c>
      <c r="S123" s="17">
        <f>IFERROR(VLOOKUP($A123,[5]库存报告使用数据!$A$1:$K$65536,11,0),0)</f>
        <v>668</v>
      </c>
      <c r="T123" s="17">
        <f>IFERROR(VLOOKUP($A123,[5]库存报告使用数据!$A$1:$C$65536,3,0),"")</f>
        <v>0</v>
      </c>
      <c r="U123" s="17">
        <f>IFERROR(VLOOKUP($A123,[5]库存报告使用数据!$A$1:$F$65536,6,0),"")</f>
        <v>10</v>
      </c>
      <c r="V123" s="17">
        <f>IFERROR(VLOOKUP($A123,[5]库存报告使用数据!$A$1:$I$65536,9,0),"")</f>
        <v>6</v>
      </c>
      <c r="W123" s="17">
        <f>IFERROR(VLOOKUP($A123,[5]库存报告使用数据!$A$1:$L$65536,12,0),"")</f>
        <v>4</v>
      </c>
      <c r="X123" s="27" t="str">
        <f t="shared" si="20"/>
        <v/>
      </c>
      <c r="Y123" s="27">
        <f t="shared" si="21"/>
        <v>0.00366568914956012</v>
      </c>
      <c r="Z123" s="27">
        <f t="shared" si="22"/>
        <v>0.0047244094488189</v>
      </c>
      <c r="AA123" s="27">
        <f t="shared" si="23"/>
        <v>0.00598802395209581</v>
      </c>
      <c r="AB123" s="17">
        <f>IFERROR(VLOOKUP($A123,[5]库存报告使用数据!$A$1:$D$65536,4,0),"")</f>
        <v>0</v>
      </c>
      <c r="AC123" s="17">
        <f>IFERROR(VLOOKUP($A123,[5]库存报告使用数据!$A$1:$G$65536,7,0),"")</f>
        <v>5.48</v>
      </c>
      <c r="AD123" s="17">
        <f>IFERROR(VLOOKUP($A123,[5]库存报告使用数据!$A$1:$J$65536,10,0),"")</f>
        <v>3.21</v>
      </c>
      <c r="AE123" s="17">
        <f>IFERROR(VLOOKUP($A123,[5]库存报告使用数据!$A$1:$M$65536,13,0),"")</f>
        <v>1.81</v>
      </c>
      <c r="AF123" s="27" t="str">
        <f t="shared" si="32"/>
        <v/>
      </c>
      <c r="AG123" s="27" t="str">
        <f t="shared" si="33"/>
        <v>有广告无销售广告费为5.48</v>
      </c>
      <c r="AH123" s="27" t="str">
        <f t="shared" si="34"/>
        <v>有广告无销售广告费为3.21</v>
      </c>
      <c r="AI123" s="27" t="str">
        <f t="shared" si="35"/>
        <v>有广告无销售广告费为1.81</v>
      </c>
      <c r="AJ123" s="17">
        <f>IFERROR(VLOOKUP($B123,'[3]浏览量处理(勿删)'!$A:$B,2,0),"")</f>
        <v>3</v>
      </c>
      <c r="AK123" s="17">
        <f>IFERROR(VLOOKUP($B123,'[3]浏览量处理(勿删)'!$A:$C,3,0),"")</f>
        <v>7</v>
      </c>
      <c r="AL123" s="17">
        <f>IFERROR(VLOOKUP($B123,'[3]浏览量处理(勿删)'!$A:$D,4,0),"")</f>
        <v>5</v>
      </c>
      <c r="AM123" s="17">
        <f>IFERROR(VLOOKUP($B123,'[3]浏览量处理(勿删)'!$A:$E,5,0),"")</f>
        <v>5</v>
      </c>
      <c r="AN123" s="27">
        <f t="shared" si="24"/>
        <v>0</v>
      </c>
      <c r="AO123" s="27">
        <f t="shared" si="25"/>
        <v>0</v>
      </c>
      <c r="AP123" s="27">
        <f t="shared" si="26"/>
        <v>0</v>
      </c>
      <c r="AQ123" s="27">
        <f t="shared" si="27"/>
        <v>0</v>
      </c>
      <c r="AR123" s="32">
        <f t="shared" si="28"/>
        <v>0</v>
      </c>
      <c r="AS123" s="32">
        <f t="shared" si="29"/>
        <v>0</v>
      </c>
      <c r="AT123" s="32">
        <f t="shared" si="30"/>
        <v>11</v>
      </c>
      <c r="AU123" s="18" t="str">
        <f t="shared" si="31"/>
        <v>库存为11</v>
      </c>
      <c r="AV123" s="33" t="str">
        <f>IFERROR(时间!$B$4+AU123,"上周无销量")</f>
        <v>上周无销量</v>
      </c>
    </row>
    <row r="124" spans="1:48">
      <c r="A124" s="16" t="s">
        <v>168</v>
      </c>
      <c r="B124" s="17" t="str">
        <f>VLOOKUP(A124,[1]sku_fnsku_asin_产品名称!$A:$C,3,0)</f>
        <v>B0761NNDWM</v>
      </c>
      <c r="C124" s="17" t="str">
        <f>VLOOKUP(A124,[1]sku_fnsku_asin_产品名称!$A:$D,4,0)</f>
        <v>ZAIAI Women's Coat with Fur Hood with 90% Down Parka Puffer Jacket Black S</v>
      </c>
      <c r="D124" s="18">
        <f>IFERROR(VLOOKUP(A124,[4]库存报告使用数据处理!$A:$B,2,0),0)</f>
        <v>0</v>
      </c>
      <c r="E124" s="18">
        <f>IFERROR(VLOOKUP(A124,[4]库存报告使用数据处理!$A:$C,3,0),0)</f>
        <v>0</v>
      </c>
      <c r="F124" s="18">
        <f>IFERROR(VLOOKUP(A124,[4]库存报告使用数据处理!$A:$D,4,0),0)</f>
        <v>2</v>
      </c>
      <c r="G124" s="18">
        <f>IFERROR(VLOOKUP(A124,[4]库存报告使用数据处理!$A:$E,5,0),0)</f>
        <v>2</v>
      </c>
      <c r="H124" s="18">
        <f>IFERROR(VLOOKUP(A124,[4]库存报告使用数据处理!$A:$F,6,0),0)</f>
        <v>34.39</v>
      </c>
      <c r="I124" s="18">
        <f>IFERROR(VLOOKUP($A124,[2]数据处理!$A:$B,2,0),0)</f>
        <v>12</v>
      </c>
      <c r="J124" s="18">
        <f>IFERROR(VLOOKUP($A124,[2]数据处理!$A:$D,4,0),0)</f>
        <v>0</v>
      </c>
      <c r="K124" s="18">
        <f>IFERROR(VLOOKUP($A124,[2]数据处理!$A:$E,5,0),0)</f>
        <v>0</v>
      </c>
      <c r="L124" s="18">
        <f>IFERROR(VLOOKUP($A124,[2]数据处理!$A:$N,7,0),0)</f>
        <v>0</v>
      </c>
      <c r="M124" s="22">
        <f t="shared" si="19"/>
        <v>12</v>
      </c>
      <c r="N124" s="18">
        <f>IFERROR(VLOOKUP($A124,[2]数据处理!$A:$N,3,0),0)</f>
        <v>0</v>
      </c>
      <c r="O124" s="17">
        <f>IFERROR(VLOOKUP($A124,[2]数据处理!$A:$N,14,0),0)</f>
        <v>12</v>
      </c>
      <c r="P124" s="17">
        <f>IFERROR(VLOOKUP($A124,[5]库存报告使用数据!$A$1:$B$65536,2,0),0)</f>
        <v>0</v>
      </c>
      <c r="Q124" s="17">
        <f>IFERROR(VLOOKUP($A124,[5]库存报告使用数据!$A$1:$E$65536,5,0),0)</f>
        <v>4125</v>
      </c>
      <c r="R124" s="17">
        <f>IFERROR(VLOOKUP($A124,[5]库存报告使用数据!$A$1:$H$65536,8,0),0)</f>
        <v>1899</v>
      </c>
      <c r="S124" s="17">
        <f>IFERROR(VLOOKUP($A124,[5]库存报告使用数据!$A$1:$K$65536,11,0),0)</f>
        <v>2639</v>
      </c>
      <c r="T124" s="17">
        <f>IFERROR(VLOOKUP($A124,[5]库存报告使用数据!$A$1:$C$65536,3,0),"")</f>
        <v>0</v>
      </c>
      <c r="U124" s="17">
        <f>IFERROR(VLOOKUP($A124,[5]库存报告使用数据!$A$1:$F$65536,6,0),"")</f>
        <v>5</v>
      </c>
      <c r="V124" s="17">
        <f>IFERROR(VLOOKUP($A124,[5]库存报告使用数据!$A$1:$I$65536,9,0),"")</f>
        <v>6</v>
      </c>
      <c r="W124" s="17">
        <f>IFERROR(VLOOKUP($A124,[5]库存报告使用数据!$A$1:$L$65536,12,0),"")</f>
        <v>7</v>
      </c>
      <c r="X124" s="27" t="str">
        <f t="shared" si="20"/>
        <v/>
      </c>
      <c r="Y124" s="27">
        <f t="shared" si="21"/>
        <v>0.00121212121212121</v>
      </c>
      <c r="Z124" s="27">
        <f t="shared" si="22"/>
        <v>0.00315955766192733</v>
      </c>
      <c r="AA124" s="27">
        <f t="shared" si="23"/>
        <v>0.0026525198938992</v>
      </c>
      <c r="AB124" s="17">
        <f>IFERROR(VLOOKUP($A124,[5]库存报告使用数据!$A$1:$D$65536,4,0),"")</f>
        <v>0</v>
      </c>
      <c r="AC124" s="17">
        <f>IFERROR(VLOOKUP($A124,[5]库存报告使用数据!$A$1:$G$65536,7,0),"")</f>
        <v>2.78</v>
      </c>
      <c r="AD124" s="17">
        <f>IFERROR(VLOOKUP($A124,[5]库存报告使用数据!$A$1:$J$65536,10,0),"")</f>
        <v>2.06</v>
      </c>
      <c r="AE124" s="17">
        <f>IFERROR(VLOOKUP($A124,[5]库存报告使用数据!$A$1:$M$65536,13,0),"")</f>
        <v>2.92</v>
      </c>
      <c r="AF124" s="27" t="str">
        <f t="shared" si="32"/>
        <v/>
      </c>
      <c r="AG124" s="27" t="str">
        <f t="shared" si="33"/>
        <v>有广告无销售广告费为2.78</v>
      </c>
      <c r="AH124" s="27">
        <f t="shared" si="34"/>
        <v>0.0299505670252981</v>
      </c>
      <c r="AI124" s="27">
        <f t="shared" si="35"/>
        <v>0.0424542018028497</v>
      </c>
      <c r="AJ124" s="17">
        <f>IFERROR(VLOOKUP($B124,'[3]浏览量处理(勿删)'!$A:$B,2,0),"")</f>
        <v>6</v>
      </c>
      <c r="AK124" s="17">
        <f>IFERROR(VLOOKUP($B124,'[3]浏览量处理(勿删)'!$A:$C,3,0),"")</f>
        <v>13</v>
      </c>
      <c r="AL124" s="17">
        <f>IFERROR(VLOOKUP($B124,'[3]浏览量处理(勿删)'!$A:$D,4,0),"")</f>
        <v>17</v>
      </c>
      <c r="AM124" s="17">
        <f>IFERROR(VLOOKUP($B124,'[3]浏览量处理(勿删)'!$A:$E,5,0),"")</f>
        <v>9</v>
      </c>
      <c r="AN124" s="27">
        <f t="shared" si="24"/>
        <v>0</v>
      </c>
      <c r="AO124" s="27">
        <f t="shared" si="25"/>
        <v>0</v>
      </c>
      <c r="AP124" s="27">
        <f t="shared" si="26"/>
        <v>0.117647058823529</v>
      </c>
      <c r="AQ124" s="27">
        <f t="shared" si="27"/>
        <v>0.222222222222222</v>
      </c>
      <c r="AR124" s="32">
        <f t="shared" si="28"/>
        <v>0</v>
      </c>
      <c r="AS124" s="32">
        <f t="shared" si="29"/>
        <v>0</v>
      </c>
      <c r="AT124" s="32">
        <f t="shared" si="30"/>
        <v>12</v>
      </c>
      <c r="AU124" s="18" t="str">
        <f t="shared" si="31"/>
        <v>库存为12</v>
      </c>
      <c r="AV124" s="33" t="str">
        <f>IFERROR(时间!$B$4+AU124,"上周无销量")</f>
        <v>上周无销量</v>
      </c>
    </row>
    <row r="125" spans="1:48">
      <c r="A125" s="16" t="s">
        <v>169</v>
      </c>
      <c r="B125" s="17" t="str">
        <f>VLOOKUP(A125,[1]sku_fnsku_asin_产品名称!$A:$C,3,0)</f>
        <v>B0761PDHV5</v>
      </c>
      <c r="C125" s="17" t="str">
        <f>VLOOKUP(A125,[1]sku_fnsku_asin_产品名称!$A:$D,4,0)</f>
        <v>ZAIAI Women's Coat with Fur Hood with 90% Down Parka Puffer Jacket Black XS</v>
      </c>
      <c r="D125" s="18">
        <f>IFERROR(VLOOKUP(A125,[4]库存报告使用数据处理!$A:$B,2,0),0)</f>
        <v>0</v>
      </c>
      <c r="E125" s="18">
        <f>IFERROR(VLOOKUP(A125,[4]库存报告使用数据处理!$A:$C,3,0),0)</f>
        <v>0</v>
      </c>
      <c r="F125" s="18">
        <f>IFERROR(VLOOKUP(A125,[4]库存报告使用数据处理!$A:$D,4,0),0)</f>
        <v>0</v>
      </c>
      <c r="G125" s="18">
        <f>IFERROR(VLOOKUP(A125,[4]库存报告使用数据处理!$A:$E,5,0),0)</f>
        <v>0</v>
      </c>
      <c r="H125" s="18">
        <f>IFERROR(VLOOKUP(A125,[4]库存报告使用数据处理!$A:$F,6,0),0)</f>
        <v>0</v>
      </c>
      <c r="I125" s="18">
        <f>IFERROR(VLOOKUP($A125,[2]数据处理!$A:$B,2,0),0)</f>
        <v>15</v>
      </c>
      <c r="J125" s="18">
        <f>IFERROR(VLOOKUP($A125,[2]数据处理!$A:$D,4,0),0)</f>
        <v>0</v>
      </c>
      <c r="K125" s="18">
        <f>IFERROR(VLOOKUP($A125,[2]数据处理!$A:$E,5,0),0)</f>
        <v>0</v>
      </c>
      <c r="L125" s="18">
        <f>IFERROR(VLOOKUP($A125,[2]数据处理!$A:$N,7,0),0)</f>
        <v>0</v>
      </c>
      <c r="M125" s="22">
        <f t="shared" si="19"/>
        <v>15</v>
      </c>
      <c r="N125" s="18">
        <f>IFERROR(VLOOKUP($A125,[2]数据处理!$A:$N,3,0),0)</f>
        <v>0</v>
      </c>
      <c r="O125" s="17">
        <f>IFERROR(VLOOKUP($A125,[2]数据处理!$A:$N,14,0),0)</f>
        <v>15</v>
      </c>
      <c r="P125" s="17">
        <f>IFERROR(VLOOKUP($A125,[5]库存报告使用数据!$A$1:$B$65536,2,0),0)</f>
        <v>0</v>
      </c>
      <c r="Q125" s="17">
        <f>IFERROR(VLOOKUP($A125,[5]库存报告使用数据!$A$1:$E$65536,5,0),0)</f>
        <v>1270</v>
      </c>
      <c r="R125" s="17">
        <f>IFERROR(VLOOKUP($A125,[5]库存报告使用数据!$A$1:$H$65536,8,0),0)</f>
        <v>806</v>
      </c>
      <c r="S125" s="17">
        <f>IFERROR(VLOOKUP($A125,[5]库存报告使用数据!$A$1:$K$65536,11,0),0)</f>
        <v>605</v>
      </c>
      <c r="T125" s="17">
        <f>IFERROR(VLOOKUP($A125,[5]库存报告使用数据!$A$1:$C$65536,3,0),"")</f>
        <v>0</v>
      </c>
      <c r="U125" s="17">
        <f>IFERROR(VLOOKUP($A125,[5]库存报告使用数据!$A$1:$F$65536,6,0),"")</f>
        <v>1</v>
      </c>
      <c r="V125" s="17">
        <f>IFERROR(VLOOKUP($A125,[5]库存报告使用数据!$A$1:$I$65536,9,0),"")</f>
        <v>2</v>
      </c>
      <c r="W125" s="17">
        <f>IFERROR(VLOOKUP($A125,[5]库存报告使用数据!$A$1:$L$65536,12,0),"")</f>
        <v>2</v>
      </c>
      <c r="X125" s="27" t="str">
        <f t="shared" si="20"/>
        <v/>
      </c>
      <c r="Y125" s="27">
        <f t="shared" si="21"/>
        <v>0.00078740157480315</v>
      </c>
      <c r="Z125" s="27">
        <f t="shared" si="22"/>
        <v>0.00248138957816377</v>
      </c>
      <c r="AA125" s="27">
        <f t="shared" si="23"/>
        <v>0.00330578512396694</v>
      </c>
      <c r="AB125" s="17">
        <f>IFERROR(VLOOKUP($A125,[5]库存报告使用数据!$A$1:$D$65536,4,0),"")</f>
        <v>0</v>
      </c>
      <c r="AC125" s="17">
        <f>IFERROR(VLOOKUP($A125,[5]库存报告使用数据!$A$1:$G$65536,7,0),"")</f>
        <v>0.27</v>
      </c>
      <c r="AD125" s="17">
        <f>IFERROR(VLOOKUP($A125,[5]库存报告使用数据!$A$1:$J$65536,10,0),"")</f>
        <v>0.91</v>
      </c>
      <c r="AE125" s="17">
        <f>IFERROR(VLOOKUP($A125,[5]库存报告使用数据!$A$1:$M$65536,13,0),"")</f>
        <v>0.59</v>
      </c>
      <c r="AF125" s="27" t="str">
        <f t="shared" si="32"/>
        <v/>
      </c>
      <c r="AG125" s="27" t="str">
        <f t="shared" si="33"/>
        <v>有广告无销售广告费为0.27</v>
      </c>
      <c r="AH125" s="27" t="str">
        <f t="shared" si="34"/>
        <v>有广告无销售广告费为0.91</v>
      </c>
      <c r="AI125" s="27" t="str">
        <f t="shared" si="35"/>
        <v>有广告无销售广告费为0.59</v>
      </c>
      <c r="AJ125" s="17">
        <f>IFERROR(VLOOKUP($B125,'[3]浏览量处理(勿删)'!$A:$B,2,0),"")</f>
        <v>4</v>
      </c>
      <c r="AK125" s="17">
        <f>IFERROR(VLOOKUP($B125,'[3]浏览量处理(勿删)'!$A:$C,3,0),"")</f>
        <v>5</v>
      </c>
      <c r="AL125" s="17">
        <f>IFERROR(VLOOKUP($B125,'[3]浏览量处理(勿删)'!$A:$D,4,0),"")</f>
        <v>8</v>
      </c>
      <c r="AM125" s="17">
        <f>IFERROR(VLOOKUP($B125,'[3]浏览量处理(勿删)'!$A:$E,5,0),"")</f>
        <v>13</v>
      </c>
      <c r="AN125" s="27">
        <f t="shared" si="24"/>
        <v>0</v>
      </c>
      <c r="AO125" s="27">
        <f t="shared" si="25"/>
        <v>0</v>
      </c>
      <c r="AP125" s="27">
        <f t="shared" si="26"/>
        <v>0</v>
      </c>
      <c r="AQ125" s="27">
        <f t="shared" si="27"/>
        <v>0</v>
      </c>
      <c r="AR125" s="32">
        <f t="shared" si="28"/>
        <v>0</v>
      </c>
      <c r="AS125" s="32">
        <f t="shared" si="29"/>
        <v>0</v>
      </c>
      <c r="AT125" s="32">
        <f t="shared" si="30"/>
        <v>15</v>
      </c>
      <c r="AU125" s="18" t="str">
        <f t="shared" si="31"/>
        <v>库存为15</v>
      </c>
      <c r="AV125" s="33" t="str">
        <f>IFERROR(时间!$B$4+AU125,"上周无销量")</f>
        <v>上周无销量</v>
      </c>
    </row>
    <row r="126" spans="1:48">
      <c r="A126" s="16" t="s">
        <v>170</v>
      </c>
      <c r="B126" s="17" t="str">
        <f>VLOOKUP(A126,[1]sku_fnsku_asin_产品名称!$A:$C,3,0)</f>
        <v>B0761NGWJD</v>
      </c>
      <c r="C126" s="17" t="str">
        <f>VLOOKUP(A126,[1]sku_fnsku_asin_产品名称!$A:$D,4,0)</f>
        <v>ZAIAI Women's Coat with Fur Hood with 90% Down Parka Puffer Jacket Black L</v>
      </c>
      <c r="D126" s="18">
        <f>IFERROR(VLOOKUP(A126,[4]库存报告使用数据处理!$A:$B,2,0),0)</f>
        <v>0</v>
      </c>
      <c r="E126" s="18">
        <f>IFERROR(VLOOKUP(A126,[4]库存报告使用数据处理!$A:$C,3,0),0)</f>
        <v>0</v>
      </c>
      <c r="F126" s="18">
        <f>IFERROR(VLOOKUP(A126,[4]库存报告使用数据处理!$A:$D,4,0),0)</f>
        <v>0</v>
      </c>
      <c r="G126" s="18">
        <f>IFERROR(VLOOKUP(A126,[4]库存报告使用数据处理!$A:$E,5,0),0)</f>
        <v>0</v>
      </c>
      <c r="H126" s="18">
        <f>IFERROR(VLOOKUP(A126,[4]库存报告使用数据处理!$A:$F,6,0),0)</f>
        <v>0</v>
      </c>
      <c r="I126" s="18">
        <f>IFERROR(VLOOKUP($A126,[2]数据处理!$A:$B,2,0),0)</f>
        <v>15</v>
      </c>
      <c r="J126" s="18">
        <f>IFERROR(VLOOKUP($A126,[2]数据处理!$A:$D,4,0),0)</f>
        <v>0</v>
      </c>
      <c r="K126" s="18">
        <f>IFERROR(VLOOKUP($A126,[2]数据处理!$A:$E,5,0),0)</f>
        <v>0</v>
      </c>
      <c r="L126" s="18">
        <f>IFERROR(VLOOKUP($A126,[2]数据处理!$A:$N,7,0),0)</f>
        <v>0</v>
      </c>
      <c r="M126" s="22">
        <f t="shared" si="19"/>
        <v>15</v>
      </c>
      <c r="N126" s="18">
        <f>IFERROR(VLOOKUP($A126,[2]数据处理!$A:$N,3,0),0)</f>
        <v>0</v>
      </c>
      <c r="O126" s="17">
        <f>IFERROR(VLOOKUP($A126,[2]数据处理!$A:$N,14,0),0)</f>
        <v>14</v>
      </c>
      <c r="P126" s="17">
        <f>IFERROR(VLOOKUP($A126,[5]库存报告使用数据!$A$1:$B$65536,2,0),0)</f>
        <v>0</v>
      </c>
      <c r="Q126" s="17">
        <f>IFERROR(VLOOKUP($A126,[5]库存报告使用数据!$A$1:$E$65536,5,0),0)</f>
        <v>1089</v>
      </c>
      <c r="R126" s="17">
        <f>IFERROR(VLOOKUP($A126,[5]库存报告使用数据!$A$1:$H$65536,8,0),0)</f>
        <v>1924</v>
      </c>
      <c r="S126" s="17">
        <f>IFERROR(VLOOKUP($A126,[5]库存报告使用数据!$A$1:$K$65536,11,0),0)</f>
        <v>2342</v>
      </c>
      <c r="T126" s="17">
        <f>IFERROR(VLOOKUP($A126,[5]库存报告使用数据!$A$1:$C$65536,3,0),"")</f>
        <v>0</v>
      </c>
      <c r="U126" s="17">
        <f>IFERROR(VLOOKUP($A126,[5]库存报告使用数据!$A$1:$F$65536,6,0),"")</f>
        <v>1</v>
      </c>
      <c r="V126" s="17">
        <f>IFERROR(VLOOKUP($A126,[5]库存报告使用数据!$A$1:$I$65536,9,0),"")</f>
        <v>2</v>
      </c>
      <c r="W126" s="17">
        <f>IFERROR(VLOOKUP($A126,[5]库存报告使用数据!$A$1:$L$65536,12,0),"")</f>
        <v>3</v>
      </c>
      <c r="X126" s="27" t="str">
        <f t="shared" si="20"/>
        <v/>
      </c>
      <c r="Y126" s="27">
        <f t="shared" si="21"/>
        <v>0.000918273645546373</v>
      </c>
      <c r="Z126" s="27">
        <f t="shared" si="22"/>
        <v>0.00103950103950104</v>
      </c>
      <c r="AA126" s="27">
        <f t="shared" si="23"/>
        <v>0.00128095644748079</v>
      </c>
      <c r="AB126" s="17">
        <f>IFERROR(VLOOKUP($A126,[5]库存报告使用数据!$A$1:$D$65536,4,0),"")</f>
        <v>0</v>
      </c>
      <c r="AC126" s="17">
        <f>IFERROR(VLOOKUP($A126,[5]库存报告使用数据!$A$1:$G$65536,7,0),"")</f>
        <v>0.39</v>
      </c>
      <c r="AD126" s="17">
        <f>IFERROR(VLOOKUP($A126,[5]库存报告使用数据!$A$1:$J$65536,10,0),"")</f>
        <v>0.85</v>
      </c>
      <c r="AE126" s="17">
        <f>IFERROR(VLOOKUP($A126,[5]库存报告使用数据!$A$1:$M$65536,13,0),"")</f>
        <v>1.41</v>
      </c>
      <c r="AF126" s="27" t="str">
        <f t="shared" si="32"/>
        <v/>
      </c>
      <c r="AG126" s="27" t="str">
        <f t="shared" si="33"/>
        <v>有广告无销售广告费为0.39</v>
      </c>
      <c r="AH126" s="27" t="str">
        <f t="shared" si="34"/>
        <v>有广告无销售广告费为0.85</v>
      </c>
      <c r="AI126" s="27" t="str">
        <f t="shared" si="35"/>
        <v>有广告无销售广告费为1.41</v>
      </c>
      <c r="AJ126" s="17">
        <f>IFERROR(VLOOKUP($B126,'[3]浏览量处理(勿删)'!$A:$B,2,0),"")</f>
        <v>5</v>
      </c>
      <c r="AK126" s="17">
        <f>IFERROR(VLOOKUP($B126,'[3]浏览量处理(勿删)'!$A:$C,3,0),"")</f>
        <v>6</v>
      </c>
      <c r="AL126" s="17">
        <f>IFERROR(VLOOKUP($B126,'[3]浏览量处理(勿删)'!$A:$D,4,0),"")</f>
        <v>6</v>
      </c>
      <c r="AM126" s="17">
        <f>IFERROR(VLOOKUP($B126,'[3]浏览量处理(勿删)'!$A:$E,5,0),"")</f>
        <v>9</v>
      </c>
      <c r="AN126" s="27">
        <f t="shared" si="24"/>
        <v>0</v>
      </c>
      <c r="AO126" s="27">
        <f t="shared" si="25"/>
        <v>0</v>
      </c>
      <c r="AP126" s="27">
        <f t="shared" si="26"/>
        <v>0</v>
      </c>
      <c r="AQ126" s="27">
        <f t="shared" si="27"/>
        <v>0</v>
      </c>
      <c r="AR126" s="32">
        <f t="shared" si="28"/>
        <v>0</v>
      </c>
      <c r="AS126" s="32">
        <f t="shared" si="29"/>
        <v>0</v>
      </c>
      <c r="AT126" s="32">
        <f t="shared" si="30"/>
        <v>15</v>
      </c>
      <c r="AU126" s="18" t="str">
        <f t="shared" si="31"/>
        <v>库存为15</v>
      </c>
      <c r="AV126" s="33" t="str">
        <f>IFERROR(时间!$B$4+AU126,"上周无销量")</f>
        <v>上周无销量</v>
      </c>
    </row>
    <row r="127" spans="1:48">
      <c r="A127" s="16" t="s">
        <v>171</v>
      </c>
      <c r="B127" s="17" t="str">
        <f>VLOOKUP(A127,[1]sku_fnsku_asin_产品名称!$A:$C,3,0)</f>
        <v>B0761SKR3P</v>
      </c>
      <c r="C127" s="17" t="str">
        <f>VLOOKUP(A127,[1]sku_fnsku_asin_产品名称!$A:$D,4,0)</f>
        <v>ZAIAI Women's Coat with Fur Hood with 90% Down Parka Puffer Jacket Black XL</v>
      </c>
      <c r="D127" s="18">
        <f>IFERROR(VLOOKUP(A127,[4]库存报告使用数据处理!$A:$B,2,0),0)</f>
        <v>0</v>
      </c>
      <c r="E127" s="18">
        <f>IFERROR(VLOOKUP(A127,[4]库存报告使用数据处理!$A:$C,3,0),0)</f>
        <v>0</v>
      </c>
      <c r="F127" s="18">
        <f>IFERROR(VLOOKUP(A127,[4]库存报告使用数据处理!$A:$D,4,0),0)</f>
        <v>0</v>
      </c>
      <c r="G127" s="18">
        <f>IFERROR(VLOOKUP(A127,[4]库存报告使用数据处理!$A:$E,5,0),0)</f>
        <v>0</v>
      </c>
      <c r="H127" s="18">
        <f>IFERROR(VLOOKUP(A127,[4]库存报告使用数据处理!$A:$F,6,0),0)</f>
        <v>0</v>
      </c>
      <c r="I127" s="18">
        <f>IFERROR(VLOOKUP($A127,[2]数据处理!$A:$B,2,0),0)</f>
        <v>12</v>
      </c>
      <c r="J127" s="18">
        <f>IFERROR(VLOOKUP($A127,[2]数据处理!$A:$D,4,0),0)</f>
        <v>0</v>
      </c>
      <c r="K127" s="18">
        <f>IFERROR(VLOOKUP($A127,[2]数据处理!$A:$E,5,0),0)</f>
        <v>0</v>
      </c>
      <c r="L127" s="18">
        <f>IFERROR(VLOOKUP($A127,[2]数据处理!$A:$N,7,0),0)</f>
        <v>0</v>
      </c>
      <c r="M127" s="22">
        <f t="shared" si="19"/>
        <v>12</v>
      </c>
      <c r="N127" s="18">
        <f>IFERROR(VLOOKUP($A127,[2]数据处理!$A:$N,3,0),0)</f>
        <v>0</v>
      </c>
      <c r="O127" s="17">
        <f>IFERROR(VLOOKUP($A127,[2]数据处理!$A:$N,14,0),0)</f>
        <v>10</v>
      </c>
      <c r="P127" s="17">
        <f>IFERROR(VLOOKUP($A127,[5]库存报告使用数据!$A$1:$B$65536,2,0),0)</f>
        <v>0</v>
      </c>
      <c r="Q127" s="17">
        <f>IFERROR(VLOOKUP($A127,[5]库存报告使用数据!$A$1:$E$65536,5,0),0)</f>
        <v>1800</v>
      </c>
      <c r="R127" s="17">
        <f>IFERROR(VLOOKUP($A127,[5]库存报告使用数据!$A$1:$H$65536,8,0),0)</f>
        <v>2081</v>
      </c>
      <c r="S127" s="17">
        <f>IFERROR(VLOOKUP($A127,[5]库存报告使用数据!$A$1:$K$65536,11,0),0)</f>
        <v>4462</v>
      </c>
      <c r="T127" s="17">
        <f>IFERROR(VLOOKUP($A127,[5]库存报告使用数据!$A$1:$C$65536,3,0),"")</f>
        <v>0</v>
      </c>
      <c r="U127" s="17">
        <f>IFERROR(VLOOKUP($A127,[5]库存报告使用数据!$A$1:$F$65536,6,0),"")</f>
        <v>3</v>
      </c>
      <c r="V127" s="17">
        <f>IFERROR(VLOOKUP($A127,[5]库存报告使用数据!$A$1:$I$65536,9,0),"")</f>
        <v>4</v>
      </c>
      <c r="W127" s="17">
        <f>IFERROR(VLOOKUP($A127,[5]库存报告使用数据!$A$1:$L$65536,12,0),"")</f>
        <v>3</v>
      </c>
      <c r="X127" s="27" t="str">
        <f t="shared" si="20"/>
        <v/>
      </c>
      <c r="Y127" s="27">
        <f t="shared" si="21"/>
        <v>0.00166666666666667</v>
      </c>
      <c r="Z127" s="27">
        <f t="shared" si="22"/>
        <v>0.00192215281114849</v>
      </c>
      <c r="AA127" s="27">
        <f t="shared" si="23"/>
        <v>0.000672344240251008</v>
      </c>
      <c r="AB127" s="17">
        <f>IFERROR(VLOOKUP($A127,[5]库存报告使用数据!$A$1:$D$65536,4,0),"")</f>
        <v>0</v>
      </c>
      <c r="AC127" s="17">
        <f>IFERROR(VLOOKUP($A127,[5]库存报告使用数据!$A$1:$G$65536,7,0),"")</f>
        <v>1.78</v>
      </c>
      <c r="AD127" s="17">
        <f>IFERROR(VLOOKUP($A127,[5]库存报告使用数据!$A$1:$J$65536,10,0),"")</f>
        <v>1.51</v>
      </c>
      <c r="AE127" s="17">
        <f>IFERROR(VLOOKUP($A127,[5]库存报告使用数据!$A$1:$M$65536,13,0),"")</f>
        <v>1.56</v>
      </c>
      <c r="AF127" s="27" t="str">
        <f t="shared" si="32"/>
        <v/>
      </c>
      <c r="AG127" s="27" t="str">
        <f t="shared" si="33"/>
        <v>有广告无销售广告费为1.78</v>
      </c>
      <c r="AH127" s="27" t="str">
        <f t="shared" si="34"/>
        <v>有广告无销售广告费为1.51</v>
      </c>
      <c r="AI127" s="27" t="str">
        <f t="shared" si="35"/>
        <v>有广告无销售广告费为1.56</v>
      </c>
      <c r="AJ127" s="17">
        <f>IFERROR(VLOOKUP($B127,'[3]浏览量处理(勿删)'!$A:$B,2,0),"")</f>
        <v>2</v>
      </c>
      <c r="AK127" s="17">
        <f>IFERROR(VLOOKUP($B127,'[3]浏览量处理(勿删)'!$A:$C,3,0),"")</f>
        <v>17</v>
      </c>
      <c r="AL127" s="17">
        <f>IFERROR(VLOOKUP($B127,'[3]浏览量处理(勿删)'!$A:$D,4,0),"")</f>
        <v>5</v>
      </c>
      <c r="AM127" s="17">
        <f>IFERROR(VLOOKUP($B127,'[3]浏览量处理(勿删)'!$A:$E,5,0),"")</f>
        <v>8</v>
      </c>
      <c r="AN127" s="27">
        <f t="shared" si="24"/>
        <v>0</v>
      </c>
      <c r="AO127" s="27">
        <f t="shared" si="25"/>
        <v>0</v>
      </c>
      <c r="AP127" s="27">
        <f t="shared" si="26"/>
        <v>0</v>
      </c>
      <c r="AQ127" s="27">
        <f t="shared" si="27"/>
        <v>0</v>
      </c>
      <c r="AR127" s="32">
        <f t="shared" si="28"/>
        <v>0</v>
      </c>
      <c r="AS127" s="32">
        <f t="shared" si="29"/>
        <v>0</v>
      </c>
      <c r="AT127" s="32">
        <f t="shared" si="30"/>
        <v>12</v>
      </c>
      <c r="AU127" s="18" t="str">
        <f t="shared" si="31"/>
        <v>库存为12</v>
      </c>
      <c r="AV127" s="33" t="str">
        <f>IFERROR(时间!$B$4+AU127,"上周无销量")</f>
        <v>上周无销量</v>
      </c>
    </row>
    <row r="128" spans="1:48">
      <c r="A128" s="16" t="s">
        <v>172</v>
      </c>
      <c r="B128" s="17" t="str">
        <f>VLOOKUP(A128,[1]sku_fnsku_asin_产品名称!$A:$C,3,0)</f>
        <v>B0761NFTQC</v>
      </c>
      <c r="C128" s="17" t="str">
        <f>VLOOKUP(A128,[1]sku_fnsku_asin_产品名称!$A:$D,4,0)</f>
        <v>ZAIAI Women's Coat with Fur Hood with 90% Down Parka Puffer Jacket Beige M</v>
      </c>
      <c r="D128" s="18">
        <f>IFERROR(VLOOKUP(A128,[4]库存报告使用数据处理!$A:$B,2,0),0)</f>
        <v>0</v>
      </c>
      <c r="E128" s="18">
        <f>IFERROR(VLOOKUP(A128,[4]库存报告使用数据处理!$A:$C,3,0),0)</f>
        <v>0</v>
      </c>
      <c r="F128" s="18">
        <f>IFERROR(VLOOKUP(A128,[4]库存报告使用数据处理!$A:$D,4,0),0)</f>
        <v>0</v>
      </c>
      <c r="G128" s="18">
        <f>IFERROR(VLOOKUP(A128,[4]库存报告使用数据处理!$A:$E,5,0),0)</f>
        <v>0</v>
      </c>
      <c r="H128" s="18">
        <f>IFERROR(VLOOKUP(A128,[4]库存报告使用数据处理!$A:$F,6,0),0)</f>
        <v>0</v>
      </c>
      <c r="I128" s="18">
        <f>IFERROR(VLOOKUP($A128,[2]数据处理!$A:$B,2,0),0)</f>
        <v>8</v>
      </c>
      <c r="J128" s="18">
        <f>IFERROR(VLOOKUP($A128,[2]数据处理!$A:$D,4,0),0)</f>
        <v>0</v>
      </c>
      <c r="K128" s="18">
        <f>IFERROR(VLOOKUP($A128,[2]数据处理!$A:$E,5,0),0)</f>
        <v>0</v>
      </c>
      <c r="L128" s="18">
        <f>IFERROR(VLOOKUP($A128,[2]数据处理!$A:$N,7,0),0)</f>
        <v>0</v>
      </c>
      <c r="M128" s="22">
        <f t="shared" si="19"/>
        <v>8</v>
      </c>
      <c r="N128" s="18">
        <f>IFERROR(VLOOKUP($A128,[2]数据处理!$A:$N,3,0),0)</f>
        <v>0</v>
      </c>
      <c r="O128" s="17">
        <f>IFERROR(VLOOKUP($A128,[2]数据处理!$A:$N,14,0),0)</f>
        <v>8</v>
      </c>
      <c r="P128" s="17">
        <f>IFERROR(VLOOKUP($A128,[5]库存报告使用数据!$A$1:$B$65536,2,0),0)</f>
        <v>0</v>
      </c>
      <c r="Q128" s="17">
        <f>IFERROR(VLOOKUP($A128,[5]库存报告使用数据!$A$1:$E$65536,5,0),0)</f>
        <v>765</v>
      </c>
      <c r="R128" s="17">
        <f>IFERROR(VLOOKUP($A128,[5]库存报告使用数据!$A$1:$H$65536,8,0),0)</f>
        <v>462</v>
      </c>
      <c r="S128" s="17">
        <f>IFERROR(VLOOKUP($A128,[5]库存报告使用数据!$A$1:$K$65536,11,0),0)</f>
        <v>228</v>
      </c>
      <c r="T128" s="17">
        <f>IFERROR(VLOOKUP($A128,[5]库存报告使用数据!$A$1:$C$65536,3,0),"")</f>
        <v>0</v>
      </c>
      <c r="U128" s="17">
        <f>IFERROR(VLOOKUP($A128,[5]库存报告使用数据!$A$1:$F$65536,6,0),"")</f>
        <v>2</v>
      </c>
      <c r="V128" s="17">
        <f>IFERROR(VLOOKUP($A128,[5]库存报告使用数据!$A$1:$I$65536,9,0),"")</f>
        <v>1</v>
      </c>
      <c r="W128" s="17">
        <f>IFERROR(VLOOKUP($A128,[5]库存报告使用数据!$A$1:$L$65536,12,0),"")</f>
        <v>2</v>
      </c>
      <c r="X128" s="27" t="str">
        <f t="shared" si="20"/>
        <v/>
      </c>
      <c r="Y128" s="27">
        <f t="shared" si="21"/>
        <v>0.00261437908496732</v>
      </c>
      <c r="Z128" s="27">
        <f t="shared" si="22"/>
        <v>0.00216450216450216</v>
      </c>
      <c r="AA128" s="27">
        <f t="shared" si="23"/>
        <v>0.0087719298245614</v>
      </c>
      <c r="AB128" s="17">
        <f>IFERROR(VLOOKUP($A128,[5]库存报告使用数据!$A$1:$D$65536,4,0),"")</f>
        <v>0</v>
      </c>
      <c r="AC128" s="17">
        <f>IFERROR(VLOOKUP($A128,[5]库存报告使用数据!$A$1:$G$65536,7,0),"")</f>
        <v>0.88</v>
      </c>
      <c r="AD128" s="17">
        <f>IFERROR(VLOOKUP($A128,[5]库存报告使用数据!$A$1:$J$65536,10,0),"")</f>
        <v>0.08</v>
      </c>
      <c r="AE128" s="17">
        <f>IFERROR(VLOOKUP($A128,[5]库存报告使用数据!$A$1:$M$65536,13,0),"")</f>
        <v>1.04</v>
      </c>
      <c r="AF128" s="27" t="str">
        <f t="shared" si="32"/>
        <v/>
      </c>
      <c r="AG128" s="27" t="str">
        <f t="shared" si="33"/>
        <v>有广告无销售广告费为0.88</v>
      </c>
      <c r="AH128" s="27" t="str">
        <f t="shared" si="34"/>
        <v>有广告无销售广告费为0.08</v>
      </c>
      <c r="AI128" s="27" t="str">
        <f t="shared" si="35"/>
        <v>有广告无销售广告费为1.04</v>
      </c>
      <c r="AJ128" s="17">
        <f>IFERROR(VLOOKUP($B128,'[3]浏览量处理(勿删)'!$A:$B,2,0),"")</f>
        <v>4</v>
      </c>
      <c r="AK128" s="17">
        <f>IFERROR(VLOOKUP($B128,'[3]浏览量处理(勿删)'!$A:$C,3,0),"")</f>
        <v>5</v>
      </c>
      <c r="AL128" s="17">
        <f>IFERROR(VLOOKUP($B128,'[3]浏览量处理(勿删)'!$A:$D,4,0),"")</f>
        <v>4</v>
      </c>
      <c r="AM128" s="17">
        <f>IFERROR(VLOOKUP($B128,'[3]浏览量处理(勿删)'!$A:$E,5,0),"")</f>
        <v>4</v>
      </c>
      <c r="AN128" s="27">
        <f t="shared" si="24"/>
        <v>0</v>
      </c>
      <c r="AO128" s="27">
        <f t="shared" si="25"/>
        <v>0</v>
      </c>
      <c r="AP128" s="27">
        <f t="shared" si="26"/>
        <v>0</v>
      </c>
      <c r="AQ128" s="27">
        <f t="shared" si="27"/>
        <v>0</v>
      </c>
      <c r="AR128" s="32">
        <f t="shared" si="28"/>
        <v>0</v>
      </c>
      <c r="AS128" s="32">
        <f t="shared" si="29"/>
        <v>0</v>
      </c>
      <c r="AT128" s="32">
        <f t="shared" si="30"/>
        <v>8</v>
      </c>
      <c r="AU128" s="18" t="str">
        <f t="shared" si="31"/>
        <v>库存为8</v>
      </c>
      <c r="AV128" s="33" t="str">
        <f>IFERROR(时间!$B$4+AU128,"上周无销量")</f>
        <v>上周无销量</v>
      </c>
    </row>
    <row r="129" spans="1:48">
      <c r="A129" s="16" t="s">
        <v>173</v>
      </c>
      <c r="B129" s="17" t="str">
        <f>VLOOKUP(A129,[1]sku_fnsku_asin_产品名称!$A:$C,3,0)</f>
        <v>B0761PV952</v>
      </c>
      <c r="C129" s="17" t="str">
        <f>VLOOKUP(A129,[1]sku_fnsku_asin_产品名称!$A:$D,4,0)</f>
        <v>ZAIAI Women's Coat With Fur Hood With 90% Down Parka Puffer Jacket Beige M</v>
      </c>
      <c r="D129" s="18">
        <f>IFERROR(VLOOKUP(A129,[4]库存报告使用数据处理!$A:$B,2,0),0)</f>
        <v>0</v>
      </c>
      <c r="E129" s="18">
        <f>IFERROR(VLOOKUP(A129,[4]库存报告使用数据处理!$A:$C,3,0),0)</f>
        <v>0</v>
      </c>
      <c r="F129" s="18">
        <f>IFERROR(VLOOKUP(A129,[4]库存报告使用数据处理!$A:$D,4,0),0)</f>
        <v>1</v>
      </c>
      <c r="G129" s="18">
        <f>IFERROR(VLOOKUP(A129,[4]库存报告使用数据处理!$A:$E,5,0),0)</f>
        <v>0</v>
      </c>
      <c r="H129" s="18">
        <f>IFERROR(VLOOKUP(A129,[4]库存报告使用数据处理!$A:$F,6,0),0)</f>
        <v>34.39</v>
      </c>
      <c r="I129" s="18">
        <f>IFERROR(VLOOKUP($A129,[2]数据处理!$A:$B,2,0),0)</f>
        <v>6</v>
      </c>
      <c r="J129" s="18">
        <f>IFERROR(VLOOKUP($A129,[2]数据处理!$A:$D,4,0),0)</f>
        <v>0</v>
      </c>
      <c r="K129" s="18">
        <f>IFERROR(VLOOKUP($A129,[2]数据处理!$A:$E,5,0),0)</f>
        <v>0</v>
      </c>
      <c r="L129" s="18">
        <f>IFERROR(VLOOKUP($A129,[2]数据处理!$A:$N,7,0),0)</f>
        <v>0</v>
      </c>
      <c r="M129" s="22">
        <f t="shared" si="19"/>
        <v>6</v>
      </c>
      <c r="N129" s="18">
        <f>IFERROR(VLOOKUP($A129,[2]数据处理!$A:$N,3,0),0)</f>
        <v>0</v>
      </c>
      <c r="O129" s="17">
        <f>IFERROR(VLOOKUP($A129,[2]数据处理!$A:$N,14,0),0)</f>
        <v>6</v>
      </c>
      <c r="P129" s="17">
        <f>IFERROR(VLOOKUP($A129,[5]库存报告使用数据!$A$1:$B$65536,2,0),0)</f>
        <v>0</v>
      </c>
      <c r="Q129" s="17">
        <f>IFERROR(VLOOKUP($A129,[5]库存报告使用数据!$A$1:$E$65536,5,0),0)</f>
        <v>1846</v>
      </c>
      <c r="R129" s="17">
        <f>IFERROR(VLOOKUP($A129,[5]库存报告使用数据!$A$1:$H$65536,8,0),0)</f>
        <v>2409</v>
      </c>
      <c r="S129" s="17">
        <f>IFERROR(VLOOKUP($A129,[5]库存报告使用数据!$A$1:$K$65536,11,0),0)</f>
        <v>1702</v>
      </c>
      <c r="T129" s="17">
        <f>IFERROR(VLOOKUP($A129,[5]库存报告使用数据!$A$1:$C$65536,3,0),"")</f>
        <v>0</v>
      </c>
      <c r="U129" s="17">
        <f>IFERROR(VLOOKUP($A129,[5]库存报告使用数据!$A$1:$F$65536,6,0),"")</f>
        <v>5</v>
      </c>
      <c r="V129" s="17">
        <f>IFERROR(VLOOKUP($A129,[5]库存报告使用数据!$A$1:$I$65536,9,0),"")</f>
        <v>1</v>
      </c>
      <c r="W129" s="17">
        <f>IFERROR(VLOOKUP($A129,[5]库存报告使用数据!$A$1:$L$65536,12,0),"")</f>
        <v>0</v>
      </c>
      <c r="X129" s="27" t="str">
        <f t="shared" si="20"/>
        <v/>
      </c>
      <c r="Y129" s="27">
        <f t="shared" si="21"/>
        <v>0.00270855904658722</v>
      </c>
      <c r="Z129" s="27">
        <f t="shared" si="22"/>
        <v>0.0004151100041511</v>
      </c>
      <c r="AA129" s="27">
        <f t="shared" si="23"/>
        <v>0</v>
      </c>
      <c r="AB129" s="17">
        <f>IFERROR(VLOOKUP($A129,[5]库存报告使用数据!$A$1:$D$65536,4,0),"")</f>
        <v>0</v>
      </c>
      <c r="AC129" s="17">
        <f>IFERROR(VLOOKUP($A129,[5]库存报告使用数据!$A$1:$G$65536,7,0),"")</f>
        <v>2.77</v>
      </c>
      <c r="AD129" s="17">
        <f>IFERROR(VLOOKUP($A129,[5]库存报告使用数据!$A$1:$J$65536,10,0),"")</f>
        <v>0.78</v>
      </c>
      <c r="AE129" s="17">
        <f>IFERROR(VLOOKUP($A129,[5]库存报告使用数据!$A$1:$M$65536,13,0),"")</f>
        <v>0</v>
      </c>
      <c r="AF129" s="27" t="str">
        <f t="shared" si="32"/>
        <v/>
      </c>
      <c r="AG129" s="27" t="str">
        <f t="shared" si="33"/>
        <v>有广告无销售广告费为2.77</v>
      </c>
      <c r="AH129" s="27">
        <f t="shared" si="34"/>
        <v>0.0226810119220704</v>
      </c>
      <c r="AI129" s="27" t="str">
        <f t="shared" si="35"/>
        <v/>
      </c>
      <c r="AJ129" s="17">
        <f>IFERROR(VLOOKUP($B129,'[3]浏览量处理(勿删)'!$A:$B,2,0),"")</f>
        <v>6</v>
      </c>
      <c r="AK129" s="17">
        <f>IFERROR(VLOOKUP($B129,'[3]浏览量处理(勿删)'!$A:$C,3,0),"")</f>
        <v>12</v>
      </c>
      <c r="AL129" s="17">
        <f>IFERROR(VLOOKUP($B129,'[3]浏览量处理(勿删)'!$A:$D,4,0),"")</f>
        <v>7</v>
      </c>
      <c r="AM129" s="17">
        <f>IFERROR(VLOOKUP($B129,'[3]浏览量处理(勿删)'!$A:$E,5,0),"")</f>
        <v>9</v>
      </c>
      <c r="AN129" s="27">
        <f t="shared" si="24"/>
        <v>0</v>
      </c>
      <c r="AO129" s="27">
        <f t="shared" si="25"/>
        <v>0</v>
      </c>
      <c r="AP129" s="27">
        <f t="shared" si="26"/>
        <v>0.142857142857143</v>
      </c>
      <c r="AQ129" s="27">
        <f t="shared" si="27"/>
        <v>0</v>
      </c>
      <c r="AR129" s="32">
        <f t="shared" si="28"/>
        <v>0</v>
      </c>
      <c r="AS129" s="32">
        <f t="shared" si="29"/>
        <v>0</v>
      </c>
      <c r="AT129" s="32">
        <f t="shared" si="30"/>
        <v>6</v>
      </c>
      <c r="AU129" s="18" t="str">
        <f t="shared" si="31"/>
        <v>库存为6</v>
      </c>
      <c r="AV129" s="33" t="str">
        <f>IFERROR(时间!$B$4+AU129,"上周无销量")</f>
        <v>上周无销量</v>
      </c>
    </row>
    <row r="130" spans="1:48">
      <c r="A130" s="16" t="s">
        <v>174</v>
      </c>
      <c r="B130" s="17" t="str">
        <f>VLOOKUP(A130,[1]sku_fnsku_asin_产品名称!$A:$C,3,0)</f>
        <v>B0761NHB1Y</v>
      </c>
      <c r="C130" s="17" t="str">
        <f>VLOOKUP(A130,[1]sku_fnsku_asin_产品名称!$A:$D,4,0)</f>
        <v>ZAIAI Women's Coat with Fur Hood with 90% Down Parka Puffer Jacket Beige XS</v>
      </c>
      <c r="D130" s="18">
        <f>IFERROR(VLOOKUP(A130,[4]库存报告使用数据处理!$A:$B,2,0),0)</f>
        <v>0</v>
      </c>
      <c r="E130" s="18">
        <f>IFERROR(VLOOKUP(A130,[4]库存报告使用数据处理!$A:$C,3,0),0)</f>
        <v>0</v>
      </c>
      <c r="F130" s="18">
        <f>IFERROR(VLOOKUP(A130,[4]库存报告使用数据处理!$A:$D,4,0),0)</f>
        <v>0</v>
      </c>
      <c r="G130" s="18">
        <f>IFERROR(VLOOKUP(A130,[4]库存报告使用数据处理!$A:$E,5,0),0)</f>
        <v>0</v>
      </c>
      <c r="H130" s="18">
        <f>IFERROR(VLOOKUP(A130,[4]库存报告使用数据处理!$A:$F,6,0),0)</f>
        <v>0</v>
      </c>
      <c r="I130" s="18">
        <f>IFERROR(VLOOKUP($A130,[2]数据处理!$A:$B,2,0),0)</f>
        <v>7</v>
      </c>
      <c r="J130" s="18">
        <f>IFERROR(VLOOKUP($A130,[2]数据处理!$A:$D,4,0),0)</f>
        <v>0</v>
      </c>
      <c r="K130" s="18">
        <f>IFERROR(VLOOKUP($A130,[2]数据处理!$A:$E,5,0),0)</f>
        <v>0</v>
      </c>
      <c r="L130" s="18">
        <f>IFERROR(VLOOKUP($A130,[2]数据处理!$A:$N,7,0),0)</f>
        <v>0</v>
      </c>
      <c r="M130" s="22">
        <f t="shared" si="19"/>
        <v>7</v>
      </c>
      <c r="N130" s="18">
        <f>IFERROR(VLOOKUP($A130,[2]数据处理!$A:$N,3,0),0)</f>
        <v>0</v>
      </c>
      <c r="O130" s="17">
        <f>IFERROR(VLOOKUP($A130,[2]数据处理!$A:$N,14,0),0)</f>
        <v>7</v>
      </c>
      <c r="P130" s="17">
        <f>IFERROR(VLOOKUP($A130,[5]库存报告使用数据!$A$1:$B$65536,2,0),0)</f>
        <v>0</v>
      </c>
      <c r="Q130" s="17">
        <f>IFERROR(VLOOKUP($A130,[5]库存报告使用数据!$A$1:$E$65536,5,0),0)</f>
        <v>972</v>
      </c>
      <c r="R130" s="17">
        <f>IFERROR(VLOOKUP($A130,[5]库存报告使用数据!$A$1:$H$65536,8,0),0)</f>
        <v>143</v>
      </c>
      <c r="S130" s="17">
        <f>IFERROR(VLOOKUP($A130,[5]库存报告使用数据!$A$1:$K$65536,11,0),0)</f>
        <v>105</v>
      </c>
      <c r="T130" s="17">
        <f>IFERROR(VLOOKUP($A130,[5]库存报告使用数据!$A$1:$C$65536,3,0),"")</f>
        <v>0</v>
      </c>
      <c r="U130" s="17">
        <f>IFERROR(VLOOKUP($A130,[5]库存报告使用数据!$A$1:$F$65536,6,0),"")</f>
        <v>3</v>
      </c>
      <c r="V130" s="17">
        <f>IFERROR(VLOOKUP($A130,[5]库存报告使用数据!$A$1:$I$65536,9,0),"")</f>
        <v>0</v>
      </c>
      <c r="W130" s="17">
        <f>IFERROR(VLOOKUP($A130,[5]库存报告使用数据!$A$1:$L$65536,12,0),"")</f>
        <v>1</v>
      </c>
      <c r="X130" s="27" t="str">
        <f t="shared" si="20"/>
        <v/>
      </c>
      <c r="Y130" s="27">
        <f t="shared" si="21"/>
        <v>0.00308641975308642</v>
      </c>
      <c r="Z130" s="27">
        <f t="shared" si="22"/>
        <v>0</v>
      </c>
      <c r="AA130" s="27">
        <f t="shared" si="23"/>
        <v>0.00952380952380952</v>
      </c>
      <c r="AB130" s="17">
        <f>IFERROR(VLOOKUP($A130,[5]库存报告使用数据!$A$1:$D$65536,4,0),"")</f>
        <v>0</v>
      </c>
      <c r="AC130" s="17">
        <f>IFERROR(VLOOKUP($A130,[5]库存报告使用数据!$A$1:$G$65536,7,0),"")</f>
        <v>1.67</v>
      </c>
      <c r="AD130" s="17">
        <f>IFERROR(VLOOKUP($A130,[5]库存报告使用数据!$A$1:$J$65536,10,0),"")</f>
        <v>0</v>
      </c>
      <c r="AE130" s="17">
        <f>IFERROR(VLOOKUP($A130,[5]库存报告使用数据!$A$1:$M$65536,13,0),"")</f>
        <v>0.49</v>
      </c>
      <c r="AF130" s="27" t="str">
        <f t="shared" si="32"/>
        <v/>
      </c>
      <c r="AG130" s="27" t="str">
        <f t="shared" si="33"/>
        <v>有广告无销售广告费为1.67</v>
      </c>
      <c r="AH130" s="27" t="str">
        <f t="shared" si="34"/>
        <v/>
      </c>
      <c r="AI130" s="27" t="str">
        <f t="shared" si="35"/>
        <v>有广告无销售广告费为0.49</v>
      </c>
      <c r="AJ130" s="17">
        <f>IFERROR(VLOOKUP($B130,'[3]浏览量处理(勿删)'!$A:$B,2,0),"")</f>
        <v>3</v>
      </c>
      <c r="AK130" s="17">
        <f>IFERROR(VLOOKUP($B130,'[3]浏览量处理(勿删)'!$A:$C,3,0),"")</f>
        <v>9</v>
      </c>
      <c r="AL130" s="17">
        <f>IFERROR(VLOOKUP($B130,'[3]浏览量处理(勿删)'!$A:$D,4,0),"")</f>
        <v>6</v>
      </c>
      <c r="AM130" s="17">
        <f>IFERROR(VLOOKUP($B130,'[3]浏览量处理(勿删)'!$A:$E,5,0),"")</f>
        <v>10</v>
      </c>
      <c r="AN130" s="27">
        <f t="shared" si="24"/>
        <v>0</v>
      </c>
      <c r="AO130" s="27">
        <f t="shared" si="25"/>
        <v>0</v>
      </c>
      <c r="AP130" s="27">
        <f t="shared" si="26"/>
        <v>0</v>
      </c>
      <c r="AQ130" s="27">
        <f t="shared" si="27"/>
        <v>0</v>
      </c>
      <c r="AR130" s="32">
        <f t="shared" si="28"/>
        <v>0</v>
      </c>
      <c r="AS130" s="32">
        <f t="shared" si="29"/>
        <v>0</v>
      </c>
      <c r="AT130" s="32">
        <f t="shared" si="30"/>
        <v>7</v>
      </c>
      <c r="AU130" s="18" t="str">
        <f t="shared" si="31"/>
        <v>库存为7</v>
      </c>
      <c r="AV130" s="33" t="str">
        <f>IFERROR(时间!$B$4+AU130,"上周无销量")</f>
        <v>上周无销量</v>
      </c>
    </row>
    <row r="131" spans="1:48">
      <c r="A131" s="16" t="s">
        <v>175</v>
      </c>
      <c r="B131" s="17" t="str">
        <f>VLOOKUP(A131,[1]sku_fnsku_asin_产品名称!$A:$C,3,0)</f>
        <v>B0761PWB12</v>
      </c>
      <c r="C131" s="17" t="str">
        <f>VLOOKUP(A131,[1]sku_fnsku_asin_产品名称!$A:$D,4,0)</f>
        <v>ZAIAI Women's Coat with Fur Hood with 90% Down Parka Puffer Jacket Beige L</v>
      </c>
      <c r="D131" s="18">
        <f>IFERROR(VLOOKUP(A131,[4]库存报告使用数据处理!$A:$B,2,0),0)</f>
        <v>0</v>
      </c>
      <c r="E131" s="18">
        <f>IFERROR(VLOOKUP(A131,[4]库存报告使用数据处理!$A:$C,3,0),0)</f>
        <v>0</v>
      </c>
      <c r="F131" s="18">
        <f>IFERROR(VLOOKUP(A131,[4]库存报告使用数据处理!$A:$D,4,0),0)</f>
        <v>0</v>
      </c>
      <c r="G131" s="18">
        <f>IFERROR(VLOOKUP(A131,[4]库存报告使用数据处理!$A:$E,5,0),0)</f>
        <v>0</v>
      </c>
      <c r="H131" s="18">
        <f>IFERROR(VLOOKUP(A131,[4]库存报告使用数据处理!$A:$F,6,0),0)</f>
        <v>0</v>
      </c>
      <c r="I131" s="18">
        <f>IFERROR(VLOOKUP($A131,[2]数据处理!$A:$B,2,0),0)</f>
        <v>8</v>
      </c>
      <c r="J131" s="18">
        <f>IFERROR(VLOOKUP($A131,[2]数据处理!$A:$D,4,0),0)</f>
        <v>0</v>
      </c>
      <c r="K131" s="18">
        <f>IFERROR(VLOOKUP($A131,[2]数据处理!$A:$E,5,0),0)</f>
        <v>0</v>
      </c>
      <c r="L131" s="18">
        <f>IFERROR(VLOOKUP($A131,[2]数据处理!$A:$N,7,0),0)</f>
        <v>0</v>
      </c>
      <c r="M131" s="22">
        <f t="shared" si="19"/>
        <v>8</v>
      </c>
      <c r="N131" s="18">
        <f>IFERROR(VLOOKUP($A131,[2]数据处理!$A:$N,3,0),0)</f>
        <v>0</v>
      </c>
      <c r="O131" s="17">
        <f>IFERROR(VLOOKUP($A131,[2]数据处理!$A:$N,14,0),0)</f>
        <v>8</v>
      </c>
      <c r="P131" s="17">
        <f>IFERROR(VLOOKUP($A131,[5]库存报告使用数据!$A$1:$B$65536,2,0),0)</f>
        <v>0</v>
      </c>
      <c r="Q131" s="17">
        <f>IFERROR(VLOOKUP($A131,[5]库存报告使用数据!$A$1:$E$65536,5,0),0)</f>
        <v>321</v>
      </c>
      <c r="R131" s="17">
        <f>IFERROR(VLOOKUP($A131,[5]库存报告使用数据!$A$1:$H$65536,8,0),0)</f>
        <v>752</v>
      </c>
      <c r="S131" s="17">
        <f>IFERROR(VLOOKUP($A131,[5]库存报告使用数据!$A$1:$K$65536,11,0),0)</f>
        <v>1279</v>
      </c>
      <c r="T131" s="17">
        <f>IFERROR(VLOOKUP($A131,[5]库存报告使用数据!$A$1:$C$65536,3,0),"")</f>
        <v>0</v>
      </c>
      <c r="U131" s="17">
        <f>IFERROR(VLOOKUP($A131,[5]库存报告使用数据!$A$1:$F$65536,6,0),"")</f>
        <v>1</v>
      </c>
      <c r="V131" s="17">
        <f>IFERROR(VLOOKUP($A131,[5]库存报告使用数据!$A$1:$I$65536,9,0),"")</f>
        <v>0</v>
      </c>
      <c r="W131" s="17">
        <f>IFERROR(VLOOKUP($A131,[5]库存报告使用数据!$A$1:$L$65536,12,0),"")</f>
        <v>4</v>
      </c>
      <c r="X131" s="27" t="str">
        <f t="shared" si="20"/>
        <v/>
      </c>
      <c r="Y131" s="27">
        <f t="shared" si="21"/>
        <v>0.00311526479750779</v>
      </c>
      <c r="Z131" s="27">
        <f t="shared" si="22"/>
        <v>0</v>
      </c>
      <c r="AA131" s="27">
        <f t="shared" si="23"/>
        <v>0.00312744331508991</v>
      </c>
      <c r="AB131" s="17">
        <f>IFERROR(VLOOKUP($A131,[5]库存报告使用数据!$A$1:$D$65536,4,0),"")</f>
        <v>0</v>
      </c>
      <c r="AC131" s="17">
        <f>IFERROR(VLOOKUP($A131,[5]库存报告使用数据!$A$1:$G$65536,7,0),"")</f>
        <v>0.39</v>
      </c>
      <c r="AD131" s="17">
        <f>IFERROR(VLOOKUP($A131,[5]库存报告使用数据!$A$1:$J$65536,10,0),"")</f>
        <v>0</v>
      </c>
      <c r="AE131" s="17">
        <f>IFERROR(VLOOKUP($A131,[5]库存报告使用数据!$A$1:$M$65536,13,0),"")</f>
        <v>1.84</v>
      </c>
      <c r="AF131" s="27" t="str">
        <f t="shared" si="32"/>
        <v/>
      </c>
      <c r="AG131" s="27" t="str">
        <f t="shared" si="33"/>
        <v>有广告无销售广告费为0.39</v>
      </c>
      <c r="AH131" s="27" t="str">
        <f t="shared" si="34"/>
        <v/>
      </c>
      <c r="AI131" s="27" t="str">
        <f t="shared" si="35"/>
        <v>有广告无销售广告费为1.84</v>
      </c>
      <c r="AJ131" s="17">
        <f>IFERROR(VLOOKUP($B131,'[3]浏览量处理(勿删)'!$A:$B,2,0),"")</f>
        <v>2</v>
      </c>
      <c r="AK131" s="17">
        <f>IFERROR(VLOOKUP($B131,'[3]浏览量处理(勿删)'!$A:$C,3,0),"")</f>
        <v>6</v>
      </c>
      <c r="AL131" s="17">
        <f>IFERROR(VLOOKUP($B131,'[3]浏览量处理(勿删)'!$A:$D,4,0),"")</f>
        <v>2</v>
      </c>
      <c r="AM131" s="17">
        <f>IFERROR(VLOOKUP($B131,'[3]浏览量处理(勿删)'!$A:$E,5,0),"")</f>
        <v>4</v>
      </c>
      <c r="AN131" s="27">
        <f t="shared" si="24"/>
        <v>0</v>
      </c>
      <c r="AO131" s="27">
        <f t="shared" si="25"/>
        <v>0</v>
      </c>
      <c r="AP131" s="27">
        <f t="shared" si="26"/>
        <v>0</v>
      </c>
      <c r="AQ131" s="27">
        <f t="shared" si="27"/>
        <v>0</v>
      </c>
      <c r="AR131" s="32">
        <f t="shared" si="28"/>
        <v>0</v>
      </c>
      <c r="AS131" s="32">
        <f t="shared" si="29"/>
        <v>0</v>
      </c>
      <c r="AT131" s="32">
        <f t="shared" si="30"/>
        <v>8</v>
      </c>
      <c r="AU131" s="18" t="str">
        <f t="shared" si="31"/>
        <v>库存为8</v>
      </c>
      <c r="AV131" s="33" t="str">
        <f>IFERROR(时间!$B$4+AU131,"上周无销量")</f>
        <v>上周无销量</v>
      </c>
    </row>
    <row r="132" spans="1:48">
      <c r="A132" s="16" t="s">
        <v>176</v>
      </c>
      <c r="B132" s="17" t="str">
        <f>VLOOKUP(A132,[1]sku_fnsku_asin_产品名称!$A:$C,3,0)</f>
        <v>B0761N46BN</v>
      </c>
      <c r="C132" s="17" t="str">
        <f>VLOOKUP(A132,[1]sku_fnsku_asin_产品名称!$A:$D,4,0)</f>
        <v>ZAIAI Women's Coat with Fur Hood with 90% Down Parka Puffer Jacket Beige XL</v>
      </c>
      <c r="D132" s="18">
        <f>IFERROR(VLOOKUP(A132,[4]库存报告使用数据处理!$A:$B,2,0),0)</f>
        <v>0</v>
      </c>
      <c r="E132" s="18">
        <f>IFERROR(VLOOKUP(A132,[4]库存报告使用数据处理!$A:$C,3,0),0)</f>
        <v>0</v>
      </c>
      <c r="F132" s="18">
        <f>IFERROR(VLOOKUP(A132,[4]库存报告使用数据处理!$A:$D,4,0),0)</f>
        <v>0</v>
      </c>
      <c r="G132" s="18">
        <f>IFERROR(VLOOKUP(A132,[4]库存报告使用数据处理!$A:$E,5,0),0)</f>
        <v>0</v>
      </c>
      <c r="H132" s="18">
        <f>IFERROR(VLOOKUP(A132,[4]库存报告使用数据处理!$A:$F,6,0),0)</f>
        <v>0</v>
      </c>
      <c r="I132" s="18">
        <f>IFERROR(VLOOKUP($A132,[2]数据处理!$A:$B,2,0),0)</f>
        <v>6</v>
      </c>
      <c r="J132" s="18">
        <f>IFERROR(VLOOKUP($A132,[2]数据处理!$A:$D,4,0),0)</f>
        <v>0</v>
      </c>
      <c r="K132" s="18">
        <f>IFERROR(VLOOKUP($A132,[2]数据处理!$A:$E,5,0),0)</f>
        <v>0</v>
      </c>
      <c r="L132" s="18">
        <f>IFERROR(VLOOKUP($A132,[2]数据处理!$A:$N,7,0),0)</f>
        <v>0</v>
      </c>
      <c r="M132" s="22">
        <f t="shared" si="19"/>
        <v>6</v>
      </c>
      <c r="N132" s="18">
        <f>IFERROR(VLOOKUP($A132,[2]数据处理!$A:$N,3,0),0)</f>
        <v>0</v>
      </c>
      <c r="O132" s="17">
        <f>IFERROR(VLOOKUP($A132,[2]数据处理!$A:$N,14,0),0)</f>
        <v>6</v>
      </c>
      <c r="P132" s="17">
        <f>IFERROR(VLOOKUP($A132,[5]库存报告使用数据!$A$1:$B$65536,2,0),0)</f>
        <v>0</v>
      </c>
      <c r="Q132" s="17">
        <f>IFERROR(VLOOKUP($A132,[5]库存报告使用数据!$A$1:$E$65536,5,0),0)</f>
        <v>7262</v>
      </c>
      <c r="R132" s="17">
        <f>IFERROR(VLOOKUP($A132,[5]库存报告使用数据!$A$1:$H$65536,8,0),0)</f>
        <v>4564</v>
      </c>
      <c r="S132" s="17">
        <f>IFERROR(VLOOKUP($A132,[5]库存报告使用数据!$A$1:$K$65536,11,0),0)</f>
        <v>1546</v>
      </c>
      <c r="T132" s="17">
        <f>IFERROR(VLOOKUP($A132,[5]库存报告使用数据!$A$1:$C$65536,3,0),"")</f>
        <v>0</v>
      </c>
      <c r="U132" s="17">
        <f>IFERROR(VLOOKUP($A132,[5]库存报告使用数据!$A$1:$F$65536,6,0),"")</f>
        <v>15</v>
      </c>
      <c r="V132" s="17">
        <f>IFERROR(VLOOKUP($A132,[5]库存报告使用数据!$A$1:$I$65536,9,0),"")</f>
        <v>18</v>
      </c>
      <c r="W132" s="17">
        <f>IFERROR(VLOOKUP($A132,[5]库存报告使用数据!$A$1:$L$65536,12,0),"")</f>
        <v>2</v>
      </c>
      <c r="X132" s="27" t="str">
        <f t="shared" si="20"/>
        <v/>
      </c>
      <c r="Y132" s="27">
        <f t="shared" si="21"/>
        <v>0.002065546681355</v>
      </c>
      <c r="Z132" s="27">
        <f t="shared" si="22"/>
        <v>0.00394390885188431</v>
      </c>
      <c r="AA132" s="27">
        <f t="shared" si="23"/>
        <v>0.00129366106080207</v>
      </c>
      <c r="AB132" s="17">
        <f>IFERROR(VLOOKUP($A132,[5]库存报告使用数据!$A$1:$D$65536,4,0),"")</f>
        <v>0</v>
      </c>
      <c r="AC132" s="17">
        <f>IFERROR(VLOOKUP($A132,[5]库存报告使用数据!$A$1:$G$65536,7,0),"")</f>
        <v>6.18</v>
      </c>
      <c r="AD132" s="17">
        <f>IFERROR(VLOOKUP($A132,[5]库存报告使用数据!$A$1:$J$65536,10,0),"")</f>
        <v>7.99</v>
      </c>
      <c r="AE132" s="17">
        <f>IFERROR(VLOOKUP($A132,[5]库存报告使用数据!$A$1:$M$65536,13,0),"")</f>
        <v>1.06</v>
      </c>
      <c r="AF132" s="27" t="str">
        <f t="shared" si="32"/>
        <v/>
      </c>
      <c r="AG132" s="27" t="str">
        <f t="shared" si="33"/>
        <v>有广告无销售广告费为6.18</v>
      </c>
      <c r="AH132" s="27" t="str">
        <f t="shared" si="34"/>
        <v>有广告无销售广告费为7.99</v>
      </c>
      <c r="AI132" s="27" t="str">
        <f t="shared" si="35"/>
        <v>有广告无销售广告费为1.06</v>
      </c>
      <c r="AJ132" s="17">
        <f>IFERROR(VLOOKUP($B132,'[3]浏览量处理(勿删)'!$A:$B,2,0),"")</f>
        <v>2</v>
      </c>
      <c r="AK132" s="17">
        <f>IFERROR(VLOOKUP($B132,'[3]浏览量处理(勿删)'!$A:$C,3,0),"")</f>
        <v>14</v>
      </c>
      <c r="AL132" s="17">
        <f>IFERROR(VLOOKUP($B132,'[3]浏览量处理(勿删)'!$A:$D,4,0),"")</f>
        <v>14</v>
      </c>
      <c r="AM132" s="17">
        <f>IFERROR(VLOOKUP($B132,'[3]浏览量处理(勿删)'!$A:$E,5,0),"")</f>
        <v>9</v>
      </c>
      <c r="AN132" s="27">
        <f t="shared" si="24"/>
        <v>0</v>
      </c>
      <c r="AO132" s="27">
        <f t="shared" si="25"/>
        <v>0</v>
      </c>
      <c r="AP132" s="27">
        <f t="shared" si="26"/>
        <v>0</v>
      </c>
      <c r="AQ132" s="27">
        <f t="shared" si="27"/>
        <v>0</v>
      </c>
      <c r="AR132" s="32">
        <f t="shared" si="28"/>
        <v>0</v>
      </c>
      <c r="AS132" s="32">
        <f t="shared" si="29"/>
        <v>0</v>
      </c>
      <c r="AT132" s="32">
        <f t="shared" si="30"/>
        <v>6</v>
      </c>
      <c r="AU132" s="18" t="str">
        <f t="shared" si="31"/>
        <v>库存为6</v>
      </c>
      <c r="AV132" s="33" t="str">
        <f>IFERROR(时间!$B$4+AU132,"上周无销量")</f>
        <v>上周无销量</v>
      </c>
    </row>
    <row r="133" spans="1:48">
      <c r="A133" s="16" t="s">
        <v>177</v>
      </c>
      <c r="B133" s="17" t="str">
        <f>VLOOKUP(A133,[1]sku_fnsku_asin_产品名称!$A:$C,3,0)</f>
        <v>B0761S2M63</v>
      </c>
      <c r="C133" s="17" t="str">
        <f>VLOOKUP(A133,[1]sku_fnsku_asin_产品名称!$A:$D,4,0)</f>
        <v>ZAIAI Women's Quilted Puffer Jacket Coat with Faux Fur Trimmed Hood Navy M</v>
      </c>
      <c r="D133" s="18">
        <f>IFERROR(VLOOKUP(A133,[4]库存报告使用数据处理!$A:$B,2,0),0)</f>
        <v>0</v>
      </c>
      <c r="E133" s="18">
        <f>IFERROR(VLOOKUP(A133,[4]库存报告使用数据处理!$A:$C,3,0),0)</f>
        <v>0</v>
      </c>
      <c r="F133" s="18">
        <f>IFERROR(VLOOKUP(A133,[4]库存报告使用数据处理!$A:$D,4,0),0)</f>
        <v>0</v>
      </c>
      <c r="G133" s="18">
        <f>IFERROR(VLOOKUP(A133,[4]库存报告使用数据处理!$A:$E,5,0),0)</f>
        <v>0</v>
      </c>
      <c r="H133" s="18">
        <f>IFERROR(VLOOKUP(A133,[4]库存报告使用数据处理!$A:$F,6,0),0)</f>
        <v>0</v>
      </c>
      <c r="I133" s="18">
        <f>IFERROR(VLOOKUP($A133,[2]数据处理!$A:$B,2,0),0)</f>
        <v>8</v>
      </c>
      <c r="J133" s="18">
        <f>IFERROR(VLOOKUP($A133,[2]数据处理!$A:$D,4,0),0)</f>
        <v>0</v>
      </c>
      <c r="K133" s="18">
        <f>IFERROR(VLOOKUP($A133,[2]数据处理!$A:$E,5,0),0)</f>
        <v>0</v>
      </c>
      <c r="L133" s="18">
        <f>IFERROR(VLOOKUP($A133,[2]数据处理!$A:$N,7,0),0)</f>
        <v>0</v>
      </c>
      <c r="M133" s="22">
        <f t="shared" ref="M133:M165" si="36">SUM(I133:L133)</f>
        <v>8</v>
      </c>
      <c r="N133" s="18">
        <f>IFERROR(VLOOKUP($A133,[2]数据处理!$A:$N,3,0),0)</f>
        <v>0</v>
      </c>
      <c r="O133" s="17">
        <f>IFERROR(VLOOKUP($A133,[2]数据处理!$A:$N,14,0),0)</f>
        <v>7</v>
      </c>
      <c r="P133" s="17">
        <f>IFERROR(VLOOKUP($A133,[5]库存报告使用数据!$A$1:$B$65536,2,0),0)</f>
        <v>0</v>
      </c>
      <c r="Q133" s="17">
        <f>IFERROR(VLOOKUP($A133,[5]库存报告使用数据!$A$1:$E$65536,5,0),0)</f>
        <v>602</v>
      </c>
      <c r="R133" s="17">
        <f>IFERROR(VLOOKUP($A133,[5]库存报告使用数据!$A$1:$H$65536,8,0),0)</f>
        <v>547</v>
      </c>
      <c r="S133" s="17">
        <f>IFERROR(VLOOKUP($A133,[5]库存报告使用数据!$A$1:$K$65536,11,0),0)</f>
        <v>425</v>
      </c>
      <c r="T133" s="17">
        <f>IFERROR(VLOOKUP($A133,[5]库存报告使用数据!$A$1:$C$65536,3,0),"")</f>
        <v>0</v>
      </c>
      <c r="U133" s="17">
        <f>IFERROR(VLOOKUP($A133,[5]库存报告使用数据!$A$1:$F$65536,6,0),"")</f>
        <v>1</v>
      </c>
      <c r="V133" s="17">
        <f>IFERROR(VLOOKUP($A133,[5]库存报告使用数据!$A$1:$I$65536,9,0),"")</f>
        <v>1</v>
      </c>
      <c r="W133" s="17">
        <f>IFERROR(VLOOKUP($A133,[5]库存报告使用数据!$A$1:$L$65536,12,0),"")</f>
        <v>1</v>
      </c>
      <c r="X133" s="27" t="str">
        <f t="shared" ref="X133:X165" si="37">IF(P133=0,"",T133/P133)</f>
        <v/>
      </c>
      <c r="Y133" s="27">
        <f t="shared" ref="Y133:Y165" si="38">IF(Q133=0,"",U133/Q133)</f>
        <v>0.00166112956810631</v>
      </c>
      <c r="Z133" s="27">
        <f t="shared" ref="Z133:Z165" si="39">IF(R133=0,"",V133/R133)</f>
        <v>0.00182815356489945</v>
      </c>
      <c r="AA133" s="27">
        <f t="shared" ref="AA133:AA165" si="40">IF(S133=0,"",W133/S133)</f>
        <v>0.00235294117647059</v>
      </c>
      <c r="AB133" s="17">
        <f>IFERROR(VLOOKUP($A133,[5]库存报告使用数据!$A$1:$D$65536,4,0),"")</f>
        <v>0</v>
      </c>
      <c r="AC133" s="17">
        <f>IFERROR(VLOOKUP($A133,[5]库存报告使用数据!$A$1:$G$65536,7,0),"")</f>
        <v>0.34</v>
      </c>
      <c r="AD133" s="17">
        <f>IFERROR(VLOOKUP($A133,[5]库存报告使用数据!$A$1:$J$65536,10,0),"")</f>
        <v>0.46</v>
      </c>
      <c r="AE133" s="17">
        <f>IFERROR(VLOOKUP($A133,[5]库存报告使用数据!$A$1:$M$65536,13,0),"")</f>
        <v>0.4</v>
      </c>
      <c r="AF133" s="27" t="str">
        <f t="shared" si="32"/>
        <v/>
      </c>
      <c r="AG133" s="27" t="str">
        <f t="shared" si="33"/>
        <v>有广告无销售广告费为0.34</v>
      </c>
      <c r="AH133" s="27" t="str">
        <f t="shared" si="34"/>
        <v>有广告无销售广告费为0.46</v>
      </c>
      <c r="AI133" s="27" t="str">
        <f t="shared" si="35"/>
        <v>有广告无销售广告费为0.4</v>
      </c>
      <c r="AJ133" s="17">
        <f>IFERROR(VLOOKUP($B133,'[3]浏览量处理(勿删)'!$A:$B,2,0),"")</f>
        <v>5</v>
      </c>
      <c r="AK133" s="17">
        <f>IFERROR(VLOOKUP($B133,'[3]浏览量处理(勿删)'!$A:$C,3,0),"")</f>
        <v>7</v>
      </c>
      <c r="AL133" s="17">
        <f>IFERROR(VLOOKUP($B133,'[3]浏览量处理(勿删)'!$A:$D,4,0),"")</f>
        <v>6</v>
      </c>
      <c r="AM133" s="17">
        <f>IFERROR(VLOOKUP($B133,'[3]浏览量处理(勿删)'!$A:$E,5,0),"")</f>
        <v>20</v>
      </c>
      <c r="AN133" s="27">
        <f t="shared" ref="AN133:AN165" si="41">IFERROR(D133/AJ133,"")</f>
        <v>0</v>
      </c>
      <c r="AO133" s="27">
        <f t="shared" ref="AO133:AO165" si="42">IFERROR(E133/AK133,"")</f>
        <v>0</v>
      </c>
      <c r="AP133" s="27">
        <f t="shared" ref="AP133:AP165" si="43">IFERROR(F133/AL133,"")</f>
        <v>0</v>
      </c>
      <c r="AQ133" s="27">
        <f t="shared" ref="AQ133:AQ165" si="44">IFERROR(G133/AM133,"")</f>
        <v>0</v>
      </c>
      <c r="AR133" s="32">
        <f t="shared" ref="AR133:AR165" si="45">IFERROR(D133/7,"")</f>
        <v>0</v>
      </c>
      <c r="AS133" s="32">
        <f t="shared" ref="AS133:AS165" si="46">IF(AR133="","上周无销量",60*AR133)</f>
        <v>0</v>
      </c>
      <c r="AT133" s="32">
        <f t="shared" ref="AT133:AT165" si="47">IF(AS133="上周无销量","上周无销量/总库存"&amp;M133,M133-AS133)</f>
        <v>8</v>
      </c>
      <c r="AU133" s="18" t="str">
        <f t="shared" ref="AU133:AU165" si="48">IF(AR133="","库存为"&amp;M133,IF(AS133=0,"库存为"&amp;M133,INT(M133/AR133)))</f>
        <v>库存为8</v>
      </c>
      <c r="AV133" s="33" t="str">
        <f>IFERROR(时间!$B$4+AU133,"上周无销量")</f>
        <v>上周无销量</v>
      </c>
    </row>
    <row r="134" spans="1:48">
      <c r="A134" s="16" t="s">
        <v>178</v>
      </c>
      <c r="B134" s="17" t="str">
        <f>VLOOKUP(A134,[1]sku_fnsku_asin_产品名称!$A:$C,3,0)</f>
        <v>B0761MXCJB</v>
      </c>
      <c r="C134" s="17" t="str">
        <f>VLOOKUP(A134,[1]sku_fnsku_asin_产品名称!$A:$D,4,0)</f>
        <v>ZAIAI Women's Quilted Puffer Jacket Coat with Faux Fur Trimmed Hood Navy S</v>
      </c>
      <c r="D134" s="18">
        <f>IFERROR(VLOOKUP(A134,[4]库存报告使用数据处理!$A:$B,2,0),0)</f>
        <v>0</v>
      </c>
      <c r="E134" s="18">
        <f>IFERROR(VLOOKUP(A134,[4]库存报告使用数据处理!$A:$C,3,0),0)</f>
        <v>0</v>
      </c>
      <c r="F134" s="18">
        <f>IFERROR(VLOOKUP(A134,[4]库存报告使用数据处理!$A:$D,4,0),0)</f>
        <v>0</v>
      </c>
      <c r="G134" s="18">
        <f>IFERROR(VLOOKUP(A134,[4]库存报告使用数据处理!$A:$E,5,0),0)</f>
        <v>0</v>
      </c>
      <c r="H134" s="18">
        <f>IFERROR(VLOOKUP(A134,[4]库存报告使用数据处理!$A:$F,6,0),0)</f>
        <v>0</v>
      </c>
      <c r="I134" s="18">
        <f>IFERROR(VLOOKUP($A134,[2]数据处理!$A:$B,2,0),0)</f>
        <v>6</v>
      </c>
      <c r="J134" s="18">
        <f>IFERROR(VLOOKUP($A134,[2]数据处理!$A:$D,4,0),0)</f>
        <v>0</v>
      </c>
      <c r="K134" s="18">
        <f>IFERROR(VLOOKUP($A134,[2]数据处理!$A:$E,5,0),0)</f>
        <v>0</v>
      </c>
      <c r="L134" s="18">
        <f>IFERROR(VLOOKUP($A134,[2]数据处理!$A:$N,7,0),0)</f>
        <v>0</v>
      </c>
      <c r="M134" s="22">
        <f t="shared" si="36"/>
        <v>6</v>
      </c>
      <c r="N134" s="18">
        <f>IFERROR(VLOOKUP($A134,[2]数据处理!$A:$N,3,0),0)</f>
        <v>0</v>
      </c>
      <c r="O134" s="17">
        <f>IFERROR(VLOOKUP($A134,[2]数据处理!$A:$N,14,0),0)</f>
        <v>6</v>
      </c>
      <c r="P134" s="17">
        <f>IFERROR(VLOOKUP($A134,[5]库存报告使用数据!$A$1:$B$65536,2,0),0)</f>
        <v>0</v>
      </c>
      <c r="Q134" s="17">
        <f>IFERROR(VLOOKUP($A134,[5]库存报告使用数据!$A$1:$E$65536,5,0),0)</f>
        <v>1489</v>
      </c>
      <c r="R134" s="17">
        <f>IFERROR(VLOOKUP($A134,[5]库存报告使用数据!$A$1:$H$65536,8,0),0)</f>
        <v>759</v>
      </c>
      <c r="S134" s="17">
        <f>IFERROR(VLOOKUP($A134,[5]库存报告使用数据!$A$1:$K$65536,11,0),0)</f>
        <v>826</v>
      </c>
      <c r="T134" s="17">
        <f>IFERROR(VLOOKUP($A134,[5]库存报告使用数据!$A$1:$C$65536,3,0),"")</f>
        <v>0</v>
      </c>
      <c r="U134" s="17">
        <f>IFERROR(VLOOKUP($A134,[5]库存报告使用数据!$A$1:$F$65536,6,0),"")</f>
        <v>6</v>
      </c>
      <c r="V134" s="17">
        <f>IFERROR(VLOOKUP($A134,[5]库存报告使用数据!$A$1:$I$65536,9,0),"")</f>
        <v>1</v>
      </c>
      <c r="W134" s="17">
        <f>IFERROR(VLOOKUP($A134,[5]库存报告使用数据!$A$1:$L$65536,12,0),"")</f>
        <v>7</v>
      </c>
      <c r="X134" s="27" t="str">
        <f t="shared" si="37"/>
        <v/>
      </c>
      <c r="Y134" s="27">
        <f t="shared" si="38"/>
        <v>0.00402955003357958</v>
      </c>
      <c r="Z134" s="27">
        <f t="shared" si="39"/>
        <v>0.00131752305665349</v>
      </c>
      <c r="AA134" s="27">
        <f t="shared" si="40"/>
        <v>0.00847457627118644</v>
      </c>
      <c r="AB134" s="17">
        <f>IFERROR(VLOOKUP($A134,[5]库存报告使用数据!$A$1:$D$65536,4,0),"")</f>
        <v>0</v>
      </c>
      <c r="AC134" s="17">
        <f>IFERROR(VLOOKUP($A134,[5]库存报告使用数据!$A$1:$G$65536,7,0),"")</f>
        <v>3.29</v>
      </c>
      <c r="AD134" s="17">
        <f>IFERROR(VLOOKUP($A134,[5]库存报告使用数据!$A$1:$J$65536,10,0),"")</f>
        <v>0.33</v>
      </c>
      <c r="AE134" s="17">
        <f>IFERROR(VLOOKUP($A134,[5]库存报告使用数据!$A$1:$M$65536,13,0),"")</f>
        <v>3.34</v>
      </c>
      <c r="AF134" s="27" t="str">
        <f t="shared" ref="AF134:AF165" si="49">IF(AND(AB134&gt;0,D134=0),"有广告无销售广告费为"&amp;AB134,IF(D134=0,"",IF(AB134=0,0,IFERROR(AB134/(D134*$H134),""))))</f>
        <v/>
      </c>
      <c r="AG134" s="27" t="str">
        <f t="shared" ref="AG134:AG165" si="50">IF(AND(AC134&gt;0,E134=0),"有广告无销售广告费为"&amp;AC134,IF(E134=0,"",IF(AC134=0,0,IFERROR(AC134/(E134*$H134),""))))</f>
        <v>有广告无销售广告费为3.29</v>
      </c>
      <c r="AH134" s="27" t="str">
        <f t="shared" ref="AH134:AH165" si="51">IF(AND(AD134&gt;0,F134=0),"有广告无销售广告费为"&amp;AD134,IF(F134=0,"",IF(AD134=0,0,IFERROR(AD134/(F134*$H134),""))))</f>
        <v>有广告无销售广告费为0.33</v>
      </c>
      <c r="AI134" s="27" t="str">
        <f t="shared" ref="AI134:AI165" si="52">IF(AND(AE134&gt;0,G134=0),"有广告无销售广告费为"&amp;AE134,IF(G134=0,"",IF(AE134=0,0,IFERROR(AE134/(G134*$H134),""))))</f>
        <v>有广告无销售广告费为3.34</v>
      </c>
      <c r="AJ134" s="17">
        <f>IFERROR(VLOOKUP($B134,'[3]浏览量处理(勿删)'!$A:$B,2,0),"")</f>
        <v>3</v>
      </c>
      <c r="AK134" s="17">
        <f>IFERROR(VLOOKUP($B134,'[3]浏览量处理(勿删)'!$A:$C,3,0),"")</f>
        <v>9</v>
      </c>
      <c r="AL134" s="17">
        <f>IFERROR(VLOOKUP($B134,'[3]浏览量处理(勿删)'!$A:$D,4,0),"")</f>
        <v>4</v>
      </c>
      <c r="AM134" s="17">
        <f>IFERROR(VLOOKUP($B134,'[3]浏览量处理(勿删)'!$A:$E,5,0),"")</f>
        <v>12</v>
      </c>
      <c r="AN134" s="27">
        <f t="shared" si="41"/>
        <v>0</v>
      </c>
      <c r="AO134" s="27">
        <f t="shared" si="42"/>
        <v>0</v>
      </c>
      <c r="AP134" s="27">
        <f t="shared" si="43"/>
        <v>0</v>
      </c>
      <c r="AQ134" s="27">
        <f t="shared" si="44"/>
        <v>0</v>
      </c>
      <c r="AR134" s="32">
        <f t="shared" si="45"/>
        <v>0</v>
      </c>
      <c r="AS134" s="32">
        <f t="shared" si="46"/>
        <v>0</v>
      </c>
      <c r="AT134" s="32">
        <f t="shared" si="47"/>
        <v>6</v>
      </c>
      <c r="AU134" s="18" t="str">
        <f t="shared" si="48"/>
        <v>库存为6</v>
      </c>
      <c r="AV134" s="33" t="str">
        <f>IFERROR(时间!$B$4+AU134,"上周无销量")</f>
        <v>上周无销量</v>
      </c>
    </row>
    <row r="135" spans="1:48">
      <c r="A135" s="16" t="s">
        <v>179</v>
      </c>
      <c r="B135" s="17" t="str">
        <f>VLOOKUP(A135,[1]sku_fnsku_asin_产品名称!$A:$C,3,0)</f>
        <v>B0761R6ZG2</v>
      </c>
      <c r="C135" s="17" t="str">
        <f>VLOOKUP(A135,[1]sku_fnsku_asin_产品名称!$A:$D,4,0)</f>
        <v>ZAIAI Women's Quilted Puffer Jacket Coat with Faux Fur Trimmed Hood Navy XS</v>
      </c>
      <c r="D135" s="18">
        <f>IFERROR(VLOOKUP(A135,[4]库存报告使用数据处理!$A:$B,2,0),0)</f>
        <v>0</v>
      </c>
      <c r="E135" s="18">
        <f>IFERROR(VLOOKUP(A135,[4]库存报告使用数据处理!$A:$C,3,0),0)</f>
        <v>0</v>
      </c>
      <c r="F135" s="18">
        <f>IFERROR(VLOOKUP(A135,[4]库存报告使用数据处理!$A:$D,4,0),0)</f>
        <v>0</v>
      </c>
      <c r="G135" s="18">
        <f>IFERROR(VLOOKUP(A135,[4]库存报告使用数据处理!$A:$E,5,0),0)</f>
        <v>0</v>
      </c>
      <c r="H135" s="18">
        <f>IFERROR(VLOOKUP(A135,[4]库存报告使用数据处理!$A:$F,6,0),0)</f>
        <v>0</v>
      </c>
      <c r="I135" s="18">
        <f>IFERROR(VLOOKUP($A135,[2]数据处理!$A:$B,2,0),0)</f>
        <v>8</v>
      </c>
      <c r="J135" s="18">
        <f>IFERROR(VLOOKUP($A135,[2]数据处理!$A:$D,4,0),0)</f>
        <v>0</v>
      </c>
      <c r="K135" s="18">
        <f>IFERROR(VLOOKUP($A135,[2]数据处理!$A:$E,5,0),0)</f>
        <v>0</v>
      </c>
      <c r="L135" s="18">
        <f>IFERROR(VLOOKUP($A135,[2]数据处理!$A:$N,7,0),0)</f>
        <v>0</v>
      </c>
      <c r="M135" s="22">
        <f t="shared" si="36"/>
        <v>8</v>
      </c>
      <c r="N135" s="18">
        <f>IFERROR(VLOOKUP($A135,[2]数据处理!$A:$N,3,0),0)</f>
        <v>0</v>
      </c>
      <c r="O135" s="17">
        <f>IFERROR(VLOOKUP($A135,[2]数据处理!$A:$N,14,0),0)</f>
        <v>8</v>
      </c>
      <c r="P135" s="17">
        <f>IFERROR(VLOOKUP($A135,[5]库存报告使用数据!$A$1:$B$65536,2,0),0)</f>
        <v>0</v>
      </c>
      <c r="Q135" s="17">
        <f>IFERROR(VLOOKUP($A135,[5]库存报告使用数据!$A$1:$E$65536,5,0),0)</f>
        <v>6806</v>
      </c>
      <c r="R135" s="17">
        <f>IFERROR(VLOOKUP($A135,[5]库存报告使用数据!$A$1:$H$65536,8,0),0)</f>
        <v>2610</v>
      </c>
      <c r="S135" s="17">
        <f>IFERROR(VLOOKUP($A135,[5]库存报告使用数据!$A$1:$K$65536,11,0),0)</f>
        <v>1224</v>
      </c>
      <c r="T135" s="17">
        <f>IFERROR(VLOOKUP($A135,[5]库存报告使用数据!$A$1:$C$65536,3,0),"")</f>
        <v>0</v>
      </c>
      <c r="U135" s="17">
        <f>IFERROR(VLOOKUP($A135,[5]库存报告使用数据!$A$1:$F$65536,6,0),"")</f>
        <v>8</v>
      </c>
      <c r="V135" s="17">
        <f>IFERROR(VLOOKUP($A135,[5]库存报告使用数据!$A$1:$I$65536,9,0),"")</f>
        <v>3</v>
      </c>
      <c r="W135" s="17">
        <f>IFERROR(VLOOKUP($A135,[5]库存报告使用数据!$A$1:$L$65536,12,0),"")</f>
        <v>5</v>
      </c>
      <c r="X135" s="27" t="str">
        <f t="shared" si="37"/>
        <v/>
      </c>
      <c r="Y135" s="27">
        <f t="shared" si="38"/>
        <v>0.0011754334410814</v>
      </c>
      <c r="Z135" s="27">
        <f t="shared" si="39"/>
        <v>0.00114942528735632</v>
      </c>
      <c r="AA135" s="27">
        <f t="shared" si="40"/>
        <v>0.00408496732026144</v>
      </c>
      <c r="AB135" s="17">
        <f>IFERROR(VLOOKUP($A135,[5]库存报告使用数据!$A$1:$D$65536,4,0),"")</f>
        <v>0</v>
      </c>
      <c r="AC135" s="17">
        <f>IFERROR(VLOOKUP($A135,[5]库存报告使用数据!$A$1:$G$65536,7,0),"")</f>
        <v>3.56</v>
      </c>
      <c r="AD135" s="17">
        <f>IFERROR(VLOOKUP($A135,[5]库存报告使用数据!$A$1:$J$65536,10,0),"")</f>
        <v>1.46</v>
      </c>
      <c r="AE135" s="17">
        <f>IFERROR(VLOOKUP($A135,[5]库存报告使用数据!$A$1:$M$65536,13,0),"")</f>
        <v>2.41</v>
      </c>
      <c r="AF135" s="27" t="str">
        <f t="shared" si="49"/>
        <v/>
      </c>
      <c r="AG135" s="27" t="str">
        <f t="shared" si="50"/>
        <v>有广告无销售广告费为3.56</v>
      </c>
      <c r="AH135" s="27" t="str">
        <f t="shared" si="51"/>
        <v>有广告无销售广告费为1.46</v>
      </c>
      <c r="AI135" s="27" t="str">
        <f t="shared" si="52"/>
        <v>有广告无销售广告费为2.41</v>
      </c>
      <c r="AJ135" s="17">
        <f>IFERROR(VLOOKUP($B135,'[3]浏览量处理(勿删)'!$A:$B,2,0),"")</f>
        <v>6</v>
      </c>
      <c r="AK135" s="17">
        <f>IFERROR(VLOOKUP($B135,'[3]浏览量处理(勿删)'!$A:$C,3,0),"")</f>
        <v>11</v>
      </c>
      <c r="AL135" s="17">
        <f>IFERROR(VLOOKUP($B135,'[3]浏览量处理(勿删)'!$A:$D,4,0),"")</f>
        <v>11</v>
      </c>
      <c r="AM135" s="17">
        <f>IFERROR(VLOOKUP($B135,'[3]浏览量处理(勿删)'!$A:$E,5,0),"")</f>
        <v>13</v>
      </c>
      <c r="AN135" s="27">
        <f t="shared" si="41"/>
        <v>0</v>
      </c>
      <c r="AO135" s="27">
        <f t="shared" si="42"/>
        <v>0</v>
      </c>
      <c r="AP135" s="27">
        <f t="shared" si="43"/>
        <v>0</v>
      </c>
      <c r="AQ135" s="27">
        <f t="shared" si="44"/>
        <v>0</v>
      </c>
      <c r="AR135" s="32">
        <f t="shared" si="45"/>
        <v>0</v>
      </c>
      <c r="AS135" s="32">
        <f t="shared" si="46"/>
        <v>0</v>
      </c>
      <c r="AT135" s="32">
        <f t="shared" si="47"/>
        <v>8</v>
      </c>
      <c r="AU135" s="18" t="str">
        <f t="shared" si="48"/>
        <v>库存为8</v>
      </c>
      <c r="AV135" s="33" t="str">
        <f>IFERROR(时间!$B$4+AU135,"上周无销量")</f>
        <v>上周无销量</v>
      </c>
    </row>
    <row r="136" spans="1:48">
      <c r="A136" s="16" t="s">
        <v>180</v>
      </c>
      <c r="B136" s="17" t="str">
        <f>VLOOKUP(A136,[1]sku_fnsku_asin_产品名称!$A:$C,3,0)</f>
        <v>B0761PBXCV</v>
      </c>
      <c r="C136" s="17" t="str">
        <f>VLOOKUP(A136,[1]sku_fnsku_asin_产品名称!$A:$D,4,0)</f>
        <v>ZAIAI Women's Quilted Puffer Jacket Coat with Faux Fur Trimmed Hood Navy L</v>
      </c>
      <c r="D136" s="18">
        <f>IFERROR(VLOOKUP(A136,[4]库存报告使用数据处理!$A:$B,2,0),0)</f>
        <v>0</v>
      </c>
      <c r="E136" s="18">
        <f>IFERROR(VLOOKUP(A136,[4]库存报告使用数据处理!$A:$C,3,0),0)</f>
        <v>0</v>
      </c>
      <c r="F136" s="18">
        <f>IFERROR(VLOOKUP(A136,[4]库存报告使用数据处理!$A:$D,4,0),0)</f>
        <v>0</v>
      </c>
      <c r="G136" s="18">
        <f>IFERROR(VLOOKUP(A136,[4]库存报告使用数据处理!$A:$E,5,0),0)</f>
        <v>0</v>
      </c>
      <c r="H136" s="18">
        <f>IFERROR(VLOOKUP(A136,[4]库存报告使用数据处理!$A:$F,6,0),0)</f>
        <v>0</v>
      </c>
      <c r="I136" s="18">
        <f>IFERROR(VLOOKUP($A136,[2]数据处理!$A:$B,2,0),0)</f>
        <v>1</v>
      </c>
      <c r="J136" s="18">
        <f>IFERROR(VLOOKUP($A136,[2]数据处理!$A:$D,4,0),0)</f>
        <v>0</v>
      </c>
      <c r="K136" s="18">
        <f>IFERROR(VLOOKUP($A136,[2]数据处理!$A:$E,5,0),0)</f>
        <v>0</v>
      </c>
      <c r="L136" s="18">
        <f>IFERROR(VLOOKUP($A136,[2]数据处理!$A:$N,7,0),0)</f>
        <v>0</v>
      </c>
      <c r="M136" s="22">
        <f t="shared" si="36"/>
        <v>1</v>
      </c>
      <c r="N136" s="18">
        <f>IFERROR(VLOOKUP($A136,[2]数据处理!$A:$N,3,0),0)</f>
        <v>0</v>
      </c>
      <c r="O136" s="17">
        <f>IFERROR(VLOOKUP($A136,[2]数据处理!$A:$N,14,0),0)</f>
        <v>0</v>
      </c>
      <c r="P136" s="17">
        <f>IFERROR(VLOOKUP($A136,[5]库存报告使用数据!$A$1:$B$65536,2,0),0)</f>
        <v>0</v>
      </c>
      <c r="Q136" s="17">
        <f>IFERROR(VLOOKUP($A136,[5]库存报告使用数据!$A$1:$E$65536,5,0),0)</f>
        <v>6117</v>
      </c>
      <c r="R136" s="17">
        <f>IFERROR(VLOOKUP($A136,[5]库存报告使用数据!$A$1:$H$65536,8,0),0)</f>
        <v>5203</v>
      </c>
      <c r="S136" s="17">
        <f>IFERROR(VLOOKUP($A136,[5]库存报告使用数据!$A$1:$K$65536,11,0),0)</f>
        <v>0</v>
      </c>
      <c r="T136" s="17">
        <f>IFERROR(VLOOKUP($A136,[5]库存报告使用数据!$A$1:$C$65536,3,0),"")</f>
        <v>0</v>
      </c>
      <c r="U136" s="17">
        <f>IFERROR(VLOOKUP($A136,[5]库存报告使用数据!$A$1:$F$65536,6,0),"")</f>
        <v>15</v>
      </c>
      <c r="V136" s="17">
        <f>IFERROR(VLOOKUP($A136,[5]库存报告使用数据!$A$1:$I$65536,9,0),"")</f>
        <v>7</v>
      </c>
      <c r="W136" s="17">
        <f>IFERROR(VLOOKUP($A136,[5]库存报告使用数据!$A$1:$L$65536,12,0),"")</f>
        <v>0</v>
      </c>
      <c r="X136" s="27" t="str">
        <f t="shared" si="37"/>
        <v/>
      </c>
      <c r="Y136" s="27">
        <f t="shared" si="38"/>
        <v>0.00245218244237371</v>
      </c>
      <c r="Z136" s="27">
        <f t="shared" si="39"/>
        <v>0.00134537766673073</v>
      </c>
      <c r="AA136" s="27" t="str">
        <f t="shared" si="40"/>
        <v/>
      </c>
      <c r="AB136" s="17">
        <f>IFERROR(VLOOKUP($A136,[5]库存报告使用数据!$A$1:$D$65536,4,0),"")</f>
        <v>0</v>
      </c>
      <c r="AC136" s="17">
        <f>IFERROR(VLOOKUP($A136,[5]库存报告使用数据!$A$1:$G$65536,7,0),"")</f>
        <v>6.96</v>
      </c>
      <c r="AD136" s="17">
        <f>IFERROR(VLOOKUP($A136,[5]库存报告使用数据!$A$1:$J$65536,10,0),"")</f>
        <v>4.05</v>
      </c>
      <c r="AE136" s="17">
        <f>IFERROR(VLOOKUP($A136,[5]库存报告使用数据!$A$1:$M$65536,13,0),"")</f>
        <v>0</v>
      </c>
      <c r="AF136" s="27" t="str">
        <f t="shared" si="49"/>
        <v/>
      </c>
      <c r="AG136" s="27" t="str">
        <f t="shared" si="50"/>
        <v>有广告无销售广告费为6.96</v>
      </c>
      <c r="AH136" s="27" t="str">
        <f t="shared" si="51"/>
        <v>有广告无销售广告费为4.05</v>
      </c>
      <c r="AI136" s="27" t="str">
        <f t="shared" si="52"/>
        <v/>
      </c>
      <c r="AJ136" s="17">
        <f>IFERROR(VLOOKUP($B136,'[3]浏览量处理(勿删)'!$A:$B,2,0),"")</f>
        <v>3</v>
      </c>
      <c r="AK136" s="17">
        <f>IFERROR(VLOOKUP($B136,'[3]浏览量处理(勿删)'!$A:$C,3,0),"")</f>
        <v>12</v>
      </c>
      <c r="AL136" s="17">
        <f>IFERROR(VLOOKUP($B136,'[3]浏览量处理(勿删)'!$A:$D,4,0),"")</f>
        <v>6</v>
      </c>
      <c r="AM136" s="17">
        <f>IFERROR(VLOOKUP($B136,'[3]浏览量处理(勿删)'!$A:$E,5,0),"")</f>
        <v>12</v>
      </c>
      <c r="AN136" s="27">
        <f t="shared" si="41"/>
        <v>0</v>
      </c>
      <c r="AO136" s="27">
        <f t="shared" si="42"/>
        <v>0</v>
      </c>
      <c r="AP136" s="27">
        <f t="shared" si="43"/>
        <v>0</v>
      </c>
      <c r="AQ136" s="27">
        <f t="shared" si="44"/>
        <v>0</v>
      </c>
      <c r="AR136" s="32">
        <f t="shared" si="45"/>
        <v>0</v>
      </c>
      <c r="AS136" s="32">
        <f t="shared" si="46"/>
        <v>0</v>
      </c>
      <c r="AT136" s="32">
        <f t="shared" si="47"/>
        <v>1</v>
      </c>
      <c r="AU136" s="18" t="str">
        <f t="shared" si="48"/>
        <v>库存为1</v>
      </c>
      <c r="AV136" s="33" t="str">
        <f>IFERROR(时间!$B$4+AU136,"上周无销量")</f>
        <v>上周无销量</v>
      </c>
    </row>
    <row r="137" spans="1:48">
      <c r="A137" s="16" t="s">
        <v>181</v>
      </c>
      <c r="B137" s="17" t="str">
        <f>VLOOKUP(A137,[1]sku_fnsku_asin_产品名称!$A:$C,3,0)</f>
        <v>B0761MLYTQ</v>
      </c>
      <c r="C137" s="17" t="str">
        <f>VLOOKUP(A137,[1]sku_fnsku_asin_产品名称!$A:$D,4,0)</f>
        <v>ZAIAI Women's Quilted Puffer Jacket Coat with Faux Fur Trimmed Hood Navy XL</v>
      </c>
      <c r="D137" s="18">
        <f>IFERROR(VLOOKUP(A137,[4]库存报告使用数据处理!$A:$B,2,0),0)</f>
        <v>0</v>
      </c>
      <c r="E137" s="18">
        <f>IFERROR(VLOOKUP(A137,[4]库存报告使用数据处理!$A:$C,3,0),0)</f>
        <v>0</v>
      </c>
      <c r="F137" s="18">
        <f>IFERROR(VLOOKUP(A137,[4]库存报告使用数据处理!$A:$D,4,0),0)</f>
        <v>0</v>
      </c>
      <c r="G137" s="18">
        <f>IFERROR(VLOOKUP(A137,[4]库存报告使用数据处理!$A:$E,5,0),0)</f>
        <v>0</v>
      </c>
      <c r="H137" s="18">
        <f>IFERROR(VLOOKUP(A137,[4]库存报告使用数据处理!$A:$F,6,0),0)</f>
        <v>0</v>
      </c>
      <c r="I137" s="18">
        <f>IFERROR(VLOOKUP($A137,[2]数据处理!$A:$B,2,0),0)</f>
        <v>0</v>
      </c>
      <c r="J137" s="18">
        <f>IFERROR(VLOOKUP($A137,[2]数据处理!$A:$D,4,0),0)</f>
        <v>0</v>
      </c>
      <c r="K137" s="18">
        <f>IFERROR(VLOOKUP($A137,[2]数据处理!$A:$E,5,0),0)</f>
        <v>0</v>
      </c>
      <c r="L137" s="18">
        <f>IFERROR(VLOOKUP($A137,[2]数据处理!$A:$N,7,0),0)</f>
        <v>0</v>
      </c>
      <c r="M137" s="22">
        <f t="shared" si="36"/>
        <v>0</v>
      </c>
      <c r="N137" s="18">
        <f>IFERROR(VLOOKUP($A137,[2]数据处理!$A:$N,3,0),0)</f>
        <v>0</v>
      </c>
      <c r="O137" s="17">
        <f>IFERROR(VLOOKUP($A137,[2]数据处理!$A:$N,14,0),0)</f>
        <v>0</v>
      </c>
      <c r="P137" s="17">
        <f>IFERROR(VLOOKUP($A137,[5]库存报告使用数据!$A$1:$B$65536,2,0),0)</f>
        <v>0</v>
      </c>
      <c r="Q137" s="17">
        <f>IFERROR(VLOOKUP($A137,[5]库存报告使用数据!$A$1:$E$65536,5,0),0)</f>
        <v>0</v>
      </c>
      <c r="R137" s="17">
        <f>IFERROR(VLOOKUP($A137,[5]库存报告使用数据!$A$1:$H$65536,8,0),0)</f>
        <v>0</v>
      </c>
      <c r="S137" s="17">
        <f>IFERROR(VLOOKUP($A137,[5]库存报告使用数据!$A$1:$K$65536,11,0),0)</f>
        <v>0</v>
      </c>
      <c r="T137" s="17" t="str">
        <f>IFERROR(VLOOKUP($A137,[5]库存报告使用数据!$A$1:$C$65536,3,0),"")</f>
        <v/>
      </c>
      <c r="U137" s="17" t="str">
        <f>IFERROR(VLOOKUP($A137,[5]库存报告使用数据!$A$1:$F$65536,6,0),"")</f>
        <v/>
      </c>
      <c r="V137" s="17" t="str">
        <f>IFERROR(VLOOKUP($A137,[5]库存报告使用数据!$A$1:$I$65536,9,0),"")</f>
        <v/>
      </c>
      <c r="W137" s="17" t="str">
        <f>IFERROR(VLOOKUP($A137,[5]库存报告使用数据!$A$1:$L$65536,12,0),"")</f>
        <v/>
      </c>
      <c r="X137" s="27" t="str">
        <f t="shared" si="37"/>
        <v/>
      </c>
      <c r="Y137" s="27" t="str">
        <f t="shared" si="38"/>
        <v/>
      </c>
      <c r="Z137" s="27" t="str">
        <f t="shared" si="39"/>
        <v/>
      </c>
      <c r="AA137" s="27" t="str">
        <f t="shared" si="40"/>
        <v/>
      </c>
      <c r="AB137" s="17" t="str">
        <f>IFERROR(VLOOKUP($A137,[5]库存报告使用数据!$A$1:$D$65536,4,0),"")</f>
        <v/>
      </c>
      <c r="AC137" s="17" t="str">
        <f>IFERROR(VLOOKUP($A137,[5]库存报告使用数据!$A$1:$G$65536,7,0),"")</f>
        <v/>
      </c>
      <c r="AD137" s="17" t="str">
        <f>IFERROR(VLOOKUP($A137,[5]库存报告使用数据!$A$1:$J$65536,10,0),"")</f>
        <v/>
      </c>
      <c r="AE137" s="17" t="str">
        <f>IFERROR(VLOOKUP($A137,[5]库存报告使用数据!$A$1:$M$65536,13,0),"")</f>
        <v/>
      </c>
      <c r="AF137" s="27" t="str">
        <f t="shared" si="49"/>
        <v>有广告无销售广告费为</v>
      </c>
      <c r="AG137" s="27" t="str">
        <f t="shared" si="50"/>
        <v>有广告无销售广告费为</v>
      </c>
      <c r="AH137" s="27" t="str">
        <f t="shared" si="51"/>
        <v>有广告无销售广告费为</v>
      </c>
      <c r="AI137" s="27" t="str">
        <f t="shared" si="52"/>
        <v>有广告无销售广告费为</v>
      </c>
      <c r="AJ137" s="17" t="str">
        <f>IFERROR(VLOOKUP($B137,'[3]浏览量处理(勿删)'!$A:$B,2,0),"")</f>
        <v/>
      </c>
      <c r="AK137" s="17" t="str">
        <f>IFERROR(VLOOKUP($B137,'[3]浏览量处理(勿删)'!$A:$C,3,0),"")</f>
        <v/>
      </c>
      <c r="AL137" s="17" t="str">
        <f>IFERROR(VLOOKUP($B137,'[3]浏览量处理(勿删)'!$A:$D,4,0),"")</f>
        <v/>
      </c>
      <c r="AM137" s="17" t="str">
        <f>IFERROR(VLOOKUP($B137,'[3]浏览量处理(勿删)'!$A:$E,5,0),"")</f>
        <v/>
      </c>
      <c r="AN137" s="27" t="str">
        <f t="shared" si="41"/>
        <v/>
      </c>
      <c r="AO137" s="27" t="str">
        <f t="shared" si="42"/>
        <v/>
      </c>
      <c r="AP137" s="27" t="str">
        <f t="shared" si="43"/>
        <v/>
      </c>
      <c r="AQ137" s="27" t="str">
        <f t="shared" si="44"/>
        <v/>
      </c>
      <c r="AR137" s="32">
        <f t="shared" si="45"/>
        <v>0</v>
      </c>
      <c r="AS137" s="32">
        <f t="shared" si="46"/>
        <v>0</v>
      </c>
      <c r="AT137" s="32">
        <f t="shared" si="47"/>
        <v>0</v>
      </c>
      <c r="AU137" s="18" t="str">
        <f t="shared" si="48"/>
        <v>库存为0</v>
      </c>
      <c r="AV137" s="33" t="str">
        <f>IFERROR(时间!$B$4+AU137,"上周无销量")</f>
        <v>上周无销量</v>
      </c>
    </row>
    <row r="138" spans="1:48">
      <c r="A138" s="16" t="s">
        <v>182</v>
      </c>
      <c r="B138" s="17" t="str">
        <f>VLOOKUP(A138,[1]sku_fnsku_asin_产品名称!$A:$C,3,0)</f>
        <v>B000VEWF2Q</v>
      </c>
      <c r="C138" s="17">
        <f>VLOOKUP(A138,[1]sku_fnsku_asin_产品名称!$A:$D,4,0)</f>
        <v>0</v>
      </c>
      <c r="D138" s="18">
        <f>IFERROR(VLOOKUP(A138,[4]库存报告使用数据处理!$A:$B,2,0),0)</f>
        <v>0</v>
      </c>
      <c r="E138" s="18">
        <f>IFERROR(VLOOKUP(A138,[4]库存报告使用数据处理!$A:$C,3,0),0)</f>
        <v>0</v>
      </c>
      <c r="F138" s="18">
        <f>IFERROR(VLOOKUP(A138,[4]库存报告使用数据处理!$A:$D,4,0),0)</f>
        <v>0</v>
      </c>
      <c r="G138" s="18">
        <f>IFERROR(VLOOKUP(A138,[4]库存报告使用数据处理!$A:$E,5,0),0)</f>
        <v>0</v>
      </c>
      <c r="H138" s="18">
        <f>IFERROR(VLOOKUP(A138,[4]库存报告使用数据处理!$A:$F,6,0),0)</f>
        <v>0</v>
      </c>
      <c r="I138" s="18">
        <f>IFERROR(VLOOKUP($A138,[2]数据处理!$A:$B,2,0),0)</f>
        <v>0</v>
      </c>
      <c r="J138" s="18">
        <f>IFERROR(VLOOKUP($A138,[2]数据处理!$A:$D,4,0),0)</f>
        <v>0</v>
      </c>
      <c r="K138" s="18">
        <f>IFERROR(VLOOKUP($A138,[2]数据处理!$A:$E,5,0),0)</f>
        <v>0</v>
      </c>
      <c r="L138" s="18">
        <f>IFERROR(VLOOKUP($A138,[2]数据处理!$A:$N,7,0),0)</f>
        <v>0</v>
      </c>
      <c r="M138" s="22">
        <f t="shared" si="36"/>
        <v>0</v>
      </c>
      <c r="N138" s="18">
        <f>IFERROR(VLOOKUP($A138,[2]数据处理!$A:$N,3,0),0)</f>
        <v>1</v>
      </c>
      <c r="O138" s="17">
        <f>IFERROR(VLOOKUP($A138,[2]数据处理!$A:$N,14,0),0)</f>
        <v>0</v>
      </c>
      <c r="P138" s="17">
        <f>IFERROR(VLOOKUP($A138,[5]库存报告使用数据!$A$1:$B$65536,2,0),0)</f>
        <v>0</v>
      </c>
      <c r="Q138" s="17">
        <f>IFERROR(VLOOKUP($A138,[5]库存报告使用数据!$A$1:$E$65536,5,0),0)</f>
        <v>0</v>
      </c>
      <c r="R138" s="17">
        <f>IFERROR(VLOOKUP($A138,[5]库存报告使用数据!$A$1:$H$65536,8,0),0)</f>
        <v>0</v>
      </c>
      <c r="S138" s="17">
        <f>IFERROR(VLOOKUP($A138,[5]库存报告使用数据!$A$1:$K$65536,11,0),0)</f>
        <v>0</v>
      </c>
      <c r="T138" s="17" t="str">
        <f>IFERROR(VLOOKUP($A138,[5]库存报告使用数据!$A$1:$C$65536,3,0),"")</f>
        <v/>
      </c>
      <c r="U138" s="17" t="str">
        <f>IFERROR(VLOOKUP($A138,[5]库存报告使用数据!$A$1:$F$65536,6,0),"")</f>
        <v/>
      </c>
      <c r="V138" s="17" t="str">
        <f>IFERROR(VLOOKUP($A138,[5]库存报告使用数据!$A$1:$I$65536,9,0),"")</f>
        <v/>
      </c>
      <c r="W138" s="17" t="str">
        <f>IFERROR(VLOOKUP($A138,[5]库存报告使用数据!$A$1:$L$65536,12,0),"")</f>
        <v/>
      </c>
      <c r="X138" s="27" t="str">
        <f t="shared" si="37"/>
        <v/>
      </c>
      <c r="Y138" s="27" t="str">
        <f t="shared" si="38"/>
        <v/>
      </c>
      <c r="Z138" s="27" t="str">
        <f t="shared" si="39"/>
        <v/>
      </c>
      <c r="AA138" s="27" t="str">
        <f t="shared" si="40"/>
        <v/>
      </c>
      <c r="AB138" s="17" t="str">
        <f>IFERROR(VLOOKUP($A138,[5]库存报告使用数据!$A$1:$D$65536,4,0),"")</f>
        <v/>
      </c>
      <c r="AC138" s="17" t="str">
        <f>IFERROR(VLOOKUP($A138,[5]库存报告使用数据!$A$1:$G$65536,7,0),"")</f>
        <v/>
      </c>
      <c r="AD138" s="17" t="str">
        <f>IFERROR(VLOOKUP($A138,[5]库存报告使用数据!$A$1:$J$65536,10,0),"")</f>
        <v/>
      </c>
      <c r="AE138" s="17" t="str">
        <f>IFERROR(VLOOKUP($A138,[5]库存报告使用数据!$A$1:$M$65536,13,0),"")</f>
        <v/>
      </c>
      <c r="AF138" s="27" t="str">
        <f t="shared" si="49"/>
        <v>有广告无销售广告费为</v>
      </c>
      <c r="AG138" s="27" t="str">
        <f t="shared" si="50"/>
        <v>有广告无销售广告费为</v>
      </c>
      <c r="AH138" s="27" t="str">
        <f t="shared" si="51"/>
        <v>有广告无销售广告费为</v>
      </c>
      <c r="AI138" s="27" t="str">
        <f t="shared" si="52"/>
        <v>有广告无销售广告费为</v>
      </c>
      <c r="AJ138" s="17" t="str">
        <f>IFERROR(VLOOKUP($B138,'[3]浏览量处理(勿删)'!$A:$B,2,0),"")</f>
        <v/>
      </c>
      <c r="AK138" s="17" t="str">
        <f>IFERROR(VLOOKUP($B138,'[3]浏览量处理(勿删)'!$A:$C,3,0),"")</f>
        <v/>
      </c>
      <c r="AL138" s="17" t="str">
        <f>IFERROR(VLOOKUP($B138,'[3]浏览量处理(勿删)'!$A:$D,4,0),"")</f>
        <v/>
      </c>
      <c r="AM138" s="17" t="str">
        <f>IFERROR(VLOOKUP($B138,'[3]浏览量处理(勿删)'!$A:$E,5,0),"")</f>
        <v/>
      </c>
      <c r="AN138" s="27" t="str">
        <f t="shared" si="41"/>
        <v/>
      </c>
      <c r="AO138" s="27" t="str">
        <f t="shared" si="42"/>
        <v/>
      </c>
      <c r="AP138" s="27" t="str">
        <f t="shared" si="43"/>
        <v/>
      </c>
      <c r="AQ138" s="27" t="str">
        <f t="shared" si="44"/>
        <v/>
      </c>
      <c r="AR138" s="32">
        <f t="shared" si="45"/>
        <v>0</v>
      </c>
      <c r="AS138" s="32">
        <f t="shared" si="46"/>
        <v>0</v>
      </c>
      <c r="AT138" s="32">
        <f t="shared" si="47"/>
        <v>0</v>
      </c>
      <c r="AU138" s="18" t="str">
        <f t="shared" si="48"/>
        <v>库存为0</v>
      </c>
      <c r="AV138" s="33" t="str">
        <f>IFERROR(时间!$B$4+AU138,"上周无销量")</f>
        <v>上周无销量</v>
      </c>
    </row>
    <row r="139" spans="1:48">
      <c r="A139" s="16" t="s">
        <v>183</v>
      </c>
      <c r="B139" s="17" t="str">
        <f>VLOOKUP(A139,[1]sku_fnsku_asin_产品名称!$A:$C,3,0)</f>
        <v>B004OF47N8</v>
      </c>
      <c r="C139" s="17">
        <f>VLOOKUP(A139,[1]sku_fnsku_asin_产品名称!$A:$D,4,0)</f>
        <v>0</v>
      </c>
      <c r="D139" s="18">
        <f>IFERROR(VLOOKUP(A139,[4]库存报告使用数据处理!$A:$B,2,0),0)</f>
        <v>0</v>
      </c>
      <c r="E139" s="18">
        <f>IFERROR(VLOOKUP(A139,[4]库存报告使用数据处理!$A:$C,3,0),0)</f>
        <v>0</v>
      </c>
      <c r="F139" s="18">
        <f>IFERROR(VLOOKUP(A139,[4]库存报告使用数据处理!$A:$D,4,0),0)</f>
        <v>0</v>
      </c>
      <c r="G139" s="18">
        <f>IFERROR(VLOOKUP(A139,[4]库存报告使用数据处理!$A:$E,5,0),0)</f>
        <v>0</v>
      </c>
      <c r="H139" s="18">
        <f>IFERROR(VLOOKUP(A139,[4]库存报告使用数据处理!$A:$F,6,0),0)</f>
        <v>0</v>
      </c>
      <c r="I139" s="18">
        <f>IFERROR(VLOOKUP($A139,[2]数据处理!$A:$B,2,0),0)</f>
        <v>0</v>
      </c>
      <c r="J139" s="18">
        <f>IFERROR(VLOOKUP($A139,[2]数据处理!$A:$D,4,0),0)</f>
        <v>0</v>
      </c>
      <c r="K139" s="18">
        <f>IFERROR(VLOOKUP($A139,[2]数据处理!$A:$E,5,0),0)</f>
        <v>0</v>
      </c>
      <c r="L139" s="18">
        <f>IFERROR(VLOOKUP($A139,[2]数据处理!$A:$N,7,0),0)</f>
        <v>0</v>
      </c>
      <c r="M139" s="22">
        <f t="shared" si="36"/>
        <v>0</v>
      </c>
      <c r="N139" s="18">
        <f>IFERROR(VLOOKUP($A139,[2]数据处理!$A:$N,3,0),0)</f>
        <v>0</v>
      </c>
      <c r="O139" s="17">
        <f>IFERROR(VLOOKUP($A139,[2]数据处理!$A:$N,14,0),0)</f>
        <v>0</v>
      </c>
      <c r="P139" s="17">
        <f>IFERROR(VLOOKUP($A139,[5]库存报告使用数据!$A$1:$B$65536,2,0),0)</f>
        <v>0</v>
      </c>
      <c r="Q139" s="17">
        <f>IFERROR(VLOOKUP($A139,[5]库存报告使用数据!$A$1:$E$65536,5,0),0)</f>
        <v>0</v>
      </c>
      <c r="R139" s="17">
        <f>IFERROR(VLOOKUP($A139,[5]库存报告使用数据!$A$1:$H$65536,8,0),0)</f>
        <v>0</v>
      </c>
      <c r="S139" s="17">
        <f>IFERROR(VLOOKUP($A139,[5]库存报告使用数据!$A$1:$K$65536,11,0),0)</f>
        <v>0</v>
      </c>
      <c r="T139" s="17" t="str">
        <f>IFERROR(VLOOKUP($A139,[5]库存报告使用数据!$A$1:$C$65536,3,0),"")</f>
        <v/>
      </c>
      <c r="U139" s="17" t="str">
        <f>IFERROR(VLOOKUP($A139,[5]库存报告使用数据!$A$1:$F$65536,6,0),"")</f>
        <v/>
      </c>
      <c r="V139" s="17" t="str">
        <f>IFERROR(VLOOKUP($A139,[5]库存报告使用数据!$A$1:$I$65536,9,0),"")</f>
        <v/>
      </c>
      <c r="W139" s="17" t="str">
        <f>IFERROR(VLOOKUP($A139,[5]库存报告使用数据!$A$1:$L$65536,12,0),"")</f>
        <v/>
      </c>
      <c r="X139" s="27" t="str">
        <f t="shared" si="37"/>
        <v/>
      </c>
      <c r="Y139" s="27" t="str">
        <f t="shared" si="38"/>
        <v/>
      </c>
      <c r="Z139" s="27" t="str">
        <f t="shared" si="39"/>
        <v/>
      </c>
      <c r="AA139" s="27" t="str">
        <f t="shared" si="40"/>
        <v/>
      </c>
      <c r="AB139" s="17" t="str">
        <f>IFERROR(VLOOKUP($A139,[5]库存报告使用数据!$A$1:$D$65536,4,0),"")</f>
        <v/>
      </c>
      <c r="AC139" s="17" t="str">
        <f>IFERROR(VLOOKUP($A139,[5]库存报告使用数据!$A$1:$G$65536,7,0),"")</f>
        <v/>
      </c>
      <c r="AD139" s="17" t="str">
        <f>IFERROR(VLOOKUP($A139,[5]库存报告使用数据!$A$1:$J$65536,10,0),"")</f>
        <v/>
      </c>
      <c r="AE139" s="17" t="str">
        <f>IFERROR(VLOOKUP($A139,[5]库存报告使用数据!$A$1:$M$65536,13,0),"")</f>
        <v/>
      </c>
      <c r="AF139" s="27" t="str">
        <f t="shared" si="49"/>
        <v>有广告无销售广告费为</v>
      </c>
      <c r="AG139" s="27" t="str">
        <f t="shared" si="50"/>
        <v>有广告无销售广告费为</v>
      </c>
      <c r="AH139" s="27" t="str">
        <f t="shared" si="51"/>
        <v>有广告无销售广告费为</v>
      </c>
      <c r="AI139" s="27" t="str">
        <f t="shared" si="52"/>
        <v>有广告无销售广告费为</v>
      </c>
      <c r="AJ139" s="17">
        <f>IFERROR(VLOOKUP($B139,'[3]浏览量处理(勿删)'!$A:$B,2,0),"")</f>
        <v>0</v>
      </c>
      <c r="AK139" s="17">
        <f>IFERROR(VLOOKUP($B139,'[3]浏览量处理(勿删)'!$A:$C,3,0),"")</f>
        <v>10</v>
      </c>
      <c r="AL139" s="17">
        <f>IFERROR(VLOOKUP($B139,'[3]浏览量处理(勿删)'!$A:$D,4,0),"")</f>
        <v>35</v>
      </c>
      <c r="AM139" s="17">
        <f>IFERROR(VLOOKUP($B139,'[3]浏览量处理(勿删)'!$A:$E,5,0),"")</f>
        <v>149</v>
      </c>
      <c r="AN139" s="27" t="str">
        <f t="shared" si="41"/>
        <v/>
      </c>
      <c r="AO139" s="27">
        <f t="shared" si="42"/>
        <v>0</v>
      </c>
      <c r="AP139" s="27">
        <f t="shared" si="43"/>
        <v>0</v>
      </c>
      <c r="AQ139" s="27">
        <f t="shared" si="44"/>
        <v>0</v>
      </c>
      <c r="AR139" s="32">
        <f t="shared" si="45"/>
        <v>0</v>
      </c>
      <c r="AS139" s="32">
        <f t="shared" si="46"/>
        <v>0</v>
      </c>
      <c r="AT139" s="32">
        <f t="shared" si="47"/>
        <v>0</v>
      </c>
      <c r="AU139" s="18" t="str">
        <f t="shared" si="48"/>
        <v>库存为0</v>
      </c>
      <c r="AV139" s="33" t="str">
        <f>IFERROR(时间!$B$4+AU139,"上周无销量")</f>
        <v>上周无销量</v>
      </c>
    </row>
    <row r="140" spans="1:48">
      <c r="A140" s="16" t="s">
        <v>184</v>
      </c>
      <c r="B140" s="17" t="str">
        <f>VLOOKUP(A140,[1]sku_fnsku_asin_产品名称!$A:$C,3,0)</f>
        <v>B000VEWF2Q</v>
      </c>
      <c r="C140" s="17">
        <f>VLOOKUP(A140,[1]sku_fnsku_asin_产品名称!$A:$D,4,0)</f>
        <v>0</v>
      </c>
      <c r="D140" s="18">
        <f>IFERROR(VLOOKUP(A140,[4]库存报告使用数据处理!$A:$B,2,0),0)</f>
        <v>0</v>
      </c>
      <c r="E140" s="18">
        <f>IFERROR(VLOOKUP(A140,[4]库存报告使用数据处理!$A:$C,3,0),0)</f>
        <v>0</v>
      </c>
      <c r="F140" s="18">
        <f>IFERROR(VLOOKUP(A140,[4]库存报告使用数据处理!$A:$D,4,0),0)</f>
        <v>0</v>
      </c>
      <c r="G140" s="18">
        <f>IFERROR(VLOOKUP(A140,[4]库存报告使用数据处理!$A:$E,5,0),0)</f>
        <v>0</v>
      </c>
      <c r="H140" s="18">
        <f>IFERROR(VLOOKUP(A140,[4]库存报告使用数据处理!$A:$F,6,0),0)</f>
        <v>0</v>
      </c>
      <c r="I140" s="18">
        <f>IFERROR(VLOOKUP($A140,[2]数据处理!$A:$B,2,0),0)</f>
        <v>0</v>
      </c>
      <c r="J140" s="18">
        <f>IFERROR(VLOOKUP($A140,[2]数据处理!$A:$D,4,0),0)</f>
        <v>0</v>
      </c>
      <c r="K140" s="18">
        <f>IFERROR(VLOOKUP($A140,[2]数据处理!$A:$E,5,0),0)</f>
        <v>0</v>
      </c>
      <c r="L140" s="18">
        <f>IFERROR(VLOOKUP($A140,[2]数据处理!$A:$N,7,0),0)</f>
        <v>0</v>
      </c>
      <c r="M140" s="22">
        <f t="shared" si="36"/>
        <v>0</v>
      </c>
      <c r="N140" s="18">
        <f>IFERROR(VLOOKUP($A140,[2]数据处理!$A:$N,3,0),0)</f>
        <v>1</v>
      </c>
      <c r="O140" s="17">
        <f>IFERROR(VLOOKUP($A140,[2]数据处理!$A:$N,14,0),0)</f>
        <v>0</v>
      </c>
      <c r="P140" s="17">
        <f>IFERROR(VLOOKUP($A140,[5]库存报告使用数据!$A$1:$B$65536,2,0),0)</f>
        <v>0</v>
      </c>
      <c r="Q140" s="17">
        <f>IFERROR(VLOOKUP($A140,[5]库存报告使用数据!$A$1:$E$65536,5,0),0)</f>
        <v>0</v>
      </c>
      <c r="R140" s="17">
        <f>IFERROR(VLOOKUP($A140,[5]库存报告使用数据!$A$1:$H$65536,8,0),0)</f>
        <v>0</v>
      </c>
      <c r="S140" s="17">
        <f>IFERROR(VLOOKUP($A140,[5]库存报告使用数据!$A$1:$K$65536,11,0),0)</f>
        <v>0</v>
      </c>
      <c r="T140" s="17" t="str">
        <f>IFERROR(VLOOKUP($A140,[5]库存报告使用数据!$A$1:$C$65536,3,0),"")</f>
        <v/>
      </c>
      <c r="U140" s="17" t="str">
        <f>IFERROR(VLOOKUP($A140,[5]库存报告使用数据!$A$1:$F$65536,6,0),"")</f>
        <v/>
      </c>
      <c r="V140" s="17" t="str">
        <f>IFERROR(VLOOKUP($A140,[5]库存报告使用数据!$A$1:$I$65536,9,0),"")</f>
        <v/>
      </c>
      <c r="W140" s="17" t="str">
        <f>IFERROR(VLOOKUP($A140,[5]库存报告使用数据!$A$1:$L$65536,12,0),"")</f>
        <v/>
      </c>
      <c r="X140" s="27" t="str">
        <f t="shared" si="37"/>
        <v/>
      </c>
      <c r="Y140" s="27" t="str">
        <f t="shared" si="38"/>
        <v/>
      </c>
      <c r="Z140" s="27" t="str">
        <f t="shared" si="39"/>
        <v/>
      </c>
      <c r="AA140" s="27" t="str">
        <f t="shared" si="40"/>
        <v/>
      </c>
      <c r="AB140" s="17" t="str">
        <f>IFERROR(VLOOKUP($A140,[5]库存报告使用数据!$A$1:$D$65536,4,0),"")</f>
        <v/>
      </c>
      <c r="AC140" s="17" t="str">
        <f>IFERROR(VLOOKUP($A140,[5]库存报告使用数据!$A$1:$G$65536,7,0),"")</f>
        <v/>
      </c>
      <c r="AD140" s="17" t="str">
        <f>IFERROR(VLOOKUP($A140,[5]库存报告使用数据!$A$1:$J$65536,10,0),"")</f>
        <v/>
      </c>
      <c r="AE140" s="17" t="str">
        <f>IFERROR(VLOOKUP($A140,[5]库存报告使用数据!$A$1:$M$65536,13,0),"")</f>
        <v/>
      </c>
      <c r="AF140" s="27" t="str">
        <f t="shared" si="49"/>
        <v>有广告无销售广告费为</v>
      </c>
      <c r="AG140" s="27" t="str">
        <f t="shared" si="50"/>
        <v>有广告无销售广告费为</v>
      </c>
      <c r="AH140" s="27" t="str">
        <f t="shared" si="51"/>
        <v>有广告无销售广告费为</v>
      </c>
      <c r="AI140" s="27" t="str">
        <f t="shared" si="52"/>
        <v>有广告无销售广告费为</v>
      </c>
      <c r="AJ140" s="17" t="str">
        <f>IFERROR(VLOOKUP($B140,'[3]浏览量处理(勿删)'!$A:$B,2,0),"")</f>
        <v/>
      </c>
      <c r="AK140" s="17" t="str">
        <f>IFERROR(VLOOKUP($B140,'[3]浏览量处理(勿删)'!$A:$C,3,0),"")</f>
        <v/>
      </c>
      <c r="AL140" s="17" t="str">
        <f>IFERROR(VLOOKUP($B140,'[3]浏览量处理(勿删)'!$A:$D,4,0),"")</f>
        <v/>
      </c>
      <c r="AM140" s="17" t="str">
        <f>IFERROR(VLOOKUP($B140,'[3]浏览量处理(勿删)'!$A:$E,5,0),"")</f>
        <v/>
      </c>
      <c r="AN140" s="27" t="str">
        <f t="shared" si="41"/>
        <v/>
      </c>
      <c r="AO140" s="27" t="str">
        <f t="shared" si="42"/>
        <v/>
      </c>
      <c r="AP140" s="27" t="str">
        <f t="shared" si="43"/>
        <v/>
      </c>
      <c r="AQ140" s="27" t="str">
        <f t="shared" si="44"/>
        <v/>
      </c>
      <c r="AR140" s="32">
        <f t="shared" si="45"/>
        <v>0</v>
      </c>
      <c r="AS140" s="32">
        <f t="shared" si="46"/>
        <v>0</v>
      </c>
      <c r="AT140" s="32">
        <f t="shared" si="47"/>
        <v>0</v>
      </c>
      <c r="AU140" s="18" t="str">
        <f t="shared" si="48"/>
        <v>库存为0</v>
      </c>
      <c r="AV140" s="33" t="str">
        <f>IFERROR(时间!$B$4+AU140,"上周无销量")</f>
        <v>上周无销量</v>
      </c>
    </row>
    <row r="141" spans="1:48">
      <c r="A141" s="16" t="s">
        <v>185</v>
      </c>
      <c r="B141" s="17" t="str">
        <f>VLOOKUP(A141,[1]sku_fnsku_asin_产品名称!$A:$C,3,0)</f>
        <v>B01G3AIYJO</v>
      </c>
      <c r="C141" s="17" t="str">
        <f>VLOOKUP(A141,[1]sku_fnsku_asin_产品名称!$A:$D,4,0)</f>
        <v>Gratiae Organic Beauty By Nature Exfoliating Body Scrub, Apple/Green Tea and Ginger by Gratiae Organic Beauty By Nature</v>
      </c>
      <c r="D141" s="18">
        <f>IFERROR(VLOOKUP(A141,[4]库存报告使用数据处理!$A:$B,2,0),0)</f>
        <v>0</v>
      </c>
      <c r="E141" s="18">
        <f>IFERROR(VLOOKUP(A141,[4]库存报告使用数据处理!$A:$C,3,0),0)</f>
        <v>1</v>
      </c>
      <c r="F141" s="18">
        <f>IFERROR(VLOOKUP(A141,[4]库存报告使用数据处理!$A:$D,4,0),0)</f>
        <v>6</v>
      </c>
      <c r="G141" s="18">
        <f>IFERROR(VLOOKUP(A141,[4]库存报告使用数据处理!$A:$E,5,0),0)</f>
        <v>1</v>
      </c>
      <c r="H141" s="18">
        <f>IFERROR(VLOOKUP(A141,[4]库存报告使用数据处理!$A:$F,6,0),0)</f>
        <v>15.115</v>
      </c>
      <c r="I141" s="18">
        <f>IFERROR(VLOOKUP($A141,[2]数据处理!$A:$B,2,0),0)</f>
        <v>87</v>
      </c>
      <c r="J141" s="18">
        <f>IFERROR(VLOOKUP($A141,[2]数据处理!$A:$D,4,0),0)</f>
        <v>0</v>
      </c>
      <c r="K141" s="18">
        <f>IFERROR(VLOOKUP($A141,[2]数据处理!$A:$E,5,0),0)</f>
        <v>0</v>
      </c>
      <c r="L141" s="18">
        <f>IFERROR(VLOOKUP($A141,[2]数据处理!$A:$N,7,0),0)</f>
        <v>0</v>
      </c>
      <c r="M141" s="22">
        <f t="shared" si="36"/>
        <v>87</v>
      </c>
      <c r="N141" s="18">
        <f>IFERROR(VLOOKUP($A141,[2]数据处理!$A:$N,3,0),0)</f>
        <v>11</v>
      </c>
      <c r="O141" s="17">
        <f>IFERROR(VLOOKUP($A141,[2]数据处理!$A:$N,14,0),0)</f>
        <v>86</v>
      </c>
      <c r="P141" s="17">
        <f>IFERROR(VLOOKUP($A141,[5]库存报告使用数据!$A$1:$B$65536,2,0),0)</f>
        <v>916</v>
      </c>
      <c r="Q141" s="17">
        <f>IFERROR(VLOOKUP($A141,[5]库存报告使用数据!$A$1:$E$65536,5,0),0)</f>
        <v>402</v>
      </c>
      <c r="R141" s="17">
        <f>IFERROR(VLOOKUP($A141,[5]库存报告使用数据!$A$1:$H$65536,8,0),0)</f>
        <v>5783</v>
      </c>
      <c r="S141" s="17">
        <f>IFERROR(VLOOKUP($A141,[5]库存报告使用数据!$A$1:$K$65536,11,0),0)</f>
        <v>3528</v>
      </c>
      <c r="T141" s="17">
        <f>IFERROR(VLOOKUP($A141,[5]库存报告使用数据!$A$1:$C$65536,3,0),"")</f>
        <v>3</v>
      </c>
      <c r="U141" s="17">
        <f>IFERROR(VLOOKUP($A141,[5]库存报告使用数据!$A$1:$F$65536,6,0),"")</f>
        <v>1</v>
      </c>
      <c r="V141" s="17">
        <f>IFERROR(VLOOKUP($A141,[5]库存报告使用数据!$A$1:$I$65536,9,0),"")</f>
        <v>7</v>
      </c>
      <c r="W141" s="17">
        <f>IFERROR(VLOOKUP($A141,[5]库存报告使用数据!$A$1:$L$65536,12,0),"")</f>
        <v>13</v>
      </c>
      <c r="X141" s="27">
        <f t="shared" si="37"/>
        <v>0.00327510917030568</v>
      </c>
      <c r="Y141" s="27">
        <f t="shared" si="38"/>
        <v>0.00248756218905473</v>
      </c>
      <c r="Z141" s="27">
        <f t="shared" si="39"/>
        <v>0.00121044440601764</v>
      </c>
      <c r="AA141" s="27">
        <f t="shared" si="40"/>
        <v>0.00368480725623583</v>
      </c>
      <c r="AB141" s="17">
        <f>IFERROR(VLOOKUP($A141,[5]库存报告使用数据!$A$1:$D$65536,4,0),"")</f>
        <v>0.51</v>
      </c>
      <c r="AC141" s="17">
        <f>IFERROR(VLOOKUP($A141,[5]库存报告使用数据!$A$1:$G$65536,7,0),"")</f>
        <v>0.16</v>
      </c>
      <c r="AD141" s="17">
        <f>IFERROR(VLOOKUP($A141,[5]库存报告使用数据!$A$1:$J$65536,10,0),"")</f>
        <v>3.32</v>
      </c>
      <c r="AE141" s="17">
        <f>IFERROR(VLOOKUP($A141,[5]库存报告使用数据!$A$1:$M$65536,13,0),"")</f>
        <v>4.07</v>
      </c>
      <c r="AF141" s="27" t="str">
        <f t="shared" si="49"/>
        <v>有广告无销售广告费为0.51</v>
      </c>
      <c r="AG141" s="27">
        <f t="shared" si="50"/>
        <v>0.0105855110817069</v>
      </c>
      <c r="AH141" s="27">
        <f t="shared" si="51"/>
        <v>0.0366082258242364</v>
      </c>
      <c r="AI141" s="27">
        <f t="shared" si="52"/>
        <v>0.26926893814092</v>
      </c>
      <c r="AJ141" s="17">
        <f>IFERROR(VLOOKUP($B141,'[3]浏览量处理(勿删)'!$A:$B,2,0),"")</f>
        <v>23</v>
      </c>
      <c r="AK141" s="17">
        <f>IFERROR(VLOOKUP($B141,'[3]浏览量处理(勿删)'!$A:$C,3,0),"")</f>
        <v>29</v>
      </c>
      <c r="AL141" s="17">
        <f>IFERROR(VLOOKUP($B141,'[3]浏览量处理(勿删)'!$A:$D,4,0),"")</f>
        <v>40</v>
      </c>
      <c r="AM141" s="17">
        <f>IFERROR(VLOOKUP($B141,'[3]浏览量处理(勿删)'!$A:$E,5,0),"")</f>
        <v>103</v>
      </c>
      <c r="AN141" s="27">
        <f t="shared" si="41"/>
        <v>0</v>
      </c>
      <c r="AO141" s="27">
        <f t="shared" si="42"/>
        <v>0.0344827586206897</v>
      </c>
      <c r="AP141" s="27">
        <f t="shared" si="43"/>
        <v>0.15</v>
      </c>
      <c r="AQ141" s="27">
        <f t="shared" si="44"/>
        <v>0.00970873786407767</v>
      </c>
      <c r="AR141" s="32">
        <f t="shared" si="45"/>
        <v>0</v>
      </c>
      <c r="AS141" s="32">
        <f t="shared" si="46"/>
        <v>0</v>
      </c>
      <c r="AT141" s="32">
        <f t="shared" si="47"/>
        <v>87</v>
      </c>
      <c r="AU141" s="18" t="str">
        <f t="shared" si="48"/>
        <v>库存为87</v>
      </c>
      <c r="AV141" s="33" t="str">
        <f>IFERROR(时间!$B$4+AU141,"上周无销量")</f>
        <v>上周无销量</v>
      </c>
    </row>
    <row r="142" spans="1:48">
      <c r="A142" s="16" t="s">
        <v>186</v>
      </c>
      <c r="B142" s="17" t="str">
        <f>VLOOKUP(A142,[1]sku_fnsku_asin_产品名称!$A:$C,3,0)</f>
        <v>B00GU2QXVC</v>
      </c>
      <c r="C142" s="17" t="str">
        <f>VLOOKUP(A142,[1]sku_fnsku_asin_产品名称!$A:$D,4,0)</f>
        <v>Premier Dead Sea Refining Moisture Cream</v>
      </c>
      <c r="D142" s="18">
        <f>IFERROR(VLOOKUP(A142,[4]库存报告使用数据处理!$A:$B,2,0),0)</f>
        <v>0</v>
      </c>
      <c r="E142" s="18">
        <f>IFERROR(VLOOKUP(A142,[4]库存报告使用数据处理!$A:$C,3,0),0)</f>
        <v>0</v>
      </c>
      <c r="F142" s="18">
        <f>IFERROR(VLOOKUP(A142,[4]库存报告使用数据处理!$A:$D,4,0),0)</f>
        <v>0</v>
      </c>
      <c r="G142" s="18">
        <f>IFERROR(VLOOKUP(A142,[4]库存报告使用数据处理!$A:$E,5,0),0)</f>
        <v>0</v>
      </c>
      <c r="H142" s="18">
        <f>IFERROR(VLOOKUP(A142,[4]库存报告使用数据处理!$A:$F,6,0),0)</f>
        <v>0</v>
      </c>
      <c r="I142" s="18">
        <f>IFERROR(VLOOKUP($A142,[2]数据处理!$A:$B,2,0),0)</f>
        <v>0</v>
      </c>
      <c r="J142" s="18">
        <f>IFERROR(VLOOKUP($A142,[2]数据处理!$A:$D,4,0),0)</f>
        <v>0</v>
      </c>
      <c r="K142" s="18">
        <f>IFERROR(VLOOKUP($A142,[2]数据处理!$A:$E,5,0),0)</f>
        <v>0</v>
      </c>
      <c r="L142" s="18">
        <f>IFERROR(VLOOKUP($A142,[2]数据处理!$A:$N,7,0),0)</f>
        <v>0</v>
      </c>
      <c r="M142" s="22">
        <f t="shared" si="36"/>
        <v>0</v>
      </c>
      <c r="N142" s="18">
        <f>IFERROR(VLOOKUP($A142,[2]数据处理!$A:$N,3,0),0)</f>
        <v>0</v>
      </c>
      <c r="O142" s="17">
        <f>IFERROR(VLOOKUP($A142,[2]数据处理!$A:$N,14,0),0)</f>
        <v>0</v>
      </c>
      <c r="P142" s="17">
        <f>IFERROR(VLOOKUP($A142,[5]库存报告使用数据!$A$1:$B$65536,2,0),0)</f>
        <v>0</v>
      </c>
      <c r="Q142" s="17">
        <f>IFERROR(VLOOKUP($A142,[5]库存报告使用数据!$A$1:$E$65536,5,0),0)</f>
        <v>0</v>
      </c>
      <c r="R142" s="17">
        <f>IFERROR(VLOOKUP($A142,[5]库存报告使用数据!$A$1:$H$65536,8,0),0)</f>
        <v>0</v>
      </c>
      <c r="S142" s="17">
        <f>IFERROR(VLOOKUP($A142,[5]库存报告使用数据!$A$1:$K$65536,11,0),0)</f>
        <v>0</v>
      </c>
      <c r="T142" s="17" t="str">
        <f>IFERROR(VLOOKUP($A142,[5]库存报告使用数据!$A$1:$C$65536,3,0),"")</f>
        <v/>
      </c>
      <c r="U142" s="17" t="str">
        <f>IFERROR(VLOOKUP($A142,[5]库存报告使用数据!$A$1:$F$65536,6,0),"")</f>
        <v/>
      </c>
      <c r="V142" s="17" t="str">
        <f>IFERROR(VLOOKUP($A142,[5]库存报告使用数据!$A$1:$I$65536,9,0),"")</f>
        <v/>
      </c>
      <c r="W142" s="17" t="str">
        <f>IFERROR(VLOOKUP($A142,[5]库存报告使用数据!$A$1:$L$65536,12,0),"")</f>
        <v/>
      </c>
      <c r="X142" s="27" t="str">
        <f t="shared" si="37"/>
        <v/>
      </c>
      <c r="Y142" s="27" t="str">
        <f t="shared" si="38"/>
        <v/>
      </c>
      <c r="Z142" s="27" t="str">
        <f t="shared" si="39"/>
        <v/>
      </c>
      <c r="AA142" s="27" t="str">
        <f t="shared" si="40"/>
        <v/>
      </c>
      <c r="AB142" s="17" t="str">
        <f>IFERROR(VLOOKUP($A142,[5]库存报告使用数据!$A$1:$D$65536,4,0),"")</f>
        <v/>
      </c>
      <c r="AC142" s="17" t="str">
        <f>IFERROR(VLOOKUP($A142,[5]库存报告使用数据!$A$1:$G$65536,7,0),"")</f>
        <v/>
      </c>
      <c r="AD142" s="17" t="str">
        <f>IFERROR(VLOOKUP($A142,[5]库存报告使用数据!$A$1:$J$65536,10,0),"")</f>
        <v/>
      </c>
      <c r="AE142" s="17" t="str">
        <f>IFERROR(VLOOKUP($A142,[5]库存报告使用数据!$A$1:$M$65536,13,0),"")</f>
        <v/>
      </c>
      <c r="AF142" s="27" t="str">
        <f t="shared" si="49"/>
        <v>有广告无销售广告费为</v>
      </c>
      <c r="AG142" s="27" t="str">
        <f t="shared" si="50"/>
        <v>有广告无销售广告费为</v>
      </c>
      <c r="AH142" s="27" t="str">
        <f t="shared" si="51"/>
        <v>有广告无销售广告费为</v>
      </c>
      <c r="AI142" s="27" t="str">
        <f t="shared" si="52"/>
        <v>有广告无销售广告费为</v>
      </c>
      <c r="AJ142" s="17" t="str">
        <f>IFERROR(VLOOKUP($B142,'[3]浏览量处理(勿删)'!$A:$B,2,0),"")</f>
        <v/>
      </c>
      <c r="AK142" s="17" t="str">
        <f>IFERROR(VLOOKUP($B142,'[3]浏览量处理(勿删)'!$A:$C,3,0),"")</f>
        <v/>
      </c>
      <c r="AL142" s="17" t="str">
        <f>IFERROR(VLOOKUP($B142,'[3]浏览量处理(勿删)'!$A:$D,4,0),"")</f>
        <v/>
      </c>
      <c r="AM142" s="17" t="str">
        <f>IFERROR(VLOOKUP($B142,'[3]浏览量处理(勿删)'!$A:$E,5,0),"")</f>
        <v/>
      </c>
      <c r="AN142" s="27" t="str">
        <f t="shared" si="41"/>
        <v/>
      </c>
      <c r="AO142" s="27" t="str">
        <f t="shared" si="42"/>
        <v/>
      </c>
      <c r="AP142" s="27" t="str">
        <f t="shared" si="43"/>
        <v/>
      </c>
      <c r="AQ142" s="27" t="str">
        <f t="shared" si="44"/>
        <v/>
      </c>
      <c r="AR142" s="32">
        <f t="shared" si="45"/>
        <v>0</v>
      </c>
      <c r="AS142" s="32">
        <f t="shared" si="46"/>
        <v>0</v>
      </c>
      <c r="AT142" s="32">
        <f t="shared" si="47"/>
        <v>0</v>
      </c>
      <c r="AU142" s="18" t="str">
        <f t="shared" si="48"/>
        <v>库存为0</v>
      </c>
      <c r="AV142" s="33" t="str">
        <f>IFERROR(时间!$B$4+AU142,"上周无销量")</f>
        <v>上周无销量</v>
      </c>
    </row>
    <row r="143" spans="1:48">
      <c r="A143" s="16" t="s">
        <v>187</v>
      </c>
      <c r="B143" s="17" t="str">
        <f>VLOOKUP(A143,[1]sku_fnsku_asin_产品名称!$A:$C,3,0)</f>
        <v>B004X9BTGI</v>
      </c>
      <c r="C143" s="17" t="str">
        <f>VLOOKUP(A143,[1]sku_fnsku_asin_产品名称!$A:$D,4,0)</f>
        <v>Gratiae Organicss Hand and Nail Care Treatment, 4.08 Ounce</v>
      </c>
      <c r="D143" s="18">
        <f>IFERROR(VLOOKUP(A143,[4]库存报告使用数据处理!$A:$B,2,0),0)</f>
        <v>0</v>
      </c>
      <c r="E143" s="18">
        <f>IFERROR(VLOOKUP(A143,[4]库存报告使用数据处理!$A:$C,3,0),0)</f>
        <v>0</v>
      </c>
      <c r="F143" s="18">
        <f>IFERROR(VLOOKUP(A143,[4]库存报告使用数据处理!$A:$D,4,0),0)</f>
        <v>0</v>
      </c>
      <c r="G143" s="18">
        <f>IFERROR(VLOOKUP(A143,[4]库存报告使用数据处理!$A:$E,5,0),0)</f>
        <v>0</v>
      </c>
      <c r="H143" s="18">
        <f>IFERROR(VLOOKUP(A143,[4]库存报告使用数据处理!$A:$F,6,0),0)</f>
        <v>0</v>
      </c>
      <c r="I143" s="18">
        <f>IFERROR(VLOOKUP($A143,[2]数据处理!$A:$B,2,0),0)</f>
        <v>6</v>
      </c>
      <c r="J143" s="18">
        <f>IFERROR(VLOOKUP($A143,[2]数据处理!$A:$D,4,0),0)</f>
        <v>0</v>
      </c>
      <c r="K143" s="18">
        <f>IFERROR(VLOOKUP($A143,[2]数据处理!$A:$E,5,0),0)</f>
        <v>0</v>
      </c>
      <c r="L143" s="18">
        <f>IFERROR(VLOOKUP($A143,[2]数据处理!$A:$N,7,0),0)</f>
        <v>0</v>
      </c>
      <c r="M143" s="22">
        <f t="shared" si="36"/>
        <v>6</v>
      </c>
      <c r="N143" s="18">
        <f>IFERROR(VLOOKUP($A143,[2]数据处理!$A:$N,3,0),0)</f>
        <v>0</v>
      </c>
      <c r="O143" s="17">
        <f>IFERROR(VLOOKUP($A143,[2]数据处理!$A:$N,14,0),0)</f>
        <v>6</v>
      </c>
      <c r="P143" s="17">
        <f>IFERROR(VLOOKUP($A143,[5]库存报告使用数据!$A$1:$B$65536,2,0),0)</f>
        <v>0</v>
      </c>
      <c r="Q143" s="17">
        <f>IFERROR(VLOOKUP($A143,[5]库存报告使用数据!$A$1:$E$65536,5,0),0)</f>
        <v>0</v>
      </c>
      <c r="R143" s="17">
        <f>IFERROR(VLOOKUP($A143,[5]库存报告使用数据!$A$1:$H$65536,8,0),0)</f>
        <v>0</v>
      </c>
      <c r="S143" s="17">
        <f>IFERROR(VLOOKUP($A143,[5]库存报告使用数据!$A$1:$K$65536,11,0),0)</f>
        <v>0</v>
      </c>
      <c r="T143" s="17" t="str">
        <f>IFERROR(VLOOKUP($A143,[5]库存报告使用数据!$A$1:$C$65536,3,0),"")</f>
        <v/>
      </c>
      <c r="U143" s="17" t="str">
        <f>IFERROR(VLOOKUP($A143,[5]库存报告使用数据!$A$1:$F$65536,6,0),"")</f>
        <v/>
      </c>
      <c r="V143" s="17" t="str">
        <f>IFERROR(VLOOKUP($A143,[5]库存报告使用数据!$A$1:$I$65536,9,0),"")</f>
        <v/>
      </c>
      <c r="W143" s="17" t="str">
        <f>IFERROR(VLOOKUP($A143,[5]库存报告使用数据!$A$1:$L$65536,12,0),"")</f>
        <v/>
      </c>
      <c r="X143" s="27" t="str">
        <f t="shared" si="37"/>
        <v/>
      </c>
      <c r="Y143" s="27" t="str">
        <f t="shared" si="38"/>
        <v/>
      </c>
      <c r="Z143" s="27" t="str">
        <f t="shared" si="39"/>
        <v/>
      </c>
      <c r="AA143" s="27" t="str">
        <f t="shared" si="40"/>
        <v/>
      </c>
      <c r="AB143" s="17" t="str">
        <f>IFERROR(VLOOKUP($A143,[5]库存报告使用数据!$A$1:$D$65536,4,0),"")</f>
        <v/>
      </c>
      <c r="AC143" s="17" t="str">
        <f>IFERROR(VLOOKUP($A143,[5]库存报告使用数据!$A$1:$G$65536,7,0),"")</f>
        <v/>
      </c>
      <c r="AD143" s="17" t="str">
        <f>IFERROR(VLOOKUP($A143,[5]库存报告使用数据!$A$1:$J$65536,10,0),"")</f>
        <v/>
      </c>
      <c r="AE143" s="17" t="str">
        <f>IFERROR(VLOOKUP($A143,[5]库存报告使用数据!$A$1:$M$65536,13,0),"")</f>
        <v/>
      </c>
      <c r="AF143" s="27" t="str">
        <f t="shared" si="49"/>
        <v>有广告无销售广告费为</v>
      </c>
      <c r="AG143" s="27" t="str">
        <f t="shared" si="50"/>
        <v>有广告无销售广告费为</v>
      </c>
      <c r="AH143" s="27" t="str">
        <f t="shared" si="51"/>
        <v>有广告无销售广告费为</v>
      </c>
      <c r="AI143" s="27" t="str">
        <f t="shared" si="52"/>
        <v>有广告无销售广告费为</v>
      </c>
      <c r="AJ143" s="17" t="str">
        <f>IFERROR(VLOOKUP($B143,'[3]浏览量处理(勿删)'!$A:$B,2,0),"")</f>
        <v/>
      </c>
      <c r="AK143" s="17" t="str">
        <f>IFERROR(VLOOKUP($B143,'[3]浏览量处理(勿删)'!$A:$C,3,0),"")</f>
        <v/>
      </c>
      <c r="AL143" s="17" t="str">
        <f>IFERROR(VLOOKUP($B143,'[3]浏览量处理(勿删)'!$A:$D,4,0),"")</f>
        <v/>
      </c>
      <c r="AM143" s="17" t="str">
        <f>IFERROR(VLOOKUP($B143,'[3]浏览量处理(勿删)'!$A:$E,5,0),"")</f>
        <v/>
      </c>
      <c r="AN143" s="27" t="str">
        <f t="shared" si="41"/>
        <v/>
      </c>
      <c r="AO143" s="27" t="str">
        <f t="shared" si="42"/>
        <v/>
      </c>
      <c r="AP143" s="27" t="str">
        <f t="shared" si="43"/>
        <v/>
      </c>
      <c r="AQ143" s="27" t="str">
        <f t="shared" si="44"/>
        <v/>
      </c>
      <c r="AR143" s="32">
        <f t="shared" si="45"/>
        <v>0</v>
      </c>
      <c r="AS143" s="32">
        <f t="shared" si="46"/>
        <v>0</v>
      </c>
      <c r="AT143" s="32">
        <f t="shared" si="47"/>
        <v>6</v>
      </c>
      <c r="AU143" s="18" t="str">
        <f t="shared" si="48"/>
        <v>库存为6</v>
      </c>
      <c r="AV143" s="33" t="str">
        <f>IFERROR(时间!$B$4+AU143,"上周无销量")</f>
        <v>上周无销量</v>
      </c>
    </row>
    <row r="144" spans="1:48">
      <c r="A144" s="16" t="s">
        <v>188</v>
      </c>
      <c r="B144" s="17" t="str">
        <f>VLOOKUP(A144,[1]sku_fnsku_asin_产品名称!$A:$C,3,0)</f>
        <v>B004H07KKC</v>
      </c>
      <c r="C144" s="17" t="str">
        <f>VLOOKUP(A144,[1]sku_fnsku_asin_产品名称!$A:$D,4,0)</f>
        <v>Premier Dead Sea Skin Toner for Normal/Oily Skin, Pink, 8.4535-Fluid Ounce</v>
      </c>
      <c r="D144" s="18">
        <f>IFERROR(VLOOKUP(A144,[4]库存报告使用数据处理!$A:$B,2,0),0)</f>
        <v>0</v>
      </c>
      <c r="E144" s="18">
        <f>IFERROR(VLOOKUP(A144,[4]库存报告使用数据处理!$A:$C,3,0),0)</f>
        <v>2</v>
      </c>
      <c r="F144" s="18">
        <f>IFERROR(VLOOKUP(A144,[4]库存报告使用数据处理!$A:$D,4,0),0)</f>
        <v>0</v>
      </c>
      <c r="G144" s="18">
        <f>IFERROR(VLOOKUP(A144,[4]库存报告使用数据处理!$A:$E,5,0),0)</f>
        <v>0</v>
      </c>
      <c r="H144" s="18">
        <f>IFERROR(VLOOKUP(A144,[4]库存报告使用数据处理!$A:$F,6,0),0)</f>
        <v>40.99</v>
      </c>
      <c r="I144" s="18">
        <f>IFERROR(VLOOKUP($A144,[2]数据处理!$A:$B,2,0),0)</f>
        <v>130</v>
      </c>
      <c r="J144" s="18">
        <f>IFERROR(VLOOKUP($A144,[2]数据处理!$A:$D,4,0),0)</f>
        <v>0</v>
      </c>
      <c r="K144" s="18">
        <f>IFERROR(VLOOKUP($A144,[2]数据处理!$A:$E,5,0),0)</f>
        <v>0</v>
      </c>
      <c r="L144" s="18">
        <f>IFERROR(VLOOKUP($A144,[2]数据处理!$A:$N,7,0),0)</f>
        <v>0</v>
      </c>
      <c r="M144" s="22">
        <f t="shared" si="36"/>
        <v>130</v>
      </c>
      <c r="N144" s="18">
        <f>IFERROR(VLOOKUP($A144,[2]数据处理!$A:$N,3,0),0)</f>
        <v>0</v>
      </c>
      <c r="O144" s="17">
        <f>IFERROR(VLOOKUP($A144,[2]数据处理!$A:$N,14,0),0)</f>
        <v>130</v>
      </c>
      <c r="P144" s="17">
        <f>IFERROR(VLOOKUP($A144,[5]库存报告使用数据!$A$1:$B$65536,2,0),0)</f>
        <v>1394</v>
      </c>
      <c r="Q144" s="17">
        <f>IFERROR(VLOOKUP($A144,[5]库存报告使用数据!$A$1:$E$65536,5,0),0)</f>
        <v>558</v>
      </c>
      <c r="R144" s="17">
        <f>IFERROR(VLOOKUP($A144,[5]库存报告使用数据!$A$1:$H$65536,8,0),0)</f>
        <v>510</v>
      </c>
      <c r="S144" s="17">
        <f>IFERROR(VLOOKUP($A144,[5]库存报告使用数据!$A$1:$K$65536,11,0),0)</f>
        <v>290</v>
      </c>
      <c r="T144" s="17">
        <f>IFERROR(VLOOKUP($A144,[5]库存报告使用数据!$A$1:$C$65536,3,0),"")</f>
        <v>1</v>
      </c>
      <c r="U144" s="17">
        <f>IFERROR(VLOOKUP($A144,[5]库存报告使用数据!$A$1:$F$65536,6,0),"")</f>
        <v>2</v>
      </c>
      <c r="V144" s="17">
        <f>IFERROR(VLOOKUP($A144,[5]库存报告使用数据!$A$1:$I$65536,9,0),"")</f>
        <v>4</v>
      </c>
      <c r="W144" s="17">
        <f>IFERROR(VLOOKUP($A144,[5]库存报告使用数据!$A$1:$L$65536,12,0),"")</f>
        <v>1</v>
      </c>
      <c r="X144" s="27">
        <f t="shared" si="37"/>
        <v>0.000717360114777618</v>
      </c>
      <c r="Y144" s="27">
        <f t="shared" si="38"/>
        <v>0.003584229390681</v>
      </c>
      <c r="Z144" s="27">
        <f t="shared" si="39"/>
        <v>0.00784313725490196</v>
      </c>
      <c r="AA144" s="27">
        <f t="shared" si="40"/>
        <v>0.00344827586206897</v>
      </c>
      <c r="AB144" s="17">
        <f>IFERROR(VLOOKUP($A144,[5]库存报告使用数据!$A$1:$D$65536,4,0),"")</f>
        <v>0.32</v>
      </c>
      <c r="AC144" s="17">
        <f>IFERROR(VLOOKUP($A144,[5]库存报告使用数据!$A$1:$G$65536,7,0),"")</f>
        <v>1.27</v>
      </c>
      <c r="AD144" s="17">
        <f>IFERROR(VLOOKUP($A144,[5]库存报告使用数据!$A$1:$J$65536,10,0),"")</f>
        <v>2.9</v>
      </c>
      <c r="AE144" s="17">
        <f>IFERROR(VLOOKUP($A144,[5]库存报告使用数据!$A$1:$M$65536,13,0),"")</f>
        <v>0.39</v>
      </c>
      <c r="AF144" s="27" t="str">
        <f t="shared" si="49"/>
        <v>有广告无销售广告费为0.32</v>
      </c>
      <c r="AG144" s="27">
        <f t="shared" si="50"/>
        <v>0.0154915833130032</v>
      </c>
      <c r="AH144" s="27" t="str">
        <f t="shared" si="51"/>
        <v>有广告无销售广告费为2.9</v>
      </c>
      <c r="AI144" s="27" t="str">
        <f t="shared" si="52"/>
        <v>有广告无销售广告费为0.39</v>
      </c>
      <c r="AJ144" s="17">
        <f>IFERROR(VLOOKUP($B144,'[3]浏览量处理(勿删)'!$A:$B,2,0),"")</f>
        <v>3</v>
      </c>
      <c r="AK144" s="17">
        <f>IFERROR(VLOOKUP($B144,'[3]浏览量处理(勿删)'!$A:$C,3,0),"")</f>
        <v>19</v>
      </c>
      <c r="AL144" s="17">
        <f>IFERROR(VLOOKUP($B144,'[3]浏览量处理(勿删)'!$A:$D,4,0),"")</f>
        <v>9</v>
      </c>
      <c r="AM144" s="17">
        <f>IFERROR(VLOOKUP($B144,'[3]浏览量处理(勿删)'!$A:$E,5,0),"")</f>
        <v>6</v>
      </c>
      <c r="AN144" s="27">
        <f t="shared" si="41"/>
        <v>0</v>
      </c>
      <c r="AO144" s="27">
        <f t="shared" si="42"/>
        <v>0.105263157894737</v>
      </c>
      <c r="AP144" s="27">
        <f t="shared" si="43"/>
        <v>0</v>
      </c>
      <c r="AQ144" s="27">
        <f t="shared" si="44"/>
        <v>0</v>
      </c>
      <c r="AR144" s="32">
        <f t="shared" si="45"/>
        <v>0</v>
      </c>
      <c r="AS144" s="32">
        <f t="shared" si="46"/>
        <v>0</v>
      </c>
      <c r="AT144" s="32">
        <f t="shared" si="47"/>
        <v>130</v>
      </c>
      <c r="AU144" s="18" t="str">
        <f t="shared" si="48"/>
        <v>库存为130</v>
      </c>
      <c r="AV144" s="33" t="str">
        <f>IFERROR(时间!$B$4+AU144,"上周无销量")</f>
        <v>上周无销量</v>
      </c>
    </row>
    <row r="145" spans="1:48">
      <c r="A145" s="16" t="s">
        <v>189</v>
      </c>
      <c r="B145" s="17" t="str">
        <f>VLOOKUP(A145,[1]sku_fnsku_asin_产品名称!$A:$C,3,0)</f>
        <v>B003NJKS48</v>
      </c>
      <c r="C145" s="17" t="str">
        <f>VLOOKUP(A145,[1]sku_fnsku_asin_产品名称!$A:$D,4,0)</f>
        <v>Dead Sea Premier Luxury Milk Cleanser</v>
      </c>
      <c r="D145" s="18">
        <f>IFERROR(VLOOKUP(A145,[4]库存报告使用数据处理!$A:$B,2,0),0)</f>
        <v>2</v>
      </c>
      <c r="E145" s="18">
        <f>IFERROR(VLOOKUP(A145,[4]库存报告使用数据处理!$A:$C,3,0),0)</f>
        <v>3</v>
      </c>
      <c r="F145" s="18">
        <f>IFERROR(VLOOKUP(A145,[4]库存报告使用数据处理!$A:$D,4,0),0)</f>
        <v>0</v>
      </c>
      <c r="G145" s="18">
        <f>IFERROR(VLOOKUP(A145,[4]库存报告使用数据处理!$A:$E,5,0),0)</f>
        <v>0</v>
      </c>
      <c r="H145" s="18">
        <f>IFERROR(VLOOKUP(A145,[4]库存报告使用数据处理!$A:$F,6,0),0)</f>
        <v>30.15</v>
      </c>
      <c r="I145" s="18">
        <f>IFERROR(VLOOKUP($A145,[2]数据处理!$A:$B,2,0),0)</f>
        <v>58</v>
      </c>
      <c r="J145" s="18">
        <f>IFERROR(VLOOKUP($A145,[2]数据处理!$A:$D,4,0),0)</f>
        <v>0</v>
      </c>
      <c r="K145" s="18">
        <f>IFERROR(VLOOKUP($A145,[2]数据处理!$A:$E,5,0),0)</f>
        <v>0</v>
      </c>
      <c r="L145" s="18">
        <f>IFERROR(VLOOKUP($A145,[2]数据处理!$A:$N,7,0),0)</f>
        <v>0</v>
      </c>
      <c r="M145" s="22">
        <f t="shared" si="36"/>
        <v>58</v>
      </c>
      <c r="N145" s="18">
        <f>IFERROR(VLOOKUP($A145,[2]数据处理!$A:$N,3,0),0)</f>
        <v>0</v>
      </c>
      <c r="O145" s="17">
        <f>IFERROR(VLOOKUP($A145,[2]数据处理!$A:$N,14,0),0)</f>
        <v>57</v>
      </c>
      <c r="P145" s="17">
        <f>IFERROR(VLOOKUP($A145,[5]库存报告使用数据!$A$1:$B$65536,2,0),0)</f>
        <v>630</v>
      </c>
      <c r="Q145" s="17">
        <f>IFERROR(VLOOKUP($A145,[5]库存报告使用数据!$A$1:$E$65536,5,0),0)</f>
        <v>410</v>
      </c>
      <c r="R145" s="17">
        <f>IFERROR(VLOOKUP($A145,[5]库存报告使用数据!$A$1:$H$65536,8,0),0)</f>
        <v>807</v>
      </c>
      <c r="S145" s="17">
        <f>IFERROR(VLOOKUP($A145,[5]库存报告使用数据!$A$1:$K$65536,11,0),0)</f>
        <v>442</v>
      </c>
      <c r="T145" s="17">
        <f>IFERROR(VLOOKUP($A145,[5]库存报告使用数据!$A$1:$C$65536,3,0),"")</f>
        <v>3</v>
      </c>
      <c r="U145" s="17">
        <f>IFERROR(VLOOKUP($A145,[5]库存报告使用数据!$A$1:$F$65536,6,0),"")</f>
        <v>3</v>
      </c>
      <c r="V145" s="17">
        <f>IFERROR(VLOOKUP($A145,[5]库存报告使用数据!$A$1:$I$65536,9,0),"")</f>
        <v>2</v>
      </c>
      <c r="W145" s="17">
        <f>IFERROR(VLOOKUP($A145,[5]库存报告使用数据!$A$1:$L$65536,12,0),"")</f>
        <v>3</v>
      </c>
      <c r="X145" s="27">
        <f t="shared" si="37"/>
        <v>0.00476190476190476</v>
      </c>
      <c r="Y145" s="27">
        <f t="shared" si="38"/>
        <v>0.00731707317073171</v>
      </c>
      <c r="Z145" s="27">
        <f t="shared" si="39"/>
        <v>0.00247831474597274</v>
      </c>
      <c r="AA145" s="27">
        <f t="shared" si="40"/>
        <v>0.00678733031674208</v>
      </c>
      <c r="AB145" s="17">
        <f>IFERROR(VLOOKUP($A145,[5]库存报告使用数据!$A$1:$D$65536,4,0),"")</f>
        <v>3.9</v>
      </c>
      <c r="AC145" s="17">
        <f>IFERROR(VLOOKUP($A145,[5]库存报告使用数据!$A$1:$G$65536,7,0),"")</f>
        <v>3.3</v>
      </c>
      <c r="AD145" s="17">
        <f>IFERROR(VLOOKUP($A145,[5]库存报告使用数据!$A$1:$J$65536,10,0),"")</f>
        <v>1.11</v>
      </c>
      <c r="AE145" s="17">
        <f>IFERROR(VLOOKUP($A145,[5]库存报告使用数据!$A$1:$M$65536,13,0),"")</f>
        <v>1.22</v>
      </c>
      <c r="AF145" s="27">
        <f t="shared" si="49"/>
        <v>0.0646766169154229</v>
      </c>
      <c r="AG145" s="27">
        <f t="shared" si="50"/>
        <v>0.0364842454394693</v>
      </c>
      <c r="AH145" s="27" t="str">
        <f t="shared" si="51"/>
        <v>有广告无销售广告费为1.11</v>
      </c>
      <c r="AI145" s="27" t="str">
        <f t="shared" si="52"/>
        <v>有广告无销售广告费为1.22</v>
      </c>
      <c r="AJ145" s="17">
        <f>IFERROR(VLOOKUP($B145,'[3]浏览量处理(勿删)'!$A:$B,2,0),"")</f>
        <v>12</v>
      </c>
      <c r="AK145" s="17">
        <f>IFERROR(VLOOKUP($B145,'[3]浏览量处理(勿删)'!$A:$C,3,0),"")</f>
        <v>12</v>
      </c>
      <c r="AL145" s="17">
        <f>IFERROR(VLOOKUP($B145,'[3]浏览量处理(勿删)'!$A:$D,4,0),"")</f>
        <v>8</v>
      </c>
      <c r="AM145" s="17">
        <f>IFERROR(VLOOKUP($B145,'[3]浏览量处理(勿删)'!$A:$E,5,0),"")</f>
        <v>23</v>
      </c>
      <c r="AN145" s="27">
        <f t="shared" si="41"/>
        <v>0.166666666666667</v>
      </c>
      <c r="AO145" s="27">
        <f t="shared" si="42"/>
        <v>0.25</v>
      </c>
      <c r="AP145" s="27">
        <f t="shared" si="43"/>
        <v>0</v>
      </c>
      <c r="AQ145" s="27">
        <f t="shared" si="44"/>
        <v>0</v>
      </c>
      <c r="AR145" s="32">
        <f t="shared" si="45"/>
        <v>0.285714285714286</v>
      </c>
      <c r="AS145" s="32">
        <f t="shared" si="46"/>
        <v>17.1428571428571</v>
      </c>
      <c r="AT145" s="32">
        <f t="shared" si="47"/>
        <v>40.8571428571429</v>
      </c>
      <c r="AU145" s="18">
        <f t="shared" si="48"/>
        <v>203</v>
      </c>
      <c r="AV145" s="33">
        <f>IFERROR(时间!$B$4+AU145,"上周无销量")</f>
        <v>43493</v>
      </c>
    </row>
    <row r="146" spans="1:48">
      <c r="A146" s="16" t="s">
        <v>190</v>
      </c>
      <c r="B146" s="17" t="str">
        <f>VLOOKUP(A146,[1]sku_fnsku_asin_产品名称!$A:$C,3,0)</f>
        <v>B0016VW618</v>
      </c>
      <c r="C146" s="17" t="str">
        <f>VLOOKUP(A146,[1]sku_fnsku_asin_产品名称!$A:$D,4,0)</f>
        <v>Premier Usa Dead Sea shaving Cream for Men All Skin</v>
      </c>
      <c r="D146" s="18">
        <f>IFERROR(VLOOKUP(A146,[4]库存报告使用数据处理!$A:$B,2,0),0)</f>
        <v>5</v>
      </c>
      <c r="E146" s="18">
        <f>IFERROR(VLOOKUP(A146,[4]库存报告使用数据处理!$A:$C,3,0),0)</f>
        <v>2</v>
      </c>
      <c r="F146" s="18">
        <f>IFERROR(VLOOKUP(A146,[4]库存报告使用数据处理!$A:$D,4,0),0)</f>
        <v>2</v>
      </c>
      <c r="G146" s="18">
        <f>IFERROR(VLOOKUP(A146,[4]库存报告使用数据处理!$A:$E,5,0),0)</f>
        <v>4</v>
      </c>
      <c r="H146" s="18">
        <f>IFERROR(VLOOKUP(A146,[4]库存报告使用数据处理!$A:$F,6,0),0)</f>
        <v>14.6638461538462</v>
      </c>
      <c r="I146" s="18">
        <f>IFERROR(VLOOKUP($A146,[2]数据处理!$A:$B,2,0),0)</f>
        <v>149</v>
      </c>
      <c r="J146" s="18">
        <f>IFERROR(VLOOKUP($A146,[2]数据处理!$A:$D,4,0),0)</f>
        <v>0</v>
      </c>
      <c r="K146" s="18">
        <f>IFERROR(VLOOKUP($A146,[2]数据处理!$A:$E,5,0),0)</f>
        <v>0</v>
      </c>
      <c r="L146" s="18">
        <f>IFERROR(VLOOKUP($A146,[2]数据处理!$A:$N,7,0),0)</f>
        <v>0</v>
      </c>
      <c r="M146" s="22">
        <f t="shared" si="36"/>
        <v>149</v>
      </c>
      <c r="N146" s="18">
        <f>IFERROR(VLOOKUP($A146,[2]数据处理!$A:$N,3,0),0)</f>
        <v>0</v>
      </c>
      <c r="O146" s="17">
        <f>IFERROR(VLOOKUP($A146,[2]数据处理!$A:$N,14,0),0)</f>
        <v>150</v>
      </c>
      <c r="P146" s="17">
        <f>IFERROR(VLOOKUP($A146,[5]库存报告使用数据!$A$1:$B$65536,2,0),0)</f>
        <v>418</v>
      </c>
      <c r="Q146" s="17">
        <f>IFERROR(VLOOKUP($A146,[5]库存报告使用数据!$A$1:$E$65536,5,0),0)</f>
        <v>311</v>
      </c>
      <c r="R146" s="17">
        <f>IFERROR(VLOOKUP($A146,[5]库存报告使用数据!$A$1:$H$65536,8,0),0)</f>
        <v>266</v>
      </c>
      <c r="S146" s="17">
        <f>IFERROR(VLOOKUP($A146,[5]库存报告使用数据!$A$1:$K$65536,11,0),0)</f>
        <v>323</v>
      </c>
      <c r="T146" s="17">
        <f>IFERROR(VLOOKUP($A146,[5]库存报告使用数据!$A$1:$C$65536,3,0),"")</f>
        <v>0</v>
      </c>
      <c r="U146" s="17">
        <f>IFERROR(VLOOKUP($A146,[5]库存报告使用数据!$A$1:$F$65536,6,0),"")</f>
        <v>1</v>
      </c>
      <c r="V146" s="17">
        <f>IFERROR(VLOOKUP($A146,[5]库存报告使用数据!$A$1:$I$65536,9,0),"")</f>
        <v>2</v>
      </c>
      <c r="W146" s="17">
        <f>IFERROR(VLOOKUP($A146,[5]库存报告使用数据!$A$1:$L$65536,12,0),"")</f>
        <v>1</v>
      </c>
      <c r="X146" s="27">
        <f t="shared" si="37"/>
        <v>0</v>
      </c>
      <c r="Y146" s="27">
        <f t="shared" si="38"/>
        <v>0.00321543408360129</v>
      </c>
      <c r="Z146" s="27">
        <f t="shared" si="39"/>
        <v>0.0075187969924812</v>
      </c>
      <c r="AA146" s="27">
        <f t="shared" si="40"/>
        <v>0.00309597523219814</v>
      </c>
      <c r="AB146" s="17">
        <f>IFERROR(VLOOKUP($A146,[5]库存报告使用数据!$A$1:$D$65536,4,0),"")</f>
        <v>0</v>
      </c>
      <c r="AC146" s="17">
        <f>IFERROR(VLOOKUP($A146,[5]库存报告使用数据!$A$1:$G$65536,7,0),"")</f>
        <v>1.44</v>
      </c>
      <c r="AD146" s="17">
        <f>IFERROR(VLOOKUP($A146,[5]库存报告使用数据!$A$1:$J$65536,10,0),"")</f>
        <v>2.73</v>
      </c>
      <c r="AE146" s="17">
        <f>IFERROR(VLOOKUP($A146,[5]库存报告使用数据!$A$1:$M$65536,13,0),"")</f>
        <v>1.48</v>
      </c>
      <c r="AF146" s="27">
        <f t="shared" si="49"/>
        <v>0</v>
      </c>
      <c r="AG146" s="27">
        <f t="shared" si="50"/>
        <v>0.0491003514661909</v>
      </c>
      <c r="AH146" s="27">
        <f t="shared" si="51"/>
        <v>0.0930860829879869</v>
      </c>
      <c r="AI146" s="27">
        <f t="shared" si="52"/>
        <v>0.0252321250590148</v>
      </c>
      <c r="AJ146" s="17">
        <f>IFERROR(VLOOKUP($B146,'[3]浏览量处理(勿删)'!$A:$B,2,0),"")</f>
        <v>29</v>
      </c>
      <c r="AK146" s="17">
        <f>IFERROR(VLOOKUP($B146,'[3]浏览量处理(勿删)'!$A:$C,3,0),"")</f>
        <v>31</v>
      </c>
      <c r="AL146" s="17">
        <f>IFERROR(VLOOKUP($B146,'[3]浏览量处理(勿删)'!$A:$D,4,0),"")</f>
        <v>20</v>
      </c>
      <c r="AM146" s="17">
        <f>IFERROR(VLOOKUP($B146,'[3]浏览量处理(勿删)'!$A:$E,5,0),"")</f>
        <v>31</v>
      </c>
      <c r="AN146" s="27">
        <f t="shared" si="41"/>
        <v>0.172413793103448</v>
      </c>
      <c r="AO146" s="27">
        <f t="shared" si="42"/>
        <v>0.0645161290322581</v>
      </c>
      <c r="AP146" s="27">
        <f t="shared" si="43"/>
        <v>0.1</v>
      </c>
      <c r="AQ146" s="27">
        <f t="shared" si="44"/>
        <v>0.129032258064516</v>
      </c>
      <c r="AR146" s="32">
        <f t="shared" si="45"/>
        <v>0.714285714285714</v>
      </c>
      <c r="AS146" s="32">
        <f t="shared" si="46"/>
        <v>42.8571428571429</v>
      </c>
      <c r="AT146" s="32">
        <f t="shared" si="47"/>
        <v>106.142857142857</v>
      </c>
      <c r="AU146" s="18">
        <f t="shared" si="48"/>
        <v>208</v>
      </c>
      <c r="AV146" s="33">
        <f>IFERROR(时间!$B$4+AU146,"上周无销量")</f>
        <v>43498</v>
      </c>
    </row>
    <row r="147" spans="1:48">
      <c r="A147" s="16" t="s">
        <v>191</v>
      </c>
      <c r="B147" s="17" t="str">
        <f>VLOOKUP(A147,[1]sku_fnsku_asin_产品名称!$A:$C,3,0)</f>
        <v>B004H02HA0</v>
      </c>
      <c r="C147" s="17">
        <f>VLOOKUP(A147,[1]sku_fnsku_asin_产品名称!$A:$D,4,0)</f>
        <v>0</v>
      </c>
      <c r="D147" s="18">
        <f>IFERROR(VLOOKUP(A147,[4]库存报告使用数据处理!$A:$B,2,0),0)</f>
        <v>0</v>
      </c>
      <c r="E147" s="18">
        <f>IFERROR(VLOOKUP(A147,[4]库存报告使用数据处理!$A:$C,3,0),0)</f>
        <v>0</v>
      </c>
      <c r="F147" s="18">
        <f>IFERROR(VLOOKUP(A147,[4]库存报告使用数据处理!$A:$D,4,0),0)</f>
        <v>0</v>
      </c>
      <c r="G147" s="18">
        <f>IFERROR(VLOOKUP(A147,[4]库存报告使用数据处理!$A:$E,5,0),0)</f>
        <v>0</v>
      </c>
      <c r="H147" s="18">
        <f>IFERROR(VLOOKUP(A147,[4]库存报告使用数据处理!$A:$F,6,0),0)</f>
        <v>0</v>
      </c>
      <c r="I147" s="18">
        <f>IFERROR(VLOOKUP($A147,[2]数据处理!$A:$B,2,0),0)</f>
        <v>0</v>
      </c>
      <c r="J147" s="18">
        <f>IFERROR(VLOOKUP($A147,[2]数据处理!$A:$D,4,0),0)</f>
        <v>0</v>
      </c>
      <c r="K147" s="18">
        <f>IFERROR(VLOOKUP($A147,[2]数据处理!$A:$E,5,0),0)</f>
        <v>0</v>
      </c>
      <c r="L147" s="18">
        <f>IFERROR(VLOOKUP($A147,[2]数据处理!$A:$N,7,0),0)</f>
        <v>0</v>
      </c>
      <c r="M147" s="22">
        <f t="shared" si="36"/>
        <v>0</v>
      </c>
      <c r="N147" s="18">
        <f>IFERROR(VLOOKUP($A147,[2]数据处理!$A:$N,3,0),0)</f>
        <v>0</v>
      </c>
      <c r="O147" s="17">
        <f>IFERROR(VLOOKUP($A147,[2]数据处理!$A:$N,14,0),0)</f>
        <v>0</v>
      </c>
      <c r="P147" s="17">
        <f>IFERROR(VLOOKUP($A147,[5]库存报告使用数据!$A$1:$B$65536,2,0),0)</f>
        <v>0</v>
      </c>
      <c r="Q147" s="17">
        <f>IFERROR(VLOOKUP($A147,[5]库存报告使用数据!$A$1:$E$65536,5,0),0)</f>
        <v>0</v>
      </c>
      <c r="R147" s="17">
        <f>IFERROR(VLOOKUP($A147,[5]库存报告使用数据!$A$1:$H$65536,8,0),0)</f>
        <v>0</v>
      </c>
      <c r="S147" s="17">
        <f>IFERROR(VLOOKUP($A147,[5]库存报告使用数据!$A$1:$K$65536,11,0),0)</f>
        <v>0</v>
      </c>
      <c r="T147" s="17" t="str">
        <f>IFERROR(VLOOKUP($A147,[5]库存报告使用数据!$A$1:$C$65536,3,0),"")</f>
        <v/>
      </c>
      <c r="U147" s="17" t="str">
        <f>IFERROR(VLOOKUP($A147,[5]库存报告使用数据!$A$1:$F$65536,6,0),"")</f>
        <v/>
      </c>
      <c r="V147" s="17" t="str">
        <f>IFERROR(VLOOKUP($A147,[5]库存报告使用数据!$A$1:$I$65536,9,0),"")</f>
        <v/>
      </c>
      <c r="W147" s="17" t="str">
        <f>IFERROR(VLOOKUP($A147,[5]库存报告使用数据!$A$1:$L$65536,12,0),"")</f>
        <v/>
      </c>
      <c r="X147" s="27" t="str">
        <f t="shared" si="37"/>
        <v/>
      </c>
      <c r="Y147" s="27" t="str">
        <f t="shared" si="38"/>
        <v/>
      </c>
      <c r="Z147" s="27" t="str">
        <f t="shared" si="39"/>
        <v/>
      </c>
      <c r="AA147" s="27" t="str">
        <f t="shared" si="40"/>
        <v/>
      </c>
      <c r="AB147" s="17" t="str">
        <f>IFERROR(VLOOKUP($A147,[5]库存报告使用数据!$A$1:$D$65536,4,0),"")</f>
        <v/>
      </c>
      <c r="AC147" s="17" t="str">
        <f>IFERROR(VLOOKUP($A147,[5]库存报告使用数据!$A$1:$G$65536,7,0),"")</f>
        <v/>
      </c>
      <c r="AD147" s="17" t="str">
        <f>IFERROR(VLOOKUP($A147,[5]库存报告使用数据!$A$1:$J$65536,10,0),"")</f>
        <v/>
      </c>
      <c r="AE147" s="17" t="str">
        <f>IFERROR(VLOOKUP($A147,[5]库存报告使用数据!$A$1:$M$65536,13,0),"")</f>
        <v/>
      </c>
      <c r="AF147" s="27" t="str">
        <f t="shared" si="49"/>
        <v>有广告无销售广告费为</v>
      </c>
      <c r="AG147" s="27" t="str">
        <f t="shared" si="50"/>
        <v>有广告无销售广告费为</v>
      </c>
      <c r="AH147" s="27" t="str">
        <f t="shared" si="51"/>
        <v>有广告无销售广告费为</v>
      </c>
      <c r="AI147" s="27" t="str">
        <f t="shared" si="52"/>
        <v>有广告无销售广告费为</v>
      </c>
      <c r="AJ147" s="17" t="str">
        <f>IFERROR(VLOOKUP($B147,'[3]浏览量处理(勿删)'!$A:$B,2,0),"")</f>
        <v/>
      </c>
      <c r="AK147" s="17" t="str">
        <f>IFERROR(VLOOKUP($B147,'[3]浏览量处理(勿删)'!$A:$C,3,0),"")</f>
        <v/>
      </c>
      <c r="AL147" s="17" t="str">
        <f>IFERROR(VLOOKUP($B147,'[3]浏览量处理(勿删)'!$A:$D,4,0),"")</f>
        <v/>
      </c>
      <c r="AM147" s="17" t="str">
        <f>IFERROR(VLOOKUP($B147,'[3]浏览量处理(勿删)'!$A:$E,5,0),"")</f>
        <v/>
      </c>
      <c r="AN147" s="27" t="str">
        <f t="shared" si="41"/>
        <v/>
      </c>
      <c r="AO147" s="27" t="str">
        <f t="shared" si="42"/>
        <v/>
      </c>
      <c r="AP147" s="27" t="str">
        <f t="shared" si="43"/>
        <v/>
      </c>
      <c r="AQ147" s="27" t="str">
        <f t="shared" si="44"/>
        <v/>
      </c>
      <c r="AR147" s="32">
        <f t="shared" si="45"/>
        <v>0</v>
      </c>
      <c r="AS147" s="32">
        <f t="shared" si="46"/>
        <v>0</v>
      </c>
      <c r="AT147" s="32">
        <f t="shared" si="47"/>
        <v>0</v>
      </c>
      <c r="AU147" s="18" t="str">
        <f t="shared" si="48"/>
        <v>库存为0</v>
      </c>
      <c r="AV147" s="33" t="str">
        <f>IFERROR(时间!$B$4+AU147,"上周无销量")</f>
        <v>上周无销量</v>
      </c>
    </row>
    <row r="148" spans="1:48">
      <c r="A148" s="16" t="s">
        <v>192</v>
      </c>
      <c r="B148" s="17" t="str">
        <f>VLOOKUP(A148,[1]sku_fnsku_asin_产品名称!$A:$C,3,0)</f>
        <v>B004X9BSG4</v>
      </c>
      <c r="C148" s="17" t="str">
        <f>VLOOKUP(A148,[1]sku_fnsku_asin_产品名称!$A:$D,4,0)</f>
        <v>Gratiae Organics Lifting Facial Mask, 1.7 Ounce</v>
      </c>
      <c r="D148" s="18">
        <f>IFERROR(VLOOKUP(A148,[4]库存报告使用数据处理!$A:$B,2,0),0)</f>
        <v>0</v>
      </c>
      <c r="E148" s="18">
        <f>IFERROR(VLOOKUP(A148,[4]库存报告使用数据处理!$A:$C,3,0),0)</f>
        <v>0</v>
      </c>
      <c r="F148" s="18">
        <f>IFERROR(VLOOKUP(A148,[4]库存报告使用数据处理!$A:$D,4,0),0)</f>
        <v>0</v>
      </c>
      <c r="G148" s="18">
        <f>IFERROR(VLOOKUP(A148,[4]库存报告使用数据处理!$A:$E,5,0),0)</f>
        <v>0</v>
      </c>
      <c r="H148" s="18">
        <f>IFERROR(VLOOKUP(A148,[4]库存报告使用数据处理!$A:$F,6,0),0)</f>
        <v>0</v>
      </c>
      <c r="I148" s="18">
        <f>IFERROR(VLOOKUP($A148,[2]数据处理!$A:$B,2,0),0)</f>
        <v>0</v>
      </c>
      <c r="J148" s="18">
        <f>IFERROR(VLOOKUP($A148,[2]数据处理!$A:$D,4,0),0)</f>
        <v>0</v>
      </c>
      <c r="K148" s="18">
        <f>IFERROR(VLOOKUP($A148,[2]数据处理!$A:$E,5,0),0)</f>
        <v>0</v>
      </c>
      <c r="L148" s="18">
        <f>IFERROR(VLOOKUP($A148,[2]数据处理!$A:$N,7,0),0)</f>
        <v>0</v>
      </c>
      <c r="M148" s="22">
        <f t="shared" si="36"/>
        <v>0</v>
      </c>
      <c r="N148" s="18">
        <f>IFERROR(VLOOKUP($A148,[2]数据处理!$A:$N,3,0),0)</f>
        <v>0</v>
      </c>
      <c r="O148" s="17">
        <f>IFERROR(VLOOKUP($A148,[2]数据处理!$A:$N,14,0),0)</f>
        <v>0</v>
      </c>
      <c r="P148" s="17">
        <f>IFERROR(VLOOKUP($A148,[5]库存报告使用数据!$A$1:$B$65536,2,0),0)</f>
        <v>0</v>
      </c>
      <c r="Q148" s="17">
        <f>IFERROR(VLOOKUP($A148,[5]库存报告使用数据!$A$1:$E$65536,5,0),0)</f>
        <v>0</v>
      </c>
      <c r="R148" s="17">
        <f>IFERROR(VLOOKUP($A148,[5]库存报告使用数据!$A$1:$H$65536,8,0),0)</f>
        <v>0</v>
      </c>
      <c r="S148" s="17">
        <f>IFERROR(VLOOKUP($A148,[5]库存报告使用数据!$A$1:$K$65536,11,0),0)</f>
        <v>0</v>
      </c>
      <c r="T148" s="17" t="str">
        <f>IFERROR(VLOOKUP($A148,[5]库存报告使用数据!$A$1:$C$65536,3,0),"")</f>
        <v/>
      </c>
      <c r="U148" s="17" t="str">
        <f>IFERROR(VLOOKUP($A148,[5]库存报告使用数据!$A$1:$F$65536,6,0),"")</f>
        <v/>
      </c>
      <c r="V148" s="17" t="str">
        <f>IFERROR(VLOOKUP($A148,[5]库存报告使用数据!$A$1:$I$65536,9,0),"")</f>
        <v/>
      </c>
      <c r="W148" s="17" t="str">
        <f>IFERROR(VLOOKUP($A148,[5]库存报告使用数据!$A$1:$L$65536,12,0),"")</f>
        <v/>
      </c>
      <c r="X148" s="27" t="str">
        <f t="shared" si="37"/>
        <v/>
      </c>
      <c r="Y148" s="27" t="str">
        <f t="shared" si="38"/>
        <v/>
      </c>
      <c r="Z148" s="27" t="str">
        <f t="shared" si="39"/>
        <v/>
      </c>
      <c r="AA148" s="27" t="str">
        <f t="shared" si="40"/>
        <v/>
      </c>
      <c r="AB148" s="17" t="str">
        <f>IFERROR(VLOOKUP($A148,[5]库存报告使用数据!$A$1:$D$65536,4,0),"")</f>
        <v/>
      </c>
      <c r="AC148" s="17" t="str">
        <f>IFERROR(VLOOKUP($A148,[5]库存报告使用数据!$A$1:$G$65536,7,0),"")</f>
        <v/>
      </c>
      <c r="AD148" s="17" t="str">
        <f>IFERROR(VLOOKUP($A148,[5]库存报告使用数据!$A$1:$J$65536,10,0),"")</f>
        <v/>
      </c>
      <c r="AE148" s="17" t="str">
        <f>IFERROR(VLOOKUP($A148,[5]库存报告使用数据!$A$1:$M$65536,13,0),"")</f>
        <v/>
      </c>
      <c r="AF148" s="27" t="str">
        <f t="shared" si="49"/>
        <v>有广告无销售广告费为</v>
      </c>
      <c r="AG148" s="27" t="str">
        <f t="shared" si="50"/>
        <v>有广告无销售广告费为</v>
      </c>
      <c r="AH148" s="27" t="str">
        <f t="shared" si="51"/>
        <v>有广告无销售广告费为</v>
      </c>
      <c r="AI148" s="27" t="str">
        <f t="shared" si="52"/>
        <v>有广告无销售广告费为</v>
      </c>
      <c r="AJ148" s="17">
        <f>IFERROR(VLOOKUP($B148,'[3]浏览量处理(勿删)'!$A:$B,2,0),"")</f>
        <v>0</v>
      </c>
      <c r="AK148" s="17">
        <f>IFERROR(VLOOKUP($B148,'[3]浏览量处理(勿删)'!$A:$C,3,0),"")</f>
        <v>0</v>
      </c>
      <c r="AL148" s="17">
        <f>IFERROR(VLOOKUP($B148,'[3]浏览量处理(勿删)'!$A:$D,4,0),"")</f>
        <v>18</v>
      </c>
      <c r="AM148" s="17">
        <f>IFERROR(VLOOKUP($B148,'[3]浏览量处理(勿删)'!$A:$E,5,0),"")</f>
        <v>59</v>
      </c>
      <c r="AN148" s="27" t="str">
        <f t="shared" si="41"/>
        <v/>
      </c>
      <c r="AO148" s="27" t="str">
        <f t="shared" si="42"/>
        <v/>
      </c>
      <c r="AP148" s="27">
        <f t="shared" si="43"/>
        <v>0</v>
      </c>
      <c r="AQ148" s="27">
        <f t="shared" si="44"/>
        <v>0</v>
      </c>
      <c r="AR148" s="32">
        <f t="shared" si="45"/>
        <v>0</v>
      </c>
      <c r="AS148" s="32">
        <f t="shared" si="46"/>
        <v>0</v>
      </c>
      <c r="AT148" s="32">
        <f t="shared" si="47"/>
        <v>0</v>
      </c>
      <c r="AU148" s="18" t="str">
        <f t="shared" si="48"/>
        <v>库存为0</v>
      </c>
      <c r="AV148" s="33" t="str">
        <f>IFERROR(时间!$B$4+AU148,"上周无销量")</f>
        <v>上周无销量</v>
      </c>
    </row>
    <row r="149" spans="1:48">
      <c r="A149" s="16" t="s">
        <v>193</v>
      </c>
      <c r="B149" s="17" t="str">
        <f>VLOOKUP(A149,[1]sku_fnsku_asin_产品名称!$A:$C,3,0)</f>
        <v>B000VEWF2Q</v>
      </c>
      <c r="C149" s="17">
        <f>VLOOKUP(A149,[1]sku_fnsku_asin_产品名称!$A:$D,4,0)</f>
        <v>0</v>
      </c>
      <c r="D149" s="18">
        <f>IFERROR(VLOOKUP(A149,[4]库存报告使用数据处理!$A:$B,2,0),0)</f>
        <v>0</v>
      </c>
      <c r="E149" s="18">
        <f>IFERROR(VLOOKUP(A149,[4]库存报告使用数据处理!$A:$C,3,0),0)</f>
        <v>0</v>
      </c>
      <c r="F149" s="18">
        <f>IFERROR(VLOOKUP(A149,[4]库存报告使用数据处理!$A:$D,4,0),0)</f>
        <v>0</v>
      </c>
      <c r="G149" s="18">
        <f>IFERROR(VLOOKUP(A149,[4]库存报告使用数据处理!$A:$E,5,0),0)</f>
        <v>0</v>
      </c>
      <c r="H149" s="18">
        <f>IFERROR(VLOOKUP(A149,[4]库存报告使用数据处理!$A:$F,6,0),0)</f>
        <v>0</v>
      </c>
      <c r="I149" s="18">
        <f>IFERROR(VLOOKUP($A149,[2]数据处理!$A:$B,2,0),0)</f>
        <v>0</v>
      </c>
      <c r="J149" s="18">
        <f>IFERROR(VLOOKUP($A149,[2]数据处理!$A:$D,4,0),0)</f>
        <v>0</v>
      </c>
      <c r="K149" s="18">
        <f>IFERROR(VLOOKUP($A149,[2]数据处理!$A:$E,5,0),0)</f>
        <v>0</v>
      </c>
      <c r="L149" s="18">
        <f>IFERROR(VLOOKUP($A149,[2]数据处理!$A:$N,7,0),0)</f>
        <v>0</v>
      </c>
      <c r="M149" s="22">
        <f t="shared" si="36"/>
        <v>0</v>
      </c>
      <c r="N149" s="18">
        <f>IFERROR(VLOOKUP($A149,[2]数据处理!$A:$N,3,0),0)</f>
        <v>1</v>
      </c>
      <c r="O149" s="17">
        <f>IFERROR(VLOOKUP($A149,[2]数据处理!$A:$N,14,0),0)</f>
        <v>0</v>
      </c>
      <c r="P149" s="17">
        <f>IFERROR(VLOOKUP($A149,[5]库存报告使用数据!$A$1:$B$65536,2,0),0)</f>
        <v>0</v>
      </c>
      <c r="Q149" s="17">
        <f>IFERROR(VLOOKUP($A149,[5]库存报告使用数据!$A$1:$E$65536,5,0),0)</f>
        <v>0</v>
      </c>
      <c r="R149" s="17">
        <f>IFERROR(VLOOKUP($A149,[5]库存报告使用数据!$A$1:$H$65536,8,0),0)</f>
        <v>0</v>
      </c>
      <c r="S149" s="17">
        <f>IFERROR(VLOOKUP($A149,[5]库存报告使用数据!$A$1:$K$65536,11,0),0)</f>
        <v>0</v>
      </c>
      <c r="T149" s="17" t="str">
        <f>IFERROR(VLOOKUP($A149,[5]库存报告使用数据!$A$1:$C$65536,3,0),"")</f>
        <v/>
      </c>
      <c r="U149" s="17" t="str">
        <f>IFERROR(VLOOKUP($A149,[5]库存报告使用数据!$A$1:$F$65536,6,0),"")</f>
        <v/>
      </c>
      <c r="V149" s="17" t="str">
        <f>IFERROR(VLOOKUP($A149,[5]库存报告使用数据!$A$1:$I$65536,9,0),"")</f>
        <v/>
      </c>
      <c r="W149" s="17" t="str">
        <f>IFERROR(VLOOKUP($A149,[5]库存报告使用数据!$A$1:$L$65536,12,0),"")</f>
        <v/>
      </c>
      <c r="X149" s="27" t="str">
        <f t="shared" si="37"/>
        <v/>
      </c>
      <c r="Y149" s="27" t="str">
        <f t="shared" si="38"/>
        <v/>
      </c>
      <c r="Z149" s="27" t="str">
        <f t="shared" si="39"/>
        <v/>
      </c>
      <c r="AA149" s="27" t="str">
        <f t="shared" si="40"/>
        <v/>
      </c>
      <c r="AB149" s="17" t="str">
        <f>IFERROR(VLOOKUP($A149,[5]库存报告使用数据!$A$1:$D$65536,4,0),"")</f>
        <v/>
      </c>
      <c r="AC149" s="17" t="str">
        <f>IFERROR(VLOOKUP($A149,[5]库存报告使用数据!$A$1:$G$65536,7,0),"")</f>
        <v/>
      </c>
      <c r="AD149" s="17" t="str">
        <f>IFERROR(VLOOKUP($A149,[5]库存报告使用数据!$A$1:$J$65536,10,0),"")</f>
        <v/>
      </c>
      <c r="AE149" s="17" t="str">
        <f>IFERROR(VLOOKUP($A149,[5]库存报告使用数据!$A$1:$M$65536,13,0),"")</f>
        <v/>
      </c>
      <c r="AF149" s="27" t="str">
        <f t="shared" si="49"/>
        <v>有广告无销售广告费为</v>
      </c>
      <c r="AG149" s="27" t="str">
        <f t="shared" si="50"/>
        <v>有广告无销售广告费为</v>
      </c>
      <c r="AH149" s="27" t="str">
        <f t="shared" si="51"/>
        <v>有广告无销售广告费为</v>
      </c>
      <c r="AI149" s="27" t="str">
        <f t="shared" si="52"/>
        <v>有广告无销售广告费为</v>
      </c>
      <c r="AJ149" s="17" t="str">
        <f>IFERROR(VLOOKUP($B149,'[3]浏览量处理(勿删)'!$A:$B,2,0),"")</f>
        <v/>
      </c>
      <c r="AK149" s="17" t="str">
        <f>IFERROR(VLOOKUP($B149,'[3]浏览量处理(勿删)'!$A:$C,3,0),"")</f>
        <v/>
      </c>
      <c r="AL149" s="17" t="str">
        <f>IFERROR(VLOOKUP($B149,'[3]浏览量处理(勿删)'!$A:$D,4,0),"")</f>
        <v/>
      </c>
      <c r="AM149" s="17" t="str">
        <f>IFERROR(VLOOKUP($B149,'[3]浏览量处理(勿删)'!$A:$E,5,0),"")</f>
        <v/>
      </c>
      <c r="AN149" s="27" t="str">
        <f t="shared" si="41"/>
        <v/>
      </c>
      <c r="AO149" s="27" t="str">
        <f t="shared" si="42"/>
        <v/>
      </c>
      <c r="AP149" s="27" t="str">
        <f t="shared" si="43"/>
        <v/>
      </c>
      <c r="AQ149" s="27" t="str">
        <f t="shared" si="44"/>
        <v/>
      </c>
      <c r="AR149" s="32">
        <f t="shared" si="45"/>
        <v>0</v>
      </c>
      <c r="AS149" s="32">
        <f t="shared" si="46"/>
        <v>0</v>
      </c>
      <c r="AT149" s="32">
        <f t="shared" si="47"/>
        <v>0</v>
      </c>
      <c r="AU149" s="18" t="str">
        <f t="shared" si="48"/>
        <v>库存为0</v>
      </c>
      <c r="AV149" s="33" t="str">
        <f>IFERROR(时间!$B$4+AU149,"上周无销量")</f>
        <v>上周无销量</v>
      </c>
    </row>
    <row r="150" spans="1:48">
      <c r="A150" s="16" t="s">
        <v>194</v>
      </c>
      <c r="B150" s="17" t="str">
        <f>VLOOKUP(A150,[1]sku_fnsku_asin_产品名称!$A:$C,3,0)</f>
        <v>B004H02HA0</v>
      </c>
      <c r="C150" s="17">
        <f>VLOOKUP(A150,[1]sku_fnsku_asin_产品名称!$A:$D,4,0)</f>
        <v>0</v>
      </c>
      <c r="D150" s="18">
        <f>IFERROR(VLOOKUP(A150,[4]库存报告使用数据处理!$A:$B,2,0),0)</f>
        <v>0</v>
      </c>
      <c r="E150" s="18">
        <f>IFERROR(VLOOKUP(A150,[4]库存报告使用数据处理!$A:$C,3,0),0)</f>
        <v>0</v>
      </c>
      <c r="F150" s="18">
        <f>IFERROR(VLOOKUP(A150,[4]库存报告使用数据处理!$A:$D,4,0),0)</f>
        <v>0</v>
      </c>
      <c r="G150" s="18">
        <f>IFERROR(VLOOKUP(A150,[4]库存报告使用数据处理!$A:$E,5,0),0)</f>
        <v>0</v>
      </c>
      <c r="H150" s="18">
        <f>IFERROR(VLOOKUP(A150,[4]库存报告使用数据处理!$A:$F,6,0),0)</f>
        <v>0</v>
      </c>
      <c r="I150" s="18">
        <f>IFERROR(VLOOKUP($A150,[2]数据处理!$A:$B,2,0),0)</f>
        <v>0</v>
      </c>
      <c r="J150" s="18">
        <f>IFERROR(VLOOKUP($A150,[2]数据处理!$A:$D,4,0),0)</f>
        <v>0</v>
      </c>
      <c r="K150" s="18">
        <f>IFERROR(VLOOKUP($A150,[2]数据处理!$A:$E,5,0),0)</f>
        <v>0</v>
      </c>
      <c r="L150" s="18">
        <f>IFERROR(VLOOKUP($A150,[2]数据处理!$A:$N,7,0),0)</f>
        <v>0</v>
      </c>
      <c r="M150" s="22">
        <f t="shared" si="36"/>
        <v>0</v>
      </c>
      <c r="N150" s="18">
        <f>IFERROR(VLOOKUP($A150,[2]数据处理!$A:$N,3,0),0)</f>
        <v>0</v>
      </c>
      <c r="O150" s="17">
        <f>IFERROR(VLOOKUP($A150,[2]数据处理!$A:$N,14,0),0)</f>
        <v>0</v>
      </c>
      <c r="P150" s="17">
        <f>IFERROR(VLOOKUP($A150,[5]库存报告使用数据!$A$1:$B$65536,2,0),0)</f>
        <v>0</v>
      </c>
      <c r="Q150" s="17">
        <f>IFERROR(VLOOKUP($A150,[5]库存报告使用数据!$A$1:$E$65536,5,0),0)</f>
        <v>0</v>
      </c>
      <c r="R150" s="17">
        <f>IFERROR(VLOOKUP($A150,[5]库存报告使用数据!$A$1:$H$65536,8,0),0)</f>
        <v>0</v>
      </c>
      <c r="S150" s="17">
        <f>IFERROR(VLOOKUP($A150,[5]库存报告使用数据!$A$1:$K$65536,11,0),0)</f>
        <v>0</v>
      </c>
      <c r="T150" s="17" t="str">
        <f>IFERROR(VLOOKUP($A150,[5]库存报告使用数据!$A$1:$C$65536,3,0),"")</f>
        <v/>
      </c>
      <c r="U150" s="17" t="str">
        <f>IFERROR(VLOOKUP($A150,[5]库存报告使用数据!$A$1:$F$65536,6,0),"")</f>
        <v/>
      </c>
      <c r="V150" s="17" t="str">
        <f>IFERROR(VLOOKUP($A150,[5]库存报告使用数据!$A$1:$I$65536,9,0),"")</f>
        <v/>
      </c>
      <c r="W150" s="17" t="str">
        <f>IFERROR(VLOOKUP($A150,[5]库存报告使用数据!$A$1:$L$65536,12,0),"")</f>
        <v/>
      </c>
      <c r="X150" s="27" t="str">
        <f t="shared" si="37"/>
        <v/>
      </c>
      <c r="Y150" s="27" t="str">
        <f t="shared" si="38"/>
        <v/>
      </c>
      <c r="Z150" s="27" t="str">
        <f t="shared" si="39"/>
        <v/>
      </c>
      <c r="AA150" s="27" t="str">
        <f t="shared" si="40"/>
        <v/>
      </c>
      <c r="AB150" s="17" t="str">
        <f>IFERROR(VLOOKUP($A150,[5]库存报告使用数据!$A$1:$D$65536,4,0),"")</f>
        <v/>
      </c>
      <c r="AC150" s="17" t="str">
        <f>IFERROR(VLOOKUP($A150,[5]库存报告使用数据!$A$1:$G$65536,7,0),"")</f>
        <v/>
      </c>
      <c r="AD150" s="17" t="str">
        <f>IFERROR(VLOOKUP($A150,[5]库存报告使用数据!$A$1:$J$65536,10,0),"")</f>
        <v/>
      </c>
      <c r="AE150" s="17" t="str">
        <f>IFERROR(VLOOKUP($A150,[5]库存报告使用数据!$A$1:$M$65536,13,0),"")</f>
        <v/>
      </c>
      <c r="AF150" s="27" t="str">
        <f t="shared" si="49"/>
        <v>有广告无销售广告费为</v>
      </c>
      <c r="AG150" s="27" t="str">
        <f t="shared" si="50"/>
        <v>有广告无销售广告费为</v>
      </c>
      <c r="AH150" s="27" t="str">
        <f t="shared" si="51"/>
        <v>有广告无销售广告费为</v>
      </c>
      <c r="AI150" s="27" t="str">
        <f t="shared" si="52"/>
        <v>有广告无销售广告费为</v>
      </c>
      <c r="AJ150" s="17" t="str">
        <f>IFERROR(VLOOKUP($B150,'[3]浏览量处理(勿删)'!$A:$B,2,0),"")</f>
        <v/>
      </c>
      <c r="AK150" s="17" t="str">
        <f>IFERROR(VLOOKUP($B150,'[3]浏览量处理(勿删)'!$A:$C,3,0),"")</f>
        <v/>
      </c>
      <c r="AL150" s="17" t="str">
        <f>IFERROR(VLOOKUP($B150,'[3]浏览量处理(勿删)'!$A:$D,4,0),"")</f>
        <v/>
      </c>
      <c r="AM150" s="17" t="str">
        <f>IFERROR(VLOOKUP($B150,'[3]浏览量处理(勿删)'!$A:$E,5,0),"")</f>
        <v/>
      </c>
      <c r="AN150" s="27" t="str">
        <f t="shared" si="41"/>
        <v/>
      </c>
      <c r="AO150" s="27" t="str">
        <f t="shared" si="42"/>
        <v/>
      </c>
      <c r="AP150" s="27" t="str">
        <f t="shared" si="43"/>
        <v/>
      </c>
      <c r="AQ150" s="27" t="str">
        <f t="shared" si="44"/>
        <v/>
      </c>
      <c r="AR150" s="32">
        <f t="shared" si="45"/>
        <v>0</v>
      </c>
      <c r="AS150" s="32">
        <f t="shared" si="46"/>
        <v>0</v>
      </c>
      <c r="AT150" s="32">
        <f t="shared" si="47"/>
        <v>0</v>
      </c>
      <c r="AU150" s="18" t="str">
        <f t="shared" si="48"/>
        <v>库存为0</v>
      </c>
      <c r="AV150" s="33" t="str">
        <f>IFERROR(时间!$B$4+AU150,"上周无销量")</f>
        <v>上周无销量</v>
      </c>
    </row>
    <row r="151" spans="1:48">
      <c r="A151" s="16" t="s">
        <v>195</v>
      </c>
      <c r="B151" s="17" t="str">
        <f>VLOOKUP(A151,[1]sku_fnsku_asin_产品名称!$A:$C,3,0)</f>
        <v>B004H07J80</v>
      </c>
      <c r="C151" s="17">
        <f>VLOOKUP(A151,[1]sku_fnsku_asin_产品名称!$A:$D,4,0)</f>
        <v>0</v>
      </c>
      <c r="D151" s="18">
        <f>IFERROR(VLOOKUP(A151,[4]库存报告使用数据处理!$A:$B,2,0),0)</f>
        <v>0</v>
      </c>
      <c r="E151" s="18">
        <f>IFERROR(VLOOKUP(A151,[4]库存报告使用数据处理!$A:$C,3,0),0)</f>
        <v>0</v>
      </c>
      <c r="F151" s="18">
        <f>IFERROR(VLOOKUP(A151,[4]库存报告使用数据处理!$A:$D,4,0),0)</f>
        <v>0</v>
      </c>
      <c r="G151" s="18">
        <f>IFERROR(VLOOKUP(A151,[4]库存报告使用数据处理!$A:$E,5,0),0)</f>
        <v>0</v>
      </c>
      <c r="H151" s="18">
        <f>IFERROR(VLOOKUP(A151,[4]库存报告使用数据处理!$A:$F,6,0),0)</f>
        <v>0</v>
      </c>
      <c r="I151" s="18">
        <f>IFERROR(VLOOKUP($A151,[2]数据处理!$A:$B,2,0),0)</f>
        <v>0</v>
      </c>
      <c r="J151" s="18">
        <f>IFERROR(VLOOKUP($A151,[2]数据处理!$A:$D,4,0),0)</f>
        <v>0</v>
      </c>
      <c r="K151" s="18">
        <f>IFERROR(VLOOKUP($A151,[2]数据处理!$A:$E,5,0),0)</f>
        <v>0</v>
      </c>
      <c r="L151" s="18">
        <f>IFERROR(VLOOKUP($A151,[2]数据处理!$A:$N,7,0),0)</f>
        <v>0</v>
      </c>
      <c r="M151" s="22">
        <f t="shared" si="36"/>
        <v>0</v>
      </c>
      <c r="N151" s="18">
        <f>IFERROR(VLOOKUP($A151,[2]数据处理!$A:$N,3,0),0)</f>
        <v>0</v>
      </c>
      <c r="O151" s="17">
        <f>IFERROR(VLOOKUP($A151,[2]数据处理!$A:$N,14,0),0)</f>
        <v>0</v>
      </c>
      <c r="P151" s="17">
        <f>IFERROR(VLOOKUP($A151,[5]库存报告使用数据!$A$1:$B$65536,2,0),0)</f>
        <v>0</v>
      </c>
      <c r="Q151" s="17">
        <f>IFERROR(VLOOKUP($A151,[5]库存报告使用数据!$A$1:$E$65536,5,0),0)</f>
        <v>0</v>
      </c>
      <c r="R151" s="17">
        <f>IFERROR(VLOOKUP($A151,[5]库存报告使用数据!$A$1:$H$65536,8,0),0)</f>
        <v>0</v>
      </c>
      <c r="S151" s="17">
        <f>IFERROR(VLOOKUP($A151,[5]库存报告使用数据!$A$1:$K$65536,11,0),0)</f>
        <v>0</v>
      </c>
      <c r="T151" s="17" t="str">
        <f>IFERROR(VLOOKUP($A151,[5]库存报告使用数据!$A$1:$C$65536,3,0),"")</f>
        <v/>
      </c>
      <c r="U151" s="17" t="str">
        <f>IFERROR(VLOOKUP($A151,[5]库存报告使用数据!$A$1:$F$65536,6,0),"")</f>
        <v/>
      </c>
      <c r="V151" s="17" t="str">
        <f>IFERROR(VLOOKUP($A151,[5]库存报告使用数据!$A$1:$I$65536,9,0),"")</f>
        <v/>
      </c>
      <c r="W151" s="17" t="str">
        <f>IFERROR(VLOOKUP($A151,[5]库存报告使用数据!$A$1:$L$65536,12,0),"")</f>
        <v/>
      </c>
      <c r="X151" s="27" t="str">
        <f t="shared" si="37"/>
        <v/>
      </c>
      <c r="Y151" s="27" t="str">
        <f t="shared" si="38"/>
        <v/>
      </c>
      <c r="Z151" s="27" t="str">
        <f t="shared" si="39"/>
        <v/>
      </c>
      <c r="AA151" s="27" t="str">
        <f t="shared" si="40"/>
        <v/>
      </c>
      <c r="AB151" s="17" t="str">
        <f>IFERROR(VLOOKUP($A151,[5]库存报告使用数据!$A$1:$D$65536,4,0),"")</f>
        <v/>
      </c>
      <c r="AC151" s="17" t="str">
        <f>IFERROR(VLOOKUP($A151,[5]库存报告使用数据!$A$1:$G$65536,7,0),"")</f>
        <v/>
      </c>
      <c r="AD151" s="17" t="str">
        <f>IFERROR(VLOOKUP($A151,[5]库存报告使用数据!$A$1:$J$65536,10,0),"")</f>
        <v/>
      </c>
      <c r="AE151" s="17" t="str">
        <f>IFERROR(VLOOKUP($A151,[5]库存报告使用数据!$A$1:$M$65536,13,0),"")</f>
        <v/>
      </c>
      <c r="AF151" s="27" t="str">
        <f t="shared" si="49"/>
        <v>有广告无销售广告费为</v>
      </c>
      <c r="AG151" s="27" t="str">
        <f t="shared" si="50"/>
        <v>有广告无销售广告费为</v>
      </c>
      <c r="AH151" s="27" t="str">
        <f t="shared" si="51"/>
        <v>有广告无销售广告费为</v>
      </c>
      <c r="AI151" s="27" t="str">
        <f t="shared" si="52"/>
        <v>有广告无销售广告费为</v>
      </c>
      <c r="AJ151" s="17">
        <f>IFERROR(VLOOKUP($B151,'[3]浏览量处理(勿删)'!$A:$B,2,0),"")</f>
        <v>0</v>
      </c>
      <c r="AK151" s="17">
        <f>IFERROR(VLOOKUP($B151,'[3]浏览量处理(勿删)'!$A:$C,3,0),"")</f>
        <v>0</v>
      </c>
      <c r="AL151" s="17">
        <f>IFERROR(VLOOKUP($B151,'[3]浏览量处理(勿删)'!$A:$D,4,0),"")</f>
        <v>98</v>
      </c>
      <c r="AM151" s="17">
        <f>IFERROR(VLOOKUP($B151,'[3]浏览量处理(勿删)'!$A:$E,5,0),"")</f>
        <v>407</v>
      </c>
      <c r="AN151" s="27" t="str">
        <f t="shared" si="41"/>
        <v/>
      </c>
      <c r="AO151" s="27" t="str">
        <f t="shared" si="42"/>
        <v/>
      </c>
      <c r="AP151" s="27">
        <f t="shared" si="43"/>
        <v>0</v>
      </c>
      <c r="AQ151" s="27">
        <f t="shared" si="44"/>
        <v>0</v>
      </c>
      <c r="AR151" s="32">
        <f t="shared" si="45"/>
        <v>0</v>
      </c>
      <c r="AS151" s="32">
        <f t="shared" si="46"/>
        <v>0</v>
      </c>
      <c r="AT151" s="32">
        <f t="shared" si="47"/>
        <v>0</v>
      </c>
      <c r="AU151" s="18" t="str">
        <f t="shared" si="48"/>
        <v>库存为0</v>
      </c>
      <c r="AV151" s="33" t="str">
        <f>IFERROR(时间!$B$4+AU151,"上周无销量")</f>
        <v>上周无销量</v>
      </c>
    </row>
    <row r="152" spans="1:48">
      <c r="A152" s="16" t="s">
        <v>196</v>
      </c>
      <c r="B152" s="17" t="str">
        <f>VLOOKUP(A152,[1]sku_fnsku_asin_产品名称!$A:$C,3,0)</f>
        <v>B001DXQDL8</v>
      </c>
      <c r="C152" s="17">
        <f>VLOOKUP(A152,[1]sku_fnsku_asin_产品名称!$A:$D,4,0)</f>
        <v>0</v>
      </c>
      <c r="D152" s="18">
        <f>IFERROR(VLOOKUP(A152,[4]库存报告使用数据处理!$A:$B,2,0),0)</f>
        <v>0</v>
      </c>
      <c r="E152" s="18">
        <f>IFERROR(VLOOKUP(A152,[4]库存报告使用数据处理!$A:$C,3,0),0)</f>
        <v>0</v>
      </c>
      <c r="F152" s="18">
        <f>IFERROR(VLOOKUP(A152,[4]库存报告使用数据处理!$A:$D,4,0),0)</f>
        <v>0</v>
      </c>
      <c r="G152" s="18">
        <f>IFERROR(VLOOKUP(A152,[4]库存报告使用数据处理!$A:$E,5,0),0)</f>
        <v>0</v>
      </c>
      <c r="H152" s="18">
        <f>IFERROR(VLOOKUP(A152,[4]库存报告使用数据处理!$A:$F,6,0),0)</f>
        <v>0</v>
      </c>
      <c r="I152" s="18">
        <f>IFERROR(VLOOKUP($A152,[2]数据处理!$A:$B,2,0),0)</f>
        <v>0</v>
      </c>
      <c r="J152" s="18">
        <f>IFERROR(VLOOKUP($A152,[2]数据处理!$A:$D,4,0),0)</f>
        <v>0</v>
      </c>
      <c r="K152" s="18">
        <f>IFERROR(VLOOKUP($A152,[2]数据处理!$A:$E,5,0),0)</f>
        <v>0</v>
      </c>
      <c r="L152" s="18">
        <f>IFERROR(VLOOKUP($A152,[2]数据处理!$A:$N,7,0),0)</f>
        <v>0</v>
      </c>
      <c r="M152" s="22">
        <f t="shared" si="36"/>
        <v>0</v>
      </c>
      <c r="N152" s="18">
        <f>IFERROR(VLOOKUP($A152,[2]数据处理!$A:$N,3,0),0)</f>
        <v>0</v>
      </c>
      <c r="O152" s="17">
        <f>IFERROR(VLOOKUP($A152,[2]数据处理!$A:$N,14,0),0)</f>
        <v>0</v>
      </c>
      <c r="P152" s="17">
        <f>IFERROR(VLOOKUP($A152,[5]库存报告使用数据!$A$1:$B$65536,2,0),0)</f>
        <v>0</v>
      </c>
      <c r="Q152" s="17">
        <f>IFERROR(VLOOKUP($A152,[5]库存报告使用数据!$A$1:$E$65536,5,0),0)</f>
        <v>0</v>
      </c>
      <c r="R152" s="17">
        <f>IFERROR(VLOOKUP($A152,[5]库存报告使用数据!$A$1:$H$65536,8,0),0)</f>
        <v>0</v>
      </c>
      <c r="S152" s="17">
        <f>IFERROR(VLOOKUP($A152,[5]库存报告使用数据!$A$1:$K$65536,11,0),0)</f>
        <v>0</v>
      </c>
      <c r="T152" s="17" t="str">
        <f>IFERROR(VLOOKUP($A152,[5]库存报告使用数据!$A$1:$C$65536,3,0),"")</f>
        <v/>
      </c>
      <c r="U152" s="17" t="str">
        <f>IFERROR(VLOOKUP($A152,[5]库存报告使用数据!$A$1:$F$65536,6,0),"")</f>
        <v/>
      </c>
      <c r="V152" s="17" t="str">
        <f>IFERROR(VLOOKUP($A152,[5]库存报告使用数据!$A$1:$I$65536,9,0),"")</f>
        <v/>
      </c>
      <c r="W152" s="17" t="str">
        <f>IFERROR(VLOOKUP($A152,[5]库存报告使用数据!$A$1:$L$65536,12,0),"")</f>
        <v/>
      </c>
      <c r="X152" s="27" t="str">
        <f t="shared" si="37"/>
        <v/>
      </c>
      <c r="Y152" s="27" t="str">
        <f t="shared" si="38"/>
        <v/>
      </c>
      <c r="Z152" s="27" t="str">
        <f t="shared" si="39"/>
        <v/>
      </c>
      <c r="AA152" s="27" t="str">
        <f t="shared" si="40"/>
        <v/>
      </c>
      <c r="AB152" s="17" t="str">
        <f>IFERROR(VLOOKUP($A152,[5]库存报告使用数据!$A$1:$D$65536,4,0),"")</f>
        <v/>
      </c>
      <c r="AC152" s="17" t="str">
        <f>IFERROR(VLOOKUP($A152,[5]库存报告使用数据!$A$1:$G$65536,7,0),"")</f>
        <v/>
      </c>
      <c r="AD152" s="17" t="str">
        <f>IFERROR(VLOOKUP($A152,[5]库存报告使用数据!$A$1:$J$65536,10,0),"")</f>
        <v/>
      </c>
      <c r="AE152" s="17" t="str">
        <f>IFERROR(VLOOKUP($A152,[5]库存报告使用数据!$A$1:$M$65536,13,0),"")</f>
        <v/>
      </c>
      <c r="AF152" s="27" t="str">
        <f t="shared" si="49"/>
        <v>有广告无销售广告费为</v>
      </c>
      <c r="AG152" s="27" t="str">
        <f t="shared" si="50"/>
        <v>有广告无销售广告费为</v>
      </c>
      <c r="AH152" s="27" t="str">
        <f t="shared" si="51"/>
        <v>有广告无销售广告费为</v>
      </c>
      <c r="AI152" s="27" t="str">
        <f t="shared" si="52"/>
        <v>有广告无销售广告费为</v>
      </c>
      <c r="AJ152" s="17">
        <f>IFERROR(VLOOKUP($B152,'[3]浏览量处理(勿删)'!$A:$B,2,0),"")</f>
        <v>2</v>
      </c>
      <c r="AK152" s="17">
        <f>IFERROR(VLOOKUP($B152,'[3]浏览量处理(勿删)'!$A:$C,3,0),"")</f>
        <v>14</v>
      </c>
      <c r="AL152" s="17">
        <f>IFERROR(VLOOKUP($B152,'[3]浏览量处理(勿删)'!$A:$D,4,0),"")</f>
        <v>13</v>
      </c>
      <c r="AM152" s="17">
        <f>IFERROR(VLOOKUP($B152,'[3]浏览量处理(勿删)'!$A:$E,5,0),"")</f>
        <v>57</v>
      </c>
      <c r="AN152" s="27">
        <f t="shared" si="41"/>
        <v>0</v>
      </c>
      <c r="AO152" s="27">
        <f t="shared" si="42"/>
        <v>0</v>
      </c>
      <c r="AP152" s="27">
        <f t="shared" si="43"/>
        <v>0</v>
      </c>
      <c r="AQ152" s="27">
        <f t="shared" si="44"/>
        <v>0</v>
      </c>
      <c r="AR152" s="32">
        <f t="shared" si="45"/>
        <v>0</v>
      </c>
      <c r="AS152" s="32">
        <f t="shared" si="46"/>
        <v>0</v>
      </c>
      <c r="AT152" s="32">
        <f t="shared" si="47"/>
        <v>0</v>
      </c>
      <c r="AU152" s="18" t="str">
        <f t="shared" si="48"/>
        <v>库存为0</v>
      </c>
      <c r="AV152" s="33" t="str">
        <f>IFERROR(时间!$B$4+AU152,"上周无销量")</f>
        <v>上周无销量</v>
      </c>
    </row>
    <row r="153" spans="1:48">
      <c r="A153" s="16" t="s">
        <v>197</v>
      </c>
      <c r="B153" s="17" t="str">
        <f>VLOOKUP(A153,[1]sku_fnsku_asin_产品名称!$A:$C,3,0)</f>
        <v>B003Y7CMF2</v>
      </c>
      <c r="C153" s="17" t="str">
        <f>VLOOKUP(A153,[1]sku_fnsku_asin_产品名称!$A:$D,4,0)</f>
        <v>Premier Dead Sea Instant Stretching and Revitalizing Lifting Mask - 2.04 oz Ounce</v>
      </c>
      <c r="D153" s="18">
        <f>IFERROR(VLOOKUP(A153,[4]库存报告使用数据处理!$A:$B,2,0),0)</f>
        <v>8</v>
      </c>
      <c r="E153" s="18">
        <f>IFERROR(VLOOKUP(A153,[4]库存报告使用数据处理!$A:$C,3,0),0)</f>
        <v>4</v>
      </c>
      <c r="F153" s="18">
        <f>IFERROR(VLOOKUP(A153,[4]库存报告使用数据处理!$A:$D,4,0),0)</f>
        <v>4</v>
      </c>
      <c r="G153" s="18">
        <f>IFERROR(VLOOKUP(A153,[4]库存报告使用数据处理!$A:$E,5,0),0)</f>
        <v>1</v>
      </c>
      <c r="H153" s="18">
        <f>IFERROR(VLOOKUP(A153,[4]库存报告使用数据处理!$A:$F,6,0),0)</f>
        <v>38.59</v>
      </c>
      <c r="I153" s="18">
        <f>IFERROR(VLOOKUP($A153,[2]数据处理!$A:$B,2,0),0)</f>
        <v>12</v>
      </c>
      <c r="J153" s="18">
        <f>IFERROR(VLOOKUP($A153,[2]数据处理!$A:$D,4,0),0)</f>
        <v>0</v>
      </c>
      <c r="K153" s="18">
        <f>IFERROR(VLOOKUP($A153,[2]数据处理!$A:$E,5,0),0)</f>
        <v>0</v>
      </c>
      <c r="L153" s="18">
        <f>IFERROR(VLOOKUP($A153,[2]数据处理!$A:$N,7,0),0)</f>
        <v>1</v>
      </c>
      <c r="M153" s="22">
        <f t="shared" si="36"/>
        <v>13</v>
      </c>
      <c r="N153" s="18">
        <f>IFERROR(VLOOKUP($A153,[2]数据处理!$A:$N,3,0),0)</f>
        <v>0</v>
      </c>
      <c r="O153" s="17">
        <f>IFERROR(VLOOKUP($A153,[2]数据处理!$A:$N,14,0),0)</f>
        <v>13</v>
      </c>
      <c r="P153" s="17">
        <f>IFERROR(VLOOKUP($A153,[5]库存报告使用数据!$A$1:$B$65536,2,0),0)</f>
        <v>38308</v>
      </c>
      <c r="Q153" s="17">
        <f>IFERROR(VLOOKUP($A153,[5]库存报告使用数据!$A$1:$E$65536,5,0),0)</f>
        <v>32438</v>
      </c>
      <c r="R153" s="17">
        <f>IFERROR(VLOOKUP($A153,[5]库存报告使用数据!$A$1:$H$65536,8,0),0)</f>
        <v>17486</v>
      </c>
      <c r="S153" s="17">
        <f>IFERROR(VLOOKUP($A153,[5]库存报告使用数据!$A$1:$K$65536,11,0),0)</f>
        <v>5929</v>
      </c>
      <c r="T153" s="17">
        <f>IFERROR(VLOOKUP($A153,[5]库存报告使用数据!$A$1:$C$65536,3,0),"")</f>
        <v>40</v>
      </c>
      <c r="U153" s="17">
        <f>IFERROR(VLOOKUP($A153,[5]库存报告使用数据!$A$1:$F$65536,6,0),"")</f>
        <v>39</v>
      </c>
      <c r="V153" s="17">
        <f>IFERROR(VLOOKUP($A153,[5]库存报告使用数据!$A$1:$I$65536,9,0),"")</f>
        <v>25</v>
      </c>
      <c r="W153" s="17">
        <f>IFERROR(VLOOKUP($A153,[5]库存报告使用数据!$A$1:$L$65536,12,0),"")</f>
        <v>11</v>
      </c>
      <c r="X153" s="27">
        <f t="shared" si="37"/>
        <v>0.00104416831993317</v>
      </c>
      <c r="Y153" s="27">
        <f t="shared" si="38"/>
        <v>0.00120229360626426</v>
      </c>
      <c r="Z153" s="27">
        <f t="shared" si="39"/>
        <v>0.00142971520073201</v>
      </c>
      <c r="AA153" s="27">
        <f t="shared" si="40"/>
        <v>0.00185528756957328</v>
      </c>
      <c r="AB153" s="17">
        <f>IFERROR(VLOOKUP($A153,[5]库存报告使用数据!$A$1:$D$65536,4,0),"")</f>
        <v>35.09</v>
      </c>
      <c r="AC153" s="17">
        <f>IFERROR(VLOOKUP($A153,[5]库存报告使用数据!$A$1:$G$65536,7,0),"")</f>
        <v>36.31</v>
      </c>
      <c r="AD153" s="17">
        <f>IFERROR(VLOOKUP($A153,[5]库存报告使用数据!$A$1:$J$65536,10,0),"")</f>
        <v>27.66</v>
      </c>
      <c r="AE153" s="17">
        <f>IFERROR(VLOOKUP($A153,[5]库存报告使用数据!$A$1:$M$65536,13,0),"")</f>
        <v>7.69</v>
      </c>
      <c r="AF153" s="27">
        <f t="shared" si="49"/>
        <v>0.113662866027468</v>
      </c>
      <c r="AG153" s="27">
        <f t="shared" si="50"/>
        <v>0.235229334024359</v>
      </c>
      <c r="AH153" s="27">
        <f t="shared" si="51"/>
        <v>0.179191500388702</v>
      </c>
      <c r="AI153" s="27">
        <f t="shared" si="52"/>
        <v>0.199274423425758</v>
      </c>
      <c r="AJ153" s="17">
        <f>IFERROR(VLOOKUP($B153,'[3]浏览量处理(勿删)'!$A:$B,2,0),"")</f>
        <v>42</v>
      </c>
      <c r="AK153" s="17">
        <f>IFERROR(VLOOKUP($B153,'[3]浏览量处理(勿删)'!$A:$C,3,0),"")</f>
        <v>60</v>
      </c>
      <c r="AL153" s="17">
        <f>IFERROR(VLOOKUP($B153,'[3]浏览量处理(勿删)'!$A:$D,4,0),"")</f>
        <v>28</v>
      </c>
      <c r="AM153" s="17">
        <f>IFERROR(VLOOKUP($B153,'[3]浏览量处理(勿删)'!$A:$E,5,0),"")</f>
        <v>74</v>
      </c>
      <c r="AN153" s="27">
        <f t="shared" si="41"/>
        <v>0.19047619047619</v>
      </c>
      <c r="AO153" s="27">
        <f t="shared" si="42"/>
        <v>0.0666666666666667</v>
      </c>
      <c r="AP153" s="27">
        <f t="shared" si="43"/>
        <v>0.142857142857143</v>
      </c>
      <c r="AQ153" s="27">
        <f t="shared" si="44"/>
        <v>0.0135135135135135</v>
      </c>
      <c r="AR153" s="32">
        <f t="shared" si="45"/>
        <v>1.14285714285714</v>
      </c>
      <c r="AS153" s="32">
        <f t="shared" si="46"/>
        <v>68.5714285714286</v>
      </c>
      <c r="AT153" s="32">
        <f t="shared" si="47"/>
        <v>-55.5714285714286</v>
      </c>
      <c r="AU153" s="18">
        <f t="shared" si="48"/>
        <v>11</v>
      </c>
      <c r="AV153" s="33">
        <f>IFERROR(时间!$B$4+AU153,"上周无销量")</f>
        <v>43301</v>
      </c>
    </row>
    <row r="154" spans="1:48">
      <c r="A154" s="16" t="s">
        <v>198</v>
      </c>
      <c r="B154" s="17" t="str">
        <f>VLOOKUP(A154,[1]sku_fnsku_asin_产品名称!$A:$C,3,0)</f>
        <v>B00022AUVA</v>
      </c>
      <c r="C154" s="17">
        <f>VLOOKUP(A154,[1]sku_fnsku_asin_产品名称!$A:$D,4,0)</f>
        <v>0</v>
      </c>
      <c r="D154" s="18">
        <f>IFERROR(VLOOKUP(A154,[4]库存报告使用数据处理!$A:$B,2,0),0)</f>
        <v>0</v>
      </c>
      <c r="E154" s="18">
        <f>IFERROR(VLOOKUP(A154,[4]库存报告使用数据处理!$A:$C,3,0),0)</f>
        <v>0</v>
      </c>
      <c r="F154" s="18">
        <f>IFERROR(VLOOKUP(A154,[4]库存报告使用数据处理!$A:$D,4,0),0)</f>
        <v>0</v>
      </c>
      <c r="G154" s="18">
        <f>IFERROR(VLOOKUP(A154,[4]库存报告使用数据处理!$A:$E,5,0),0)</f>
        <v>0</v>
      </c>
      <c r="H154" s="18">
        <f>IFERROR(VLOOKUP(A154,[4]库存报告使用数据处理!$A:$F,6,0),0)</f>
        <v>0</v>
      </c>
      <c r="I154" s="18">
        <f>IFERROR(VLOOKUP($A154,[2]数据处理!$A:$B,2,0),0)</f>
        <v>0</v>
      </c>
      <c r="J154" s="18">
        <f>IFERROR(VLOOKUP($A154,[2]数据处理!$A:$D,4,0),0)</f>
        <v>0</v>
      </c>
      <c r="K154" s="18">
        <f>IFERROR(VLOOKUP($A154,[2]数据处理!$A:$E,5,0),0)</f>
        <v>0</v>
      </c>
      <c r="L154" s="18">
        <f>IFERROR(VLOOKUP($A154,[2]数据处理!$A:$N,7,0),0)</f>
        <v>0</v>
      </c>
      <c r="M154" s="22">
        <f t="shared" si="36"/>
        <v>0</v>
      </c>
      <c r="N154" s="18">
        <f>IFERROR(VLOOKUP($A154,[2]数据处理!$A:$N,3,0),0)</f>
        <v>0</v>
      </c>
      <c r="O154" s="17">
        <f>IFERROR(VLOOKUP($A154,[2]数据处理!$A:$N,14,0),0)</f>
        <v>0</v>
      </c>
      <c r="P154" s="17">
        <f>IFERROR(VLOOKUP($A154,[5]库存报告使用数据!$A$1:$B$65536,2,0),0)</f>
        <v>0</v>
      </c>
      <c r="Q154" s="17">
        <f>IFERROR(VLOOKUP($A154,[5]库存报告使用数据!$A$1:$E$65536,5,0),0)</f>
        <v>0</v>
      </c>
      <c r="R154" s="17">
        <f>IFERROR(VLOOKUP($A154,[5]库存报告使用数据!$A$1:$H$65536,8,0),0)</f>
        <v>0</v>
      </c>
      <c r="S154" s="17">
        <f>IFERROR(VLOOKUP($A154,[5]库存报告使用数据!$A$1:$K$65536,11,0),0)</f>
        <v>0</v>
      </c>
      <c r="T154" s="17" t="str">
        <f>IFERROR(VLOOKUP($A154,[5]库存报告使用数据!$A$1:$C$65536,3,0),"")</f>
        <v/>
      </c>
      <c r="U154" s="17" t="str">
        <f>IFERROR(VLOOKUP($A154,[5]库存报告使用数据!$A$1:$F$65536,6,0),"")</f>
        <v/>
      </c>
      <c r="V154" s="17" t="str">
        <f>IFERROR(VLOOKUP($A154,[5]库存报告使用数据!$A$1:$I$65536,9,0),"")</f>
        <v/>
      </c>
      <c r="W154" s="17" t="str">
        <f>IFERROR(VLOOKUP($A154,[5]库存报告使用数据!$A$1:$L$65536,12,0),"")</f>
        <v/>
      </c>
      <c r="X154" s="27" t="str">
        <f t="shared" si="37"/>
        <v/>
      </c>
      <c r="Y154" s="27" t="str">
        <f t="shared" si="38"/>
        <v/>
      </c>
      <c r="Z154" s="27" t="str">
        <f t="shared" si="39"/>
        <v/>
      </c>
      <c r="AA154" s="27" t="str">
        <f t="shared" si="40"/>
        <v/>
      </c>
      <c r="AB154" s="17" t="str">
        <f>IFERROR(VLOOKUP($A154,[5]库存报告使用数据!$A$1:$D$65536,4,0),"")</f>
        <v/>
      </c>
      <c r="AC154" s="17" t="str">
        <f>IFERROR(VLOOKUP($A154,[5]库存报告使用数据!$A$1:$G$65536,7,0),"")</f>
        <v/>
      </c>
      <c r="AD154" s="17" t="str">
        <f>IFERROR(VLOOKUP($A154,[5]库存报告使用数据!$A$1:$J$65536,10,0),"")</f>
        <v/>
      </c>
      <c r="AE154" s="17" t="str">
        <f>IFERROR(VLOOKUP($A154,[5]库存报告使用数据!$A$1:$M$65536,13,0),"")</f>
        <v/>
      </c>
      <c r="AF154" s="27" t="str">
        <f t="shared" si="49"/>
        <v>有广告无销售广告费为</v>
      </c>
      <c r="AG154" s="27" t="str">
        <f t="shared" si="50"/>
        <v>有广告无销售广告费为</v>
      </c>
      <c r="AH154" s="27" t="str">
        <f t="shared" si="51"/>
        <v>有广告无销售广告费为</v>
      </c>
      <c r="AI154" s="27" t="str">
        <f t="shared" si="52"/>
        <v>有广告无销售广告费为</v>
      </c>
      <c r="AJ154" s="17">
        <f>IFERROR(VLOOKUP($B154,'[3]浏览量处理(勿删)'!$A:$B,2,0),"")</f>
        <v>0</v>
      </c>
      <c r="AK154" s="17">
        <f>IFERROR(VLOOKUP($B154,'[3]浏览量处理(勿删)'!$A:$C,3,0),"")</f>
        <v>0</v>
      </c>
      <c r="AL154" s="17">
        <f>IFERROR(VLOOKUP($B154,'[3]浏览量处理(勿删)'!$A:$D,4,0),"")</f>
        <v>0</v>
      </c>
      <c r="AM154" s="17">
        <f>IFERROR(VLOOKUP($B154,'[3]浏览量处理(勿删)'!$A:$E,5,0),"")</f>
        <v>12</v>
      </c>
      <c r="AN154" s="27" t="str">
        <f t="shared" si="41"/>
        <v/>
      </c>
      <c r="AO154" s="27" t="str">
        <f t="shared" si="42"/>
        <v/>
      </c>
      <c r="AP154" s="27" t="str">
        <f t="shared" si="43"/>
        <v/>
      </c>
      <c r="AQ154" s="27">
        <f t="shared" si="44"/>
        <v>0</v>
      </c>
      <c r="AR154" s="32">
        <f t="shared" si="45"/>
        <v>0</v>
      </c>
      <c r="AS154" s="32">
        <f t="shared" si="46"/>
        <v>0</v>
      </c>
      <c r="AT154" s="32">
        <f t="shared" si="47"/>
        <v>0</v>
      </c>
      <c r="AU154" s="18" t="str">
        <f t="shared" si="48"/>
        <v>库存为0</v>
      </c>
      <c r="AV154" s="33" t="str">
        <f>IFERROR(时间!$B$4+AU154,"上周无销量")</f>
        <v>上周无销量</v>
      </c>
    </row>
    <row r="155" spans="1:48">
      <c r="A155" s="16" t="s">
        <v>199</v>
      </c>
      <c r="B155" s="17" t="str">
        <f>VLOOKUP(A155,[1]sku_fnsku_asin_产品名称!$A:$C,3,0)</f>
        <v>B000VER1RU</v>
      </c>
      <c r="C155" s="17">
        <f>VLOOKUP(A155,[1]sku_fnsku_asin_产品名称!$A:$D,4,0)</f>
        <v>0</v>
      </c>
      <c r="D155" s="18">
        <f>IFERROR(VLOOKUP(A155,[4]库存报告使用数据处理!$A:$B,2,0),0)</f>
        <v>0</v>
      </c>
      <c r="E155" s="18">
        <f>IFERROR(VLOOKUP(A155,[4]库存报告使用数据处理!$A:$C,3,0),0)</f>
        <v>0</v>
      </c>
      <c r="F155" s="18">
        <f>IFERROR(VLOOKUP(A155,[4]库存报告使用数据处理!$A:$D,4,0),0)</f>
        <v>0</v>
      </c>
      <c r="G155" s="18">
        <f>IFERROR(VLOOKUP(A155,[4]库存报告使用数据处理!$A:$E,5,0),0)</f>
        <v>0</v>
      </c>
      <c r="H155" s="18">
        <f>IFERROR(VLOOKUP(A155,[4]库存报告使用数据处理!$A:$F,6,0),0)</f>
        <v>0</v>
      </c>
      <c r="I155" s="18">
        <f>IFERROR(VLOOKUP($A155,[2]数据处理!$A:$B,2,0),0)</f>
        <v>0</v>
      </c>
      <c r="J155" s="18">
        <f>IFERROR(VLOOKUP($A155,[2]数据处理!$A:$D,4,0),0)</f>
        <v>0</v>
      </c>
      <c r="K155" s="18">
        <f>IFERROR(VLOOKUP($A155,[2]数据处理!$A:$E,5,0),0)</f>
        <v>0</v>
      </c>
      <c r="L155" s="18">
        <f>IFERROR(VLOOKUP($A155,[2]数据处理!$A:$N,7,0),0)</f>
        <v>0</v>
      </c>
      <c r="M155" s="22">
        <f t="shared" si="36"/>
        <v>0</v>
      </c>
      <c r="N155" s="18">
        <f>IFERROR(VLOOKUP($A155,[2]数据处理!$A:$N,3,0),0)</f>
        <v>0</v>
      </c>
      <c r="O155" s="17">
        <f>IFERROR(VLOOKUP($A155,[2]数据处理!$A:$N,14,0),0)</f>
        <v>0</v>
      </c>
      <c r="P155" s="17">
        <f>IFERROR(VLOOKUP($A155,[5]库存报告使用数据!$A$1:$B$65536,2,0),0)</f>
        <v>0</v>
      </c>
      <c r="Q155" s="17">
        <f>IFERROR(VLOOKUP($A155,[5]库存报告使用数据!$A$1:$E$65536,5,0),0)</f>
        <v>0</v>
      </c>
      <c r="R155" s="17">
        <f>IFERROR(VLOOKUP($A155,[5]库存报告使用数据!$A$1:$H$65536,8,0),0)</f>
        <v>0</v>
      </c>
      <c r="S155" s="17">
        <f>IFERROR(VLOOKUP($A155,[5]库存报告使用数据!$A$1:$K$65536,11,0),0)</f>
        <v>0</v>
      </c>
      <c r="T155" s="17" t="str">
        <f>IFERROR(VLOOKUP($A155,[5]库存报告使用数据!$A$1:$C$65536,3,0),"")</f>
        <v/>
      </c>
      <c r="U155" s="17" t="str">
        <f>IFERROR(VLOOKUP($A155,[5]库存报告使用数据!$A$1:$F$65536,6,0),"")</f>
        <v/>
      </c>
      <c r="V155" s="17" t="str">
        <f>IFERROR(VLOOKUP($A155,[5]库存报告使用数据!$A$1:$I$65536,9,0),"")</f>
        <v/>
      </c>
      <c r="W155" s="17" t="str">
        <f>IFERROR(VLOOKUP($A155,[5]库存报告使用数据!$A$1:$L$65536,12,0),"")</f>
        <v/>
      </c>
      <c r="X155" s="27" t="str">
        <f t="shared" si="37"/>
        <v/>
      </c>
      <c r="Y155" s="27" t="str">
        <f t="shared" si="38"/>
        <v/>
      </c>
      <c r="Z155" s="27" t="str">
        <f t="shared" si="39"/>
        <v/>
      </c>
      <c r="AA155" s="27" t="str">
        <f t="shared" si="40"/>
        <v/>
      </c>
      <c r="AB155" s="17" t="str">
        <f>IFERROR(VLOOKUP($A155,[5]库存报告使用数据!$A$1:$D$65536,4,0),"")</f>
        <v/>
      </c>
      <c r="AC155" s="17" t="str">
        <f>IFERROR(VLOOKUP($A155,[5]库存报告使用数据!$A$1:$G$65536,7,0),"")</f>
        <v/>
      </c>
      <c r="AD155" s="17" t="str">
        <f>IFERROR(VLOOKUP($A155,[5]库存报告使用数据!$A$1:$J$65536,10,0),"")</f>
        <v/>
      </c>
      <c r="AE155" s="17" t="str">
        <f>IFERROR(VLOOKUP($A155,[5]库存报告使用数据!$A$1:$M$65536,13,0),"")</f>
        <v/>
      </c>
      <c r="AF155" s="27" t="str">
        <f t="shared" si="49"/>
        <v>有广告无销售广告费为</v>
      </c>
      <c r="AG155" s="27" t="str">
        <f t="shared" si="50"/>
        <v>有广告无销售广告费为</v>
      </c>
      <c r="AH155" s="27" t="str">
        <f t="shared" si="51"/>
        <v>有广告无销售广告费为</v>
      </c>
      <c r="AI155" s="27" t="str">
        <f t="shared" si="52"/>
        <v>有广告无销售广告费为</v>
      </c>
      <c r="AJ155" s="17">
        <f>IFERROR(VLOOKUP($B155,'[3]浏览量处理(勿删)'!$A:$B,2,0),"")</f>
        <v>59</v>
      </c>
      <c r="AK155" s="17">
        <f>IFERROR(VLOOKUP($B155,'[3]浏览量处理(勿删)'!$A:$C,3,0),"")</f>
        <v>0</v>
      </c>
      <c r="AL155" s="17">
        <f>IFERROR(VLOOKUP($B155,'[3]浏览量处理(勿删)'!$A:$D,4,0),"")</f>
        <v>0</v>
      </c>
      <c r="AM155" s="17">
        <f>IFERROR(VLOOKUP($B155,'[3]浏览量处理(勿删)'!$A:$E,5,0),"")</f>
        <v>35</v>
      </c>
      <c r="AN155" s="27">
        <f t="shared" si="41"/>
        <v>0</v>
      </c>
      <c r="AO155" s="27" t="str">
        <f t="shared" si="42"/>
        <v/>
      </c>
      <c r="AP155" s="27" t="str">
        <f t="shared" si="43"/>
        <v/>
      </c>
      <c r="AQ155" s="27">
        <f t="shared" si="44"/>
        <v>0</v>
      </c>
      <c r="AR155" s="32">
        <f t="shared" si="45"/>
        <v>0</v>
      </c>
      <c r="AS155" s="32">
        <f t="shared" si="46"/>
        <v>0</v>
      </c>
      <c r="AT155" s="32">
        <f t="shared" si="47"/>
        <v>0</v>
      </c>
      <c r="AU155" s="18" t="str">
        <f t="shared" si="48"/>
        <v>库存为0</v>
      </c>
      <c r="AV155" s="33" t="str">
        <f>IFERROR(时间!$B$4+AU155,"上周无销量")</f>
        <v>上周无销量</v>
      </c>
    </row>
    <row r="156" spans="1:48">
      <c r="A156" s="34" t="s">
        <v>200</v>
      </c>
      <c r="B156" s="17" t="str">
        <f>VLOOKUP(A156,[1]sku_fnsku_asin_产品名称!$A:$C,3,0)</f>
        <v>B002DPS40I</v>
      </c>
      <c r="C156" s="17">
        <f>VLOOKUP(A156,[1]sku_fnsku_asin_产品名称!$A:$D,4,0)</f>
        <v>0</v>
      </c>
      <c r="D156" s="18">
        <f>IFERROR(VLOOKUP(A156,[4]库存报告使用数据处理!$A:$B,2,0),0)</f>
        <v>0</v>
      </c>
      <c r="E156" s="18">
        <f>IFERROR(VLOOKUP(A156,[4]库存报告使用数据处理!$A:$C,3,0),0)</f>
        <v>0</v>
      </c>
      <c r="F156" s="18">
        <f>IFERROR(VLOOKUP(A156,[4]库存报告使用数据处理!$A:$D,4,0),0)</f>
        <v>4</v>
      </c>
      <c r="G156" s="18">
        <f>IFERROR(VLOOKUP(A156,[4]库存报告使用数据处理!$A:$E,5,0),0)</f>
        <v>2</v>
      </c>
      <c r="H156" s="18">
        <f>IFERROR(VLOOKUP(A156,[4]库存报告使用数据处理!$A:$F,6,0),0)</f>
        <v>23.3316666666667</v>
      </c>
      <c r="I156" s="18">
        <f>IFERROR(VLOOKUP($A156,[2]数据处理!$A:$B,2,0),0)</f>
        <v>0</v>
      </c>
      <c r="J156" s="18">
        <f>IFERROR(VLOOKUP($A156,[2]数据处理!$A:$D,4,0),0)</f>
        <v>0</v>
      </c>
      <c r="K156" s="18">
        <f>IFERROR(VLOOKUP($A156,[2]数据处理!$A:$E,5,0),0)</f>
        <v>0</v>
      </c>
      <c r="L156" s="18">
        <f>IFERROR(VLOOKUP($A156,[2]数据处理!$A:$N,7,0),0)</f>
        <v>0</v>
      </c>
      <c r="M156" s="22">
        <f t="shared" si="36"/>
        <v>0</v>
      </c>
      <c r="N156" s="18">
        <f>IFERROR(VLOOKUP($A156,[2]数据处理!$A:$N,3,0),0)</f>
        <v>0</v>
      </c>
      <c r="O156" s="17">
        <f>IFERROR(VLOOKUP($A156,[2]数据处理!$A:$N,14,0),0)</f>
        <v>0</v>
      </c>
      <c r="P156" s="17">
        <f>IFERROR(VLOOKUP($A156,[5]库存报告使用数据!$A$1:$B$65536,2,0),0)</f>
        <v>0</v>
      </c>
      <c r="Q156" s="17">
        <f>IFERROR(VLOOKUP($A156,[5]库存报告使用数据!$A$1:$E$65536,5,0),0)</f>
        <v>0</v>
      </c>
      <c r="R156" s="17">
        <f>IFERROR(VLOOKUP($A156,[5]库存报告使用数据!$A$1:$H$65536,8,0),0)</f>
        <v>111</v>
      </c>
      <c r="S156" s="17">
        <f>IFERROR(VLOOKUP($A156,[5]库存报告使用数据!$A$1:$K$65536,11,0),0)</f>
        <v>462</v>
      </c>
      <c r="T156" s="17">
        <f>IFERROR(VLOOKUP($A156,[5]库存报告使用数据!$A$1:$C$65536,3,0),"")</f>
        <v>0</v>
      </c>
      <c r="U156" s="17">
        <f>IFERROR(VLOOKUP($A156,[5]库存报告使用数据!$A$1:$F$65536,6,0),"")</f>
        <v>0</v>
      </c>
      <c r="V156" s="17">
        <f>IFERROR(VLOOKUP($A156,[5]库存报告使用数据!$A$1:$I$65536,9,0),"")</f>
        <v>2</v>
      </c>
      <c r="W156" s="17">
        <f>IFERROR(VLOOKUP($A156,[5]库存报告使用数据!$A$1:$L$65536,12,0),"")</f>
        <v>0</v>
      </c>
      <c r="X156" s="27" t="str">
        <f t="shared" si="37"/>
        <v/>
      </c>
      <c r="Y156" s="27" t="str">
        <f t="shared" si="38"/>
        <v/>
      </c>
      <c r="Z156" s="27">
        <f t="shared" si="39"/>
        <v>0.018018018018018</v>
      </c>
      <c r="AA156" s="27">
        <f t="shared" si="40"/>
        <v>0</v>
      </c>
      <c r="AB156" s="17">
        <f>IFERROR(VLOOKUP($A156,[5]库存报告使用数据!$A$1:$D$65536,4,0),"")</f>
        <v>0</v>
      </c>
      <c r="AC156" s="17">
        <f>IFERROR(VLOOKUP($A156,[5]库存报告使用数据!$A$1:$G$65536,7,0),"")</f>
        <v>0</v>
      </c>
      <c r="AD156" s="17">
        <f>IFERROR(VLOOKUP($A156,[5]库存报告使用数据!$A$1:$J$65536,10,0),"")</f>
        <v>0.71</v>
      </c>
      <c r="AE156" s="17">
        <f>IFERROR(VLOOKUP($A156,[5]库存报告使用数据!$A$1:$M$65536,13,0),"")</f>
        <v>0</v>
      </c>
      <c r="AF156" s="27" t="str">
        <f t="shared" si="49"/>
        <v/>
      </c>
      <c r="AG156" s="27" t="str">
        <f t="shared" si="50"/>
        <v/>
      </c>
      <c r="AH156" s="27">
        <f t="shared" si="51"/>
        <v>0.00760768626330451</v>
      </c>
      <c r="AI156" s="27">
        <f t="shared" si="52"/>
        <v>0</v>
      </c>
      <c r="AJ156" s="17">
        <f>IFERROR(VLOOKUP($B156,'[3]浏览量处理(勿删)'!$A:$B,2,0),"")</f>
        <v>0</v>
      </c>
      <c r="AK156" s="17">
        <f>IFERROR(VLOOKUP($B156,'[3]浏览量处理(勿删)'!$A:$C,3,0),"")</f>
        <v>0</v>
      </c>
      <c r="AL156" s="17">
        <f>IFERROR(VLOOKUP($B156,'[3]浏览量处理(勿删)'!$A:$D,4,0),"")</f>
        <v>5</v>
      </c>
      <c r="AM156" s="17">
        <f>IFERROR(VLOOKUP($B156,'[3]浏览量处理(勿删)'!$A:$E,5,0),"")</f>
        <v>77</v>
      </c>
      <c r="AN156" s="27" t="str">
        <f t="shared" si="41"/>
        <v/>
      </c>
      <c r="AO156" s="27" t="str">
        <f t="shared" si="42"/>
        <v/>
      </c>
      <c r="AP156" s="27">
        <f t="shared" si="43"/>
        <v>0.8</v>
      </c>
      <c r="AQ156" s="27">
        <f t="shared" si="44"/>
        <v>0.025974025974026</v>
      </c>
      <c r="AR156" s="32">
        <f t="shared" si="45"/>
        <v>0</v>
      </c>
      <c r="AS156" s="32">
        <f t="shared" si="46"/>
        <v>0</v>
      </c>
      <c r="AT156" s="32">
        <f t="shared" si="47"/>
        <v>0</v>
      </c>
      <c r="AU156" s="18" t="str">
        <f t="shared" si="48"/>
        <v>库存为0</v>
      </c>
      <c r="AV156" s="33" t="str">
        <f>IFERROR(时间!$B$4+AU156,"上周无销量")</f>
        <v>上周无销量</v>
      </c>
    </row>
    <row r="157" spans="1:48">
      <c r="A157" s="34" t="s">
        <v>201</v>
      </c>
      <c r="B157" s="17" t="str">
        <f>VLOOKUP(A157,[1]sku_fnsku_asin_产品名称!$A:$C,3,0)</f>
        <v>B0010OMN4G</v>
      </c>
      <c r="C157" s="17">
        <f>VLOOKUP(A157,[1]sku_fnsku_asin_产品名称!$A:$D,4,0)</f>
        <v>0</v>
      </c>
      <c r="D157" s="18">
        <f>IFERROR(VLOOKUP(A157,[4]库存报告使用数据处理!$A:$B,2,0),0)</f>
        <v>0</v>
      </c>
      <c r="E157" s="18">
        <f>IFERROR(VLOOKUP(A157,[4]库存报告使用数据处理!$A:$C,3,0),0)</f>
        <v>0</v>
      </c>
      <c r="F157" s="18">
        <f>IFERROR(VLOOKUP(A157,[4]库存报告使用数据处理!$A:$D,4,0),0)</f>
        <v>0</v>
      </c>
      <c r="G157" s="18">
        <f>IFERROR(VLOOKUP(A157,[4]库存报告使用数据处理!$A:$E,5,0),0)</f>
        <v>1</v>
      </c>
      <c r="H157" s="18">
        <f>IFERROR(VLOOKUP(A157,[4]库存报告使用数据处理!$A:$F,6,0),0)</f>
        <v>15.69</v>
      </c>
      <c r="I157" s="18">
        <f>IFERROR(VLOOKUP($A157,[2]数据处理!$A:$B,2,0),0)</f>
        <v>0</v>
      </c>
      <c r="J157" s="18">
        <f>IFERROR(VLOOKUP($A157,[2]数据处理!$A:$D,4,0),0)</f>
        <v>0</v>
      </c>
      <c r="K157" s="18">
        <f>IFERROR(VLOOKUP($A157,[2]数据处理!$A:$E,5,0),0)</f>
        <v>0</v>
      </c>
      <c r="L157" s="18">
        <f>IFERROR(VLOOKUP($A157,[2]数据处理!$A:$N,7,0),0)</f>
        <v>0</v>
      </c>
      <c r="M157" s="22">
        <f t="shared" si="36"/>
        <v>0</v>
      </c>
      <c r="N157" s="18">
        <f>IFERROR(VLOOKUP($A157,[2]数据处理!$A:$N,3,0),0)</f>
        <v>0</v>
      </c>
      <c r="O157" s="17">
        <f>IFERROR(VLOOKUP($A157,[2]数据处理!$A:$N,14,0),0)</f>
        <v>0</v>
      </c>
      <c r="P157" s="17">
        <f>IFERROR(VLOOKUP($A157,[5]库存报告使用数据!$A$1:$B$65536,2,0),0)</f>
        <v>0</v>
      </c>
      <c r="Q157" s="17">
        <f>IFERROR(VLOOKUP($A157,[5]库存报告使用数据!$A$1:$E$65536,5,0),0)</f>
        <v>0</v>
      </c>
      <c r="R157" s="17">
        <f>IFERROR(VLOOKUP($A157,[5]库存报告使用数据!$A$1:$H$65536,8,0),0)</f>
        <v>0</v>
      </c>
      <c r="S157" s="17">
        <f>IFERROR(VLOOKUP($A157,[5]库存报告使用数据!$A$1:$K$65536,11,0),0)</f>
        <v>0</v>
      </c>
      <c r="T157" s="17" t="str">
        <f>IFERROR(VLOOKUP($A157,[5]库存报告使用数据!$A$1:$C$65536,3,0),"")</f>
        <v/>
      </c>
      <c r="U157" s="17" t="str">
        <f>IFERROR(VLOOKUP($A157,[5]库存报告使用数据!$A$1:$F$65536,6,0),"")</f>
        <v/>
      </c>
      <c r="V157" s="17" t="str">
        <f>IFERROR(VLOOKUP($A157,[5]库存报告使用数据!$A$1:$I$65536,9,0),"")</f>
        <v/>
      </c>
      <c r="W157" s="17" t="str">
        <f>IFERROR(VLOOKUP($A157,[5]库存报告使用数据!$A$1:$L$65536,12,0),"")</f>
        <v/>
      </c>
      <c r="X157" s="27" t="str">
        <f t="shared" si="37"/>
        <v/>
      </c>
      <c r="Y157" s="27" t="str">
        <f t="shared" si="38"/>
        <v/>
      </c>
      <c r="Z157" s="27" t="str">
        <f t="shared" si="39"/>
        <v/>
      </c>
      <c r="AA157" s="27" t="str">
        <f t="shared" si="40"/>
        <v/>
      </c>
      <c r="AB157" s="17" t="str">
        <f>IFERROR(VLOOKUP($A157,[5]库存报告使用数据!$A$1:$D$65536,4,0),"")</f>
        <v/>
      </c>
      <c r="AC157" s="17" t="str">
        <f>IFERROR(VLOOKUP($A157,[5]库存报告使用数据!$A$1:$G$65536,7,0),"")</f>
        <v/>
      </c>
      <c r="AD157" s="17" t="str">
        <f>IFERROR(VLOOKUP($A157,[5]库存报告使用数据!$A$1:$J$65536,10,0),"")</f>
        <v/>
      </c>
      <c r="AE157" s="17" t="str">
        <f>IFERROR(VLOOKUP($A157,[5]库存报告使用数据!$A$1:$M$65536,13,0),"")</f>
        <v/>
      </c>
      <c r="AF157" s="27" t="str">
        <f t="shared" si="49"/>
        <v>有广告无销售广告费为</v>
      </c>
      <c r="AG157" s="27" t="str">
        <f t="shared" si="50"/>
        <v>有广告无销售广告费为</v>
      </c>
      <c r="AH157" s="27" t="str">
        <f t="shared" si="51"/>
        <v>有广告无销售广告费为</v>
      </c>
      <c r="AI157" s="27" t="str">
        <f t="shared" si="52"/>
        <v/>
      </c>
      <c r="AJ157" s="17">
        <f>IFERROR(VLOOKUP($B157,'[3]浏览量处理(勿删)'!$A:$B,2,0),"")</f>
        <v>24</v>
      </c>
      <c r="AK157" s="17">
        <f>IFERROR(VLOOKUP($B157,'[3]浏览量处理(勿删)'!$A:$C,3,0),"")</f>
        <v>19</v>
      </c>
      <c r="AL157" s="17">
        <f>IFERROR(VLOOKUP($B157,'[3]浏览量处理(勿删)'!$A:$D,4,0),"")</f>
        <v>15</v>
      </c>
      <c r="AM157" s="17">
        <f>IFERROR(VLOOKUP($B157,'[3]浏览量处理(勿删)'!$A:$E,5,0),"")</f>
        <v>61</v>
      </c>
      <c r="AN157" s="27">
        <f t="shared" si="41"/>
        <v>0</v>
      </c>
      <c r="AO157" s="27">
        <f t="shared" si="42"/>
        <v>0</v>
      </c>
      <c r="AP157" s="27">
        <f t="shared" si="43"/>
        <v>0</v>
      </c>
      <c r="AQ157" s="27">
        <f t="shared" si="44"/>
        <v>0.0163934426229508</v>
      </c>
      <c r="AR157" s="32">
        <f t="shared" si="45"/>
        <v>0</v>
      </c>
      <c r="AS157" s="32">
        <f t="shared" si="46"/>
        <v>0</v>
      </c>
      <c r="AT157" s="32">
        <f t="shared" si="47"/>
        <v>0</v>
      </c>
      <c r="AU157" s="18" t="str">
        <f t="shared" si="48"/>
        <v>库存为0</v>
      </c>
      <c r="AV157" s="33" t="str">
        <f>IFERROR(时间!$B$4+AU157,"上周无销量")</f>
        <v>上周无销量</v>
      </c>
    </row>
    <row r="158" spans="1:48">
      <c r="A158" s="34" t="s">
        <v>202</v>
      </c>
      <c r="B158" s="17" t="str">
        <f>VLOOKUP(A158,[1]sku_fnsku_asin_产品名称!$A:$C,3,0)</f>
        <v>B000VF5WVG</v>
      </c>
      <c r="C158" s="17">
        <f>VLOOKUP(A158,[1]sku_fnsku_asin_产品名称!$A:$D,4,0)</f>
        <v>0</v>
      </c>
      <c r="D158" s="18">
        <f>IFERROR(VLOOKUP(A158,[4]库存报告使用数据处理!$A:$B,2,0),0)</f>
        <v>0</v>
      </c>
      <c r="E158" s="18">
        <f>IFERROR(VLOOKUP(A158,[4]库存报告使用数据处理!$A:$C,3,0),0)</f>
        <v>1</v>
      </c>
      <c r="F158" s="18">
        <f>IFERROR(VLOOKUP(A158,[4]库存报告使用数据处理!$A:$D,4,0),0)</f>
        <v>1</v>
      </c>
      <c r="G158" s="18">
        <f>IFERROR(VLOOKUP(A158,[4]库存报告使用数据处理!$A:$E,5,0),0)</f>
        <v>1</v>
      </c>
      <c r="H158" s="18">
        <f>IFERROR(VLOOKUP(A158,[4]库存报告使用数据处理!$A:$F,6,0),0)</f>
        <v>28.95</v>
      </c>
      <c r="I158" s="18">
        <f>IFERROR(VLOOKUP($A158,[2]数据处理!$A:$B,2,0),0)</f>
        <v>0</v>
      </c>
      <c r="J158" s="18">
        <f>IFERROR(VLOOKUP($A158,[2]数据处理!$A:$D,4,0),0)</f>
        <v>0</v>
      </c>
      <c r="K158" s="18">
        <f>IFERROR(VLOOKUP($A158,[2]数据处理!$A:$E,5,0),0)</f>
        <v>0</v>
      </c>
      <c r="L158" s="18">
        <f>IFERROR(VLOOKUP($A158,[2]数据处理!$A:$N,7,0),0)</f>
        <v>0</v>
      </c>
      <c r="M158" s="22">
        <f t="shared" si="36"/>
        <v>0</v>
      </c>
      <c r="N158" s="18">
        <f>IFERROR(VLOOKUP($A158,[2]数据处理!$A:$N,3,0),0)</f>
        <v>0</v>
      </c>
      <c r="O158" s="17">
        <f>IFERROR(VLOOKUP($A158,[2]数据处理!$A:$N,14,0),0)</f>
        <v>0</v>
      </c>
      <c r="P158" s="17">
        <f>IFERROR(VLOOKUP($A158,[5]库存报告使用数据!$A$1:$B$65536,2,0),0)</f>
        <v>0</v>
      </c>
      <c r="Q158" s="17">
        <f>IFERROR(VLOOKUP($A158,[5]库存报告使用数据!$A$1:$E$65536,5,0),0)</f>
        <v>0</v>
      </c>
      <c r="R158" s="17">
        <f>IFERROR(VLOOKUP($A158,[5]库存报告使用数据!$A$1:$H$65536,8,0),0)</f>
        <v>0</v>
      </c>
      <c r="S158" s="17">
        <f>IFERROR(VLOOKUP($A158,[5]库存报告使用数据!$A$1:$K$65536,11,0),0)</f>
        <v>0</v>
      </c>
      <c r="T158" s="17" t="str">
        <f>IFERROR(VLOOKUP($A158,[5]库存报告使用数据!$A$1:$C$65536,3,0),"")</f>
        <v/>
      </c>
      <c r="U158" s="17" t="str">
        <f>IFERROR(VLOOKUP($A158,[5]库存报告使用数据!$A$1:$F$65536,6,0),"")</f>
        <v/>
      </c>
      <c r="V158" s="17" t="str">
        <f>IFERROR(VLOOKUP($A158,[5]库存报告使用数据!$A$1:$I$65536,9,0),"")</f>
        <v/>
      </c>
      <c r="W158" s="17" t="str">
        <f>IFERROR(VLOOKUP($A158,[5]库存报告使用数据!$A$1:$L$65536,12,0),"")</f>
        <v/>
      </c>
      <c r="X158" s="27" t="str">
        <f t="shared" si="37"/>
        <v/>
      </c>
      <c r="Y158" s="27" t="str">
        <f t="shared" si="38"/>
        <v/>
      </c>
      <c r="Z158" s="27" t="str">
        <f t="shared" si="39"/>
        <v/>
      </c>
      <c r="AA158" s="27" t="str">
        <f t="shared" si="40"/>
        <v/>
      </c>
      <c r="AB158" s="17" t="str">
        <f>IFERROR(VLOOKUP($A158,[5]库存报告使用数据!$A$1:$D$65536,4,0),"")</f>
        <v/>
      </c>
      <c r="AC158" s="17" t="str">
        <f>IFERROR(VLOOKUP($A158,[5]库存报告使用数据!$A$1:$G$65536,7,0),"")</f>
        <v/>
      </c>
      <c r="AD158" s="17" t="str">
        <f>IFERROR(VLOOKUP($A158,[5]库存报告使用数据!$A$1:$J$65536,10,0),"")</f>
        <v/>
      </c>
      <c r="AE158" s="17" t="str">
        <f>IFERROR(VLOOKUP($A158,[5]库存报告使用数据!$A$1:$M$65536,13,0),"")</f>
        <v/>
      </c>
      <c r="AF158" s="27" t="str">
        <f t="shared" si="49"/>
        <v>有广告无销售广告费为</v>
      </c>
      <c r="AG158" s="27" t="str">
        <f t="shared" si="50"/>
        <v/>
      </c>
      <c r="AH158" s="27" t="str">
        <f t="shared" si="51"/>
        <v/>
      </c>
      <c r="AI158" s="27" t="str">
        <f t="shared" si="52"/>
        <v/>
      </c>
      <c r="AJ158" s="17">
        <f>IFERROR(VLOOKUP($B158,'[3]浏览量处理(勿删)'!$A:$B,2,0),"")</f>
        <v>81</v>
      </c>
      <c r="AK158" s="17">
        <f>IFERROR(VLOOKUP($B158,'[3]浏览量处理(勿删)'!$A:$C,3,0),"")</f>
        <v>85</v>
      </c>
      <c r="AL158" s="17">
        <f>IFERROR(VLOOKUP($B158,'[3]浏览量处理(勿删)'!$A:$D,4,0),"")</f>
        <v>76</v>
      </c>
      <c r="AM158" s="17">
        <f>IFERROR(VLOOKUP($B158,'[3]浏览量处理(勿删)'!$A:$E,5,0),"")</f>
        <v>279</v>
      </c>
      <c r="AN158" s="27">
        <f t="shared" si="41"/>
        <v>0</v>
      </c>
      <c r="AO158" s="27">
        <f t="shared" si="42"/>
        <v>0.0117647058823529</v>
      </c>
      <c r="AP158" s="27">
        <f t="shared" si="43"/>
        <v>0.0131578947368421</v>
      </c>
      <c r="AQ158" s="27">
        <f t="shared" si="44"/>
        <v>0.003584229390681</v>
      </c>
      <c r="AR158" s="32">
        <f t="shared" si="45"/>
        <v>0</v>
      </c>
      <c r="AS158" s="32">
        <f t="shared" si="46"/>
        <v>0</v>
      </c>
      <c r="AT158" s="32">
        <f t="shared" si="47"/>
        <v>0</v>
      </c>
      <c r="AU158" s="18" t="str">
        <f t="shared" si="48"/>
        <v>库存为0</v>
      </c>
      <c r="AV158" s="33" t="str">
        <f>IFERROR(时间!$B$4+AU158,"上周无销量")</f>
        <v>上周无销量</v>
      </c>
    </row>
    <row r="159" spans="1:48">
      <c r="A159" s="34" t="s">
        <v>203</v>
      </c>
      <c r="B159" s="17" t="str">
        <f>VLOOKUP(A159,[1]sku_fnsku_asin_产品名称!$A:$C,3,0)</f>
        <v>B004X9BTFY</v>
      </c>
      <c r="C159" s="17">
        <f>VLOOKUP(A159,[1]sku_fnsku_asin_产品名称!$A:$D,4,0)</f>
        <v>0</v>
      </c>
      <c r="D159" s="18">
        <f>IFERROR(VLOOKUP(A159,[4]库存报告使用数据处理!$A:$B,2,0),0)</f>
        <v>0</v>
      </c>
      <c r="E159" s="18">
        <f>IFERROR(VLOOKUP(A159,[4]库存报告使用数据处理!$A:$C,3,0),0)</f>
        <v>0</v>
      </c>
      <c r="F159" s="18">
        <f>IFERROR(VLOOKUP(A159,[4]库存报告使用数据处理!$A:$D,4,0),0)</f>
        <v>0</v>
      </c>
      <c r="G159" s="18">
        <f>IFERROR(VLOOKUP(A159,[4]库存报告使用数据处理!$A:$E,5,0),0)</f>
        <v>3</v>
      </c>
      <c r="H159" s="18">
        <f>IFERROR(VLOOKUP(A159,[4]库存报告使用数据处理!$A:$F,6,0),0)</f>
        <v>27.92</v>
      </c>
      <c r="I159" s="18">
        <f>IFERROR(VLOOKUP($A159,[2]数据处理!$A:$B,2,0),0)</f>
        <v>0</v>
      </c>
      <c r="J159" s="18">
        <f>IFERROR(VLOOKUP($A159,[2]数据处理!$A:$D,4,0),0)</f>
        <v>0</v>
      </c>
      <c r="K159" s="18">
        <f>IFERROR(VLOOKUP($A159,[2]数据处理!$A:$E,5,0),0)</f>
        <v>0</v>
      </c>
      <c r="L159" s="18">
        <f>IFERROR(VLOOKUP($A159,[2]数据处理!$A:$N,7,0),0)</f>
        <v>0</v>
      </c>
      <c r="M159" s="22">
        <f t="shared" si="36"/>
        <v>0</v>
      </c>
      <c r="N159" s="18">
        <f>IFERROR(VLOOKUP($A159,[2]数据处理!$A:$N,3,0),0)</f>
        <v>0</v>
      </c>
      <c r="O159" s="17">
        <f>IFERROR(VLOOKUP($A159,[2]数据处理!$A:$N,14,0),0)</f>
        <v>0</v>
      </c>
      <c r="P159" s="17">
        <f>IFERROR(VLOOKUP($A159,[5]库存报告使用数据!$A$1:$B$65536,2,0),0)</f>
        <v>0</v>
      </c>
      <c r="Q159" s="17">
        <f>IFERROR(VLOOKUP($A159,[5]库存报告使用数据!$A$1:$E$65536,5,0),0)</f>
        <v>0</v>
      </c>
      <c r="R159" s="17">
        <f>IFERROR(VLOOKUP($A159,[5]库存报告使用数据!$A$1:$H$65536,8,0),0)</f>
        <v>0</v>
      </c>
      <c r="S159" s="17">
        <f>IFERROR(VLOOKUP($A159,[5]库存报告使用数据!$A$1:$K$65536,11,0),0)</f>
        <v>0</v>
      </c>
      <c r="T159" s="17" t="str">
        <f>IFERROR(VLOOKUP($A159,[5]库存报告使用数据!$A$1:$C$65536,3,0),"")</f>
        <v/>
      </c>
      <c r="U159" s="17" t="str">
        <f>IFERROR(VLOOKUP($A159,[5]库存报告使用数据!$A$1:$F$65536,6,0),"")</f>
        <v/>
      </c>
      <c r="V159" s="17" t="str">
        <f>IFERROR(VLOOKUP($A159,[5]库存报告使用数据!$A$1:$I$65536,9,0),"")</f>
        <v/>
      </c>
      <c r="W159" s="17" t="str">
        <f>IFERROR(VLOOKUP($A159,[5]库存报告使用数据!$A$1:$L$65536,12,0),"")</f>
        <v/>
      </c>
      <c r="X159" s="27" t="str">
        <f t="shared" si="37"/>
        <v/>
      </c>
      <c r="Y159" s="27" t="str">
        <f t="shared" si="38"/>
        <v/>
      </c>
      <c r="Z159" s="27" t="str">
        <f t="shared" si="39"/>
        <v/>
      </c>
      <c r="AA159" s="27" t="str">
        <f t="shared" si="40"/>
        <v/>
      </c>
      <c r="AB159" s="17" t="str">
        <f>IFERROR(VLOOKUP($A159,[5]库存报告使用数据!$A$1:$D$65536,4,0),"")</f>
        <v/>
      </c>
      <c r="AC159" s="17" t="str">
        <f>IFERROR(VLOOKUP($A159,[5]库存报告使用数据!$A$1:$G$65536,7,0),"")</f>
        <v/>
      </c>
      <c r="AD159" s="17" t="str">
        <f>IFERROR(VLOOKUP($A159,[5]库存报告使用数据!$A$1:$J$65536,10,0),"")</f>
        <v/>
      </c>
      <c r="AE159" s="17" t="str">
        <f>IFERROR(VLOOKUP($A159,[5]库存报告使用数据!$A$1:$M$65536,13,0),"")</f>
        <v/>
      </c>
      <c r="AF159" s="27" t="str">
        <f t="shared" si="49"/>
        <v>有广告无销售广告费为</v>
      </c>
      <c r="AG159" s="27" t="str">
        <f t="shared" si="50"/>
        <v>有广告无销售广告费为</v>
      </c>
      <c r="AH159" s="27" t="str">
        <f t="shared" si="51"/>
        <v>有广告无销售广告费为</v>
      </c>
      <c r="AI159" s="27" t="str">
        <f t="shared" si="52"/>
        <v/>
      </c>
      <c r="AJ159" s="17">
        <f>IFERROR(VLOOKUP($B159,'[3]浏览量处理(勿删)'!$A:$B,2,0),"")</f>
        <v>8</v>
      </c>
      <c r="AK159" s="17">
        <f>IFERROR(VLOOKUP($B159,'[3]浏览量处理(勿删)'!$A:$C,3,0),"")</f>
        <v>44</v>
      </c>
      <c r="AL159" s="17">
        <f>IFERROR(VLOOKUP($B159,'[3]浏览量处理(勿删)'!$A:$D,4,0),"")</f>
        <v>41</v>
      </c>
      <c r="AM159" s="17">
        <f>IFERROR(VLOOKUP($B159,'[3]浏览量处理(勿删)'!$A:$E,5,0),"")</f>
        <v>186</v>
      </c>
      <c r="AN159" s="27">
        <f t="shared" si="41"/>
        <v>0</v>
      </c>
      <c r="AO159" s="27">
        <f t="shared" si="42"/>
        <v>0</v>
      </c>
      <c r="AP159" s="27">
        <f t="shared" si="43"/>
        <v>0</v>
      </c>
      <c r="AQ159" s="27">
        <f t="shared" si="44"/>
        <v>0.0161290322580645</v>
      </c>
      <c r="AR159" s="32">
        <f t="shared" si="45"/>
        <v>0</v>
      </c>
      <c r="AS159" s="32">
        <f t="shared" si="46"/>
        <v>0</v>
      </c>
      <c r="AT159" s="32">
        <f t="shared" si="47"/>
        <v>0</v>
      </c>
      <c r="AU159" s="18" t="str">
        <f t="shared" si="48"/>
        <v>库存为0</v>
      </c>
      <c r="AV159" s="33" t="str">
        <f>IFERROR(时间!$B$4+AU159,"上周无销量")</f>
        <v>上周无销量</v>
      </c>
    </row>
    <row r="160" spans="1:48">
      <c r="A160" s="34" t="s">
        <v>204</v>
      </c>
      <c r="B160" s="17" t="str">
        <f>VLOOKUP(A160,[1]sku_fnsku_asin_产品名称!$A:$C,3,0)</f>
        <v>B00115TXRE</v>
      </c>
      <c r="C160" s="17">
        <f>VLOOKUP(A160,[1]sku_fnsku_asin_产品名称!$A:$D,4,0)</f>
        <v>0</v>
      </c>
      <c r="D160" s="18">
        <f>IFERROR(VLOOKUP(A160,[4]库存报告使用数据处理!$A:$B,2,0),0)</f>
        <v>0</v>
      </c>
      <c r="E160" s="18">
        <f>IFERROR(VLOOKUP(A160,[4]库存报告使用数据处理!$A:$C,3,0),0)</f>
        <v>0</v>
      </c>
      <c r="F160" s="18">
        <f>IFERROR(VLOOKUP(A160,[4]库存报告使用数据处理!$A:$D,4,0),0)</f>
        <v>0</v>
      </c>
      <c r="G160" s="18">
        <f>IFERROR(VLOOKUP(A160,[4]库存报告使用数据处理!$A:$E,5,0),0)</f>
        <v>1</v>
      </c>
      <c r="H160" s="18">
        <f>IFERROR(VLOOKUP(A160,[4]库存报告使用数据处理!$A:$F,6,0),0)</f>
        <v>46.99</v>
      </c>
      <c r="I160" s="18">
        <f>IFERROR(VLOOKUP($A160,[2]数据处理!$A:$B,2,0),0)</f>
        <v>0</v>
      </c>
      <c r="J160" s="18">
        <f>IFERROR(VLOOKUP($A160,[2]数据处理!$A:$D,4,0),0)</f>
        <v>0</v>
      </c>
      <c r="K160" s="18">
        <f>IFERROR(VLOOKUP($A160,[2]数据处理!$A:$E,5,0),0)</f>
        <v>0</v>
      </c>
      <c r="L160" s="18">
        <f>IFERROR(VLOOKUP($A160,[2]数据处理!$A:$N,7,0),0)</f>
        <v>0</v>
      </c>
      <c r="M160" s="22">
        <f t="shared" si="36"/>
        <v>0</v>
      </c>
      <c r="N160" s="18">
        <f>IFERROR(VLOOKUP($A160,[2]数据处理!$A:$N,3,0),0)</f>
        <v>0</v>
      </c>
      <c r="O160" s="17">
        <f>IFERROR(VLOOKUP($A160,[2]数据处理!$A:$N,14,0),0)</f>
        <v>0</v>
      </c>
      <c r="P160" s="17">
        <f>IFERROR(VLOOKUP($A160,[5]库存报告使用数据!$A$1:$B$65536,2,0),0)</f>
        <v>0</v>
      </c>
      <c r="Q160" s="17">
        <f>IFERROR(VLOOKUP($A160,[5]库存报告使用数据!$A$1:$E$65536,5,0),0)</f>
        <v>0</v>
      </c>
      <c r="R160" s="17">
        <f>IFERROR(VLOOKUP($A160,[5]库存报告使用数据!$A$1:$H$65536,8,0),0)</f>
        <v>0</v>
      </c>
      <c r="S160" s="17">
        <f>IFERROR(VLOOKUP($A160,[5]库存报告使用数据!$A$1:$K$65536,11,0),0)</f>
        <v>0</v>
      </c>
      <c r="T160" s="17" t="str">
        <f>IFERROR(VLOOKUP($A160,[5]库存报告使用数据!$A$1:$C$65536,3,0),"")</f>
        <v/>
      </c>
      <c r="U160" s="17" t="str">
        <f>IFERROR(VLOOKUP($A160,[5]库存报告使用数据!$A$1:$F$65536,6,0),"")</f>
        <v/>
      </c>
      <c r="V160" s="17" t="str">
        <f>IFERROR(VLOOKUP($A160,[5]库存报告使用数据!$A$1:$I$65536,9,0),"")</f>
        <v/>
      </c>
      <c r="W160" s="17" t="str">
        <f>IFERROR(VLOOKUP($A160,[5]库存报告使用数据!$A$1:$L$65536,12,0),"")</f>
        <v/>
      </c>
      <c r="X160" s="27" t="str">
        <f t="shared" si="37"/>
        <v/>
      </c>
      <c r="Y160" s="27" t="str">
        <f t="shared" si="38"/>
        <v/>
      </c>
      <c r="Z160" s="27" t="str">
        <f t="shared" si="39"/>
        <v/>
      </c>
      <c r="AA160" s="27" t="str">
        <f t="shared" si="40"/>
        <v/>
      </c>
      <c r="AB160" s="17" t="str">
        <f>IFERROR(VLOOKUP($A160,[5]库存报告使用数据!$A$1:$D$65536,4,0),"")</f>
        <v/>
      </c>
      <c r="AC160" s="17" t="str">
        <f>IFERROR(VLOOKUP($A160,[5]库存报告使用数据!$A$1:$G$65536,7,0),"")</f>
        <v/>
      </c>
      <c r="AD160" s="17" t="str">
        <f>IFERROR(VLOOKUP($A160,[5]库存报告使用数据!$A$1:$J$65536,10,0),"")</f>
        <v/>
      </c>
      <c r="AE160" s="17" t="str">
        <f>IFERROR(VLOOKUP($A160,[5]库存报告使用数据!$A$1:$M$65536,13,0),"")</f>
        <v/>
      </c>
      <c r="AF160" s="27" t="str">
        <f t="shared" si="49"/>
        <v>有广告无销售广告费为</v>
      </c>
      <c r="AG160" s="27" t="str">
        <f t="shared" si="50"/>
        <v>有广告无销售广告费为</v>
      </c>
      <c r="AH160" s="27" t="str">
        <f t="shared" si="51"/>
        <v>有广告无销售广告费为</v>
      </c>
      <c r="AI160" s="27" t="str">
        <f t="shared" si="52"/>
        <v/>
      </c>
      <c r="AJ160" s="17">
        <f>IFERROR(VLOOKUP($B160,'[3]浏览量处理(勿删)'!$A:$B,2,0),"")</f>
        <v>183</v>
      </c>
      <c r="AK160" s="17">
        <f>IFERROR(VLOOKUP($B160,'[3]浏览量处理(勿删)'!$A:$C,3,0),"")</f>
        <v>177</v>
      </c>
      <c r="AL160" s="17">
        <f>IFERROR(VLOOKUP($B160,'[3]浏览量处理(勿删)'!$A:$D,4,0),"")</f>
        <v>165</v>
      </c>
      <c r="AM160" s="17">
        <f>IFERROR(VLOOKUP($B160,'[3]浏览量处理(勿删)'!$A:$E,5,0),"")</f>
        <v>660</v>
      </c>
      <c r="AN160" s="27">
        <f t="shared" si="41"/>
        <v>0</v>
      </c>
      <c r="AO160" s="27">
        <f t="shared" si="42"/>
        <v>0</v>
      </c>
      <c r="AP160" s="27">
        <f t="shared" si="43"/>
        <v>0</v>
      </c>
      <c r="AQ160" s="27">
        <f t="shared" si="44"/>
        <v>0.00151515151515152</v>
      </c>
      <c r="AR160" s="32">
        <f t="shared" si="45"/>
        <v>0</v>
      </c>
      <c r="AS160" s="32">
        <f t="shared" si="46"/>
        <v>0</v>
      </c>
      <c r="AT160" s="32">
        <f t="shared" si="47"/>
        <v>0</v>
      </c>
      <c r="AU160" s="18" t="str">
        <f t="shared" si="48"/>
        <v>库存为0</v>
      </c>
      <c r="AV160" s="33" t="str">
        <f>IFERROR(时间!$B$4+AU160,"上周无销量")</f>
        <v>上周无销量</v>
      </c>
    </row>
    <row r="161" spans="1:48">
      <c r="A161" s="34" t="s">
        <v>205</v>
      </c>
      <c r="B161" s="17" t="str">
        <f>VLOOKUP(A161,[1]sku_fnsku_asin_产品名称!$A:$C,3,0)</f>
        <v>B003CEA88U</v>
      </c>
      <c r="C161" s="17">
        <f>VLOOKUP(A161,[1]sku_fnsku_asin_产品名称!$A:$D,4,0)</f>
        <v>0</v>
      </c>
      <c r="D161" s="18">
        <f>IFERROR(VLOOKUP(A161,[4]库存报告使用数据处理!$A:$B,2,0),0)</f>
        <v>0</v>
      </c>
      <c r="E161" s="18">
        <f>IFERROR(VLOOKUP(A161,[4]库存报告使用数据处理!$A:$C,3,0),0)</f>
        <v>0</v>
      </c>
      <c r="F161" s="18">
        <f>IFERROR(VLOOKUP(A161,[4]库存报告使用数据处理!$A:$D,4,0),0)</f>
        <v>0</v>
      </c>
      <c r="G161" s="18">
        <f>IFERROR(VLOOKUP(A161,[4]库存报告使用数据处理!$A:$E,5,0),0)</f>
        <v>2</v>
      </c>
      <c r="H161" s="18">
        <f>IFERROR(VLOOKUP(A161,[4]库存报告使用数据处理!$A:$F,6,0),0)</f>
        <v>20.59</v>
      </c>
      <c r="I161" s="18">
        <f>IFERROR(VLOOKUP($A161,[2]数据处理!$A:$B,2,0),0)</f>
        <v>0</v>
      </c>
      <c r="J161" s="18">
        <f>IFERROR(VLOOKUP($A161,[2]数据处理!$A:$D,4,0),0)</f>
        <v>0</v>
      </c>
      <c r="K161" s="18">
        <f>IFERROR(VLOOKUP($A161,[2]数据处理!$A:$E,5,0),0)</f>
        <v>0</v>
      </c>
      <c r="L161" s="18">
        <f>IFERROR(VLOOKUP($A161,[2]数据处理!$A:$N,7,0),0)</f>
        <v>0</v>
      </c>
      <c r="M161" s="22">
        <f t="shared" si="36"/>
        <v>0</v>
      </c>
      <c r="N161" s="18">
        <f>IFERROR(VLOOKUP($A161,[2]数据处理!$A:$N,3,0),0)</f>
        <v>0</v>
      </c>
      <c r="O161" s="17">
        <f>IFERROR(VLOOKUP($A161,[2]数据处理!$A:$N,14,0),0)</f>
        <v>0</v>
      </c>
      <c r="P161" s="17">
        <f>IFERROR(VLOOKUP($A161,[5]库存报告使用数据!$A$1:$B$65536,2,0),0)</f>
        <v>0</v>
      </c>
      <c r="Q161" s="17">
        <f>IFERROR(VLOOKUP($A161,[5]库存报告使用数据!$A$1:$E$65536,5,0),0)</f>
        <v>0</v>
      </c>
      <c r="R161" s="17">
        <f>IFERROR(VLOOKUP($A161,[5]库存报告使用数据!$A$1:$H$65536,8,0),0)</f>
        <v>0</v>
      </c>
      <c r="S161" s="17">
        <f>IFERROR(VLOOKUP($A161,[5]库存报告使用数据!$A$1:$K$65536,11,0),0)</f>
        <v>3298</v>
      </c>
      <c r="T161" s="17">
        <f>IFERROR(VLOOKUP($A161,[5]库存报告使用数据!$A$1:$C$65536,3,0),"")</f>
        <v>0</v>
      </c>
      <c r="U161" s="17">
        <f>IFERROR(VLOOKUP($A161,[5]库存报告使用数据!$A$1:$F$65536,6,0),"")</f>
        <v>0</v>
      </c>
      <c r="V161" s="17">
        <f>IFERROR(VLOOKUP($A161,[5]库存报告使用数据!$A$1:$I$65536,9,0),"")</f>
        <v>0</v>
      </c>
      <c r="W161" s="17">
        <f>IFERROR(VLOOKUP($A161,[5]库存报告使用数据!$A$1:$L$65536,12,0),"")</f>
        <v>4</v>
      </c>
      <c r="X161" s="27" t="str">
        <f t="shared" si="37"/>
        <v/>
      </c>
      <c r="Y161" s="27" t="str">
        <f t="shared" si="38"/>
        <v/>
      </c>
      <c r="Z161" s="27" t="str">
        <f t="shared" si="39"/>
        <v/>
      </c>
      <c r="AA161" s="27">
        <f t="shared" si="40"/>
        <v>0.00121285627653123</v>
      </c>
      <c r="AB161" s="17">
        <f>IFERROR(VLOOKUP($A161,[5]库存报告使用数据!$A$1:$D$65536,4,0),"")</f>
        <v>0</v>
      </c>
      <c r="AC161" s="17">
        <f>IFERROR(VLOOKUP($A161,[5]库存报告使用数据!$A$1:$G$65536,7,0),"")</f>
        <v>0</v>
      </c>
      <c r="AD161" s="17">
        <f>IFERROR(VLOOKUP($A161,[5]库存报告使用数据!$A$1:$J$65536,10,0),"")</f>
        <v>0</v>
      </c>
      <c r="AE161" s="17">
        <f>IFERROR(VLOOKUP($A161,[5]库存报告使用数据!$A$1:$M$65536,13,0),"")</f>
        <v>2.24</v>
      </c>
      <c r="AF161" s="27" t="str">
        <f t="shared" si="49"/>
        <v/>
      </c>
      <c r="AG161" s="27" t="str">
        <f t="shared" si="50"/>
        <v/>
      </c>
      <c r="AH161" s="27" t="str">
        <f t="shared" si="51"/>
        <v/>
      </c>
      <c r="AI161" s="27">
        <f t="shared" si="52"/>
        <v>0.0543953375424964</v>
      </c>
      <c r="AJ161" s="17">
        <f>IFERROR(VLOOKUP($B161,'[3]浏览量处理(勿删)'!$A:$B,2,0),"")</f>
        <v>13</v>
      </c>
      <c r="AK161" s="17">
        <f>IFERROR(VLOOKUP($B161,'[3]浏览量处理(勿删)'!$A:$C,3,0),"")</f>
        <v>0</v>
      </c>
      <c r="AL161" s="17">
        <f>IFERROR(VLOOKUP($B161,'[3]浏览量处理(勿删)'!$A:$D,4,0),"")</f>
        <v>0</v>
      </c>
      <c r="AM161" s="17">
        <f>IFERROR(VLOOKUP($B161,'[3]浏览量处理(勿删)'!$A:$E,5,0),"")</f>
        <v>117</v>
      </c>
      <c r="AN161" s="27">
        <f t="shared" si="41"/>
        <v>0</v>
      </c>
      <c r="AO161" s="27" t="str">
        <f t="shared" si="42"/>
        <v/>
      </c>
      <c r="AP161" s="27" t="str">
        <f t="shared" si="43"/>
        <v/>
      </c>
      <c r="AQ161" s="27">
        <f t="shared" si="44"/>
        <v>0.0170940170940171</v>
      </c>
      <c r="AR161" s="32">
        <f t="shared" si="45"/>
        <v>0</v>
      </c>
      <c r="AS161" s="32">
        <f t="shared" si="46"/>
        <v>0</v>
      </c>
      <c r="AT161" s="32">
        <f t="shared" si="47"/>
        <v>0</v>
      </c>
      <c r="AU161" s="18" t="str">
        <f t="shared" si="48"/>
        <v>库存为0</v>
      </c>
      <c r="AV161" s="33" t="str">
        <f>IFERROR(时间!$B$4+AU161,"上周无销量")</f>
        <v>上周无销量</v>
      </c>
    </row>
    <row r="162" spans="1:48">
      <c r="A162" s="34" t="s">
        <v>206</v>
      </c>
      <c r="B162" s="17" t="str">
        <f>VLOOKUP(A162,[1]sku_fnsku_asin_产品名称!$A:$C,3,0)</f>
        <v>B00157XFNQ</v>
      </c>
      <c r="C162" s="17">
        <f>VLOOKUP(A162,[1]sku_fnsku_asin_产品名称!$A:$D,4,0)</f>
        <v>0</v>
      </c>
      <c r="D162" s="18">
        <f>IFERROR(VLOOKUP(A162,[4]库存报告使用数据处理!$A:$B,2,0),0)</f>
        <v>0</v>
      </c>
      <c r="E162" s="18">
        <f>IFERROR(VLOOKUP(A162,[4]库存报告使用数据处理!$A:$C,3,0),0)</f>
        <v>3</v>
      </c>
      <c r="F162" s="18">
        <f>IFERROR(VLOOKUP(A162,[4]库存报告使用数据处理!$A:$D,4,0),0)</f>
        <v>0</v>
      </c>
      <c r="G162" s="18">
        <f>IFERROR(VLOOKUP(A162,[4]库存报告使用数据处理!$A:$E,5,0),0)</f>
        <v>0</v>
      </c>
      <c r="H162" s="18">
        <f>IFERROR(VLOOKUP(A162,[4]库存报告使用数据处理!$A:$F,6,0),0)</f>
        <v>39.49</v>
      </c>
      <c r="I162" s="18">
        <f>IFERROR(VLOOKUP($A162,[2]数据处理!$A:$B,2,0),0)</f>
        <v>0</v>
      </c>
      <c r="J162" s="18">
        <f>IFERROR(VLOOKUP($A162,[2]数据处理!$A:$D,4,0),0)</f>
        <v>0</v>
      </c>
      <c r="K162" s="18">
        <f>IFERROR(VLOOKUP($A162,[2]数据处理!$A:$E,5,0),0)</f>
        <v>0</v>
      </c>
      <c r="L162" s="18">
        <f>IFERROR(VLOOKUP($A162,[2]数据处理!$A:$N,7,0),0)</f>
        <v>0</v>
      </c>
      <c r="M162" s="22">
        <f t="shared" si="36"/>
        <v>0</v>
      </c>
      <c r="N162" s="18">
        <f>IFERROR(VLOOKUP($A162,[2]数据处理!$A:$N,3,0),0)</f>
        <v>0</v>
      </c>
      <c r="O162" s="17">
        <f>IFERROR(VLOOKUP($A162,[2]数据处理!$A:$N,14,0),0)</f>
        <v>0</v>
      </c>
      <c r="P162" s="17">
        <f>IFERROR(VLOOKUP($A162,[5]库存报告使用数据!$A$1:$B$65536,2,0),0)</f>
        <v>0</v>
      </c>
      <c r="Q162" s="17">
        <f>IFERROR(VLOOKUP($A162,[5]库存报告使用数据!$A$1:$E$65536,5,0),0)</f>
        <v>0</v>
      </c>
      <c r="R162" s="17">
        <f>IFERROR(VLOOKUP($A162,[5]库存报告使用数据!$A$1:$H$65536,8,0),0)</f>
        <v>0</v>
      </c>
      <c r="S162" s="17">
        <f>IFERROR(VLOOKUP($A162,[5]库存报告使用数据!$A$1:$K$65536,11,0),0)</f>
        <v>0</v>
      </c>
      <c r="T162" s="17" t="str">
        <f>IFERROR(VLOOKUP($A162,[5]库存报告使用数据!$A$1:$C$65536,3,0),"")</f>
        <v/>
      </c>
      <c r="U162" s="17" t="str">
        <f>IFERROR(VLOOKUP($A162,[5]库存报告使用数据!$A$1:$F$65536,6,0),"")</f>
        <v/>
      </c>
      <c r="V162" s="17" t="str">
        <f>IFERROR(VLOOKUP($A162,[5]库存报告使用数据!$A$1:$I$65536,9,0),"")</f>
        <v/>
      </c>
      <c r="W162" s="17" t="str">
        <f>IFERROR(VLOOKUP($A162,[5]库存报告使用数据!$A$1:$L$65536,12,0),"")</f>
        <v/>
      </c>
      <c r="X162" s="27" t="str">
        <f t="shared" si="37"/>
        <v/>
      </c>
      <c r="Y162" s="27" t="str">
        <f t="shared" si="38"/>
        <v/>
      </c>
      <c r="Z162" s="27" t="str">
        <f t="shared" si="39"/>
        <v/>
      </c>
      <c r="AA162" s="27" t="str">
        <f t="shared" si="40"/>
        <v/>
      </c>
      <c r="AB162" s="17" t="str">
        <f>IFERROR(VLOOKUP($A162,[5]库存报告使用数据!$A$1:$D$65536,4,0),"")</f>
        <v/>
      </c>
      <c r="AC162" s="17" t="str">
        <f>IFERROR(VLOOKUP($A162,[5]库存报告使用数据!$A$1:$G$65536,7,0),"")</f>
        <v/>
      </c>
      <c r="AD162" s="17" t="str">
        <f>IFERROR(VLOOKUP($A162,[5]库存报告使用数据!$A$1:$J$65536,10,0),"")</f>
        <v/>
      </c>
      <c r="AE162" s="17" t="str">
        <f>IFERROR(VLOOKUP($A162,[5]库存报告使用数据!$A$1:$M$65536,13,0),"")</f>
        <v/>
      </c>
      <c r="AF162" s="27" t="str">
        <f t="shared" si="49"/>
        <v>有广告无销售广告费为</v>
      </c>
      <c r="AG162" s="27" t="str">
        <f t="shared" si="50"/>
        <v/>
      </c>
      <c r="AH162" s="27" t="str">
        <f t="shared" si="51"/>
        <v>有广告无销售广告费为</v>
      </c>
      <c r="AI162" s="27" t="str">
        <f t="shared" si="52"/>
        <v>有广告无销售广告费为</v>
      </c>
      <c r="AJ162" s="17">
        <f>IFERROR(VLOOKUP($B162,'[3]浏览量处理(勿删)'!$A:$B,2,0),"")</f>
        <v>38</v>
      </c>
      <c r="AK162" s="17">
        <f>IFERROR(VLOOKUP($B162,'[3]浏览量处理(勿删)'!$A:$C,3,0),"")</f>
        <v>52</v>
      </c>
      <c r="AL162" s="17">
        <f>IFERROR(VLOOKUP($B162,'[3]浏览量处理(勿删)'!$A:$D,4,0),"")</f>
        <v>51</v>
      </c>
      <c r="AM162" s="17">
        <f>IFERROR(VLOOKUP($B162,'[3]浏览量处理(勿删)'!$A:$E,5,0),"")</f>
        <v>51</v>
      </c>
      <c r="AN162" s="27">
        <f t="shared" si="41"/>
        <v>0</v>
      </c>
      <c r="AO162" s="27">
        <f t="shared" si="42"/>
        <v>0.0576923076923077</v>
      </c>
      <c r="AP162" s="27">
        <f t="shared" si="43"/>
        <v>0</v>
      </c>
      <c r="AQ162" s="27">
        <f t="shared" si="44"/>
        <v>0</v>
      </c>
      <c r="AR162" s="32">
        <f t="shared" si="45"/>
        <v>0</v>
      </c>
      <c r="AS162" s="32">
        <f t="shared" si="46"/>
        <v>0</v>
      </c>
      <c r="AT162" s="32">
        <f t="shared" si="47"/>
        <v>0</v>
      </c>
      <c r="AU162" s="18" t="str">
        <f t="shared" si="48"/>
        <v>库存为0</v>
      </c>
      <c r="AV162" s="33" t="str">
        <f>IFERROR(时间!$B$4+AU162,"上周无销量")</f>
        <v>上周无销量</v>
      </c>
    </row>
    <row r="163" spans="1:48">
      <c r="A163" s="34" t="s">
        <v>207</v>
      </c>
      <c r="B163" s="17" t="str">
        <f>VLOOKUP(A163,[1]sku_fnsku_asin_产品名称!$A:$C,3,0)</f>
        <v>B004OEUPGM</v>
      </c>
      <c r="C163" s="17">
        <f>VLOOKUP(A163,[1]sku_fnsku_asin_产品名称!$A:$D,4,0)</f>
        <v>0</v>
      </c>
      <c r="D163" s="18">
        <f>IFERROR(VLOOKUP(A163,[4]库存报告使用数据处理!$A:$B,2,0),0)</f>
        <v>1</v>
      </c>
      <c r="E163" s="18">
        <f>IFERROR(VLOOKUP(A163,[4]库存报告使用数据处理!$A:$C,3,0),0)</f>
        <v>0</v>
      </c>
      <c r="F163" s="18">
        <f>IFERROR(VLOOKUP(A163,[4]库存报告使用数据处理!$A:$D,4,0),0)</f>
        <v>0</v>
      </c>
      <c r="G163" s="18">
        <f>IFERROR(VLOOKUP(A163,[4]库存报告使用数据处理!$A:$E,5,0),0)</f>
        <v>0</v>
      </c>
      <c r="H163" s="18">
        <f>IFERROR(VLOOKUP(A163,[4]库存报告使用数据处理!$A:$F,6,0),0)</f>
        <v>32.89</v>
      </c>
      <c r="I163" s="18">
        <f>IFERROR(VLOOKUP($A163,[2]数据处理!$A:$B,2,0),0)</f>
        <v>0</v>
      </c>
      <c r="J163" s="18">
        <f>IFERROR(VLOOKUP($A163,[2]数据处理!$A:$D,4,0),0)</f>
        <v>0</v>
      </c>
      <c r="K163" s="18">
        <f>IFERROR(VLOOKUP($A163,[2]数据处理!$A:$E,5,0),0)</f>
        <v>0</v>
      </c>
      <c r="L163" s="18">
        <f>IFERROR(VLOOKUP($A163,[2]数据处理!$A:$N,7,0),0)</f>
        <v>0</v>
      </c>
      <c r="M163" s="22">
        <f t="shared" si="36"/>
        <v>0</v>
      </c>
      <c r="N163" s="18">
        <f>IFERROR(VLOOKUP($A163,[2]数据处理!$A:$N,3,0),0)</f>
        <v>0</v>
      </c>
      <c r="O163" s="17">
        <f>IFERROR(VLOOKUP($A163,[2]数据处理!$A:$N,14,0),0)</f>
        <v>0</v>
      </c>
      <c r="P163" s="17">
        <f>IFERROR(VLOOKUP($A163,[5]库存报告使用数据!$A$1:$B$65536,2,0),0)</f>
        <v>2857</v>
      </c>
      <c r="Q163" s="17">
        <f>IFERROR(VLOOKUP($A163,[5]库存报告使用数据!$A$1:$E$65536,5,0),0)</f>
        <v>12417</v>
      </c>
      <c r="R163" s="17">
        <f>IFERROR(VLOOKUP($A163,[5]库存报告使用数据!$A$1:$H$65536,8,0),0)</f>
        <v>366</v>
      </c>
      <c r="S163" s="17">
        <f>IFERROR(VLOOKUP($A163,[5]库存报告使用数据!$A$1:$K$65536,11,0),0)</f>
        <v>286</v>
      </c>
      <c r="T163" s="17">
        <f>IFERROR(VLOOKUP($A163,[5]库存报告使用数据!$A$1:$C$65536,3,0),"")</f>
        <v>2</v>
      </c>
      <c r="U163" s="17">
        <f>IFERROR(VLOOKUP($A163,[5]库存报告使用数据!$A$1:$F$65536,6,0),"")</f>
        <v>16</v>
      </c>
      <c r="V163" s="17">
        <f>IFERROR(VLOOKUP($A163,[5]库存报告使用数据!$A$1:$I$65536,9,0),"")</f>
        <v>3</v>
      </c>
      <c r="W163" s="17">
        <f>IFERROR(VLOOKUP($A163,[5]库存报告使用数据!$A$1:$L$65536,12,0),"")</f>
        <v>3</v>
      </c>
      <c r="X163" s="27">
        <f t="shared" si="37"/>
        <v>0.000700035001750087</v>
      </c>
      <c r="Y163" s="27">
        <f t="shared" si="38"/>
        <v>0.00128855601191914</v>
      </c>
      <c r="Z163" s="27">
        <f t="shared" si="39"/>
        <v>0.00819672131147541</v>
      </c>
      <c r="AA163" s="27">
        <f t="shared" si="40"/>
        <v>0.0104895104895105</v>
      </c>
      <c r="AB163" s="17">
        <f>IFERROR(VLOOKUP($A163,[5]库存报告使用数据!$A$1:$D$65536,4,0),"")</f>
        <v>1.01</v>
      </c>
      <c r="AC163" s="17">
        <f>IFERROR(VLOOKUP($A163,[5]库存报告使用数据!$A$1:$G$65536,7,0),"")</f>
        <v>15.25</v>
      </c>
      <c r="AD163" s="17">
        <f>IFERROR(VLOOKUP($A163,[5]库存报告使用数据!$A$1:$J$65536,10,0),"")</f>
        <v>1.7</v>
      </c>
      <c r="AE163" s="17">
        <f>IFERROR(VLOOKUP($A163,[5]库存报告使用数据!$A$1:$M$65536,13,0),"")</f>
        <v>0.24</v>
      </c>
      <c r="AF163" s="27">
        <f t="shared" si="49"/>
        <v>0.0307084220127698</v>
      </c>
      <c r="AG163" s="27" t="str">
        <f t="shared" si="50"/>
        <v>有广告无销售广告费为15.25</v>
      </c>
      <c r="AH163" s="27" t="str">
        <f t="shared" si="51"/>
        <v>有广告无销售广告费为1.7</v>
      </c>
      <c r="AI163" s="27" t="str">
        <f t="shared" si="52"/>
        <v>有广告无销售广告费为0.24</v>
      </c>
      <c r="AJ163" s="17">
        <f>IFERROR(VLOOKUP($B163,'[3]浏览量处理(勿删)'!$A:$B,2,0),"")</f>
        <v>1</v>
      </c>
      <c r="AK163" s="17">
        <f>IFERROR(VLOOKUP($B163,'[3]浏览量处理(勿删)'!$A:$C,3,0),"")</f>
        <v>18</v>
      </c>
      <c r="AL163" s="17">
        <f>IFERROR(VLOOKUP($B163,'[3]浏览量处理(勿删)'!$A:$D,4,0),"")</f>
        <v>8</v>
      </c>
      <c r="AM163" s="17">
        <f>IFERROR(VLOOKUP($B163,'[3]浏览量处理(勿删)'!$A:$E,5,0),"")</f>
        <v>21</v>
      </c>
      <c r="AN163" s="27">
        <f t="shared" si="41"/>
        <v>1</v>
      </c>
      <c r="AO163" s="27">
        <f t="shared" si="42"/>
        <v>0</v>
      </c>
      <c r="AP163" s="27">
        <f t="shared" si="43"/>
        <v>0</v>
      </c>
      <c r="AQ163" s="27">
        <f t="shared" si="44"/>
        <v>0</v>
      </c>
      <c r="AR163" s="32">
        <f t="shared" si="45"/>
        <v>0.142857142857143</v>
      </c>
      <c r="AS163" s="32">
        <f t="shared" si="46"/>
        <v>8.57142857142857</v>
      </c>
      <c r="AT163" s="32">
        <f t="shared" si="47"/>
        <v>-8.57142857142857</v>
      </c>
      <c r="AU163" s="18">
        <f t="shared" si="48"/>
        <v>0</v>
      </c>
      <c r="AV163" s="33">
        <f>IFERROR(时间!$B$4+AU163,"上周无销量")</f>
        <v>43290</v>
      </c>
    </row>
    <row r="164" spans="1:48">
      <c r="A164" s="35" t="s">
        <v>208</v>
      </c>
      <c r="B164" s="17" t="str">
        <f>VLOOKUP(A164,[1]sku_fnsku_asin_产品名称!$A:$C,3,0)</f>
        <v>B000V7DONW</v>
      </c>
      <c r="C164" s="17">
        <f>VLOOKUP(A164,[1]sku_fnsku_asin_产品名称!$A:$D,4,0)</f>
        <v>0</v>
      </c>
      <c r="D164" s="18">
        <f>IFERROR(VLOOKUP(A164,[4]库存报告使用数据处理!$A:$B,2,0),0)</f>
        <v>0</v>
      </c>
      <c r="E164" s="18">
        <f>IFERROR(VLOOKUP(A164,[4]库存报告使用数据处理!$A:$C,3,0),0)</f>
        <v>0</v>
      </c>
      <c r="F164" s="18">
        <f>IFERROR(VLOOKUP(A164,[4]库存报告使用数据处理!$A:$D,4,0),0)</f>
        <v>0</v>
      </c>
      <c r="G164" s="18">
        <f>IFERROR(VLOOKUP(A164,[4]库存报告使用数据处理!$A:$E,5,0),0)</f>
        <v>0</v>
      </c>
      <c r="H164" s="18">
        <f>IFERROR(VLOOKUP(A164,[4]库存报告使用数据处理!$A:$F,6,0),0)</f>
        <v>0</v>
      </c>
      <c r="I164" s="18">
        <f>IFERROR(VLOOKUP($A164,[2]数据处理!$A:$B,2,0),0)</f>
        <v>0</v>
      </c>
      <c r="J164" s="18">
        <f>IFERROR(VLOOKUP($A164,[2]数据处理!$A:$D,4,0),0)</f>
        <v>0</v>
      </c>
      <c r="K164" s="18">
        <f>IFERROR(VLOOKUP($A164,[2]数据处理!$A:$E,5,0),0)</f>
        <v>0</v>
      </c>
      <c r="L164" s="18">
        <f>IFERROR(VLOOKUP($A164,[2]数据处理!$A:$N,7,0),0)</f>
        <v>0</v>
      </c>
      <c r="M164" s="22">
        <f t="shared" si="36"/>
        <v>0</v>
      </c>
      <c r="N164" s="18">
        <f>IFERROR(VLOOKUP($A164,[2]数据处理!$A:$N,3,0),0)</f>
        <v>0</v>
      </c>
      <c r="O164" s="17">
        <f>IFERROR(VLOOKUP($A164,[2]数据处理!$A:$N,14,0),0)</f>
        <v>0</v>
      </c>
      <c r="P164" s="17">
        <f>IFERROR(VLOOKUP($A164,[5]库存报告使用数据!$A$1:$B$65536,2,0),0)</f>
        <v>0</v>
      </c>
      <c r="Q164" s="17">
        <f>IFERROR(VLOOKUP($A164,[5]库存报告使用数据!$A$1:$E$65536,5,0),0)</f>
        <v>0</v>
      </c>
      <c r="R164" s="17">
        <f>IFERROR(VLOOKUP($A164,[5]库存报告使用数据!$A$1:$H$65536,8,0),0)</f>
        <v>0</v>
      </c>
      <c r="S164" s="17">
        <f>IFERROR(VLOOKUP($A164,[5]库存报告使用数据!$A$1:$K$65536,11,0),0)</f>
        <v>192</v>
      </c>
      <c r="T164" s="17">
        <f>IFERROR(VLOOKUP($A164,[5]库存报告使用数据!$A$1:$C$65536,3,0),"")</f>
        <v>0</v>
      </c>
      <c r="U164" s="17">
        <f>IFERROR(VLOOKUP($A164,[5]库存报告使用数据!$A$1:$F$65536,6,0),"")</f>
        <v>0</v>
      </c>
      <c r="V164" s="17">
        <f>IFERROR(VLOOKUP($A164,[5]库存报告使用数据!$A$1:$I$65536,9,0),"")</f>
        <v>0</v>
      </c>
      <c r="W164" s="17">
        <f>IFERROR(VLOOKUP($A164,[5]库存报告使用数据!$A$1:$L$65536,12,0),"")</f>
        <v>2</v>
      </c>
      <c r="X164" s="27" t="str">
        <f t="shared" si="37"/>
        <v/>
      </c>
      <c r="Y164" s="27" t="str">
        <f t="shared" si="38"/>
        <v/>
      </c>
      <c r="Z164" s="27" t="str">
        <f t="shared" si="39"/>
        <v/>
      </c>
      <c r="AA164" s="27">
        <f t="shared" si="40"/>
        <v>0.0104166666666667</v>
      </c>
      <c r="AB164" s="17">
        <f>IFERROR(VLOOKUP($A164,[5]库存报告使用数据!$A$1:$D$65536,4,0),"")</f>
        <v>0</v>
      </c>
      <c r="AC164" s="17">
        <f>IFERROR(VLOOKUP($A164,[5]库存报告使用数据!$A$1:$G$65536,7,0),"")</f>
        <v>0</v>
      </c>
      <c r="AD164" s="17">
        <f>IFERROR(VLOOKUP($A164,[5]库存报告使用数据!$A$1:$J$65536,10,0),"")</f>
        <v>0</v>
      </c>
      <c r="AE164" s="17">
        <f>IFERROR(VLOOKUP($A164,[5]库存报告使用数据!$A$1:$M$65536,13,0),"")</f>
        <v>0.57</v>
      </c>
      <c r="AF164" s="27" t="str">
        <f t="shared" si="49"/>
        <v/>
      </c>
      <c r="AG164" s="27" t="str">
        <f t="shared" si="50"/>
        <v/>
      </c>
      <c r="AH164" s="27" t="str">
        <f t="shared" si="51"/>
        <v/>
      </c>
      <c r="AI164" s="27" t="str">
        <f t="shared" si="52"/>
        <v>有广告无销售广告费为0.57</v>
      </c>
      <c r="AJ164" s="17">
        <f>IFERROR(VLOOKUP($B164,'[3]浏览量处理(勿删)'!$A:$B,2,0),"")</f>
        <v>0</v>
      </c>
      <c r="AK164" s="17">
        <f>IFERROR(VLOOKUP($B164,'[3]浏览量处理(勿删)'!$A:$C,3,0),"")</f>
        <v>11</v>
      </c>
      <c r="AL164" s="17">
        <f>IFERROR(VLOOKUP($B164,'[3]浏览量处理(勿删)'!$A:$D,4,0),"")</f>
        <v>7</v>
      </c>
      <c r="AM164" s="17">
        <f>IFERROR(VLOOKUP($B164,'[3]浏览量处理(勿删)'!$A:$E,5,0),"")</f>
        <v>59</v>
      </c>
      <c r="AN164" s="27" t="str">
        <f t="shared" si="41"/>
        <v/>
      </c>
      <c r="AO164" s="27">
        <f t="shared" si="42"/>
        <v>0</v>
      </c>
      <c r="AP164" s="27">
        <f t="shared" si="43"/>
        <v>0</v>
      </c>
      <c r="AQ164" s="27">
        <f t="shared" si="44"/>
        <v>0</v>
      </c>
      <c r="AR164" s="32">
        <f t="shared" si="45"/>
        <v>0</v>
      </c>
      <c r="AS164" s="32">
        <f t="shared" si="46"/>
        <v>0</v>
      </c>
      <c r="AT164" s="32">
        <f t="shared" si="47"/>
        <v>0</v>
      </c>
      <c r="AU164" s="18" t="str">
        <f t="shared" si="48"/>
        <v>库存为0</v>
      </c>
      <c r="AV164" s="33" t="str">
        <f>IFERROR(时间!$B$4+AU164,"上周无销量")</f>
        <v>上周无销量</v>
      </c>
    </row>
    <row r="165" spans="1:48">
      <c r="A165" s="35" t="s">
        <v>209</v>
      </c>
      <c r="B165" s="17" t="str">
        <f>VLOOKUP(A165,[1]sku_fnsku_asin_产品名称!$A:$C,3,0)</f>
        <v>B001DXQDL8</v>
      </c>
      <c r="C165" s="17">
        <f>VLOOKUP(A165,[1]sku_fnsku_asin_产品名称!$A:$D,4,0)</f>
        <v>0</v>
      </c>
      <c r="D165" s="18">
        <f>IFERROR(VLOOKUP(A165,[4]库存报告使用数据处理!$A:$B,2,0),0)</f>
        <v>0</v>
      </c>
      <c r="E165" s="18">
        <f>IFERROR(VLOOKUP(A165,[4]库存报告使用数据处理!$A:$C,3,0),0)</f>
        <v>0</v>
      </c>
      <c r="F165" s="18">
        <f>IFERROR(VLOOKUP(A165,[4]库存报告使用数据处理!$A:$D,4,0),0)</f>
        <v>0</v>
      </c>
      <c r="G165" s="18">
        <f>IFERROR(VLOOKUP(A165,[4]库存报告使用数据处理!$A:$E,5,0),0)</f>
        <v>0</v>
      </c>
      <c r="H165" s="18">
        <f>IFERROR(VLOOKUP(A165,[4]库存报告使用数据处理!$A:$F,6,0),0)</f>
        <v>0</v>
      </c>
      <c r="I165" s="18">
        <f>IFERROR(VLOOKUP($A165,[2]数据处理!$A:$B,2,0),0)</f>
        <v>0</v>
      </c>
      <c r="J165" s="18">
        <f>IFERROR(VLOOKUP($A165,[2]数据处理!$A:$D,4,0),0)</f>
        <v>0</v>
      </c>
      <c r="K165" s="18">
        <f>IFERROR(VLOOKUP($A165,[2]数据处理!$A:$E,5,0),0)</f>
        <v>0</v>
      </c>
      <c r="L165" s="18">
        <f>IFERROR(VLOOKUP($A165,[2]数据处理!$A:$N,7,0),0)</f>
        <v>0</v>
      </c>
      <c r="M165" s="22">
        <f t="shared" si="36"/>
        <v>0</v>
      </c>
      <c r="N165" s="18">
        <f>IFERROR(VLOOKUP($A165,[2]数据处理!$A:$N,3,0),0)</f>
        <v>0</v>
      </c>
      <c r="O165" s="17">
        <f>IFERROR(VLOOKUP($A165,[2]数据处理!$A:$N,14,0),0)</f>
        <v>0</v>
      </c>
      <c r="P165" s="17">
        <f>IFERROR(VLOOKUP($A165,[5]库存报告使用数据!$A$1:$B$65536,2,0),0)</f>
        <v>680</v>
      </c>
      <c r="Q165" s="17">
        <f>IFERROR(VLOOKUP($A165,[5]库存报告使用数据!$A$1:$E$65536,5,0),0)</f>
        <v>2846</v>
      </c>
      <c r="R165" s="17">
        <f>IFERROR(VLOOKUP($A165,[5]库存报告使用数据!$A$1:$H$65536,8,0),0)</f>
        <v>1062</v>
      </c>
      <c r="S165" s="17">
        <f>IFERROR(VLOOKUP($A165,[5]库存报告使用数据!$A$1:$K$65536,11,0),0)</f>
        <v>953</v>
      </c>
      <c r="T165" s="17">
        <f>IFERROR(VLOOKUP($A165,[5]库存报告使用数据!$A$1:$C$65536,3,0),"")</f>
        <v>0</v>
      </c>
      <c r="U165" s="17">
        <f>IFERROR(VLOOKUP($A165,[5]库存报告使用数据!$A$1:$F$65536,6,0),"")</f>
        <v>7</v>
      </c>
      <c r="V165" s="17">
        <f>IFERROR(VLOOKUP($A165,[5]库存报告使用数据!$A$1:$I$65536,9,0),"")</f>
        <v>2</v>
      </c>
      <c r="W165" s="17">
        <f>IFERROR(VLOOKUP($A165,[5]库存报告使用数据!$A$1:$L$65536,12,0),"")</f>
        <v>0</v>
      </c>
      <c r="X165" s="27">
        <f t="shared" si="37"/>
        <v>0</v>
      </c>
      <c r="Y165" s="27">
        <f t="shared" si="38"/>
        <v>0.00245959241040056</v>
      </c>
      <c r="Z165" s="27">
        <f t="shared" si="39"/>
        <v>0.00188323917137476</v>
      </c>
      <c r="AA165" s="27">
        <f t="shared" si="40"/>
        <v>0</v>
      </c>
      <c r="AB165" s="17">
        <f>IFERROR(VLOOKUP($A165,[5]库存报告使用数据!$A$1:$D$65536,4,0),"")</f>
        <v>0</v>
      </c>
      <c r="AC165" s="17">
        <f>IFERROR(VLOOKUP($A165,[5]库存报告使用数据!$A$1:$G$65536,7,0),"")</f>
        <v>8.27</v>
      </c>
      <c r="AD165" s="17">
        <f>IFERROR(VLOOKUP($A165,[5]库存报告使用数据!$A$1:$J$65536,10,0),"")</f>
        <v>0.67</v>
      </c>
      <c r="AE165" s="17">
        <f>IFERROR(VLOOKUP($A165,[5]库存报告使用数据!$A$1:$M$65536,13,0),"")</f>
        <v>0</v>
      </c>
      <c r="AF165" s="27" t="str">
        <f t="shared" si="49"/>
        <v/>
      </c>
      <c r="AG165" s="27" t="str">
        <f t="shared" si="50"/>
        <v>有广告无销售广告费为8.27</v>
      </c>
      <c r="AH165" s="27" t="str">
        <f t="shared" si="51"/>
        <v>有广告无销售广告费为0.67</v>
      </c>
      <c r="AI165" s="27" t="str">
        <f t="shared" si="52"/>
        <v/>
      </c>
      <c r="AJ165" s="17">
        <f>IFERROR(VLOOKUP($B165,'[3]浏览量处理(勿删)'!$A:$B,2,0),"")</f>
        <v>2</v>
      </c>
      <c r="AK165" s="17">
        <f>IFERROR(VLOOKUP($B165,'[3]浏览量处理(勿删)'!$A:$C,3,0),"")</f>
        <v>14</v>
      </c>
      <c r="AL165" s="17">
        <f>IFERROR(VLOOKUP($B165,'[3]浏览量处理(勿删)'!$A:$D,4,0),"")</f>
        <v>13</v>
      </c>
      <c r="AM165" s="17">
        <f>IFERROR(VLOOKUP($B165,'[3]浏览量处理(勿删)'!$A:$E,5,0),"")</f>
        <v>57</v>
      </c>
      <c r="AN165" s="27">
        <f t="shared" si="41"/>
        <v>0</v>
      </c>
      <c r="AO165" s="27">
        <f t="shared" si="42"/>
        <v>0</v>
      </c>
      <c r="AP165" s="27">
        <f t="shared" si="43"/>
        <v>0</v>
      </c>
      <c r="AQ165" s="27">
        <f t="shared" si="44"/>
        <v>0</v>
      </c>
      <c r="AR165" s="32">
        <f t="shared" si="45"/>
        <v>0</v>
      </c>
      <c r="AS165" s="32">
        <f t="shared" si="46"/>
        <v>0</v>
      </c>
      <c r="AT165" s="32">
        <f t="shared" si="47"/>
        <v>0</v>
      </c>
      <c r="AU165" s="18" t="str">
        <f t="shared" si="48"/>
        <v>库存为0</v>
      </c>
      <c r="AV165" s="33" t="str">
        <f>IFERROR(时间!$B$4+AU165,"上周无销量")</f>
        <v>上周无销量</v>
      </c>
    </row>
    <row r="166" spans="1:48">
      <c r="A166" s="36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2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7"/>
      <c r="Y166" s="27"/>
      <c r="Z166" s="27"/>
      <c r="AA166" s="27"/>
      <c r="AB166" s="17"/>
      <c r="AC166" s="17"/>
      <c r="AD166" s="17"/>
      <c r="AE166" s="17"/>
      <c r="AF166" s="27"/>
      <c r="AG166" s="27"/>
      <c r="AH166" s="27"/>
      <c r="AI166" s="27"/>
      <c r="AJ166" s="17"/>
      <c r="AK166" s="17"/>
      <c r="AL166" s="17"/>
      <c r="AM166" s="17"/>
      <c r="AN166" s="27"/>
      <c r="AO166" s="27"/>
      <c r="AP166" s="27"/>
      <c r="AQ166" s="27"/>
      <c r="AR166" s="32"/>
      <c r="AS166" s="32"/>
      <c r="AT166" s="32"/>
      <c r="AU166" s="18"/>
      <c r="AV166" s="33"/>
    </row>
    <row r="167" spans="1:48">
      <c r="A167" s="36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2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7"/>
      <c r="Y167" s="27"/>
      <c r="Z167" s="27"/>
      <c r="AA167" s="27"/>
      <c r="AB167" s="17"/>
      <c r="AC167" s="17"/>
      <c r="AD167" s="17"/>
      <c r="AE167" s="17"/>
      <c r="AF167" s="27"/>
      <c r="AG167" s="27"/>
      <c r="AH167" s="27"/>
      <c r="AI167" s="27"/>
      <c r="AJ167" s="17"/>
      <c r="AK167" s="17"/>
      <c r="AL167" s="17"/>
      <c r="AM167" s="17"/>
      <c r="AN167" s="27"/>
      <c r="AO167" s="27"/>
      <c r="AP167" s="27"/>
      <c r="AQ167" s="27"/>
      <c r="AR167" s="32"/>
      <c r="AS167" s="32"/>
      <c r="AT167" s="32"/>
      <c r="AU167" s="18"/>
      <c r="AV167" s="33"/>
    </row>
    <row r="168" spans="1:48">
      <c r="A168" s="36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2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7"/>
      <c r="Y168" s="27"/>
      <c r="Z168" s="27"/>
      <c r="AA168" s="27"/>
      <c r="AB168" s="17"/>
      <c r="AC168" s="17"/>
      <c r="AD168" s="17"/>
      <c r="AE168" s="17"/>
      <c r="AF168" s="27"/>
      <c r="AG168" s="27"/>
      <c r="AH168" s="27"/>
      <c r="AI168" s="27"/>
      <c r="AJ168" s="17"/>
      <c r="AK168" s="17"/>
      <c r="AL168" s="17"/>
      <c r="AM168" s="17"/>
      <c r="AN168" s="27"/>
      <c r="AO168" s="27"/>
      <c r="AP168" s="27"/>
      <c r="AQ168" s="27"/>
      <c r="AR168" s="32"/>
      <c r="AS168" s="32"/>
      <c r="AT168" s="32"/>
      <c r="AU168" s="18"/>
      <c r="AV168" s="33"/>
    </row>
    <row r="169" spans="1:48">
      <c r="A169" s="36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2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7"/>
      <c r="Y169" s="27"/>
      <c r="Z169" s="27"/>
      <c r="AA169" s="27"/>
      <c r="AB169" s="17"/>
      <c r="AC169" s="17"/>
      <c r="AD169" s="17"/>
      <c r="AE169" s="17"/>
      <c r="AF169" s="27"/>
      <c r="AG169" s="27"/>
      <c r="AH169" s="27"/>
      <c r="AI169" s="27"/>
      <c r="AJ169" s="17"/>
      <c r="AK169" s="17"/>
      <c r="AL169" s="17"/>
      <c r="AM169" s="17"/>
      <c r="AN169" s="27"/>
      <c r="AO169" s="27"/>
      <c r="AP169" s="27"/>
      <c r="AQ169" s="27"/>
      <c r="AR169" s="32"/>
      <c r="AS169" s="32"/>
      <c r="AT169" s="32"/>
      <c r="AU169" s="18"/>
      <c r="AV169" s="33"/>
    </row>
    <row r="170" spans="2:48">
      <c r="B170" s="37"/>
      <c r="D170" s="12"/>
      <c r="E170" s="12"/>
      <c r="F170" s="12"/>
      <c r="G170" s="12"/>
      <c r="H170" s="38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8"/>
      <c r="AS170" s="28"/>
      <c r="AT170" s="28"/>
      <c r="AU170" s="12"/>
      <c r="AV170" s="29"/>
    </row>
    <row r="171" spans="2:48">
      <c r="B171" s="39"/>
      <c r="D171" s="12"/>
      <c r="E171" s="12"/>
      <c r="F171" s="12"/>
      <c r="G171" s="12"/>
      <c r="H171" s="38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8"/>
      <c r="AS171" s="28"/>
      <c r="AT171" s="28"/>
      <c r="AU171" s="12"/>
      <c r="AV171" s="29"/>
    </row>
    <row r="172" spans="2:48">
      <c r="B172" s="37"/>
      <c r="D172" s="12"/>
      <c r="E172" s="12"/>
      <c r="F172" s="12"/>
      <c r="G172" s="12"/>
      <c r="H172" s="38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8"/>
      <c r="AS172" s="28"/>
      <c r="AT172" s="28"/>
      <c r="AU172" s="12"/>
      <c r="AV172" s="29"/>
    </row>
    <row r="173" spans="2:48">
      <c r="B173" s="39"/>
      <c r="D173" s="12"/>
      <c r="E173" s="12"/>
      <c r="F173" s="12"/>
      <c r="G173" s="12"/>
      <c r="H173" s="38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8"/>
      <c r="AS173" s="28"/>
      <c r="AT173" s="28"/>
      <c r="AU173" s="12"/>
      <c r="AV173" s="29"/>
    </row>
    <row r="174" spans="2:48">
      <c r="B174" s="37"/>
      <c r="D174" s="12"/>
      <c r="E174" s="12"/>
      <c r="F174" s="12"/>
      <c r="G174" s="12"/>
      <c r="H174" s="38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8"/>
      <c r="AS174" s="28"/>
      <c r="AT174" s="28"/>
      <c r="AU174" s="12"/>
      <c r="AV174" s="29"/>
    </row>
    <row r="175" spans="2:48">
      <c r="B175" s="39"/>
      <c r="D175" s="12"/>
      <c r="E175" s="12"/>
      <c r="F175" s="12"/>
      <c r="G175" s="12"/>
      <c r="H175" s="38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8"/>
      <c r="AS175" s="28"/>
      <c r="AT175" s="28"/>
      <c r="AU175" s="12"/>
      <c r="AV175" s="29"/>
    </row>
    <row r="176" spans="2:48">
      <c r="B176" s="37"/>
      <c r="D176" s="12"/>
      <c r="E176" s="12"/>
      <c r="F176" s="12"/>
      <c r="G176" s="12"/>
      <c r="H176" s="38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8"/>
      <c r="AS176" s="28"/>
      <c r="AT176" s="28"/>
      <c r="AU176" s="12"/>
      <c r="AV176" s="29"/>
    </row>
    <row r="177" spans="2:48">
      <c r="B177" s="39"/>
      <c r="D177" s="12"/>
      <c r="E177" s="12"/>
      <c r="F177" s="12"/>
      <c r="G177" s="12"/>
      <c r="H177" s="38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8"/>
      <c r="AS177" s="28"/>
      <c r="AT177" s="28"/>
      <c r="AU177" s="12"/>
      <c r="AV177" s="29"/>
    </row>
    <row r="178" spans="2:48">
      <c r="B178" s="37"/>
      <c r="D178" s="12"/>
      <c r="E178" s="12"/>
      <c r="F178" s="12"/>
      <c r="G178" s="12"/>
      <c r="H178" s="38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8"/>
      <c r="AS178" s="28"/>
      <c r="AT178" s="28"/>
      <c r="AU178" s="12"/>
      <c r="AV178" s="29"/>
    </row>
    <row r="179" spans="2:48">
      <c r="B179" s="39"/>
      <c r="D179" s="12"/>
      <c r="E179" s="12"/>
      <c r="F179" s="12"/>
      <c r="G179" s="12"/>
      <c r="H179" s="38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8"/>
      <c r="AS179" s="28"/>
      <c r="AT179" s="28"/>
      <c r="AU179" s="12"/>
      <c r="AV179" s="29"/>
    </row>
    <row r="180" spans="2:48">
      <c r="B180" s="37"/>
      <c r="D180" s="12"/>
      <c r="E180" s="12"/>
      <c r="F180" s="12"/>
      <c r="G180" s="12"/>
      <c r="H180" s="38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8"/>
      <c r="AS180" s="28"/>
      <c r="AT180" s="28"/>
      <c r="AU180" s="12"/>
      <c r="AV180" s="29"/>
    </row>
    <row r="181" spans="2:48">
      <c r="B181" s="39"/>
      <c r="D181" s="12"/>
      <c r="E181" s="12"/>
      <c r="F181" s="12"/>
      <c r="G181" s="12"/>
      <c r="H181" s="38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8"/>
      <c r="AS181" s="28"/>
      <c r="AT181" s="28"/>
      <c r="AU181" s="12"/>
      <c r="AV181" s="29"/>
    </row>
    <row r="182" spans="2:48">
      <c r="B182" s="37"/>
      <c r="D182" s="12"/>
      <c r="E182" s="12"/>
      <c r="F182" s="12"/>
      <c r="G182" s="12"/>
      <c r="H182" s="38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8"/>
      <c r="AS182" s="28"/>
      <c r="AT182" s="28"/>
      <c r="AU182" s="12"/>
      <c r="AV182" s="29"/>
    </row>
    <row r="183" spans="2:48">
      <c r="B183" s="39"/>
      <c r="D183" s="12"/>
      <c r="E183" s="12"/>
      <c r="F183" s="12"/>
      <c r="G183" s="12"/>
      <c r="H183" s="38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8"/>
      <c r="AS183" s="28"/>
      <c r="AT183" s="28"/>
      <c r="AU183" s="12"/>
      <c r="AV183" s="29"/>
    </row>
    <row r="184" spans="2:48">
      <c r="B184" s="37"/>
      <c r="D184" s="12"/>
      <c r="E184" s="12"/>
      <c r="F184" s="12"/>
      <c r="G184" s="12"/>
      <c r="H184" s="38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8"/>
      <c r="AS184" s="28"/>
      <c r="AT184" s="28"/>
      <c r="AU184" s="12"/>
      <c r="AV184" s="29"/>
    </row>
    <row r="185" spans="2:48">
      <c r="B185" s="39"/>
      <c r="D185" s="12"/>
      <c r="E185" s="12"/>
      <c r="F185" s="12"/>
      <c r="G185" s="12"/>
      <c r="H185" s="38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8"/>
      <c r="AS185" s="28"/>
      <c r="AT185" s="28"/>
      <c r="AU185" s="12"/>
      <c r="AV185" s="29"/>
    </row>
    <row r="186" spans="2:48">
      <c r="B186" s="37"/>
      <c r="D186" s="12"/>
      <c r="E186" s="12"/>
      <c r="F186" s="12"/>
      <c r="G186" s="12"/>
      <c r="H186" s="38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8"/>
      <c r="AS186" s="28"/>
      <c r="AT186" s="28"/>
      <c r="AU186" s="12"/>
      <c r="AV186" s="29"/>
    </row>
    <row r="187" spans="2:48">
      <c r="B187" s="39"/>
      <c r="D187" s="12"/>
      <c r="E187" s="12"/>
      <c r="F187" s="12"/>
      <c r="G187" s="12"/>
      <c r="H187" s="38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8"/>
      <c r="AS187" s="28"/>
      <c r="AT187" s="28"/>
      <c r="AU187" s="12"/>
      <c r="AV187" s="29"/>
    </row>
    <row r="188" spans="2:48">
      <c r="B188" s="37"/>
      <c r="D188" s="12"/>
      <c r="E188" s="12"/>
      <c r="F188" s="12"/>
      <c r="G188" s="12"/>
      <c r="H188" s="38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8"/>
      <c r="AS188" s="28"/>
      <c r="AT188" s="28"/>
      <c r="AU188" s="12"/>
      <c r="AV188" s="29"/>
    </row>
    <row r="189" spans="2:48">
      <c r="B189" s="39"/>
      <c r="D189" s="12"/>
      <c r="E189" s="12"/>
      <c r="F189" s="12"/>
      <c r="G189" s="12"/>
      <c r="H189" s="38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8"/>
      <c r="AS189" s="28"/>
      <c r="AT189" s="28"/>
      <c r="AU189" s="12"/>
      <c r="AV189" s="29"/>
    </row>
    <row r="190" spans="2:48">
      <c r="B190" s="37"/>
      <c r="D190" s="12"/>
      <c r="E190" s="12"/>
      <c r="F190" s="12"/>
      <c r="G190" s="12"/>
      <c r="H190" s="38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8"/>
      <c r="AS190" s="28"/>
      <c r="AT190" s="28"/>
      <c r="AU190" s="12"/>
      <c r="AV190" s="29"/>
    </row>
    <row r="191" spans="2:48">
      <c r="B191" s="39"/>
      <c r="D191" s="12"/>
      <c r="E191" s="12"/>
      <c r="F191" s="12"/>
      <c r="G191" s="12"/>
      <c r="H191" s="38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8"/>
      <c r="AS191" s="28"/>
      <c r="AT191" s="28"/>
      <c r="AU191" s="12"/>
      <c r="AV191" s="29"/>
    </row>
    <row r="192" spans="2:48">
      <c r="B192" s="37"/>
      <c r="D192" s="12"/>
      <c r="E192" s="12"/>
      <c r="F192" s="12"/>
      <c r="G192" s="12"/>
      <c r="H192" s="38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8"/>
      <c r="AS192" s="28"/>
      <c r="AT192" s="28"/>
      <c r="AU192" s="12"/>
      <c r="AV192" s="29"/>
    </row>
    <row r="193" spans="2:48">
      <c r="B193" s="39"/>
      <c r="D193" s="12"/>
      <c r="E193" s="12"/>
      <c r="F193" s="12"/>
      <c r="G193" s="12"/>
      <c r="H193" s="38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8"/>
      <c r="AS193" s="28"/>
      <c r="AT193" s="28"/>
      <c r="AU193" s="12"/>
      <c r="AV193" s="29"/>
    </row>
    <row r="194" spans="2:48">
      <c r="B194" s="37"/>
      <c r="D194" s="12"/>
      <c r="E194" s="12"/>
      <c r="F194" s="12"/>
      <c r="G194" s="12"/>
      <c r="H194" s="38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8"/>
      <c r="AS194" s="28"/>
      <c r="AT194" s="28"/>
      <c r="AU194" s="12"/>
      <c r="AV194" s="29"/>
    </row>
    <row r="195" spans="2:48">
      <c r="B195" s="39"/>
      <c r="D195" s="12"/>
      <c r="E195" s="12"/>
      <c r="F195" s="12"/>
      <c r="G195" s="12"/>
      <c r="H195" s="38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8"/>
      <c r="AS195" s="28"/>
      <c r="AT195" s="28"/>
      <c r="AU195" s="12"/>
      <c r="AV195" s="29"/>
    </row>
    <row r="196" spans="2:48">
      <c r="B196" s="37"/>
      <c r="D196" s="12"/>
      <c r="E196" s="12"/>
      <c r="F196" s="12"/>
      <c r="G196" s="12"/>
      <c r="H196" s="38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8"/>
      <c r="AS196" s="28"/>
      <c r="AT196" s="28"/>
      <c r="AU196" s="12"/>
      <c r="AV196" s="29"/>
    </row>
    <row r="197" spans="2:48">
      <c r="B197" s="39"/>
      <c r="D197" s="12"/>
      <c r="E197" s="12"/>
      <c r="F197" s="12"/>
      <c r="G197" s="12"/>
      <c r="H197" s="38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8"/>
      <c r="AS197" s="28"/>
      <c r="AT197" s="28"/>
      <c r="AU197" s="12"/>
      <c r="AV197" s="29"/>
    </row>
    <row r="198" spans="2:48">
      <c r="B198" s="37"/>
      <c r="D198" s="12"/>
      <c r="E198" s="12"/>
      <c r="F198" s="12"/>
      <c r="G198" s="12"/>
      <c r="H198" s="38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8"/>
      <c r="AS198" s="28"/>
      <c r="AT198" s="28"/>
      <c r="AU198" s="12"/>
      <c r="AV198" s="29"/>
    </row>
    <row r="199" spans="2:48">
      <c r="B199" s="39"/>
      <c r="D199" s="12"/>
      <c r="E199" s="12"/>
      <c r="F199" s="12"/>
      <c r="G199" s="12"/>
      <c r="H199" s="38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8"/>
      <c r="AS199" s="28"/>
      <c r="AT199" s="28"/>
      <c r="AU199" s="12"/>
      <c r="AV199" s="29"/>
    </row>
    <row r="200" spans="2:48">
      <c r="B200" s="37"/>
      <c r="D200" s="12"/>
      <c r="E200" s="12"/>
      <c r="F200" s="12"/>
      <c r="G200" s="12"/>
      <c r="H200" s="38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8"/>
      <c r="AS200" s="28"/>
      <c r="AT200" s="28"/>
      <c r="AU200" s="12"/>
      <c r="AV200" s="29"/>
    </row>
    <row r="201" spans="2:48">
      <c r="B201" s="39"/>
      <c r="D201" s="12"/>
      <c r="E201" s="12"/>
      <c r="F201" s="12"/>
      <c r="G201" s="12"/>
      <c r="H201" s="38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8"/>
      <c r="AS201" s="28"/>
      <c r="AT201" s="28"/>
      <c r="AU201" s="12"/>
      <c r="AV201" s="29"/>
    </row>
    <row r="202" spans="2:48">
      <c r="B202" s="37"/>
      <c r="D202" s="12"/>
      <c r="E202" s="12"/>
      <c r="F202" s="12"/>
      <c r="G202" s="12"/>
      <c r="H202" s="38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8"/>
      <c r="AS202" s="28"/>
      <c r="AT202" s="28"/>
      <c r="AU202" s="12"/>
      <c r="AV202" s="29"/>
    </row>
    <row r="203" spans="2:48">
      <c r="B203" s="39"/>
      <c r="D203" s="12"/>
      <c r="E203" s="12"/>
      <c r="F203" s="12"/>
      <c r="G203" s="12"/>
      <c r="H203" s="38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8"/>
      <c r="AS203" s="28"/>
      <c r="AT203" s="28"/>
      <c r="AU203" s="12"/>
      <c r="AV203" s="29"/>
    </row>
    <row r="204" spans="2:48">
      <c r="B204" s="37"/>
      <c r="D204" s="12"/>
      <c r="E204" s="12"/>
      <c r="F204" s="12"/>
      <c r="G204" s="12"/>
      <c r="H204" s="38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8"/>
      <c r="AS204" s="28"/>
      <c r="AT204" s="28"/>
      <c r="AU204" s="12"/>
      <c r="AV204" s="29"/>
    </row>
    <row r="205" spans="2:48">
      <c r="B205" s="39"/>
      <c r="D205" s="12"/>
      <c r="E205" s="12"/>
      <c r="F205" s="12"/>
      <c r="G205" s="12"/>
      <c r="H205" s="38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8"/>
      <c r="AS205" s="28"/>
      <c r="AT205" s="28"/>
      <c r="AU205" s="12"/>
      <c r="AV205" s="29"/>
    </row>
    <row r="206" spans="2:48">
      <c r="B206" s="37"/>
      <c r="D206" s="12"/>
      <c r="E206" s="12"/>
      <c r="F206" s="12"/>
      <c r="G206" s="12"/>
      <c r="H206" s="38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8"/>
      <c r="AS206" s="28"/>
      <c r="AT206" s="28"/>
      <c r="AU206" s="12"/>
      <c r="AV206" s="29"/>
    </row>
    <row r="207" spans="2:48">
      <c r="B207" s="39"/>
      <c r="D207" s="12"/>
      <c r="E207" s="12"/>
      <c r="F207" s="12"/>
      <c r="G207" s="12"/>
      <c r="H207" s="38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8"/>
      <c r="AS207" s="28"/>
      <c r="AT207" s="28"/>
      <c r="AU207" s="12"/>
      <c r="AV207" s="29"/>
    </row>
    <row r="208" spans="2:48">
      <c r="B208" s="37"/>
      <c r="D208" s="12"/>
      <c r="E208" s="12"/>
      <c r="F208" s="12"/>
      <c r="G208" s="12"/>
      <c r="H208" s="38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8"/>
      <c r="AS208" s="28"/>
      <c r="AT208" s="28"/>
      <c r="AU208" s="12"/>
      <c r="AV208" s="29"/>
    </row>
    <row r="209" spans="2:48">
      <c r="B209" s="39"/>
      <c r="D209" s="12"/>
      <c r="E209" s="12"/>
      <c r="F209" s="12"/>
      <c r="G209" s="12"/>
      <c r="H209" s="38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8"/>
      <c r="AS209" s="28"/>
      <c r="AT209" s="28"/>
      <c r="AU209" s="12"/>
      <c r="AV209" s="29"/>
    </row>
    <row r="210" spans="2:48">
      <c r="B210" s="37"/>
      <c r="D210" s="12"/>
      <c r="E210" s="12"/>
      <c r="F210" s="12"/>
      <c r="G210" s="12"/>
      <c r="H210" s="38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8"/>
      <c r="AS210" s="28"/>
      <c r="AT210" s="28"/>
      <c r="AU210" s="12"/>
      <c r="AV210" s="29"/>
    </row>
    <row r="211" spans="2:48">
      <c r="B211" s="39"/>
      <c r="D211" s="12"/>
      <c r="E211" s="12"/>
      <c r="F211" s="12"/>
      <c r="G211" s="12"/>
      <c r="H211" s="38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8"/>
      <c r="AS211" s="28"/>
      <c r="AT211" s="28"/>
      <c r="AU211" s="12"/>
      <c r="AV211" s="29"/>
    </row>
    <row r="212" spans="2:48">
      <c r="B212" s="37"/>
      <c r="D212" s="12"/>
      <c r="E212" s="12"/>
      <c r="F212" s="12"/>
      <c r="G212" s="12"/>
      <c r="H212" s="38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8"/>
      <c r="AS212" s="28"/>
      <c r="AT212" s="28"/>
      <c r="AU212" s="12"/>
      <c r="AV212" s="29"/>
    </row>
    <row r="213" spans="2:48">
      <c r="B213" s="39"/>
      <c r="D213" s="12"/>
      <c r="E213" s="12"/>
      <c r="F213" s="12"/>
      <c r="G213" s="12"/>
      <c r="H213" s="38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8"/>
      <c r="AS213" s="28"/>
      <c r="AT213" s="28"/>
      <c r="AU213" s="12"/>
      <c r="AV213" s="29"/>
    </row>
    <row r="214" spans="2:48">
      <c r="B214" s="37"/>
      <c r="D214" s="12"/>
      <c r="E214" s="12"/>
      <c r="F214" s="12"/>
      <c r="G214" s="12"/>
      <c r="H214" s="38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8"/>
      <c r="AS214" s="28"/>
      <c r="AT214" s="28"/>
      <c r="AU214" s="12"/>
      <c r="AV214" s="29"/>
    </row>
    <row r="215" spans="2:48">
      <c r="B215" s="39"/>
      <c r="D215" s="12"/>
      <c r="E215" s="12"/>
      <c r="F215" s="12"/>
      <c r="G215" s="12"/>
      <c r="H215" s="38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8"/>
      <c r="AS215" s="28"/>
      <c r="AT215" s="28"/>
      <c r="AU215" s="12"/>
      <c r="AV215" s="29"/>
    </row>
    <row r="216" spans="2:48">
      <c r="B216" s="37"/>
      <c r="D216" s="12"/>
      <c r="E216" s="12"/>
      <c r="F216" s="12"/>
      <c r="G216" s="12"/>
      <c r="H216" s="38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8"/>
      <c r="AS216" s="28"/>
      <c r="AT216" s="28"/>
      <c r="AU216" s="12"/>
      <c r="AV216" s="29"/>
    </row>
    <row r="217" spans="2:48">
      <c r="B217" s="39"/>
      <c r="D217" s="12"/>
      <c r="E217" s="12"/>
      <c r="F217" s="12"/>
      <c r="G217" s="12"/>
      <c r="H217" s="38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8"/>
      <c r="AS217" s="28"/>
      <c r="AT217" s="28"/>
      <c r="AU217" s="12"/>
      <c r="AV217" s="29"/>
    </row>
    <row r="218" spans="2:48">
      <c r="B218" s="37"/>
      <c r="D218" s="12"/>
      <c r="E218" s="12"/>
      <c r="F218" s="12"/>
      <c r="G218" s="12"/>
      <c r="H218" s="38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8"/>
      <c r="AS218" s="28"/>
      <c r="AT218" s="28"/>
      <c r="AU218" s="12"/>
      <c r="AV218" s="29"/>
    </row>
    <row r="219" spans="2:48">
      <c r="B219" s="39"/>
      <c r="D219" s="12"/>
      <c r="E219" s="12"/>
      <c r="F219" s="12"/>
      <c r="G219" s="12"/>
      <c r="H219" s="38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8"/>
      <c r="AS219" s="28"/>
      <c r="AT219" s="28"/>
      <c r="AU219" s="12"/>
      <c r="AV219" s="29"/>
    </row>
    <row r="220" spans="2:48">
      <c r="B220" s="37"/>
      <c r="D220" s="12"/>
      <c r="E220" s="12"/>
      <c r="F220" s="12"/>
      <c r="G220" s="12"/>
      <c r="H220" s="38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8"/>
      <c r="AS220" s="28"/>
      <c r="AT220" s="28"/>
      <c r="AU220" s="12"/>
      <c r="AV220" s="29"/>
    </row>
    <row r="221" spans="2:48">
      <c r="B221" s="39"/>
      <c r="D221" s="12"/>
      <c r="E221" s="12"/>
      <c r="F221" s="12"/>
      <c r="G221" s="12"/>
      <c r="H221" s="38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8"/>
      <c r="AS221" s="28"/>
      <c r="AT221" s="28"/>
      <c r="AU221" s="12"/>
      <c r="AV221" s="29"/>
    </row>
    <row r="222" spans="2:48">
      <c r="B222" s="37"/>
      <c r="D222" s="12"/>
      <c r="E222" s="12"/>
      <c r="F222" s="12"/>
      <c r="G222" s="12"/>
      <c r="H222" s="38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8"/>
      <c r="AS222" s="28"/>
      <c r="AT222" s="28"/>
      <c r="AU222" s="12"/>
      <c r="AV222" s="29"/>
    </row>
    <row r="223" spans="2:48">
      <c r="B223" s="39"/>
      <c r="D223" s="12"/>
      <c r="E223" s="12"/>
      <c r="F223" s="12"/>
      <c r="G223" s="12"/>
      <c r="H223" s="38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8"/>
      <c r="AS223" s="28"/>
      <c r="AT223" s="28"/>
      <c r="AU223" s="12"/>
      <c r="AV223" s="29"/>
    </row>
    <row r="224" spans="2:48">
      <c r="B224" s="39"/>
      <c r="D224" s="12"/>
      <c r="E224" s="12"/>
      <c r="F224" s="12"/>
      <c r="G224" s="12"/>
      <c r="H224" s="38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8"/>
      <c r="AS224" s="28"/>
      <c r="AT224" s="28"/>
      <c r="AU224" s="12"/>
      <c r="AV224" s="29"/>
    </row>
    <row r="225" spans="2:48">
      <c r="B225" s="39"/>
      <c r="D225" s="12"/>
      <c r="E225" s="12"/>
      <c r="F225" s="12"/>
      <c r="G225" s="12"/>
      <c r="H225" s="38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8"/>
      <c r="AS225" s="28"/>
      <c r="AT225" s="28"/>
      <c r="AU225" s="12"/>
      <c r="AV225" s="29"/>
    </row>
    <row r="226" spans="2:48">
      <c r="B226" s="39"/>
      <c r="D226" s="12"/>
      <c r="E226" s="12"/>
      <c r="F226" s="12"/>
      <c r="G226" s="12"/>
      <c r="H226" s="38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8"/>
      <c r="AS226" s="28"/>
      <c r="AT226" s="28"/>
      <c r="AU226" s="12"/>
      <c r="AV226" s="29"/>
    </row>
    <row r="227" spans="2:48">
      <c r="B227" s="37"/>
      <c r="D227" s="12"/>
      <c r="E227" s="12"/>
      <c r="F227" s="12"/>
      <c r="G227" s="12"/>
      <c r="H227" s="38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8"/>
      <c r="AS227" s="28"/>
      <c r="AT227" s="28"/>
      <c r="AU227" s="12"/>
      <c r="AV227" s="29"/>
    </row>
    <row r="228" spans="2:48">
      <c r="B228" s="39"/>
      <c r="D228" s="12"/>
      <c r="E228" s="12"/>
      <c r="F228" s="12"/>
      <c r="G228" s="12"/>
      <c r="H228" s="38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8"/>
      <c r="AS228" s="28"/>
      <c r="AT228" s="28"/>
      <c r="AU228" s="12"/>
      <c r="AV228" s="29"/>
    </row>
    <row r="229" spans="2:48">
      <c r="B229" s="37"/>
      <c r="D229" s="12"/>
      <c r="E229" s="12"/>
      <c r="F229" s="12"/>
      <c r="G229" s="12"/>
      <c r="H229" s="38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8"/>
      <c r="AS229" s="28"/>
      <c r="AT229" s="28"/>
      <c r="AU229" s="12"/>
      <c r="AV229" s="29"/>
    </row>
    <row r="230" spans="2:48">
      <c r="B230" s="37"/>
      <c r="D230" s="12"/>
      <c r="E230" s="12"/>
      <c r="F230" s="12"/>
      <c r="G230" s="12"/>
      <c r="H230" s="38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8"/>
      <c r="AS230" s="28"/>
      <c r="AT230" s="28"/>
      <c r="AU230" s="12"/>
      <c r="AV230" s="29"/>
    </row>
    <row r="231" spans="2:48">
      <c r="B231" s="39"/>
      <c r="D231" s="12"/>
      <c r="E231" s="12"/>
      <c r="F231" s="12"/>
      <c r="G231" s="12"/>
      <c r="H231" s="38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8"/>
      <c r="AS231" s="28"/>
      <c r="AT231" s="28"/>
      <c r="AU231" s="12"/>
      <c r="AV231" s="29"/>
    </row>
    <row r="232" spans="2:48">
      <c r="B232" s="39"/>
      <c r="D232" s="12"/>
      <c r="E232" s="12"/>
      <c r="F232" s="12"/>
      <c r="G232" s="12"/>
      <c r="H232" s="38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8"/>
      <c r="AS232" s="28"/>
      <c r="AT232" s="28"/>
      <c r="AU232" s="12"/>
      <c r="AV232" s="29"/>
    </row>
    <row r="233" spans="2:48">
      <c r="B233" s="37"/>
      <c r="D233" s="12"/>
      <c r="E233" s="12"/>
      <c r="F233" s="12"/>
      <c r="G233" s="12"/>
      <c r="H233" s="38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8"/>
      <c r="AS233" s="28"/>
      <c r="AT233" s="28"/>
      <c r="AU233" s="12"/>
      <c r="AV233" s="29"/>
    </row>
    <row r="234" spans="2:48">
      <c r="B234" s="39"/>
      <c r="D234" s="12"/>
      <c r="E234" s="12"/>
      <c r="F234" s="12"/>
      <c r="G234" s="12"/>
      <c r="H234" s="38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8"/>
      <c r="AS234" s="28"/>
      <c r="AT234" s="28"/>
      <c r="AU234" s="12"/>
      <c r="AV234" s="29"/>
    </row>
    <row r="235" spans="2:48">
      <c r="B235" s="37"/>
      <c r="D235" s="12"/>
      <c r="E235" s="12"/>
      <c r="F235" s="12"/>
      <c r="G235" s="12"/>
      <c r="H235" s="38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8"/>
      <c r="AS235" s="28"/>
      <c r="AT235" s="28"/>
      <c r="AU235" s="12"/>
      <c r="AV235" s="29"/>
    </row>
    <row r="236" spans="2:48">
      <c r="B236" s="39"/>
      <c r="D236" s="12"/>
      <c r="E236" s="12"/>
      <c r="F236" s="12"/>
      <c r="G236" s="12"/>
      <c r="H236" s="38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8"/>
      <c r="AS236" s="28"/>
      <c r="AT236" s="28"/>
      <c r="AU236" s="12"/>
      <c r="AV236" s="29"/>
    </row>
    <row r="237" spans="2:48">
      <c r="B237" s="39"/>
      <c r="D237" s="12"/>
      <c r="E237" s="12"/>
      <c r="F237" s="12"/>
      <c r="G237" s="12"/>
      <c r="H237" s="38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8"/>
      <c r="AS237" s="28"/>
      <c r="AT237" s="28"/>
      <c r="AU237" s="12"/>
      <c r="AV237" s="29"/>
    </row>
    <row r="238" spans="2:48">
      <c r="B238" s="37"/>
      <c r="D238" s="12"/>
      <c r="E238" s="12"/>
      <c r="F238" s="12"/>
      <c r="G238" s="12"/>
      <c r="H238" s="38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8"/>
      <c r="AS238" s="28"/>
      <c r="AT238" s="28"/>
      <c r="AU238" s="12"/>
      <c r="AV238" s="29"/>
    </row>
    <row r="239" spans="2:48">
      <c r="B239" s="37"/>
      <c r="D239" s="12"/>
      <c r="E239" s="12"/>
      <c r="F239" s="12"/>
      <c r="G239" s="12"/>
      <c r="H239" s="38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8"/>
      <c r="AS239" s="28"/>
      <c r="AT239" s="28"/>
      <c r="AU239" s="12"/>
      <c r="AV239" s="29"/>
    </row>
    <row r="240" spans="2:48">
      <c r="B240" s="39"/>
      <c r="D240" s="12"/>
      <c r="E240" s="12"/>
      <c r="F240" s="12"/>
      <c r="G240" s="12"/>
      <c r="H240" s="38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8"/>
      <c r="AS240" s="28"/>
      <c r="AT240" s="28"/>
      <c r="AU240" s="12"/>
      <c r="AV240" s="29"/>
    </row>
    <row r="241" spans="2:48">
      <c r="B241" s="37"/>
      <c r="D241" s="12"/>
      <c r="E241" s="12"/>
      <c r="F241" s="12"/>
      <c r="G241" s="12"/>
      <c r="H241" s="38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8"/>
      <c r="AS241" s="28"/>
      <c r="AT241" s="28"/>
      <c r="AU241" s="12"/>
      <c r="AV241" s="29"/>
    </row>
    <row r="242" spans="2:48">
      <c r="B242" s="37"/>
      <c r="D242" s="12"/>
      <c r="E242" s="12"/>
      <c r="F242" s="12"/>
      <c r="G242" s="12"/>
      <c r="H242" s="38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8"/>
      <c r="AS242" s="28"/>
      <c r="AT242" s="28"/>
      <c r="AU242" s="12"/>
      <c r="AV242" s="29"/>
    </row>
    <row r="243" spans="2:48">
      <c r="B243" s="39"/>
      <c r="D243" s="12"/>
      <c r="E243" s="12"/>
      <c r="F243" s="12"/>
      <c r="G243" s="12"/>
      <c r="H243" s="38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8"/>
      <c r="AS243" s="28"/>
      <c r="AT243" s="28"/>
      <c r="AU243" s="12"/>
      <c r="AV243" s="29"/>
    </row>
    <row r="244" spans="2:48">
      <c r="B244" s="37"/>
      <c r="D244" s="12"/>
      <c r="E244" s="12"/>
      <c r="F244" s="12"/>
      <c r="G244" s="12"/>
      <c r="H244" s="38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8"/>
      <c r="AS244" s="28"/>
      <c r="AT244" s="28"/>
      <c r="AU244" s="12"/>
      <c r="AV244" s="29"/>
    </row>
    <row r="245" spans="2:48">
      <c r="B245" s="37"/>
      <c r="D245" s="12"/>
      <c r="E245" s="12"/>
      <c r="F245" s="12"/>
      <c r="G245" s="12"/>
      <c r="H245" s="38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8"/>
      <c r="AS245" s="28"/>
      <c r="AT245" s="28"/>
      <c r="AU245" s="12"/>
      <c r="AV245" s="29"/>
    </row>
    <row r="246" spans="2:48">
      <c r="B246" s="39"/>
      <c r="D246" s="12"/>
      <c r="E246" s="12"/>
      <c r="F246" s="12"/>
      <c r="G246" s="12"/>
      <c r="H246" s="38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8"/>
      <c r="AS246" s="28"/>
      <c r="AT246" s="28"/>
      <c r="AU246" s="12"/>
      <c r="AV246" s="29"/>
    </row>
    <row r="247" spans="2:48">
      <c r="B247" s="21"/>
      <c r="D247" s="12"/>
      <c r="E247" s="12"/>
      <c r="F247" s="12"/>
      <c r="G247" s="12"/>
      <c r="H247" s="38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8"/>
      <c r="AS247" s="28"/>
      <c r="AT247" s="28"/>
      <c r="AU247" s="12"/>
      <c r="AV247" s="29"/>
    </row>
    <row r="248" spans="2:48">
      <c r="B248" s="21"/>
      <c r="D248" s="12"/>
      <c r="E248" s="12"/>
      <c r="F248" s="12"/>
      <c r="G248" s="12"/>
      <c r="H248" s="38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8"/>
      <c r="AS248" s="28"/>
      <c r="AT248" s="28"/>
      <c r="AU248" s="12"/>
      <c r="AV248" s="29"/>
    </row>
    <row r="249" spans="2:48">
      <c r="B249" s="21"/>
      <c r="D249" s="12"/>
      <c r="E249" s="12"/>
      <c r="F249" s="12"/>
      <c r="G249" s="12"/>
      <c r="H249" s="38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8"/>
      <c r="AS249" s="28"/>
      <c r="AT249" s="28"/>
      <c r="AU249" s="12"/>
      <c r="AV249" s="29"/>
    </row>
    <row r="250" spans="2:48">
      <c r="B250" s="21"/>
      <c r="D250" s="12"/>
      <c r="E250" s="12"/>
      <c r="F250" s="12"/>
      <c r="G250" s="12"/>
      <c r="H250" s="38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8"/>
      <c r="AS250" s="28"/>
      <c r="AT250" s="28"/>
      <c r="AU250" s="12"/>
      <c r="AV250" s="29"/>
    </row>
    <row r="251" spans="2:48">
      <c r="B251" s="21"/>
      <c r="D251" s="12"/>
      <c r="E251" s="12"/>
      <c r="F251" s="12"/>
      <c r="G251" s="12"/>
      <c r="H251" s="38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8"/>
      <c r="AS251" s="28"/>
      <c r="AT251" s="28"/>
      <c r="AU251" s="12"/>
      <c r="AV251" s="29"/>
    </row>
    <row r="252" spans="2:48">
      <c r="B252" s="21"/>
      <c r="D252" s="12"/>
      <c r="E252" s="12"/>
      <c r="F252" s="12"/>
      <c r="G252" s="12"/>
      <c r="H252" s="38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8"/>
      <c r="AS252" s="28"/>
      <c r="AT252" s="28"/>
      <c r="AU252" s="12"/>
      <c r="AV252" s="29"/>
    </row>
    <row r="253" spans="2:48">
      <c r="B253" s="21"/>
      <c r="D253" s="12"/>
      <c r="E253" s="12"/>
      <c r="F253" s="12"/>
      <c r="G253" s="12"/>
      <c r="H253" s="38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8"/>
      <c r="AS253" s="28"/>
      <c r="AT253" s="28"/>
      <c r="AU253" s="12"/>
      <c r="AV253" s="29"/>
    </row>
    <row r="254" spans="2:48">
      <c r="B254" s="21"/>
      <c r="D254" s="12"/>
      <c r="E254" s="12"/>
      <c r="F254" s="12"/>
      <c r="G254" s="12"/>
      <c r="H254" s="38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8"/>
      <c r="AS254" s="28"/>
      <c r="AT254" s="28"/>
      <c r="AU254" s="12"/>
      <c r="AV254" s="29"/>
    </row>
    <row r="255" spans="2:48">
      <c r="B255" s="21"/>
      <c r="D255" s="12"/>
      <c r="E255" s="12"/>
      <c r="F255" s="12"/>
      <c r="G255" s="12"/>
      <c r="H255" s="38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8"/>
      <c r="AS255" s="28"/>
      <c r="AT255" s="28"/>
      <c r="AU255" s="12"/>
      <c r="AV255" s="29"/>
    </row>
    <row r="256" spans="2:48">
      <c r="B256" s="21"/>
      <c r="D256" s="12"/>
      <c r="E256" s="12"/>
      <c r="F256" s="12"/>
      <c r="G256" s="12"/>
      <c r="H256" s="38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8"/>
      <c r="AS256" s="28"/>
      <c r="AT256" s="28"/>
      <c r="AU256" s="12"/>
      <c r="AV256" s="29"/>
    </row>
    <row r="257" spans="2:48">
      <c r="B257" s="21"/>
      <c r="D257" s="12"/>
      <c r="E257" s="12"/>
      <c r="F257" s="12"/>
      <c r="G257" s="12"/>
      <c r="H257" s="38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8"/>
      <c r="AS257" s="28"/>
      <c r="AT257" s="28"/>
      <c r="AU257" s="12"/>
      <c r="AV257" s="29"/>
    </row>
    <row r="258" spans="2:48">
      <c r="B258" s="21"/>
      <c r="D258" s="12"/>
      <c r="E258" s="12"/>
      <c r="F258" s="12"/>
      <c r="G258" s="12"/>
      <c r="H258" s="38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8"/>
      <c r="AS258" s="28"/>
      <c r="AT258" s="28"/>
      <c r="AU258" s="12"/>
      <c r="AV258" s="29"/>
    </row>
    <row r="259" spans="2:48">
      <c r="B259" s="21"/>
      <c r="D259" s="12"/>
      <c r="E259" s="12"/>
      <c r="F259" s="12"/>
      <c r="G259" s="12"/>
      <c r="H259" s="38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8"/>
      <c r="AS259" s="28"/>
      <c r="AT259" s="28"/>
      <c r="AU259" s="12"/>
      <c r="AV259" s="29"/>
    </row>
    <row r="260" spans="2:48">
      <c r="B260" s="21"/>
      <c r="D260" s="12"/>
      <c r="E260" s="12"/>
      <c r="F260" s="12"/>
      <c r="G260" s="12"/>
      <c r="H260" s="38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8"/>
      <c r="AS260" s="28"/>
      <c r="AT260" s="28"/>
      <c r="AU260" s="12"/>
      <c r="AV260" s="29"/>
    </row>
    <row r="261" spans="1:48">
      <c r="A261" s="36" t="s">
        <v>101</v>
      </c>
      <c r="D261" s="12"/>
      <c r="E261" s="12"/>
      <c r="F261" s="12"/>
      <c r="G261" s="12"/>
      <c r="H261" s="38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8"/>
      <c r="AS261" s="28"/>
      <c r="AT261" s="28"/>
      <c r="AU261" s="12"/>
      <c r="AV261" s="29"/>
    </row>
    <row r="262" spans="1:48">
      <c r="A262" s="36" t="s">
        <v>120</v>
      </c>
      <c r="D262" s="12"/>
      <c r="E262" s="12"/>
      <c r="F262" s="12"/>
      <c r="G262" s="12"/>
      <c r="H262" s="38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8"/>
      <c r="AS262" s="28"/>
      <c r="AT262" s="28"/>
      <c r="AU262" s="12"/>
      <c r="AV262" s="29"/>
    </row>
    <row r="263" spans="1:48">
      <c r="A263" s="36" t="s">
        <v>98</v>
      </c>
      <c r="D263" s="12"/>
      <c r="E263" s="12"/>
      <c r="F263" s="12"/>
      <c r="G263" s="12"/>
      <c r="H263" s="38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8"/>
      <c r="AS263" s="28"/>
      <c r="AT263" s="28"/>
      <c r="AU263" s="12"/>
      <c r="AV263" s="29"/>
    </row>
    <row r="264" spans="1:48">
      <c r="A264" s="40" t="s">
        <v>63</v>
      </c>
      <c r="D264" s="12"/>
      <c r="E264" s="12"/>
      <c r="F264" s="12"/>
      <c r="G264" s="12"/>
      <c r="H264" s="38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8"/>
      <c r="AS264" s="28"/>
      <c r="AT264" s="28"/>
      <c r="AU264" s="12"/>
      <c r="AV264" s="29"/>
    </row>
    <row r="265" spans="4:48">
      <c r="D265" s="12"/>
      <c r="E265" s="12"/>
      <c r="F265" s="12"/>
      <c r="G265" s="12"/>
      <c r="H265" s="38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8"/>
      <c r="AS265" s="28"/>
      <c r="AT265" s="28"/>
      <c r="AU265" s="12"/>
      <c r="AV265" s="29"/>
    </row>
    <row r="266" spans="4:48">
      <c r="D266" s="12"/>
      <c r="E266" s="12"/>
      <c r="F266" s="12"/>
      <c r="G266" s="12"/>
      <c r="H266" s="38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8"/>
      <c r="AS266" s="28"/>
      <c r="AT266" s="28"/>
      <c r="AU266" s="12"/>
      <c r="AV266" s="29"/>
    </row>
    <row r="267" spans="4:48">
      <c r="D267" s="12"/>
      <c r="E267" s="12"/>
      <c r="F267" s="12"/>
      <c r="G267" s="12"/>
      <c r="H267" s="38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8"/>
      <c r="AS267" s="28"/>
      <c r="AT267" s="28"/>
      <c r="AU267" s="12"/>
      <c r="AV267" s="29"/>
    </row>
    <row r="268" spans="4:48">
      <c r="D268" s="12"/>
      <c r="E268" s="12"/>
      <c r="F268" s="12"/>
      <c r="G268" s="12"/>
      <c r="H268" s="38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8"/>
      <c r="AS268" s="28"/>
      <c r="AT268" s="28"/>
      <c r="AU268" s="12"/>
      <c r="AV268" s="29"/>
    </row>
    <row r="269" spans="4:48">
      <c r="D269" s="12"/>
      <c r="E269" s="12"/>
      <c r="F269" s="12"/>
      <c r="G269" s="12"/>
      <c r="H269" s="38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8"/>
      <c r="AS269" s="28"/>
      <c r="AT269" s="28"/>
      <c r="AU269" s="12"/>
      <c r="AV269" s="29"/>
    </row>
    <row r="270" spans="4:48">
      <c r="D270" s="12"/>
      <c r="E270" s="12"/>
      <c r="F270" s="12"/>
      <c r="G270" s="12"/>
      <c r="H270" s="38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8"/>
      <c r="AS270" s="28"/>
      <c r="AT270" s="28"/>
      <c r="AU270" s="12"/>
      <c r="AV270" s="29"/>
    </row>
    <row r="271" spans="4:48">
      <c r="D271" s="12"/>
      <c r="E271" s="12"/>
      <c r="F271" s="12"/>
      <c r="G271" s="12"/>
      <c r="H271" s="38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8"/>
      <c r="AS271" s="28"/>
      <c r="AT271" s="28"/>
      <c r="AU271" s="12"/>
      <c r="AV271" s="29"/>
    </row>
    <row r="272" spans="4:48">
      <c r="D272" s="12"/>
      <c r="E272" s="12"/>
      <c r="F272" s="12"/>
      <c r="G272" s="12"/>
      <c r="H272" s="38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8"/>
      <c r="AS272" s="28"/>
      <c r="AT272" s="28"/>
      <c r="AU272" s="12"/>
      <c r="AV272" s="29"/>
    </row>
    <row r="273" spans="4:48">
      <c r="D273" s="12"/>
      <c r="E273" s="12"/>
      <c r="F273" s="12"/>
      <c r="G273" s="12"/>
      <c r="H273" s="38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8"/>
      <c r="AS273" s="28"/>
      <c r="AT273" s="28"/>
      <c r="AU273" s="12"/>
      <c r="AV273" s="29"/>
    </row>
    <row r="274" spans="4:48">
      <c r="D274" s="12"/>
      <c r="E274" s="12"/>
      <c r="F274" s="12"/>
      <c r="G274" s="12"/>
      <c r="H274" s="38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8"/>
      <c r="AS274" s="28"/>
      <c r="AT274" s="28"/>
      <c r="AU274" s="12"/>
      <c r="AV274" s="29"/>
    </row>
    <row r="275" spans="4:48">
      <c r="D275" s="12"/>
      <c r="E275" s="12"/>
      <c r="F275" s="12"/>
      <c r="G275" s="12"/>
      <c r="H275" s="38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8"/>
      <c r="AS275" s="28"/>
      <c r="AT275" s="28"/>
      <c r="AU275" s="12"/>
      <c r="AV275" s="29"/>
    </row>
    <row r="276" spans="4:48">
      <c r="D276" s="12"/>
      <c r="E276" s="12"/>
      <c r="F276" s="12"/>
      <c r="G276" s="12"/>
      <c r="H276" s="38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8"/>
      <c r="AS276" s="28"/>
      <c r="AT276" s="28"/>
      <c r="AU276" s="12"/>
      <c r="AV276" s="29"/>
    </row>
    <row r="277" spans="4:48">
      <c r="D277" s="12"/>
      <c r="E277" s="12"/>
      <c r="F277" s="12"/>
      <c r="G277" s="12"/>
      <c r="H277" s="38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8"/>
      <c r="AS277" s="28"/>
      <c r="AT277" s="28"/>
      <c r="AU277" s="12"/>
      <c r="AV277" s="29"/>
    </row>
    <row r="278" spans="4:48">
      <c r="D278" s="12"/>
      <c r="E278" s="12"/>
      <c r="F278" s="12"/>
      <c r="G278" s="12"/>
      <c r="H278" s="38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8"/>
      <c r="AS278" s="28"/>
      <c r="AT278" s="28"/>
      <c r="AU278" s="12"/>
      <c r="AV278" s="29"/>
    </row>
    <row r="279" spans="4:48">
      <c r="D279" s="12"/>
      <c r="E279" s="12"/>
      <c r="F279" s="12"/>
      <c r="G279" s="12"/>
      <c r="H279" s="38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8"/>
      <c r="AS279" s="28"/>
      <c r="AT279" s="28"/>
      <c r="AU279" s="12"/>
      <c r="AV279" s="29"/>
    </row>
    <row r="280" spans="4:48">
      <c r="D280" s="12"/>
      <c r="E280" s="12"/>
      <c r="F280" s="12"/>
      <c r="G280" s="12"/>
      <c r="H280" s="38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8"/>
      <c r="AS280" s="28"/>
      <c r="AT280" s="28"/>
      <c r="AU280" s="12"/>
      <c r="AV280" s="29"/>
    </row>
    <row r="281" spans="4:48">
      <c r="D281" s="12"/>
      <c r="E281" s="12"/>
      <c r="F281" s="12"/>
      <c r="G281" s="12"/>
      <c r="H281" s="38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8"/>
      <c r="AS281" s="28"/>
      <c r="AT281" s="28"/>
      <c r="AU281" s="12"/>
      <c r="AV281" s="29"/>
    </row>
    <row r="282" spans="4:48">
      <c r="D282" s="12"/>
      <c r="E282" s="12"/>
      <c r="F282" s="12"/>
      <c r="G282" s="12"/>
      <c r="H282" s="38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8"/>
      <c r="AS282" s="28"/>
      <c r="AT282" s="28"/>
      <c r="AU282" s="12"/>
      <c r="AV282" s="29"/>
    </row>
    <row r="283" spans="4:48">
      <c r="D283" s="12"/>
      <c r="E283" s="12"/>
      <c r="F283" s="12"/>
      <c r="G283" s="12"/>
      <c r="H283" s="38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8"/>
      <c r="AS283" s="28"/>
      <c r="AT283" s="28"/>
      <c r="AU283" s="12"/>
      <c r="AV283" s="29"/>
    </row>
    <row r="284" spans="4:48">
      <c r="D284" s="12"/>
      <c r="E284" s="12"/>
      <c r="F284" s="12"/>
      <c r="G284" s="12"/>
      <c r="H284" s="38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8"/>
      <c r="AS284" s="28"/>
      <c r="AT284" s="28"/>
      <c r="AU284" s="12"/>
      <c r="AV284" s="29"/>
    </row>
    <row r="285" spans="4:48">
      <c r="D285" s="12"/>
      <c r="E285" s="12"/>
      <c r="F285" s="12"/>
      <c r="G285" s="12"/>
      <c r="H285" s="38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8"/>
      <c r="AS285" s="28"/>
      <c r="AT285" s="28"/>
      <c r="AU285" s="12"/>
      <c r="AV285" s="29"/>
    </row>
    <row r="286" spans="4:48">
      <c r="D286" s="12"/>
      <c r="E286" s="12"/>
      <c r="F286" s="12"/>
      <c r="G286" s="12"/>
      <c r="H286" s="38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8"/>
      <c r="AS286" s="28"/>
      <c r="AT286" s="28"/>
      <c r="AU286" s="12"/>
      <c r="AV286" s="29"/>
    </row>
    <row r="287" spans="4:48">
      <c r="D287" s="12"/>
      <c r="E287" s="12"/>
      <c r="F287" s="12"/>
      <c r="G287" s="12"/>
      <c r="H287" s="38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8"/>
      <c r="AS287" s="28"/>
      <c r="AT287" s="28"/>
      <c r="AU287" s="12"/>
      <c r="AV287" s="29"/>
    </row>
    <row r="288" spans="4:48">
      <c r="D288" s="12"/>
      <c r="E288" s="12"/>
      <c r="F288" s="12"/>
      <c r="G288" s="12"/>
      <c r="H288" s="38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8"/>
      <c r="AS288" s="28"/>
      <c r="AT288" s="28"/>
      <c r="AU288" s="12"/>
      <c r="AV288" s="29"/>
    </row>
    <row r="289" spans="4:48">
      <c r="D289" s="12"/>
      <c r="E289" s="12"/>
      <c r="F289" s="12"/>
      <c r="G289" s="12"/>
      <c r="H289" s="38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8"/>
      <c r="AS289" s="28"/>
      <c r="AT289" s="28"/>
      <c r="AU289" s="12"/>
      <c r="AV289" s="29"/>
    </row>
    <row r="290" spans="4:48">
      <c r="D290" s="12"/>
      <c r="E290" s="12"/>
      <c r="F290" s="12"/>
      <c r="G290" s="12"/>
      <c r="H290" s="38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8"/>
      <c r="AS290" s="28"/>
      <c r="AT290" s="28"/>
      <c r="AU290" s="12"/>
      <c r="AV290" s="29"/>
    </row>
    <row r="291" spans="4:48">
      <c r="D291" s="12"/>
      <c r="E291" s="12"/>
      <c r="F291" s="12"/>
      <c r="G291" s="12"/>
      <c r="H291" s="38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8"/>
      <c r="AS291" s="28"/>
      <c r="AT291" s="28"/>
      <c r="AU291" s="12"/>
      <c r="AV291" s="29"/>
    </row>
    <row r="292" spans="4:48">
      <c r="D292" s="12"/>
      <c r="E292" s="12"/>
      <c r="F292" s="12"/>
      <c r="G292" s="12"/>
      <c r="H292" s="38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8"/>
      <c r="AS292" s="28"/>
      <c r="AT292" s="28"/>
      <c r="AU292" s="12"/>
      <c r="AV292" s="29"/>
    </row>
    <row r="293" spans="4:48">
      <c r="D293" s="12"/>
      <c r="E293" s="12"/>
      <c r="F293" s="12"/>
      <c r="G293" s="12"/>
      <c r="H293" s="38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8"/>
      <c r="AS293" s="28"/>
      <c r="AT293" s="28"/>
      <c r="AU293" s="12"/>
      <c r="AV293" s="29"/>
    </row>
    <row r="294" spans="4:48">
      <c r="D294" s="12"/>
      <c r="E294" s="12"/>
      <c r="F294" s="12"/>
      <c r="G294" s="12"/>
      <c r="H294" s="38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8"/>
      <c r="AS294" s="28"/>
      <c r="AT294" s="28"/>
      <c r="AU294" s="12"/>
      <c r="AV294" s="29"/>
    </row>
    <row r="295" spans="4:48">
      <c r="D295" s="12"/>
      <c r="E295" s="12"/>
      <c r="F295" s="12"/>
      <c r="G295" s="12"/>
      <c r="H295" s="38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8"/>
      <c r="AS295" s="28"/>
      <c r="AT295" s="28"/>
      <c r="AU295" s="12"/>
      <c r="AV295" s="29"/>
    </row>
    <row r="296" spans="4:48">
      <c r="D296" s="12"/>
      <c r="E296" s="12"/>
      <c r="F296" s="12"/>
      <c r="G296" s="12"/>
      <c r="H296" s="38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8"/>
      <c r="AS296" s="28"/>
      <c r="AT296" s="28"/>
      <c r="AU296" s="12"/>
      <c r="AV296" s="29"/>
    </row>
    <row r="297" spans="4:48">
      <c r="D297" s="12"/>
      <c r="E297" s="12"/>
      <c r="F297" s="12"/>
      <c r="G297" s="12"/>
      <c r="H297" s="38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8"/>
      <c r="AS297" s="28"/>
      <c r="AT297" s="28"/>
      <c r="AU297" s="12"/>
      <c r="AV297" s="29"/>
    </row>
    <row r="298" spans="4:48">
      <c r="D298" s="12"/>
      <c r="E298" s="12"/>
      <c r="F298" s="12"/>
      <c r="G298" s="12"/>
      <c r="H298" s="38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8"/>
      <c r="AS298" s="28"/>
      <c r="AT298" s="28"/>
      <c r="AU298" s="12"/>
      <c r="AV298" s="29"/>
    </row>
    <row r="299" spans="4:48">
      <c r="D299" s="12"/>
      <c r="E299" s="12"/>
      <c r="F299" s="12"/>
      <c r="G299" s="12"/>
      <c r="H299" s="38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8"/>
      <c r="AS299" s="28"/>
      <c r="AT299" s="28"/>
      <c r="AU299" s="12"/>
      <c r="AV299" s="29"/>
    </row>
    <row r="300" spans="4:48">
      <c r="D300" s="12"/>
      <c r="E300" s="12"/>
      <c r="F300" s="12"/>
      <c r="G300" s="12"/>
      <c r="H300" s="38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8"/>
      <c r="AS300" s="28"/>
      <c r="AT300" s="28"/>
      <c r="AU300" s="12"/>
      <c r="AV300" s="29"/>
    </row>
    <row r="301" spans="4:48">
      <c r="D301" s="12"/>
      <c r="E301" s="12"/>
      <c r="F301" s="12"/>
      <c r="G301" s="12"/>
      <c r="H301" s="38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8"/>
      <c r="AS301" s="28"/>
      <c r="AT301" s="28"/>
      <c r="AU301" s="12"/>
      <c r="AV301" s="29"/>
    </row>
    <row r="302" spans="4:48">
      <c r="D302" s="12"/>
      <c r="E302" s="12"/>
      <c r="F302" s="12"/>
      <c r="G302" s="12"/>
      <c r="H302" s="38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8"/>
      <c r="AS302" s="28"/>
      <c r="AT302" s="28"/>
      <c r="AU302" s="12"/>
      <c r="AV302" s="29"/>
    </row>
    <row r="303" spans="4:48">
      <c r="D303" s="12"/>
      <c r="E303" s="12"/>
      <c r="F303" s="12"/>
      <c r="G303" s="12"/>
      <c r="H303" s="38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8"/>
      <c r="AS303" s="28"/>
      <c r="AT303" s="28"/>
      <c r="AU303" s="12"/>
      <c r="AV303" s="29"/>
    </row>
    <row r="304" spans="4:48">
      <c r="D304" s="12"/>
      <c r="E304" s="12"/>
      <c r="F304" s="12"/>
      <c r="G304" s="12"/>
      <c r="H304" s="38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8"/>
      <c r="AS304" s="28"/>
      <c r="AT304" s="28"/>
      <c r="AU304" s="12"/>
      <c r="AV304" s="29"/>
    </row>
    <row r="305" spans="4:48">
      <c r="D305" s="12"/>
      <c r="E305" s="12"/>
      <c r="F305" s="12"/>
      <c r="G305" s="12"/>
      <c r="H305" s="38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8"/>
      <c r="AS305" s="28"/>
      <c r="AT305" s="28"/>
      <c r="AU305" s="12"/>
      <c r="AV305" s="29"/>
    </row>
    <row r="306" spans="4:48">
      <c r="D306" s="12"/>
      <c r="E306" s="12"/>
      <c r="F306" s="12"/>
      <c r="G306" s="12"/>
      <c r="H306" s="38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8"/>
      <c r="AS306" s="28"/>
      <c r="AT306" s="28"/>
      <c r="AU306" s="12"/>
      <c r="AV306" s="29"/>
    </row>
    <row r="307" spans="4:48">
      <c r="D307" s="12"/>
      <c r="E307" s="12"/>
      <c r="F307" s="12"/>
      <c r="G307" s="12"/>
      <c r="H307" s="38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8"/>
      <c r="AS307" s="28"/>
      <c r="AT307" s="28"/>
      <c r="AU307" s="12"/>
      <c r="AV307" s="29"/>
    </row>
    <row r="308" spans="4:48">
      <c r="D308" s="12"/>
      <c r="E308" s="12"/>
      <c r="F308" s="12"/>
      <c r="G308" s="12"/>
      <c r="H308" s="38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8"/>
      <c r="AS308" s="28"/>
      <c r="AT308" s="28"/>
      <c r="AU308" s="12"/>
      <c r="AV308" s="29"/>
    </row>
    <row r="309" spans="4:48">
      <c r="D309" s="12"/>
      <c r="E309" s="12"/>
      <c r="F309" s="12"/>
      <c r="G309" s="12"/>
      <c r="H309" s="38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8"/>
      <c r="AS309" s="28"/>
      <c r="AT309" s="28"/>
      <c r="AU309" s="12"/>
      <c r="AV309" s="29"/>
    </row>
    <row r="310" spans="4:48">
      <c r="D310" s="12"/>
      <c r="E310" s="12"/>
      <c r="F310" s="12"/>
      <c r="G310" s="12"/>
      <c r="H310" s="38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8"/>
      <c r="AS310" s="28"/>
      <c r="AT310" s="28"/>
      <c r="AU310" s="12"/>
      <c r="AV310" s="29"/>
    </row>
    <row r="311" spans="4:48">
      <c r="D311" s="12"/>
      <c r="E311" s="12"/>
      <c r="F311" s="12"/>
      <c r="G311" s="12"/>
      <c r="H311" s="38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8"/>
      <c r="AS311" s="28"/>
      <c r="AT311" s="28"/>
      <c r="AU311" s="12"/>
      <c r="AV311" s="29"/>
    </row>
    <row r="312" spans="4:48">
      <c r="D312" s="12"/>
      <c r="E312" s="12"/>
      <c r="F312" s="12"/>
      <c r="G312" s="12"/>
      <c r="H312" s="38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8"/>
      <c r="AS312" s="28"/>
      <c r="AT312" s="28"/>
      <c r="AU312" s="12"/>
      <c r="AV312" s="29"/>
    </row>
    <row r="313" spans="4:48">
      <c r="D313" s="12"/>
      <c r="E313" s="12"/>
      <c r="F313" s="12"/>
      <c r="G313" s="12"/>
      <c r="H313" s="38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8"/>
      <c r="AS313" s="28"/>
      <c r="AT313" s="28"/>
      <c r="AU313" s="12"/>
      <c r="AV313" s="29"/>
    </row>
    <row r="314" spans="4:48">
      <c r="D314" s="12"/>
      <c r="E314" s="12"/>
      <c r="F314" s="12"/>
      <c r="G314" s="12"/>
      <c r="H314" s="38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8"/>
      <c r="AS314" s="28"/>
      <c r="AT314" s="28"/>
      <c r="AU314" s="12"/>
      <c r="AV314" s="29"/>
    </row>
    <row r="315" spans="4:48">
      <c r="D315" s="12"/>
      <c r="E315" s="12"/>
      <c r="F315" s="12"/>
      <c r="G315" s="12"/>
      <c r="H315" s="38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8"/>
      <c r="AS315" s="28"/>
      <c r="AT315" s="28"/>
      <c r="AU315" s="12"/>
      <c r="AV315" s="29"/>
    </row>
    <row r="316" spans="4:48">
      <c r="D316" s="12"/>
      <c r="E316" s="12"/>
      <c r="F316" s="12"/>
      <c r="G316" s="12"/>
      <c r="H316" s="38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8"/>
      <c r="AS316" s="28"/>
      <c r="AT316" s="28"/>
      <c r="AU316" s="12"/>
      <c r="AV316" s="29"/>
    </row>
    <row r="317" spans="4:48">
      <c r="D317" s="12"/>
      <c r="E317" s="12"/>
      <c r="F317" s="12"/>
      <c r="G317" s="12"/>
      <c r="H317" s="38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8"/>
      <c r="AS317" s="28"/>
      <c r="AT317" s="28"/>
      <c r="AU317" s="12"/>
      <c r="AV317" s="29"/>
    </row>
    <row r="318" spans="4:48">
      <c r="D318" s="12"/>
      <c r="E318" s="12"/>
      <c r="F318" s="12"/>
      <c r="G318" s="12"/>
      <c r="H318" s="38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8"/>
      <c r="AS318" s="28"/>
      <c r="AT318" s="28"/>
      <c r="AU318" s="12"/>
      <c r="AV318" s="29"/>
    </row>
    <row r="319" spans="4:48">
      <c r="D319" s="12"/>
      <c r="E319" s="12"/>
      <c r="F319" s="12"/>
      <c r="G319" s="12"/>
      <c r="H319" s="38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8"/>
      <c r="AS319" s="28"/>
      <c r="AT319" s="28"/>
      <c r="AU319" s="12"/>
      <c r="AV319" s="29"/>
    </row>
    <row r="320" spans="4:48">
      <c r="D320" s="12"/>
      <c r="E320" s="12"/>
      <c r="F320" s="12"/>
      <c r="G320" s="12"/>
      <c r="H320" s="38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8"/>
      <c r="AS320" s="28"/>
      <c r="AT320" s="28"/>
      <c r="AU320" s="12"/>
      <c r="AV320" s="29"/>
    </row>
    <row r="321" spans="4:48">
      <c r="D321" s="12"/>
      <c r="E321" s="12"/>
      <c r="F321" s="12"/>
      <c r="G321" s="12"/>
      <c r="H321" s="38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8"/>
      <c r="AS321" s="28"/>
      <c r="AT321" s="28"/>
      <c r="AU321" s="12"/>
      <c r="AV321" s="29"/>
    </row>
    <row r="322" spans="4:48">
      <c r="D322" s="12"/>
      <c r="E322" s="12"/>
      <c r="F322" s="12"/>
      <c r="G322" s="12"/>
      <c r="H322" s="38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8"/>
      <c r="AS322" s="28"/>
      <c r="AT322" s="28"/>
      <c r="AU322" s="12"/>
      <c r="AV322" s="29"/>
    </row>
    <row r="323" spans="4:48">
      <c r="D323" s="12"/>
      <c r="E323" s="12"/>
      <c r="F323" s="12"/>
      <c r="G323" s="12"/>
      <c r="H323" s="38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8"/>
      <c r="AS323" s="28"/>
      <c r="AT323" s="28"/>
      <c r="AU323" s="12"/>
      <c r="AV323" s="29"/>
    </row>
    <row r="324" spans="4:48">
      <c r="D324" s="12"/>
      <c r="E324" s="12"/>
      <c r="F324" s="12"/>
      <c r="G324" s="12"/>
      <c r="H324" s="38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8"/>
      <c r="AS324" s="28"/>
      <c r="AT324" s="28"/>
      <c r="AU324" s="12"/>
      <c r="AV324" s="29"/>
    </row>
    <row r="325" spans="4:48">
      <c r="D325" s="12"/>
      <c r="E325" s="12"/>
      <c r="F325" s="12"/>
      <c r="G325" s="12"/>
      <c r="H325" s="38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8"/>
      <c r="AS325" s="28"/>
      <c r="AT325" s="28"/>
      <c r="AU325" s="12"/>
      <c r="AV325" s="29"/>
    </row>
    <row r="326" spans="4:48">
      <c r="D326" s="12"/>
      <c r="E326" s="12"/>
      <c r="F326" s="12"/>
      <c r="G326" s="12"/>
      <c r="H326" s="38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8"/>
      <c r="AS326" s="28"/>
      <c r="AT326" s="28"/>
      <c r="AU326" s="12"/>
      <c r="AV326" s="29"/>
    </row>
    <row r="327" spans="4:48">
      <c r="D327" s="12"/>
      <c r="E327" s="12"/>
      <c r="F327" s="12"/>
      <c r="G327" s="12"/>
      <c r="H327" s="38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8"/>
      <c r="AS327" s="28"/>
      <c r="AT327" s="28"/>
      <c r="AU327" s="12"/>
      <c r="AV327" s="29"/>
    </row>
    <row r="328" spans="4:48">
      <c r="D328" s="12"/>
      <c r="E328" s="12"/>
      <c r="F328" s="12"/>
      <c r="G328" s="12"/>
      <c r="H328" s="38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8"/>
      <c r="AS328" s="28"/>
      <c r="AT328" s="28"/>
      <c r="AU328" s="12"/>
      <c r="AV328" s="29"/>
    </row>
    <row r="329" spans="4:48">
      <c r="D329" s="12"/>
      <c r="E329" s="12"/>
      <c r="F329" s="12"/>
      <c r="G329" s="12"/>
      <c r="H329" s="38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8"/>
      <c r="AS329" s="28"/>
      <c r="AT329" s="28"/>
      <c r="AU329" s="12"/>
      <c r="AV329" s="29"/>
    </row>
    <row r="330" spans="4:48">
      <c r="D330" s="12"/>
      <c r="E330" s="12"/>
      <c r="F330" s="12"/>
      <c r="G330" s="12"/>
      <c r="H330" s="38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8"/>
      <c r="AS330" s="28"/>
      <c r="AT330" s="28"/>
      <c r="AU330" s="12"/>
      <c r="AV330" s="29"/>
    </row>
    <row r="331" spans="4:48">
      <c r="D331" s="12"/>
      <c r="E331" s="12"/>
      <c r="F331" s="12"/>
      <c r="G331" s="12"/>
      <c r="H331" s="38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8"/>
      <c r="AS331" s="28"/>
      <c r="AT331" s="28"/>
      <c r="AU331" s="12"/>
      <c r="AV331" s="29"/>
    </row>
    <row r="332" spans="4:48">
      <c r="D332" s="12"/>
      <c r="E332" s="12"/>
      <c r="F332" s="12"/>
      <c r="G332" s="12"/>
      <c r="H332" s="38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8"/>
      <c r="AS332" s="28"/>
      <c r="AT332" s="28"/>
      <c r="AU332" s="12"/>
      <c r="AV332" s="29"/>
    </row>
    <row r="333" spans="4:48">
      <c r="D333" s="12"/>
      <c r="E333" s="12"/>
      <c r="F333" s="12"/>
      <c r="G333" s="12"/>
      <c r="H333" s="38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8"/>
      <c r="AS333" s="28"/>
      <c r="AT333" s="28"/>
      <c r="AU333" s="12"/>
      <c r="AV333" s="29"/>
    </row>
    <row r="334" spans="4:48">
      <c r="D334" s="12"/>
      <c r="E334" s="12"/>
      <c r="F334" s="12"/>
      <c r="G334" s="12"/>
      <c r="H334" s="38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8"/>
      <c r="AS334" s="28"/>
      <c r="AT334" s="28"/>
      <c r="AU334" s="12"/>
      <c r="AV334" s="29"/>
    </row>
    <row r="335" spans="4:48">
      <c r="D335" s="12"/>
      <c r="E335" s="12"/>
      <c r="F335" s="12"/>
      <c r="G335" s="12"/>
      <c r="H335" s="38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8"/>
      <c r="AS335" s="28"/>
      <c r="AT335" s="28"/>
      <c r="AU335" s="12"/>
      <c r="AV335" s="29"/>
    </row>
    <row r="336" spans="4:48">
      <c r="D336" s="12"/>
      <c r="E336" s="12"/>
      <c r="F336" s="12"/>
      <c r="G336" s="12"/>
      <c r="H336" s="38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8"/>
      <c r="AS336" s="28"/>
      <c r="AT336" s="28"/>
      <c r="AU336" s="12"/>
      <c r="AV336" s="29"/>
    </row>
    <row r="337" spans="4:48">
      <c r="D337" s="12"/>
      <c r="E337" s="12"/>
      <c r="F337" s="12"/>
      <c r="G337" s="12"/>
      <c r="H337" s="38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8"/>
      <c r="AS337" s="28"/>
      <c r="AT337" s="28"/>
      <c r="AU337" s="12"/>
      <c r="AV337" s="29"/>
    </row>
    <row r="338" spans="4:48">
      <c r="D338" s="12"/>
      <c r="E338" s="12"/>
      <c r="F338" s="12"/>
      <c r="G338" s="12"/>
      <c r="H338" s="38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8"/>
      <c r="AS338" s="28"/>
      <c r="AT338" s="28"/>
      <c r="AU338" s="12"/>
      <c r="AV338" s="29"/>
    </row>
    <row r="339" spans="4:48">
      <c r="D339" s="12"/>
      <c r="E339" s="12"/>
      <c r="F339" s="12"/>
      <c r="G339" s="12"/>
      <c r="H339" s="38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8"/>
      <c r="AS339" s="28"/>
      <c r="AT339" s="28"/>
      <c r="AU339" s="12"/>
      <c r="AV339" s="29"/>
    </row>
    <row r="340" spans="4:48">
      <c r="D340" s="12"/>
      <c r="E340" s="12"/>
      <c r="F340" s="12"/>
      <c r="G340" s="12"/>
      <c r="H340" s="38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8"/>
      <c r="AS340" s="28"/>
      <c r="AT340" s="28"/>
      <c r="AU340" s="12"/>
      <c r="AV340" s="29"/>
    </row>
    <row r="341" spans="4:48">
      <c r="D341" s="12"/>
      <c r="E341" s="12"/>
      <c r="F341" s="12"/>
      <c r="G341" s="12"/>
      <c r="H341" s="38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8"/>
      <c r="AS341" s="28"/>
      <c r="AT341" s="28"/>
      <c r="AU341" s="12"/>
      <c r="AV341" s="29"/>
    </row>
    <row r="342" spans="4:48">
      <c r="D342" s="12"/>
      <c r="E342" s="12"/>
      <c r="F342" s="12"/>
      <c r="G342" s="12"/>
      <c r="H342" s="38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8"/>
      <c r="AS342" s="28"/>
      <c r="AT342" s="28"/>
      <c r="AU342" s="12"/>
      <c r="AV342" s="29"/>
    </row>
    <row r="343" spans="4:48">
      <c r="D343" s="12"/>
      <c r="E343" s="12"/>
      <c r="F343" s="12"/>
      <c r="G343" s="12"/>
      <c r="H343" s="38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8"/>
      <c r="AS343" s="28"/>
      <c r="AT343" s="28"/>
      <c r="AU343" s="12"/>
      <c r="AV343" s="29"/>
    </row>
    <row r="344" spans="4:48">
      <c r="D344" s="12"/>
      <c r="E344" s="12"/>
      <c r="F344" s="12"/>
      <c r="G344" s="12"/>
      <c r="H344" s="38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8"/>
      <c r="AS344" s="28"/>
      <c r="AT344" s="28"/>
      <c r="AU344" s="12"/>
      <c r="AV344" s="29"/>
    </row>
    <row r="345" spans="4:48">
      <c r="D345" s="12"/>
      <c r="E345" s="12"/>
      <c r="F345" s="12"/>
      <c r="G345" s="12"/>
      <c r="H345" s="38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8"/>
      <c r="AS345" s="28"/>
      <c r="AT345" s="28"/>
      <c r="AU345" s="12"/>
      <c r="AV345" s="29"/>
    </row>
    <row r="346" spans="4:48">
      <c r="D346" s="12"/>
      <c r="E346" s="12"/>
      <c r="F346" s="12"/>
      <c r="G346" s="12"/>
      <c r="H346" s="38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8"/>
      <c r="AS346" s="28"/>
      <c r="AT346" s="28"/>
      <c r="AU346" s="12"/>
      <c r="AV346" s="29"/>
    </row>
    <row r="347" spans="4:48">
      <c r="D347" s="12"/>
      <c r="E347" s="12"/>
      <c r="F347" s="12"/>
      <c r="G347" s="12"/>
      <c r="H347" s="38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8"/>
      <c r="AS347" s="28"/>
      <c r="AT347" s="28"/>
      <c r="AU347" s="12"/>
      <c r="AV347" s="29"/>
    </row>
    <row r="348" spans="4:48">
      <c r="D348" s="12"/>
      <c r="E348" s="12"/>
      <c r="F348" s="12"/>
      <c r="G348" s="12"/>
      <c r="H348" s="38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8"/>
      <c r="AS348" s="28"/>
      <c r="AT348" s="28"/>
      <c r="AU348" s="12"/>
      <c r="AV348" s="29"/>
    </row>
    <row r="349" spans="4:48">
      <c r="D349" s="12"/>
      <c r="E349" s="12"/>
      <c r="F349" s="12"/>
      <c r="G349" s="12"/>
      <c r="H349" s="38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8"/>
      <c r="AS349" s="28"/>
      <c r="AT349" s="28"/>
      <c r="AU349" s="12"/>
      <c r="AV349" s="29"/>
    </row>
    <row r="350" spans="4:48">
      <c r="D350" s="12"/>
      <c r="E350" s="12"/>
      <c r="F350" s="12"/>
      <c r="G350" s="12"/>
      <c r="H350" s="38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8"/>
      <c r="AS350" s="28"/>
      <c r="AT350" s="28"/>
      <c r="AU350" s="12"/>
      <c r="AV350" s="29"/>
    </row>
    <row r="351" spans="4:48">
      <c r="D351" s="12"/>
      <c r="E351" s="12"/>
      <c r="F351" s="12"/>
      <c r="G351" s="12"/>
      <c r="H351" s="38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8"/>
      <c r="AS351" s="28"/>
      <c r="AT351" s="28"/>
      <c r="AU351" s="12"/>
      <c r="AV351" s="29"/>
    </row>
    <row r="352" spans="4:48">
      <c r="D352" s="12"/>
      <c r="E352" s="12"/>
      <c r="F352" s="12"/>
      <c r="G352" s="12"/>
      <c r="H352" s="38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8"/>
      <c r="AS352" s="28"/>
      <c r="AT352" s="28"/>
      <c r="AU352" s="12"/>
      <c r="AV352" s="29"/>
    </row>
    <row r="353" spans="4:48">
      <c r="D353" s="12"/>
      <c r="E353" s="12"/>
      <c r="F353" s="12"/>
      <c r="G353" s="12"/>
      <c r="H353" s="38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8"/>
      <c r="AS353" s="28"/>
      <c r="AT353" s="28"/>
      <c r="AU353" s="12"/>
      <c r="AV353" s="29"/>
    </row>
    <row r="354" spans="4:48">
      <c r="D354" s="12"/>
      <c r="E354" s="12"/>
      <c r="F354" s="12"/>
      <c r="G354" s="12"/>
      <c r="H354" s="38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8"/>
      <c r="AS354" s="28"/>
      <c r="AT354" s="28"/>
      <c r="AU354" s="12"/>
      <c r="AV354" s="29"/>
    </row>
    <row r="355" spans="4:48">
      <c r="D355" s="12"/>
      <c r="E355" s="12"/>
      <c r="F355" s="12"/>
      <c r="G355" s="12"/>
      <c r="H355" s="38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8"/>
      <c r="AS355" s="28"/>
      <c r="AT355" s="28"/>
      <c r="AU355" s="12"/>
      <c r="AV355" s="29"/>
    </row>
    <row r="356" spans="4:48">
      <c r="D356" s="12"/>
      <c r="E356" s="12"/>
      <c r="F356" s="12"/>
      <c r="G356" s="12"/>
      <c r="H356" s="38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8"/>
      <c r="AS356" s="28"/>
      <c r="AT356" s="28"/>
      <c r="AU356" s="12"/>
      <c r="AV356" s="29"/>
    </row>
    <row r="357" spans="4:48">
      <c r="D357" s="12"/>
      <c r="E357" s="12"/>
      <c r="F357" s="12"/>
      <c r="G357" s="12"/>
      <c r="H357" s="38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8"/>
      <c r="AS357" s="28"/>
      <c r="AT357" s="28"/>
      <c r="AU357" s="12"/>
      <c r="AV357" s="29"/>
    </row>
    <row r="358" spans="4:48">
      <c r="D358" s="12"/>
      <c r="E358" s="12"/>
      <c r="F358" s="12"/>
      <c r="G358" s="12"/>
      <c r="H358" s="38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8"/>
      <c r="AS358" s="28"/>
      <c r="AT358" s="28"/>
      <c r="AU358" s="12"/>
      <c r="AV358" s="29"/>
    </row>
    <row r="359" spans="4:48">
      <c r="D359" s="12"/>
      <c r="E359" s="12"/>
      <c r="F359" s="12"/>
      <c r="G359" s="12"/>
      <c r="H359" s="38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8"/>
      <c r="AS359" s="28"/>
      <c r="AT359" s="28"/>
      <c r="AU359" s="12"/>
      <c r="AV359" s="29"/>
    </row>
    <row r="360" spans="4:48">
      <c r="D360" s="12"/>
      <c r="E360" s="12"/>
      <c r="F360" s="12"/>
      <c r="G360" s="12"/>
      <c r="H360" s="38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8"/>
      <c r="AS360" s="28"/>
      <c r="AT360" s="28"/>
      <c r="AU360" s="12"/>
      <c r="AV360" s="29"/>
    </row>
    <row r="361" spans="4:48">
      <c r="D361" s="12"/>
      <c r="E361" s="12"/>
      <c r="F361" s="12"/>
      <c r="G361" s="12"/>
      <c r="H361" s="38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8"/>
      <c r="AS361" s="28"/>
      <c r="AT361" s="28"/>
      <c r="AU361" s="12"/>
      <c r="AV361" s="29"/>
    </row>
    <row r="362" spans="4:48">
      <c r="D362" s="12"/>
      <c r="E362" s="12"/>
      <c r="F362" s="12"/>
      <c r="G362" s="12"/>
      <c r="H362" s="38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8"/>
      <c r="AS362" s="28"/>
      <c r="AT362" s="28"/>
      <c r="AU362" s="12"/>
      <c r="AV362" s="29"/>
    </row>
    <row r="363" spans="4:48">
      <c r="D363" s="12"/>
      <c r="E363" s="12"/>
      <c r="F363" s="12"/>
      <c r="G363" s="12"/>
      <c r="H363" s="38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8"/>
      <c r="AS363" s="28"/>
      <c r="AT363" s="28"/>
      <c r="AU363" s="12"/>
      <c r="AV363" s="29"/>
    </row>
    <row r="364" spans="4:48">
      <c r="D364" s="12"/>
      <c r="E364" s="12"/>
      <c r="F364" s="12"/>
      <c r="G364" s="12"/>
      <c r="H364" s="38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8"/>
      <c r="AS364" s="28"/>
      <c r="AT364" s="28"/>
      <c r="AU364" s="12"/>
      <c r="AV364" s="29"/>
    </row>
    <row r="365" spans="4:48">
      <c r="D365" s="12"/>
      <c r="E365" s="12"/>
      <c r="F365" s="12"/>
      <c r="G365" s="12"/>
      <c r="H365" s="38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8"/>
      <c r="AS365" s="28"/>
      <c r="AT365" s="28"/>
      <c r="AU365" s="12"/>
      <c r="AV365" s="29"/>
    </row>
    <row r="366" spans="4:48">
      <c r="D366" s="12"/>
      <c r="E366" s="12"/>
      <c r="F366" s="12"/>
      <c r="G366" s="12"/>
      <c r="H366" s="38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8"/>
      <c r="AS366" s="28"/>
      <c r="AT366" s="28"/>
      <c r="AU366" s="12"/>
      <c r="AV366" s="29"/>
    </row>
    <row r="367" spans="4:48">
      <c r="D367" s="12"/>
      <c r="E367" s="12"/>
      <c r="F367" s="12"/>
      <c r="G367" s="12"/>
      <c r="H367" s="38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8"/>
      <c r="AS367" s="28"/>
      <c r="AT367" s="28"/>
      <c r="AU367" s="12"/>
      <c r="AV367" s="29"/>
    </row>
    <row r="368" spans="4:48">
      <c r="D368" s="12"/>
      <c r="E368" s="12"/>
      <c r="F368" s="12"/>
      <c r="G368" s="12"/>
      <c r="H368" s="38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8"/>
      <c r="AS368" s="28"/>
      <c r="AT368" s="28"/>
      <c r="AU368" s="12"/>
      <c r="AV368" s="29"/>
    </row>
    <row r="369" spans="4:48">
      <c r="D369" s="12"/>
      <c r="E369" s="12"/>
      <c r="F369" s="12"/>
      <c r="G369" s="12"/>
      <c r="H369" s="38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8"/>
      <c r="AS369" s="28"/>
      <c r="AT369" s="28"/>
      <c r="AU369" s="12"/>
      <c r="AV369" s="29"/>
    </row>
    <row r="370" spans="4:48">
      <c r="D370" s="12"/>
      <c r="E370" s="12"/>
      <c r="F370" s="12"/>
      <c r="G370" s="12"/>
      <c r="H370" s="38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8"/>
      <c r="AS370" s="28"/>
      <c r="AT370" s="28"/>
      <c r="AU370" s="12"/>
      <c r="AV370" s="29"/>
    </row>
    <row r="371" spans="4:48">
      <c r="D371" s="12"/>
      <c r="E371" s="12"/>
      <c r="F371" s="12"/>
      <c r="G371" s="12"/>
      <c r="H371" s="38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8"/>
      <c r="AS371" s="28"/>
      <c r="AT371" s="28"/>
      <c r="AU371" s="12"/>
      <c r="AV371" s="29"/>
    </row>
    <row r="372" spans="4:48">
      <c r="D372" s="12"/>
      <c r="E372" s="12"/>
      <c r="F372" s="12"/>
      <c r="G372" s="12"/>
      <c r="H372" s="38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8"/>
      <c r="AS372" s="28"/>
      <c r="AT372" s="28"/>
      <c r="AU372" s="12"/>
      <c r="AV372" s="29"/>
    </row>
    <row r="373" spans="4:48">
      <c r="D373" s="12"/>
      <c r="E373" s="12"/>
      <c r="F373" s="12"/>
      <c r="G373" s="12"/>
      <c r="H373" s="38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8"/>
      <c r="AS373" s="28"/>
      <c r="AT373" s="28"/>
      <c r="AU373" s="12"/>
      <c r="AV373" s="29"/>
    </row>
    <row r="374" spans="4:48">
      <c r="D374" s="12"/>
      <c r="E374" s="12"/>
      <c r="F374" s="12"/>
      <c r="G374" s="12"/>
      <c r="H374" s="38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8"/>
      <c r="AS374" s="28"/>
      <c r="AT374" s="28"/>
      <c r="AU374" s="12"/>
      <c r="AV374" s="29"/>
    </row>
    <row r="375" spans="4:48">
      <c r="D375" s="12"/>
      <c r="E375" s="12"/>
      <c r="F375" s="12"/>
      <c r="G375" s="12"/>
      <c r="H375" s="38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8"/>
      <c r="AS375" s="28"/>
      <c r="AT375" s="28"/>
      <c r="AU375" s="12"/>
      <c r="AV375" s="29"/>
    </row>
    <row r="376" spans="4:48">
      <c r="D376" s="12"/>
      <c r="E376" s="12"/>
      <c r="F376" s="12"/>
      <c r="G376" s="12"/>
      <c r="H376" s="38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8"/>
      <c r="AS376" s="28"/>
      <c r="AT376" s="28"/>
      <c r="AU376" s="12"/>
      <c r="AV376" s="29"/>
    </row>
    <row r="377" spans="4:48">
      <c r="D377" s="12"/>
      <c r="E377" s="12"/>
      <c r="F377" s="12"/>
      <c r="G377" s="12"/>
      <c r="H377" s="38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8"/>
      <c r="AS377" s="28"/>
      <c r="AT377" s="28"/>
      <c r="AU377" s="12"/>
      <c r="AV377" s="29"/>
    </row>
    <row r="378" spans="4:48">
      <c r="D378" s="12"/>
      <c r="E378" s="12"/>
      <c r="F378" s="12"/>
      <c r="G378" s="12"/>
      <c r="H378" s="38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8"/>
      <c r="AS378" s="28"/>
      <c r="AT378" s="28"/>
      <c r="AU378" s="12"/>
      <c r="AV378" s="29"/>
    </row>
    <row r="379" spans="4:48">
      <c r="D379" s="12"/>
      <c r="E379" s="12"/>
      <c r="F379" s="12"/>
      <c r="G379" s="12"/>
      <c r="H379" s="38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8"/>
      <c r="AS379" s="28"/>
      <c r="AT379" s="28"/>
      <c r="AU379" s="12"/>
      <c r="AV379" s="29"/>
    </row>
    <row r="380" spans="4:48">
      <c r="D380" s="12"/>
      <c r="E380" s="12"/>
      <c r="F380" s="12"/>
      <c r="G380" s="12"/>
      <c r="H380" s="38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8"/>
      <c r="AS380" s="28"/>
      <c r="AT380" s="28"/>
      <c r="AU380" s="12"/>
      <c r="AV380" s="29"/>
    </row>
    <row r="381" spans="4:48">
      <c r="D381" s="12"/>
      <c r="E381" s="12"/>
      <c r="F381" s="12"/>
      <c r="G381" s="12"/>
      <c r="H381" s="38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8"/>
      <c r="AS381" s="28"/>
      <c r="AT381" s="28"/>
      <c r="AU381" s="12"/>
      <c r="AV381" s="29"/>
    </row>
    <row r="382" spans="4:48">
      <c r="D382" s="12"/>
      <c r="E382" s="12"/>
      <c r="F382" s="12"/>
      <c r="G382" s="12"/>
      <c r="H382" s="38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8"/>
      <c r="AS382" s="28"/>
      <c r="AT382" s="28"/>
      <c r="AU382" s="12"/>
      <c r="AV382" s="29"/>
    </row>
    <row r="383" spans="4:48">
      <c r="D383" s="12"/>
      <c r="E383" s="12"/>
      <c r="F383" s="12"/>
      <c r="G383" s="12"/>
      <c r="H383" s="38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8"/>
      <c r="AS383" s="28"/>
      <c r="AT383" s="28"/>
      <c r="AU383" s="12"/>
      <c r="AV383" s="29"/>
    </row>
    <row r="384" spans="4:48">
      <c r="D384" s="12"/>
      <c r="E384" s="12"/>
      <c r="F384" s="12"/>
      <c r="G384" s="12"/>
      <c r="H384" s="38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8"/>
      <c r="AS384" s="28"/>
      <c r="AT384" s="28"/>
      <c r="AU384" s="12"/>
      <c r="AV384" s="29"/>
    </row>
    <row r="385" spans="4:48">
      <c r="D385" s="12"/>
      <c r="E385" s="12"/>
      <c r="F385" s="12"/>
      <c r="G385" s="12"/>
      <c r="H385" s="38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8"/>
      <c r="AS385" s="28"/>
      <c r="AT385" s="28"/>
      <c r="AU385" s="12"/>
      <c r="AV385" s="29"/>
    </row>
    <row r="386" spans="4:48">
      <c r="D386" s="12"/>
      <c r="E386" s="12"/>
      <c r="F386" s="12"/>
      <c r="G386" s="12"/>
      <c r="H386" s="38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8"/>
      <c r="AS386" s="28"/>
      <c r="AT386" s="28"/>
      <c r="AU386" s="12"/>
      <c r="AV386" s="29"/>
    </row>
    <row r="387" spans="4:48">
      <c r="D387" s="12"/>
      <c r="E387" s="12"/>
      <c r="F387" s="12"/>
      <c r="G387" s="12"/>
      <c r="H387" s="38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8"/>
      <c r="AS387" s="28"/>
      <c r="AT387" s="28"/>
      <c r="AU387" s="12"/>
      <c r="AV387" s="29"/>
    </row>
    <row r="388" spans="4:48">
      <c r="D388" s="12"/>
      <c r="E388" s="12"/>
      <c r="F388" s="12"/>
      <c r="G388" s="12"/>
      <c r="H388" s="38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8"/>
      <c r="AS388" s="28"/>
      <c r="AT388" s="28"/>
      <c r="AU388" s="12"/>
      <c r="AV388" s="29"/>
    </row>
    <row r="389" spans="4:48">
      <c r="D389" s="12"/>
      <c r="E389" s="12"/>
      <c r="F389" s="12"/>
      <c r="G389" s="12"/>
      <c r="H389" s="38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8"/>
      <c r="AS389" s="28"/>
      <c r="AT389" s="28"/>
      <c r="AU389" s="12"/>
      <c r="AV389" s="29"/>
    </row>
    <row r="390" spans="4:48">
      <c r="D390" s="12"/>
      <c r="E390" s="12"/>
      <c r="F390" s="12"/>
      <c r="G390" s="12"/>
      <c r="H390" s="38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8"/>
      <c r="AS390" s="28"/>
      <c r="AT390" s="28"/>
      <c r="AU390" s="12"/>
      <c r="AV390" s="29"/>
    </row>
    <row r="391" spans="4:48">
      <c r="D391" s="12"/>
      <c r="E391" s="12"/>
      <c r="F391" s="12"/>
      <c r="G391" s="12"/>
      <c r="H391" s="38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8"/>
      <c r="AS391" s="28"/>
      <c r="AT391" s="28"/>
      <c r="AU391" s="12"/>
      <c r="AV391" s="29"/>
    </row>
    <row r="392" spans="4:48">
      <c r="D392" s="12"/>
      <c r="E392" s="12"/>
      <c r="F392" s="12"/>
      <c r="G392" s="12"/>
      <c r="H392" s="38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8"/>
      <c r="AS392" s="28"/>
      <c r="AT392" s="28"/>
      <c r="AU392" s="12"/>
      <c r="AV392" s="29"/>
    </row>
    <row r="393" spans="4:48">
      <c r="D393" s="12"/>
      <c r="E393" s="12"/>
      <c r="F393" s="12"/>
      <c r="G393" s="12"/>
      <c r="H393" s="38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8"/>
      <c r="AS393" s="28"/>
      <c r="AT393" s="28"/>
      <c r="AU393" s="12"/>
      <c r="AV393" s="29"/>
    </row>
    <row r="394" spans="4:48">
      <c r="D394" s="12"/>
      <c r="E394" s="12"/>
      <c r="F394" s="12"/>
      <c r="G394" s="12"/>
      <c r="H394" s="38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8"/>
      <c r="AS394" s="28"/>
      <c r="AT394" s="28"/>
      <c r="AU394" s="12"/>
      <c r="AV394" s="29"/>
    </row>
    <row r="395" spans="4:48">
      <c r="D395" s="12"/>
      <c r="E395" s="12"/>
      <c r="F395" s="12"/>
      <c r="G395" s="12"/>
      <c r="H395" s="38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8"/>
      <c r="AS395" s="28"/>
      <c r="AT395" s="28"/>
      <c r="AU395" s="12"/>
      <c r="AV395" s="29"/>
    </row>
    <row r="396" spans="4:48">
      <c r="D396" s="12"/>
      <c r="E396" s="12"/>
      <c r="F396" s="12"/>
      <c r="G396" s="12"/>
      <c r="H396" s="38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8"/>
      <c r="AS396" s="28"/>
      <c r="AT396" s="28"/>
      <c r="AU396" s="12"/>
      <c r="AV396" s="29"/>
    </row>
    <row r="397" spans="4:48">
      <c r="D397" s="12"/>
      <c r="E397" s="12"/>
      <c r="F397" s="12"/>
      <c r="G397" s="12"/>
      <c r="H397" s="38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8"/>
      <c r="AS397" s="28"/>
      <c r="AT397" s="28"/>
      <c r="AU397" s="12"/>
      <c r="AV397" s="29"/>
    </row>
    <row r="398" spans="4:48">
      <c r="D398" s="12"/>
      <c r="E398" s="12"/>
      <c r="F398" s="12"/>
      <c r="G398" s="12"/>
      <c r="H398" s="38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8"/>
      <c r="AS398" s="28"/>
      <c r="AT398" s="28"/>
      <c r="AU398" s="12"/>
      <c r="AV398" s="29"/>
    </row>
    <row r="399" spans="4:48">
      <c r="D399" s="12"/>
      <c r="E399" s="12"/>
      <c r="F399" s="12"/>
      <c r="G399" s="12"/>
      <c r="H399" s="38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8"/>
      <c r="AS399" s="28"/>
      <c r="AT399" s="28"/>
      <c r="AU399" s="12"/>
      <c r="AV399" s="29"/>
    </row>
    <row r="400" spans="4:48">
      <c r="D400" s="12"/>
      <c r="E400" s="12"/>
      <c r="F400" s="12"/>
      <c r="G400" s="12"/>
      <c r="H400" s="38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8"/>
      <c r="AS400" s="28"/>
      <c r="AT400" s="28"/>
      <c r="AU400" s="12"/>
      <c r="AV400" s="29"/>
    </row>
    <row r="401" spans="4:48">
      <c r="D401" s="12"/>
      <c r="E401" s="12"/>
      <c r="F401" s="12"/>
      <c r="G401" s="12"/>
      <c r="H401" s="38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8"/>
      <c r="AS401" s="28"/>
      <c r="AT401" s="28"/>
      <c r="AU401" s="12"/>
      <c r="AV401" s="29"/>
    </row>
    <row r="402" spans="4:48">
      <c r="D402" s="12"/>
      <c r="E402" s="12"/>
      <c r="F402" s="12"/>
      <c r="G402" s="12"/>
      <c r="H402" s="38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8"/>
      <c r="AS402" s="28"/>
      <c r="AT402" s="28"/>
      <c r="AU402" s="12"/>
      <c r="AV402" s="29"/>
    </row>
    <row r="403" spans="4:48">
      <c r="D403" s="12"/>
      <c r="E403" s="12"/>
      <c r="F403" s="12"/>
      <c r="G403" s="12"/>
      <c r="H403" s="38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8"/>
      <c r="AS403" s="28"/>
      <c r="AT403" s="28"/>
      <c r="AU403" s="12"/>
      <c r="AV403" s="29"/>
    </row>
    <row r="404" spans="4:48">
      <c r="D404" s="12"/>
      <c r="E404" s="12"/>
      <c r="F404" s="12"/>
      <c r="G404" s="12"/>
      <c r="H404" s="38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8"/>
      <c r="AS404" s="28"/>
      <c r="AT404" s="28"/>
      <c r="AU404" s="12"/>
      <c r="AV404" s="29"/>
    </row>
    <row r="405" spans="4:48">
      <c r="D405" s="12"/>
      <c r="E405" s="12"/>
      <c r="F405" s="12"/>
      <c r="G405" s="12"/>
      <c r="H405" s="38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8"/>
      <c r="AS405" s="28"/>
      <c r="AT405" s="28"/>
      <c r="AU405" s="12"/>
      <c r="AV405" s="29"/>
    </row>
    <row r="406" spans="4:48">
      <c r="D406" s="12"/>
      <c r="E406" s="12"/>
      <c r="F406" s="12"/>
      <c r="G406" s="12"/>
      <c r="H406" s="38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8"/>
      <c r="AS406" s="28"/>
      <c r="AT406" s="28"/>
      <c r="AU406" s="12"/>
      <c r="AV406" s="29"/>
    </row>
    <row r="407" spans="4:48">
      <c r="D407" s="12"/>
      <c r="E407" s="12"/>
      <c r="F407" s="12"/>
      <c r="G407" s="12"/>
      <c r="H407" s="38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8"/>
      <c r="AS407" s="28"/>
      <c r="AT407" s="28"/>
      <c r="AU407" s="12"/>
      <c r="AV407" s="29"/>
    </row>
    <row r="408" spans="4:48">
      <c r="D408" s="12"/>
      <c r="E408" s="12"/>
      <c r="F408" s="12"/>
      <c r="G408" s="12"/>
      <c r="H408" s="38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8"/>
      <c r="AS408" s="28"/>
      <c r="AT408" s="28"/>
      <c r="AU408" s="12"/>
      <c r="AV408" s="29"/>
    </row>
    <row r="409" spans="4:48">
      <c r="D409" s="12"/>
      <c r="E409" s="12"/>
      <c r="F409" s="12"/>
      <c r="G409" s="12"/>
      <c r="H409" s="38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8"/>
      <c r="AS409" s="28"/>
      <c r="AT409" s="28"/>
      <c r="AU409" s="12"/>
      <c r="AV409" s="29"/>
    </row>
    <row r="410" spans="4:48">
      <c r="D410" s="12"/>
      <c r="E410" s="12"/>
      <c r="F410" s="12"/>
      <c r="G410" s="12"/>
      <c r="H410" s="38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8"/>
      <c r="AS410" s="28"/>
      <c r="AT410" s="28"/>
      <c r="AU410" s="12"/>
      <c r="AV410" s="29"/>
    </row>
    <row r="411" spans="4:48">
      <c r="D411" s="12"/>
      <c r="E411" s="12"/>
      <c r="F411" s="12"/>
      <c r="G411" s="12"/>
      <c r="H411" s="38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8"/>
      <c r="AS411" s="28"/>
      <c r="AT411" s="28"/>
      <c r="AU411" s="12"/>
      <c r="AV411" s="29"/>
    </row>
    <row r="412" spans="4:48">
      <c r="D412" s="12"/>
      <c r="E412" s="12"/>
      <c r="F412" s="12"/>
      <c r="G412" s="12"/>
      <c r="H412" s="38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8"/>
      <c r="AS412" s="28"/>
      <c r="AT412" s="28"/>
      <c r="AU412" s="12"/>
      <c r="AV412" s="29"/>
    </row>
    <row r="413" spans="4:48">
      <c r="D413" s="12"/>
      <c r="E413" s="12"/>
      <c r="F413" s="12"/>
      <c r="G413" s="12"/>
      <c r="H413" s="38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8"/>
      <c r="AS413" s="28"/>
      <c r="AT413" s="28"/>
      <c r="AU413" s="12"/>
      <c r="AV413" s="29"/>
    </row>
    <row r="414" spans="4:48">
      <c r="D414" s="12"/>
      <c r="E414" s="12"/>
      <c r="F414" s="12"/>
      <c r="G414" s="12"/>
      <c r="H414" s="38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8"/>
      <c r="AS414" s="28"/>
      <c r="AT414" s="28"/>
      <c r="AU414" s="12"/>
      <c r="AV414" s="29"/>
    </row>
    <row r="415" spans="4:48">
      <c r="D415" s="12"/>
      <c r="E415" s="12"/>
      <c r="F415" s="12"/>
      <c r="G415" s="12"/>
      <c r="H415" s="38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8"/>
      <c r="AS415" s="28"/>
      <c r="AT415" s="28"/>
      <c r="AU415" s="12"/>
      <c r="AV415" s="29"/>
    </row>
    <row r="416" spans="4:48">
      <c r="D416" s="12"/>
      <c r="E416" s="12"/>
      <c r="F416" s="12"/>
      <c r="G416" s="12"/>
      <c r="H416" s="38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8"/>
      <c r="AS416" s="28"/>
      <c r="AT416" s="28"/>
      <c r="AU416" s="12"/>
      <c r="AV416" s="29"/>
    </row>
    <row r="417" spans="4:48">
      <c r="D417" s="12"/>
      <c r="E417" s="12"/>
      <c r="F417" s="12"/>
      <c r="G417" s="12"/>
      <c r="H417" s="38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8"/>
      <c r="AS417" s="28"/>
      <c r="AT417" s="28"/>
      <c r="AU417" s="12"/>
      <c r="AV417" s="29"/>
    </row>
    <row r="418" spans="4:48">
      <c r="D418" s="12"/>
      <c r="E418" s="12"/>
      <c r="F418" s="12"/>
      <c r="G418" s="12"/>
      <c r="H418" s="38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8"/>
      <c r="AS418" s="28"/>
      <c r="AT418" s="28"/>
      <c r="AU418" s="12"/>
      <c r="AV418" s="29"/>
    </row>
    <row r="419" spans="4:48">
      <c r="D419" s="12"/>
      <c r="E419" s="12"/>
      <c r="F419" s="12"/>
      <c r="G419" s="12"/>
      <c r="H419" s="38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8"/>
      <c r="AS419" s="28"/>
      <c r="AT419" s="28"/>
      <c r="AU419" s="12"/>
      <c r="AV419" s="29"/>
    </row>
    <row r="420" spans="4:48">
      <c r="D420" s="12"/>
      <c r="E420" s="12"/>
      <c r="F420" s="12"/>
      <c r="G420" s="12"/>
      <c r="H420" s="38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8"/>
      <c r="AS420" s="28"/>
      <c r="AT420" s="28"/>
      <c r="AU420" s="12"/>
      <c r="AV420" s="29"/>
    </row>
    <row r="421" spans="4:48">
      <c r="D421" s="12"/>
      <c r="E421" s="12"/>
      <c r="F421" s="12"/>
      <c r="G421" s="12"/>
      <c r="H421" s="38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8"/>
      <c r="AS421" s="28"/>
      <c r="AT421" s="28"/>
      <c r="AU421" s="12"/>
      <c r="AV421" s="29"/>
    </row>
    <row r="422" spans="4:48">
      <c r="D422" s="12"/>
      <c r="E422" s="12"/>
      <c r="F422" s="12"/>
      <c r="G422" s="12"/>
      <c r="H422" s="38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8"/>
      <c r="AS422" s="28"/>
      <c r="AT422" s="28"/>
      <c r="AU422" s="12"/>
      <c r="AV422" s="29"/>
    </row>
    <row r="423" spans="4:48">
      <c r="D423" s="12"/>
      <c r="E423" s="12"/>
      <c r="F423" s="12"/>
      <c r="G423" s="12"/>
      <c r="H423" s="38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8"/>
      <c r="AS423" s="28"/>
      <c r="AT423" s="28"/>
      <c r="AU423" s="12"/>
      <c r="AV423" s="29"/>
    </row>
    <row r="424" spans="4:48">
      <c r="D424" s="12"/>
      <c r="E424" s="12"/>
      <c r="F424" s="12"/>
      <c r="G424" s="12"/>
      <c r="H424" s="38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8"/>
      <c r="AS424" s="28"/>
      <c r="AT424" s="28"/>
      <c r="AU424" s="12"/>
      <c r="AV424" s="29"/>
    </row>
    <row r="425" spans="4:48">
      <c r="D425" s="12"/>
      <c r="E425" s="12"/>
      <c r="F425" s="12"/>
      <c r="G425" s="12"/>
      <c r="H425" s="38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8"/>
      <c r="AS425" s="28"/>
      <c r="AT425" s="28"/>
      <c r="AU425" s="12"/>
      <c r="AV425" s="29"/>
    </row>
    <row r="426" spans="4:48">
      <c r="D426" s="12"/>
      <c r="E426" s="12"/>
      <c r="F426" s="12"/>
      <c r="G426" s="12"/>
      <c r="H426" s="38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8"/>
      <c r="AS426" s="28"/>
      <c r="AT426" s="28"/>
      <c r="AU426" s="12"/>
      <c r="AV426" s="29"/>
    </row>
    <row r="427" spans="4:48">
      <c r="D427" s="12"/>
      <c r="E427" s="12"/>
      <c r="F427" s="12"/>
      <c r="G427" s="12"/>
      <c r="H427" s="38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8"/>
      <c r="AS427" s="28"/>
      <c r="AT427" s="28"/>
      <c r="AU427" s="12"/>
      <c r="AV427" s="29"/>
    </row>
    <row r="428" spans="4:48">
      <c r="D428" s="12"/>
      <c r="E428" s="12"/>
      <c r="F428" s="12"/>
      <c r="G428" s="12"/>
      <c r="H428" s="38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8"/>
      <c r="AS428" s="28"/>
      <c r="AT428" s="28"/>
      <c r="AU428" s="12"/>
      <c r="AV428" s="29"/>
    </row>
    <row r="429" spans="4:48">
      <c r="D429" s="12"/>
      <c r="E429" s="12"/>
      <c r="F429" s="12"/>
      <c r="G429" s="12"/>
      <c r="H429" s="38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8"/>
      <c r="AS429" s="28"/>
      <c r="AT429" s="28"/>
      <c r="AU429" s="12"/>
      <c r="AV429" s="29"/>
    </row>
    <row r="430" spans="4:48">
      <c r="D430" s="12"/>
      <c r="E430" s="12"/>
      <c r="F430" s="12"/>
      <c r="G430" s="12"/>
      <c r="H430" s="38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8"/>
      <c r="AS430" s="28"/>
      <c r="AT430" s="28"/>
      <c r="AU430" s="12"/>
      <c r="AV430" s="29"/>
    </row>
    <row r="431" spans="4:48">
      <c r="D431" s="12"/>
      <c r="E431" s="12"/>
      <c r="F431" s="12"/>
      <c r="G431" s="12"/>
      <c r="H431" s="38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8"/>
      <c r="AS431" s="28"/>
      <c r="AT431" s="28"/>
      <c r="AU431" s="12"/>
      <c r="AV431" s="29"/>
    </row>
    <row r="432" spans="4:48">
      <c r="D432" s="12"/>
      <c r="E432" s="12"/>
      <c r="F432" s="12"/>
      <c r="G432" s="12"/>
      <c r="H432" s="38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8"/>
      <c r="AS432" s="28"/>
      <c r="AT432" s="28"/>
      <c r="AU432" s="12"/>
      <c r="AV432" s="29"/>
    </row>
    <row r="433" spans="4:48">
      <c r="D433" s="12"/>
      <c r="E433" s="12"/>
      <c r="F433" s="12"/>
      <c r="G433" s="12"/>
      <c r="H433" s="38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8"/>
      <c r="AS433" s="28"/>
      <c r="AT433" s="28"/>
      <c r="AU433" s="12"/>
      <c r="AV433" s="29"/>
    </row>
    <row r="434" spans="4:48">
      <c r="D434" s="12"/>
      <c r="E434" s="12"/>
      <c r="F434" s="12"/>
      <c r="G434" s="12"/>
      <c r="H434" s="38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8"/>
      <c r="AS434" s="28"/>
      <c r="AT434" s="28"/>
      <c r="AU434" s="12"/>
      <c r="AV434" s="29"/>
    </row>
    <row r="435" spans="4:48">
      <c r="D435" s="12"/>
      <c r="E435" s="12"/>
      <c r="F435" s="12"/>
      <c r="G435" s="12"/>
      <c r="H435" s="38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8"/>
      <c r="AS435" s="28"/>
      <c r="AT435" s="28"/>
      <c r="AU435" s="12"/>
      <c r="AV435" s="29"/>
    </row>
    <row r="436" spans="4:48">
      <c r="D436" s="12"/>
      <c r="E436" s="12"/>
      <c r="F436" s="12"/>
      <c r="G436" s="12"/>
      <c r="H436" s="38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8"/>
      <c r="AS436" s="28"/>
      <c r="AT436" s="28"/>
      <c r="AU436" s="12"/>
      <c r="AV436" s="29"/>
    </row>
    <row r="437" spans="4:48">
      <c r="D437" s="12"/>
      <c r="E437" s="12"/>
      <c r="F437" s="12"/>
      <c r="G437" s="12"/>
      <c r="H437" s="38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8"/>
      <c r="AS437" s="28"/>
      <c r="AT437" s="28"/>
      <c r="AU437" s="12"/>
      <c r="AV437" s="29"/>
    </row>
    <row r="438" spans="4:48">
      <c r="D438" s="12"/>
      <c r="E438" s="12"/>
      <c r="F438" s="12"/>
      <c r="G438" s="12"/>
      <c r="H438" s="38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8"/>
      <c r="AS438" s="28"/>
      <c r="AT438" s="28"/>
      <c r="AU438" s="12"/>
      <c r="AV438" s="29"/>
    </row>
    <row r="439" spans="4:48">
      <c r="D439" s="12"/>
      <c r="E439" s="12"/>
      <c r="F439" s="12"/>
      <c r="G439" s="12"/>
      <c r="H439" s="38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8"/>
      <c r="AS439" s="28"/>
      <c r="AT439" s="28"/>
      <c r="AU439" s="12"/>
      <c r="AV439" s="29"/>
    </row>
    <row r="440" spans="4:48">
      <c r="D440" s="12"/>
      <c r="E440" s="12"/>
      <c r="F440" s="12"/>
      <c r="G440" s="12"/>
      <c r="H440" s="38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8"/>
      <c r="AS440" s="28"/>
      <c r="AT440" s="28"/>
      <c r="AU440" s="12"/>
      <c r="AV440" s="29"/>
    </row>
    <row r="441" spans="4:48">
      <c r="D441" s="12"/>
      <c r="E441" s="12"/>
      <c r="F441" s="12"/>
      <c r="G441" s="12"/>
      <c r="H441" s="38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8"/>
      <c r="AS441" s="28"/>
      <c r="AT441" s="28"/>
      <c r="AU441" s="12"/>
      <c r="AV441" s="29"/>
    </row>
    <row r="442" spans="4:48">
      <c r="D442" s="12"/>
      <c r="E442" s="12"/>
      <c r="F442" s="12"/>
      <c r="G442" s="12"/>
      <c r="H442" s="38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8"/>
      <c r="AS442" s="28"/>
      <c r="AT442" s="28"/>
      <c r="AU442" s="12"/>
      <c r="AV442" s="29"/>
    </row>
    <row r="443" spans="4:48">
      <c r="D443" s="12"/>
      <c r="E443" s="12"/>
      <c r="F443" s="12"/>
      <c r="G443" s="12"/>
      <c r="H443" s="38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8"/>
      <c r="AS443" s="28"/>
      <c r="AT443" s="28"/>
      <c r="AU443" s="12"/>
      <c r="AV443" s="29"/>
    </row>
    <row r="444" spans="4:48">
      <c r="D444" s="12"/>
      <c r="E444" s="12"/>
      <c r="F444" s="12"/>
      <c r="G444" s="12"/>
      <c r="H444" s="38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8"/>
      <c r="AS444" s="28"/>
      <c r="AT444" s="28"/>
      <c r="AU444" s="12"/>
      <c r="AV444" s="29"/>
    </row>
    <row r="445" spans="4:48">
      <c r="D445" s="12"/>
      <c r="E445" s="12"/>
      <c r="F445" s="12"/>
      <c r="G445" s="12"/>
      <c r="H445" s="38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8"/>
      <c r="AS445" s="28"/>
      <c r="AT445" s="28"/>
      <c r="AU445" s="12"/>
      <c r="AV445" s="29"/>
    </row>
    <row r="446" spans="4:48">
      <c r="D446" s="12"/>
      <c r="E446" s="12"/>
      <c r="F446" s="12"/>
      <c r="G446" s="12"/>
      <c r="H446" s="38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8"/>
      <c r="AS446" s="28"/>
      <c r="AT446" s="28"/>
      <c r="AU446" s="12"/>
      <c r="AV446" s="29"/>
    </row>
    <row r="447" spans="4:48">
      <c r="D447" s="12"/>
      <c r="E447" s="12"/>
      <c r="F447" s="12"/>
      <c r="G447" s="12"/>
      <c r="H447" s="38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8"/>
      <c r="AS447" s="28"/>
      <c r="AT447" s="28"/>
      <c r="AU447" s="12"/>
      <c r="AV447" s="29"/>
    </row>
    <row r="448" spans="4:48">
      <c r="D448" s="12"/>
      <c r="E448" s="12"/>
      <c r="F448" s="12"/>
      <c r="G448" s="12"/>
      <c r="H448" s="38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8"/>
      <c r="AS448" s="28"/>
      <c r="AT448" s="28"/>
      <c r="AU448" s="12"/>
      <c r="AV448" s="29"/>
    </row>
    <row r="449" spans="4:48">
      <c r="D449" s="12"/>
      <c r="E449" s="12"/>
      <c r="F449" s="12"/>
      <c r="G449" s="12"/>
      <c r="H449" s="38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8"/>
      <c r="AS449" s="28"/>
      <c r="AT449" s="28"/>
      <c r="AU449" s="12"/>
      <c r="AV449" s="29"/>
    </row>
    <row r="450" spans="4:48">
      <c r="D450" s="12"/>
      <c r="E450" s="12"/>
      <c r="F450" s="12"/>
      <c r="G450" s="12"/>
      <c r="H450" s="38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8"/>
      <c r="AS450" s="28"/>
      <c r="AT450" s="28"/>
      <c r="AU450" s="12"/>
      <c r="AV450" s="29"/>
    </row>
    <row r="451" spans="4:48">
      <c r="D451" s="12"/>
      <c r="E451" s="12"/>
      <c r="F451" s="12"/>
      <c r="G451" s="12"/>
      <c r="H451" s="38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8"/>
      <c r="AS451" s="28"/>
      <c r="AT451" s="28"/>
      <c r="AU451" s="12"/>
      <c r="AV451" s="29"/>
    </row>
    <row r="452" spans="4:48">
      <c r="D452" s="12"/>
      <c r="E452" s="12"/>
      <c r="F452" s="12"/>
      <c r="G452" s="12"/>
      <c r="H452" s="38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8"/>
      <c r="AS452" s="28"/>
      <c r="AT452" s="28"/>
      <c r="AU452" s="12"/>
      <c r="AV452" s="29"/>
    </row>
    <row r="453" spans="4:48">
      <c r="D453" s="12"/>
      <c r="E453" s="12"/>
      <c r="F453" s="12"/>
      <c r="G453" s="12"/>
      <c r="H453" s="38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8"/>
      <c r="AS453" s="28"/>
      <c r="AT453" s="28"/>
      <c r="AU453" s="12"/>
      <c r="AV453" s="29"/>
    </row>
    <row r="454" spans="4:48">
      <c r="D454" s="12"/>
      <c r="E454" s="12"/>
      <c r="F454" s="12"/>
      <c r="G454" s="12"/>
      <c r="H454" s="38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8"/>
      <c r="AS454" s="28"/>
      <c r="AT454" s="28"/>
      <c r="AU454" s="12"/>
      <c r="AV454" s="29"/>
    </row>
    <row r="455" spans="4:48">
      <c r="D455" s="12"/>
      <c r="E455" s="12"/>
      <c r="F455" s="12"/>
      <c r="G455" s="12"/>
      <c r="H455" s="38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8"/>
      <c r="AS455" s="28"/>
      <c r="AT455" s="28"/>
      <c r="AU455" s="12"/>
      <c r="AV455" s="29"/>
    </row>
    <row r="456" spans="4:48">
      <c r="D456" s="12"/>
      <c r="E456" s="12"/>
      <c r="F456" s="12"/>
      <c r="G456" s="12"/>
      <c r="H456" s="38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8"/>
      <c r="AS456" s="28"/>
      <c r="AT456" s="28"/>
      <c r="AU456" s="12"/>
      <c r="AV456" s="29"/>
    </row>
    <row r="457" spans="4:48">
      <c r="D457" s="12"/>
      <c r="E457" s="12"/>
      <c r="F457" s="12"/>
      <c r="G457" s="12"/>
      <c r="H457" s="38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8"/>
      <c r="AS457" s="28"/>
      <c r="AT457" s="28"/>
      <c r="AU457" s="12"/>
      <c r="AV457" s="29"/>
    </row>
    <row r="458" spans="4:48">
      <c r="D458" s="12"/>
      <c r="E458" s="12"/>
      <c r="F458" s="12"/>
      <c r="G458" s="12"/>
      <c r="H458" s="38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8"/>
      <c r="AS458" s="28"/>
      <c r="AT458" s="28"/>
      <c r="AU458" s="12"/>
      <c r="AV458" s="29"/>
    </row>
    <row r="459" spans="4:48">
      <c r="D459" s="12"/>
      <c r="E459" s="12"/>
      <c r="F459" s="12"/>
      <c r="G459" s="12"/>
      <c r="H459" s="38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8"/>
      <c r="AS459" s="28"/>
      <c r="AT459" s="28"/>
      <c r="AU459" s="12"/>
      <c r="AV459" s="29"/>
    </row>
    <row r="460" spans="4:48">
      <c r="D460" s="12"/>
      <c r="E460" s="12"/>
      <c r="F460" s="12"/>
      <c r="G460" s="12"/>
      <c r="H460" s="38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8"/>
      <c r="AS460" s="28"/>
      <c r="AT460" s="28"/>
      <c r="AU460" s="12"/>
      <c r="AV460" s="29"/>
    </row>
    <row r="461" spans="4:48">
      <c r="D461" s="12"/>
      <c r="E461" s="12"/>
      <c r="F461" s="12"/>
      <c r="G461" s="12"/>
      <c r="H461" s="38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8"/>
      <c r="AS461" s="28"/>
      <c r="AT461" s="28"/>
      <c r="AU461" s="12"/>
      <c r="AV461" s="29"/>
    </row>
    <row r="462" spans="4:48">
      <c r="D462" s="12"/>
      <c r="E462" s="12"/>
      <c r="F462" s="12"/>
      <c r="G462" s="12"/>
      <c r="H462" s="38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8"/>
      <c r="AS462" s="28"/>
      <c r="AT462" s="28"/>
      <c r="AU462" s="12"/>
      <c r="AV462" s="29"/>
    </row>
    <row r="463" spans="4:48">
      <c r="D463" s="12"/>
      <c r="E463" s="12"/>
      <c r="F463" s="12"/>
      <c r="G463" s="12"/>
      <c r="H463" s="38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8"/>
      <c r="AS463" s="28"/>
      <c r="AT463" s="28"/>
      <c r="AU463" s="12"/>
      <c r="AV463" s="29"/>
    </row>
    <row r="464" spans="4:48">
      <c r="D464" s="12"/>
      <c r="E464" s="12"/>
      <c r="F464" s="12"/>
      <c r="G464" s="12"/>
      <c r="H464" s="38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8"/>
      <c r="AS464" s="28"/>
      <c r="AT464" s="28"/>
      <c r="AU464" s="12"/>
      <c r="AV464" s="29"/>
    </row>
    <row r="465" spans="4:48">
      <c r="D465" s="12"/>
      <c r="E465" s="12"/>
      <c r="F465" s="12"/>
      <c r="G465" s="12"/>
      <c r="H465" s="38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8"/>
      <c r="AS465" s="28"/>
      <c r="AT465" s="28"/>
      <c r="AU465" s="12"/>
      <c r="AV465" s="29"/>
    </row>
    <row r="466" spans="4:48">
      <c r="D466" s="12"/>
      <c r="E466" s="12"/>
      <c r="F466" s="12"/>
      <c r="G466" s="12"/>
      <c r="H466" s="38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8"/>
      <c r="AS466" s="28"/>
      <c r="AT466" s="28"/>
      <c r="AU466" s="12"/>
      <c r="AV466" s="29"/>
    </row>
    <row r="467" spans="4:48">
      <c r="D467" s="12"/>
      <c r="E467" s="12"/>
      <c r="F467" s="12"/>
      <c r="G467" s="12"/>
      <c r="H467" s="38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8"/>
      <c r="AS467" s="28"/>
      <c r="AT467" s="28"/>
      <c r="AU467" s="12"/>
      <c r="AV467" s="29"/>
    </row>
    <row r="468" spans="4:48">
      <c r="D468" s="12"/>
      <c r="E468" s="12"/>
      <c r="F468" s="12"/>
      <c r="G468" s="12"/>
      <c r="H468" s="38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8"/>
      <c r="AS468" s="28"/>
      <c r="AT468" s="28"/>
      <c r="AU468" s="12"/>
      <c r="AV468" s="29"/>
    </row>
    <row r="469" spans="4:48">
      <c r="D469" s="12"/>
      <c r="E469" s="12"/>
      <c r="F469" s="12"/>
      <c r="G469" s="12"/>
      <c r="H469" s="38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8"/>
      <c r="AS469" s="28"/>
      <c r="AT469" s="28"/>
      <c r="AU469" s="12"/>
      <c r="AV469" s="29"/>
    </row>
    <row r="470" spans="4:48">
      <c r="D470" s="12"/>
      <c r="E470" s="12"/>
      <c r="F470" s="12"/>
      <c r="G470" s="12"/>
      <c r="H470" s="38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8"/>
      <c r="AS470" s="28"/>
      <c r="AT470" s="28"/>
      <c r="AU470" s="12"/>
      <c r="AV470" s="29"/>
    </row>
    <row r="471" spans="4:48">
      <c r="D471" s="12"/>
      <c r="E471" s="12"/>
      <c r="F471" s="12"/>
      <c r="G471" s="12"/>
      <c r="H471" s="38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8"/>
      <c r="AS471" s="28"/>
      <c r="AT471" s="28"/>
      <c r="AU471" s="12"/>
      <c r="AV471" s="29"/>
    </row>
    <row r="472" spans="4:48">
      <c r="D472" s="12"/>
      <c r="E472" s="12"/>
      <c r="F472" s="12"/>
      <c r="G472" s="12"/>
      <c r="H472" s="38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8"/>
      <c r="AS472" s="28"/>
      <c r="AT472" s="28"/>
      <c r="AU472" s="12"/>
      <c r="AV472" s="29"/>
    </row>
    <row r="473" spans="4:48">
      <c r="D473" s="12"/>
      <c r="E473" s="12"/>
      <c r="F473" s="12"/>
      <c r="G473" s="12"/>
      <c r="H473" s="38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8"/>
      <c r="AS473" s="28"/>
      <c r="AT473" s="28"/>
      <c r="AU473" s="12"/>
      <c r="AV473" s="29"/>
    </row>
    <row r="474" spans="4:48">
      <c r="D474" s="12"/>
      <c r="E474" s="12"/>
      <c r="F474" s="12"/>
      <c r="G474" s="12"/>
      <c r="H474" s="38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8"/>
      <c r="AS474" s="28"/>
      <c r="AT474" s="28"/>
      <c r="AU474" s="12"/>
      <c r="AV474" s="29"/>
    </row>
    <row r="475" spans="4:48">
      <c r="D475" s="12"/>
      <c r="E475" s="12"/>
      <c r="F475" s="12"/>
      <c r="G475" s="12"/>
      <c r="H475" s="38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8"/>
      <c r="AS475" s="28"/>
      <c r="AT475" s="28"/>
      <c r="AU475" s="12"/>
      <c r="AV475" s="29"/>
    </row>
    <row r="476" spans="4:48">
      <c r="D476" s="12"/>
      <c r="E476" s="12"/>
      <c r="F476" s="12"/>
      <c r="G476" s="12"/>
      <c r="H476" s="38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8"/>
      <c r="AS476" s="28"/>
      <c r="AT476" s="28"/>
      <c r="AU476" s="12"/>
      <c r="AV476" s="29"/>
    </row>
    <row r="477" spans="4:48">
      <c r="D477" s="12"/>
      <c r="E477" s="12"/>
      <c r="F477" s="12"/>
      <c r="G477" s="12"/>
      <c r="H477" s="38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8"/>
      <c r="AS477" s="28"/>
      <c r="AT477" s="28"/>
      <c r="AU477" s="12"/>
      <c r="AV477" s="29"/>
    </row>
    <row r="478" spans="4:48">
      <c r="D478" s="12"/>
      <c r="E478" s="12"/>
      <c r="F478" s="12"/>
      <c r="G478" s="12"/>
      <c r="H478" s="38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8"/>
      <c r="AS478" s="28"/>
      <c r="AT478" s="28"/>
      <c r="AU478" s="12"/>
      <c r="AV478" s="29"/>
    </row>
    <row r="479" spans="4:48">
      <c r="D479" s="12"/>
      <c r="E479" s="12"/>
      <c r="F479" s="12"/>
      <c r="G479" s="12"/>
      <c r="H479" s="38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8"/>
      <c r="AS479" s="28"/>
      <c r="AT479" s="28"/>
      <c r="AU479" s="12"/>
      <c r="AV479" s="29"/>
    </row>
    <row r="480" spans="4:48">
      <c r="D480" s="12"/>
      <c r="E480" s="12"/>
      <c r="F480" s="12"/>
      <c r="G480" s="12"/>
      <c r="H480" s="38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8"/>
      <c r="AS480" s="28"/>
      <c r="AT480" s="28"/>
      <c r="AU480" s="12"/>
      <c r="AV480" s="29"/>
    </row>
    <row r="481" spans="4:48">
      <c r="D481" s="12"/>
      <c r="E481" s="12"/>
      <c r="F481" s="12"/>
      <c r="G481" s="12"/>
      <c r="H481" s="38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8"/>
      <c r="AS481" s="28"/>
      <c r="AT481" s="28"/>
      <c r="AU481" s="12"/>
      <c r="AV481" s="29"/>
    </row>
    <row r="482" spans="4:48">
      <c r="D482" s="12"/>
      <c r="E482" s="12"/>
      <c r="F482" s="12"/>
      <c r="G482" s="12"/>
      <c r="H482" s="38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8"/>
      <c r="AS482" s="28"/>
      <c r="AT482" s="28"/>
      <c r="AU482" s="12"/>
      <c r="AV482" s="29"/>
    </row>
    <row r="483" spans="4:48">
      <c r="D483" s="12"/>
      <c r="E483" s="12"/>
      <c r="F483" s="12"/>
      <c r="G483" s="12"/>
      <c r="H483" s="38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8"/>
      <c r="AS483" s="28"/>
      <c r="AT483" s="28"/>
      <c r="AU483" s="12"/>
      <c r="AV483" s="29"/>
    </row>
    <row r="484" spans="4:48">
      <c r="D484" s="12"/>
      <c r="E484" s="12"/>
      <c r="F484" s="12"/>
      <c r="G484" s="12"/>
      <c r="H484" s="38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8"/>
      <c r="AS484" s="28"/>
      <c r="AT484" s="28"/>
      <c r="AU484" s="12"/>
      <c r="AV484" s="29"/>
    </row>
    <row r="485" spans="4:48">
      <c r="D485" s="12"/>
      <c r="E485" s="12"/>
      <c r="F485" s="12"/>
      <c r="G485" s="12"/>
      <c r="H485" s="38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8"/>
      <c r="AS485" s="28"/>
      <c r="AT485" s="28"/>
      <c r="AU485" s="12"/>
      <c r="AV485" s="29"/>
    </row>
    <row r="486" spans="4:48">
      <c r="D486" s="12"/>
      <c r="E486" s="12"/>
      <c r="F486" s="12"/>
      <c r="G486" s="12"/>
      <c r="H486" s="38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8"/>
      <c r="AS486" s="28"/>
      <c r="AT486" s="28"/>
      <c r="AU486" s="12"/>
      <c r="AV486" s="29"/>
    </row>
    <row r="487" spans="4:48">
      <c r="D487" s="12"/>
      <c r="E487" s="12"/>
      <c r="F487" s="12"/>
      <c r="G487" s="12"/>
      <c r="H487" s="38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8"/>
      <c r="AS487" s="28"/>
      <c r="AT487" s="28"/>
      <c r="AU487" s="12"/>
      <c r="AV487" s="29"/>
    </row>
    <row r="488" spans="4:48">
      <c r="D488" s="12"/>
      <c r="E488" s="12"/>
      <c r="F488" s="12"/>
      <c r="G488" s="12"/>
      <c r="H488" s="38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8"/>
      <c r="AS488" s="28"/>
      <c r="AT488" s="28"/>
      <c r="AU488" s="12"/>
      <c r="AV488" s="29"/>
    </row>
    <row r="489" spans="4:48">
      <c r="D489" s="12"/>
      <c r="E489" s="12"/>
      <c r="F489" s="12"/>
      <c r="G489" s="12"/>
      <c r="H489" s="38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8"/>
      <c r="AS489" s="28"/>
      <c r="AT489" s="28"/>
      <c r="AU489" s="12"/>
      <c r="AV489" s="29"/>
    </row>
    <row r="490" spans="4:48">
      <c r="D490" s="12"/>
      <c r="E490" s="12"/>
      <c r="F490" s="12"/>
      <c r="G490" s="12"/>
      <c r="H490" s="38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8"/>
      <c r="AS490" s="28"/>
      <c r="AT490" s="28"/>
      <c r="AU490" s="12"/>
      <c r="AV490" s="29"/>
    </row>
    <row r="491" spans="4:48">
      <c r="D491" s="12"/>
      <c r="E491" s="12"/>
      <c r="F491" s="12"/>
      <c r="G491" s="12"/>
      <c r="H491" s="38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8"/>
      <c r="AS491" s="28"/>
      <c r="AT491" s="28"/>
      <c r="AU491" s="12"/>
      <c r="AV491" s="29"/>
    </row>
    <row r="492" spans="4:48">
      <c r="D492" s="12"/>
      <c r="E492" s="12"/>
      <c r="F492" s="12"/>
      <c r="G492" s="12"/>
      <c r="H492" s="38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8"/>
      <c r="AS492" s="28"/>
      <c r="AT492" s="28"/>
      <c r="AU492" s="12"/>
      <c r="AV492" s="29"/>
    </row>
    <row r="493" spans="4:48">
      <c r="D493" s="12"/>
      <c r="E493" s="12"/>
      <c r="F493" s="12"/>
      <c r="G493" s="12"/>
      <c r="H493" s="38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8"/>
      <c r="AS493" s="28"/>
      <c r="AT493" s="28"/>
      <c r="AU493" s="12"/>
      <c r="AV493" s="29"/>
    </row>
    <row r="494" spans="4:48">
      <c r="D494" s="12"/>
      <c r="E494" s="12"/>
      <c r="F494" s="12"/>
      <c r="G494" s="12"/>
      <c r="H494" s="38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8"/>
      <c r="AS494" s="28"/>
      <c r="AT494" s="28"/>
      <c r="AU494" s="12"/>
      <c r="AV494" s="29"/>
    </row>
    <row r="495" spans="4:48">
      <c r="D495" s="12"/>
      <c r="E495" s="12"/>
      <c r="F495" s="12"/>
      <c r="G495" s="12"/>
      <c r="H495" s="38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8"/>
      <c r="AS495" s="28"/>
      <c r="AT495" s="28"/>
      <c r="AU495" s="12"/>
      <c r="AV495" s="29"/>
    </row>
    <row r="496" spans="4:48">
      <c r="D496" s="12"/>
      <c r="E496" s="12"/>
      <c r="F496" s="12"/>
      <c r="G496" s="12"/>
      <c r="H496" s="38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8"/>
      <c r="AS496" s="28"/>
      <c r="AT496" s="28"/>
      <c r="AU496" s="12"/>
      <c r="AV496" s="29"/>
    </row>
    <row r="497" spans="4:48">
      <c r="D497" s="12"/>
      <c r="E497" s="12"/>
      <c r="F497" s="12"/>
      <c r="G497" s="12"/>
      <c r="H497" s="38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8"/>
      <c r="AS497" s="28"/>
      <c r="AT497" s="28"/>
      <c r="AU497" s="12"/>
      <c r="AV497" s="29"/>
    </row>
    <row r="498" spans="4:48">
      <c r="D498" s="12"/>
      <c r="E498" s="12"/>
      <c r="F498" s="12"/>
      <c r="G498" s="12"/>
      <c r="H498" s="38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8"/>
      <c r="AS498" s="28"/>
      <c r="AT498" s="28"/>
      <c r="AU498" s="12"/>
      <c r="AV498" s="29"/>
    </row>
    <row r="499" spans="4:48">
      <c r="D499" s="12"/>
      <c r="E499" s="12"/>
      <c r="F499" s="12"/>
      <c r="G499" s="12"/>
      <c r="H499" s="38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8"/>
      <c r="AS499" s="28"/>
      <c r="AT499" s="28"/>
      <c r="AU499" s="12"/>
      <c r="AV499" s="29"/>
    </row>
    <row r="500" spans="4:48">
      <c r="D500" s="12"/>
      <c r="E500" s="12"/>
      <c r="F500" s="12"/>
      <c r="G500" s="12"/>
      <c r="H500" s="38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8"/>
      <c r="AS500" s="28"/>
      <c r="AT500" s="28"/>
      <c r="AU500" s="12"/>
      <c r="AV500" s="29"/>
    </row>
    <row r="501" spans="4:48">
      <c r="D501" s="12"/>
      <c r="E501" s="12"/>
      <c r="F501" s="12"/>
      <c r="G501" s="12"/>
      <c r="H501" s="38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8"/>
      <c r="AS501" s="28"/>
      <c r="AT501" s="28"/>
      <c r="AU501" s="12"/>
      <c r="AV501" s="29"/>
    </row>
    <row r="502" spans="4:48">
      <c r="D502" s="12"/>
      <c r="E502" s="12"/>
      <c r="F502" s="12"/>
      <c r="G502" s="12"/>
      <c r="H502" s="38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8"/>
      <c r="AS502" s="28"/>
      <c r="AT502" s="28"/>
      <c r="AU502" s="12"/>
      <c r="AV502" s="29"/>
    </row>
    <row r="503" spans="4:48">
      <c r="D503" s="12"/>
      <c r="E503" s="12"/>
      <c r="F503" s="12"/>
      <c r="G503" s="12"/>
      <c r="H503" s="38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8"/>
      <c r="AS503" s="28"/>
      <c r="AT503" s="28"/>
      <c r="AU503" s="12"/>
      <c r="AV503" s="29"/>
    </row>
    <row r="504" spans="4:48">
      <c r="D504" s="12"/>
      <c r="E504" s="12"/>
      <c r="F504" s="12"/>
      <c r="G504" s="12"/>
      <c r="H504" s="38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8"/>
      <c r="AS504" s="28"/>
      <c r="AT504" s="28"/>
      <c r="AU504" s="12"/>
      <c r="AV504" s="29"/>
    </row>
    <row r="505" spans="4:48">
      <c r="D505" s="12"/>
      <c r="E505" s="12"/>
      <c r="F505" s="12"/>
      <c r="G505" s="12"/>
      <c r="H505" s="38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8"/>
      <c r="AS505" s="28"/>
      <c r="AT505" s="28"/>
      <c r="AU505" s="12"/>
      <c r="AV505" s="29"/>
    </row>
    <row r="506" spans="4:48">
      <c r="D506" s="12"/>
      <c r="E506" s="12"/>
      <c r="F506" s="12"/>
      <c r="G506" s="12"/>
      <c r="H506" s="38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8"/>
      <c r="AS506" s="28"/>
      <c r="AT506" s="28"/>
      <c r="AU506" s="12"/>
      <c r="AV506" s="29"/>
    </row>
    <row r="507" spans="4:48">
      <c r="D507" s="12"/>
      <c r="E507" s="12"/>
      <c r="F507" s="12"/>
      <c r="G507" s="12"/>
      <c r="H507" s="38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8"/>
      <c r="AS507" s="28"/>
      <c r="AT507" s="28"/>
      <c r="AU507" s="12"/>
      <c r="AV507" s="29"/>
    </row>
    <row r="508" spans="4:48">
      <c r="D508" s="12"/>
      <c r="E508" s="12"/>
      <c r="F508" s="12"/>
      <c r="G508" s="12"/>
      <c r="H508" s="38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8"/>
      <c r="AS508" s="28"/>
      <c r="AT508" s="28"/>
      <c r="AU508" s="12"/>
      <c r="AV508" s="29"/>
    </row>
    <row r="509" spans="4:48">
      <c r="D509" s="12"/>
      <c r="E509" s="12"/>
      <c r="F509" s="12"/>
      <c r="G509" s="12"/>
      <c r="H509" s="38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8"/>
      <c r="AS509" s="28"/>
      <c r="AT509" s="28"/>
      <c r="AU509" s="12"/>
      <c r="AV509" s="29"/>
    </row>
    <row r="510" spans="4:48">
      <c r="D510" s="12"/>
      <c r="E510" s="12"/>
      <c r="F510" s="12"/>
      <c r="G510" s="12"/>
      <c r="H510" s="38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8"/>
      <c r="AS510" s="28"/>
      <c r="AT510" s="28"/>
      <c r="AU510" s="12"/>
      <c r="AV510" s="29"/>
    </row>
    <row r="511" spans="4:48">
      <c r="D511" s="12"/>
      <c r="E511" s="12"/>
      <c r="F511" s="12"/>
      <c r="G511" s="12"/>
      <c r="H511" s="38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8"/>
      <c r="AS511" s="28"/>
      <c r="AT511" s="28"/>
      <c r="AU511" s="12"/>
      <c r="AV511" s="29"/>
    </row>
    <row r="512" spans="4:48">
      <c r="D512" s="12"/>
      <c r="E512" s="12"/>
      <c r="F512" s="12"/>
      <c r="G512" s="12"/>
      <c r="H512" s="38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8"/>
      <c r="AS512" s="28"/>
      <c r="AT512" s="28"/>
      <c r="AU512" s="12"/>
      <c r="AV512" s="29"/>
    </row>
    <row r="513" spans="4:48">
      <c r="D513" s="12"/>
      <c r="E513" s="12"/>
      <c r="F513" s="12"/>
      <c r="G513" s="12"/>
      <c r="H513" s="38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8"/>
      <c r="AS513" s="28"/>
      <c r="AT513" s="28"/>
      <c r="AU513" s="12"/>
      <c r="AV513" s="29"/>
    </row>
    <row r="514" spans="4:48">
      <c r="D514" s="12"/>
      <c r="E514" s="12"/>
      <c r="F514" s="12"/>
      <c r="G514" s="12"/>
      <c r="H514" s="38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8"/>
      <c r="AS514" s="28"/>
      <c r="AT514" s="28"/>
      <c r="AU514" s="12"/>
      <c r="AV514" s="29"/>
    </row>
    <row r="515" spans="4:48">
      <c r="D515" s="12"/>
      <c r="E515" s="12"/>
      <c r="F515" s="12"/>
      <c r="G515" s="12"/>
      <c r="H515" s="38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8"/>
      <c r="AS515" s="28"/>
      <c r="AT515" s="28"/>
      <c r="AU515" s="12"/>
      <c r="AV515" s="29"/>
    </row>
    <row r="516" spans="4:48">
      <c r="D516" s="12"/>
      <c r="E516" s="12"/>
      <c r="F516" s="12"/>
      <c r="G516" s="12"/>
      <c r="H516" s="38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8"/>
      <c r="AS516" s="28"/>
      <c r="AT516" s="28"/>
      <c r="AU516" s="12"/>
      <c r="AV516" s="29"/>
    </row>
    <row r="517" spans="4:48">
      <c r="D517" s="12"/>
      <c r="E517" s="12"/>
      <c r="F517" s="12"/>
      <c r="G517" s="12"/>
      <c r="H517" s="38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8"/>
      <c r="AS517" s="28"/>
      <c r="AT517" s="28"/>
      <c r="AU517" s="12"/>
      <c r="AV517" s="29"/>
    </row>
    <row r="518" spans="4:48">
      <c r="D518" s="12"/>
      <c r="E518" s="12"/>
      <c r="F518" s="12"/>
      <c r="G518" s="12"/>
      <c r="H518" s="38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8"/>
      <c r="AS518" s="28"/>
      <c r="AT518" s="28"/>
      <c r="AU518" s="12"/>
      <c r="AV518" s="29"/>
    </row>
    <row r="519" spans="4:48">
      <c r="D519" s="12"/>
      <c r="E519" s="12"/>
      <c r="F519" s="12"/>
      <c r="G519" s="12"/>
      <c r="H519" s="38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8"/>
      <c r="AS519" s="28"/>
      <c r="AT519" s="28"/>
      <c r="AU519" s="12"/>
      <c r="AV519" s="29"/>
    </row>
    <row r="520" spans="4:48">
      <c r="D520" s="12"/>
      <c r="E520" s="12"/>
      <c r="F520" s="12"/>
      <c r="G520" s="12"/>
      <c r="H520" s="38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8"/>
      <c r="AS520" s="28"/>
      <c r="AT520" s="28"/>
      <c r="AU520" s="12"/>
      <c r="AV520" s="29"/>
    </row>
    <row r="521" spans="4:48">
      <c r="D521" s="12"/>
      <c r="E521" s="12"/>
      <c r="F521" s="12"/>
      <c r="G521" s="12"/>
      <c r="H521" s="38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8"/>
      <c r="AS521" s="28"/>
      <c r="AT521" s="28"/>
      <c r="AU521" s="12"/>
      <c r="AV521" s="29"/>
    </row>
    <row r="522" spans="4:48">
      <c r="D522" s="12"/>
      <c r="E522" s="12"/>
      <c r="F522" s="12"/>
      <c r="G522" s="12"/>
      <c r="H522" s="38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8"/>
      <c r="AS522" s="28"/>
      <c r="AT522" s="28"/>
      <c r="AU522" s="12"/>
      <c r="AV522" s="29"/>
    </row>
    <row r="523" spans="4:48">
      <c r="D523" s="12"/>
      <c r="E523" s="12"/>
      <c r="F523" s="12"/>
      <c r="G523" s="12"/>
      <c r="H523" s="38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8"/>
      <c r="AS523" s="28"/>
      <c r="AT523" s="28"/>
      <c r="AU523" s="12"/>
      <c r="AV523" s="29"/>
    </row>
    <row r="524" spans="4:48">
      <c r="D524" s="12"/>
      <c r="E524" s="12"/>
      <c r="F524" s="12"/>
      <c r="G524" s="12"/>
      <c r="H524" s="38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8"/>
      <c r="AS524" s="28"/>
      <c r="AT524" s="28"/>
      <c r="AU524" s="12"/>
      <c r="AV524" s="29"/>
    </row>
    <row r="525" spans="4:48">
      <c r="D525" s="12"/>
      <c r="E525" s="12"/>
      <c r="F525" s="12"/>
      <c r="G525" s="12"/>
      <c r="H525" s="38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8"/>
      <c r="AS525" s="28"/>
      <c r="AT525" s="28"/>
      <c r="AU525" s="12"/>
      <c r="AV525" s="29"/>
    </row>
    <row r="526" spans="4:48">
      <c r="D526" s="12"/>
      <c r="E526" s="12"/>
      <c r="F526" s="12"/>
      <c r="G526" s="12"/>
      <c r="H526" s="38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8"/>
      <c r="AS526" s="28"/>
      <c r="AT526" s="28"/>
      <c r="AU526" s="12"/>
      <c r="AV526" s="29"/>
    </row>
    <row r="527" spans="4:48">
      <c r="D527" s="12"/>
      <c r="E527" s="12"/>
      <c r="F527" s="12"/>
      <c r="G527" s="12"/>
      <c r="H527" s="38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8"/>
      <c r="AS527" s="28"/>
      <c r="AT527" s="28"/>
      <c r="AU527" s="12"/>
      <c r="AV527" s="29"/>
    </row>
    <row r="528" spans="4:48">
      <c r="D528" s="12"/>
      <c r="E528" s="12"/>
      <c r="F528" s="12"/>
      <c r="G528" s="12"/>
      <c r="H528" s="38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8"/>
      <c r="AS528" s="28"/>
      <c r="AT528" s="28"/>
      <c r="AU528" s="12"/>
      <c r="AV528" s="29"/>
    </row>
    <row r="529" spans="4:48">
      <c r="D529" s="12"/>
      <c r="E529" s="12"/>
      <c r="F529" s="12"/>
      <c r="G529" s="12"/>
      <c r="H529" s="38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8"/>
      <c r="AS529" s="28"/>
      <c r="AT529" s="28"/>
      <c r="AU529" s="12"/>
      <c r="AV529" s="29"/>
    </row>
    <row r="530" spans="4:48">
      <c r="D530" s="12"/>
      <c r="E530" s="12"/>
      <c r="F530" s="12"/>
      <c r="G530" s="12"/>
      <c r="H530" s="38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8"/>
      <c r="AS530" s="28"/>
      <c r="AT530" s="28"/>
      <c r="AU530" s="12"/>
      <c r="AV530" s="29"/>
    </row>
    <row r="531" spans="4:48">
      <c r="D531" s="12"/>
      <c r="E531" s="12"/>
      <c r="F531" s="12"/>
      <c r="G531" s="12"/>
      <c r="H531" s="38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8"/>
      <c r="AS531" s="28"/>
      <c r="AT531" s="28"/>
      <c r="AU531" s="12"/>
      <c r="AV531" s="29"/>
    </row>
    <row r="532" spans="4:48">
      <c r="D532" s="12"/>
      <c r="E532" s="12"/>
      <c r="F532" s="12"/>
      <c r="G532" s="12"/>
      <c r="H532" s="38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8"/>
      <c r="AS532" s="28"/>
      <c r="AT532" s="28"/>
      <c r="AU532" s="12"/>
      <c r="AV532" s="29"/>
    </row>
    <row r="533" spans="4:48">
      <c r="D533" s="12"/>
      <c r="E533" s="12"/>
      <c r="F533" s="12"/>
      <c r="G533" s="12"/>
      <c r="H533" s="38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8"/>
      <c r="AS533" s="28"/>
      <c r="AT533" s="28"/>
      <c r="AU533" s="12"/>
      <c r="AV533" s="29"/>
    </row>
    <row r="534" spans="4:48">
      <c r="D534" s="12"/>
      <c r="E534" s="12"/>
      <c r="F534" s="12"/>
      <c r="G534" s="12"/>
      <c r="H534" s="38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8"/>
      <c r="AS534" s="28"/>
      <c r="AT534" s="28"/>
      <c r="AU534" s="12"/>
      <c r="AV534" s="29"/>
    </row>
    <row r="535" spans="4:48">
      <c r="D535" s="12"/>
      <c r="E535" s="12"/>
      <c r="F535" s="12"/>
      <c r="G535" s="12"/>
      <c r="H535" s="38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8"/>
      <c r="AS535" s="28"/>
      <c r="AT535" s="28"/>
      <c r="AU535" s="12"/>
      <c r="AV535" s="29"/>
    </row>
    <row r="536" spans="4:48">
      <c r="D536" s="12"/>
      <c r="E536" s="12"/>
      <c r="F536" s="12"/>
      <c r="G536" s="12"/>
      <c r="H536" s="38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8"/>
      <c r="AS536" s="28"/>
      <c r="AT536" s="28"/>
      <c r="AU536" s="12"/>
      <c r="AV536" s="29"/>
    </row>
    <row r="537" spans="4:48">
      <c r="D537" s="12"/>
      <c r="E537" s="12"/>
      <c r="F537" s="12"/>
      <c r="G537" s="12"/>
      <c r="H537" s="38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8"/>
      <c r="AS537" s="28"/>
      <c r="AT537" s="28"/>
      <c r="AU537" s="12"/>
      <c r="AV537" s="29"/>
    </row>
    <row r="538" spans="4:48">
      <c r="D538" s="12"/>
      <c r="E538" s="12"/>
      <c r="F538" s="12"/>
      <c r="G538" s="12"/>
      <c r="H538" s="38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8"/>
      <c r="AS538" s="28"/>
      <c r="AT538" s="28"/>
      <c r="AU538" s="12"/>
      <c r="AV538" s="29"/>
    </row>
    <row r="539" spans="4:48">
      <c r="D539" s="12"/>
      <c r="E539" s="12"/>
      <c r="F539" s="12"/>
      <c r="G539" s="12"/>
      <c r="H539" s="38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8"/>
      <c r="AS539" s="28"/>
      <c r="AT539" s="28"/>
      <c r="AU539" s="12"/>
      <c r="AV539" s="29"/>
    </row>
    <row r="540" spans="4:48">
      <c r="D540" s="12"/>
      <c r="E540" s="12"/>
      <c r="F540" s="12"/>
      <c r="G540" s="12"/>
      <c r="H540" s="38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8"/>
      <c r="AS540" s="28"/>
      <c r="AT540" s="28"/>
      <c r="AU540" s="12"/>
      <c r="AV540" s="29"/>
    </row>
    <row r="541" spans="4:48">
      <c r="D541" s="12"/>
      <c r="E541" s="12"/>
      <c r="F541" s="12"/>
      <c r="G541" s="12"/>
      <c r="H541" s="38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8"/>
      <c r="AS541" s="28"/>
      <c r="AT541" s="28"/>
      <c r="AU541" s="12"/>
      <c r="AV541" s="29"/>
    </row>
    <row r="542" spans="4:48">
      <c r="D542" s="12"/>
      <c r="E542" s="12"/>
      <c r="F542" s="12"/>
      <c r="G542" s="12"/>
      <c r="H542" s="38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8"/>
      <c r="AS542" s="28"/>
      <c r="AT542" s="28"/>
      <c r="AU542" s="12"/>
      <c r="AV542" s="29"/>
    </row>
    <row r="543" spans="4:48">
      <c r="D543" s="12"/>
      <c r="E543" s="12"/>
      <c r="F543" s="12"/>
      <c r="G543" s="12"/>
      <c r="H543" s="38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8"/>
      <c r="AS543" s="28"/>
      <c r="AT543" s="28"/>
      <c r="AU543" s="12"/>
      <c r="AV543" s="29"/>
    </row>
    <row r="544" spans="4:48">
      <c r="D544" s="12"/>
      <c r="E544" s="12"/>
      <c r="F544" s="12"/>
      <c r="G544" s="12"/>
      <c r="H544" s="38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8"/>
      <c r="AS544" s="28"/>
      <c r="AT544" s="28"/>
      <c r="AU544" s="12"/>
      <c r="AV544" s="29"/>
    </row>
    <row r="545" spans="4:48">
      <c r="D545" s="12"/>
      <c r="E545" s="12"/>
      <c r="F545" s="12"/>
      <c r="G545" s="12"/>
      <c r="H545" s="38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8"/>
      <c r="AS545" s="28"/>
      <c r="AT545" s="28"/>
      <c r="AU545" s="12"/>
      <c r="AV545" s="29"/>
    </row>
    <row r="546" spans="4:48">
      <c r="D546" s="12"/>
      <c r="E546" s="12"/>
      <c r="F546" s="12"/>
      <c r="G546" s="12"/>
      <c r="H546" s="38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8"/>
      <c r="AS546" s="28"/>
      <c r="AT546" s="28"/>
      <c r="AU546" s="12"/>
      <c r="AV546" s="29"/>
    </row>
    <row r="547" spans="4:48">
      <c r="D547" s="12"/>
      <c r="E547" s="12"/>
      <c r="F547" s="12"/>
      <c r="G547" s="12"/>
      <c r="H547" s="38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8"/>
      <c r="AS547" s="28"/>
      <c r="AT547" s="28"/>
      <c r="AU547" s="12"/>
      <c r="AV547" s="29"/>
    </row>
    <row r="548" spans="4:48">
      <c r="D548" s="12"/>
      <c r="E548" s="12"/>
      <c r="F548" s="12"/>
      <c r="G548" s="12"/>
      <c r="H548" s="38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8"/>
      <c r="AS548" s="28"/>
      <c r="AT548" s="28"/>
      <c r="AU548" s="12"/>
      <c r="AV548" s="29"/>
    </row>
    <row r="549" spans="4:48">
      <c r="D549" s="12"/>
      <c r="E549" s="12"/>
      <c r="F549" s="12"/>
      <c r="G549" s="12"/>
      <c r="H549" s="38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8"/>
      <c r="AS549" s="28"/>
      <c r="AT549" s="28"/>
      <c r="AU549" s="12"/>
      <c r="AV549" s="29"/>
    </row>
    <row r="550" spans="4:48">
      <c r="D550" s="12"/>
      <c r="E550" s="12"/>
      <c r="F550" s="12"/>
      <c r="G550" s="12"/>
      <c r="H550" s="38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8"/>
      <c r="AS550" s="28"/>
      <c r="AT550" s="28"/>
      <c r="AU550" s="12"/>
      <c r="AV550" s="29"/>
    </row>
    <row r="551" spans="4:48">
      <c r="D551" s="12"/>
      <c r="E551" s="12"/>
      <c r="F551" s="12"/>
      <c r="G551" s="12"/>
      <c r="H551" s="38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8"/>
      <c r="AS551" s="28"/>
      <c r="AT551" s="28"/>
      <c r="AU551" s="12"/>
      <c r="AV551" s="29"/>
    </row>
    <row r="552" spans="4:48">
      <c r="D552" s="12"/>
      <c r="E552" s="12"/>
      <c r="F552" s="12"/>
      <c r="G552" s="12"/>
      <c r="H552" s="38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8"/>
      <c r="AS552" s="28"/>
      <c r="AT552" s="28"/>
      <c r="AU552" s="12"/>
      <c r="AV552" s="29"/>
    </row>
    <row r="553" spans="4:48">
      <c r="D553" s="12"/>
      <c r="E553" s="12"/>
      <c r="F553" s="12"/>
      <c r="G553" s="12"/>
      <c r="H553" s="38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8"/>
      <c r="AS553" s="28"/>
      <c r="AT553" s="28"/>
      <c r="AU553" s="12"/>
      <c r="AV553" s="29"/>
    </row>
    <row r="554" spans="4:48">
      <c r="D554" s="12"/>
      <c r="E554" s="12"/>
      <c r="F554" s="12"/>
      <c r="G554" s="12"/>
      <c r="H554" s="38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8"/>
      <c r="AS554" s="28"/>
      <c r="AT554" s="28"/>
      <c r="AU554" s="12"/>
      <c r="AV554" s="29"/>
    </row>
    <row r="555" spans="4:48">
      <c r="D555" s="12"/>
      <c r="E555" s="12"/>
      <c r="F555" s="12"/>
      <c r="G555" s="12"/>
      <c r="H555" s="38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8"/>
      <c r="AS555" s="28"/>
      <c r="AT555" s="28"/>
      <c r="AU555" s="12"/>
      <c r="AV555" s="29"/>
    </row>
    <row r="556" spans="4:48">
      <c r="D556" s="12"/>
      <c r="E556" s="12"/>
      <c r="F556" s="12"/>
      <c r="G556" s="12"/>
      <c r="H556" s="38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8"/>
      <c r="AS556" s="28"/>
      <c r="AT556" s="28"/>
      <c r="AU556" s="12"/>
      <c r="AV556" s="29"/>
    </row>
    <row r="557" spans="4:48">
      <c r="D557" s="12"/>
      <c r="E557" s="12"/>
      <c r="F557" s="12"/>
      <c r="G557" s="12"/>
      <c r="H557" s="38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8"/>
      <c r="AS557" s="28"/>
      <c r="AT557" s="28"/>
      <c r="AU557" s="12"/>
      <c r="AV557" s="29"/>
    </row>
    <row r="558" spans="4:48">
      <c r="D558" s="12"/>
      <c r="E558" s="12"/>
      <c r="F558" s="12"/>
      <c r="G558" s="12"/>
      <c r="H558" s="38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8"/>
      <c r="AS558" s="28"/>
      <c r="AT558" s="28"/>
      <c r="AU558" s="12"/>
      <c r="AV558" s="29"/>
    </row>
    <row r="559" spans="4:48">
      <c r="D559" s="12"/>
      <c r="E559" s="12"/>
      <c r="F559" s="12"/>
      <c r="G559" s="12"/>
      <c r="H559" s="38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8"/>
      <c r="AS559" s="28"/>
      <c r="AT559" s="28"/>
      <c r="AU559" s="12"/>
      <c r="AV559" s="29"/>
    </row>
    <row r="560" spans="4:48">
      <c r="D560" s="12"/>
      <c r="E560" s="12"/>
      <c r="F560" s="12"/>
      <c r="G560" s="12"/>
      <c r="H560" s="38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8"/>
      <c r="AS560" s="28"/>
      <c r="AT560" s="28"/>
      <c r="AU560" s="12"/>
      <c r="AV560" s="29"/>
    </row>
    <row r="561" spans="4:48">
      <c r="D561" s="12"/>
      <c r="E561" s="12"/>
      <c r="F561" s="12"/>
      <c r="G561" s="12"/>
      <c r="H561" s="38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8"/>
      <c r="AS561" s="28"/>
      <c r="AT561" s="28"/>
      <c r="AU561" s="12"/>
      <c r="AV561" s="29"/>
    </row>
    <row r="562" spans="4:48">
      <c r="D562" s="12"/>
      <c r="E562" s="12"/>
      <c r="F562" s="12"/>
      <c r="G562" s="12"/>
      <c r="H562" s="38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8"/>
      <c r="AS562" s="28"/>
      <c r="AT562" s="28"/>
      <c r="AU562" s="12"/>
      <c r="AV562" s="29"/>
    </row>
    <row r="563" spans="4:48">
      <c r="D563" s="12"/>
      <c r="E563" s="12"/>
      <c r="F563" s="12"/>
      <c r="G563" s="12"/>
      <c r="H563" s="38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8"/>
      <c r="AS563" s="28"/>
      <c r="AT563" s="28"/>
      <c r="AU563" s="12"/>
      <c r="AV563" s="29"/>
    </row>
    <row r="564" spans="4:48">
      <c r="D564" s="12"/>
      <c r="E564" s="12"/>
      <c r="F564" s="12"/>
      <c r="G564" s="12"/>
      <c r="H564" s="38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8"/>
      <c r="AS564" s="28"/>
      <c r="AT564" s="28"/>
      <c r="AU564" s="12"/>
      <c r="AV564" s="29"/>
    </row>
    <row r="565" spans="4:48">
      <c r="D565" s="12"/>
      <c r="E565" s="12"/>
      <c r="F565" s="12"/>
      <c r="G565" s="12"/>
      <c r="H565" s="38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8"/>
      <c r="AS565" s="28"/>
      <c r="AT565" s="28"/>
      <c r="AU565" s="12"/>
      <c r="AV565" s="29"/>
    </row>
    <row r="566" spans="4:48">
      <c r="D566" s="12"/>
      <c r="E566" s="12"/>
      <c r="F566" s="12"/>
      <c r="G566" s="12"/>
      <c r="H566" s="38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8"/>
      <c r="AS566" s="28"/>
      <c r="AT566" s="28"/>
      <c r="AU566" s="12"/>
      <c r="AV566" s="29"/>
    </row>
    <row r="567" spans="4:48">
      <c r="D567" s="12"/>
      <c r="E567" s="12"/>
      <c r="F567" s="12"/>
      <c r="G567" s="12"/>
      <c r="H567" s="38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8"/>
      <c r="AS567" s="28"/>
      <c r="AT567" s="28"/>
      <c r="AU567" s="12"/>
      <c r="AV567" s="29"/>
    </row>
    <row r="568" spans="4:48">
      <c r="D568" s="12"/>
      <c r="E568" s="12"/>
      <c r="F568" s="12"/>
      <c r="G568" s="12"/>
      <c r="H568" s="38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8"/>
      <c r="AS568" s="28"/>
      <c r="AT568" s="28"/>
      <c r="AU568" s="12"/>
      <c r="AV568" s="29"/>
    </row>
    <row r="569" spans="4:48">
      <c r="D569" s="12"/>
      <c r="E569" s="12"/>
      <c r="F569" s="12"/>
      <c r="G569" s="12"/>
      <c r="H569" s="38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8"/>
      <c r="AS569" s="28"/>
      <c r="AT569" s="28"/>
      <c r="AU569" s="12"/>
      <c r="AV569" s="29"/>
    </row>
    <row r="570" spans="4:48">
      <c r="D570" s="12"/>
      <c r="E570" s="12"/>
      <c r="F570" s="12"/>
      <c r="G570" s="12"/>
      <c r="H570" s="38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8"/>
      <c r="AS570" s="28"/>
      <c r="AT570" s="28"/>
      <c r="AU570" s="12"/>
      <c r="AV570" s="29"/>
    </row>
    <row r="571" spans="4:48">
      <c r="D571" s="12"/>
      <c r="E571" s="12"/>
      <c r="F571" s="12"/>
      <c r="G571" s="12"/>
      <c r="H571" s="38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8"/>
      <c r="AS571" s="28"/>
      <c r="AT571" s="28"/>
      <c r="AU571" s="12"/>
      <c r="AV571" s="29"/>
    </row>
    <row r="572" spans="4:48">
      <c r="D572" s="12"/>
      <c r="E572" s="12"/>
      <c r="F572" s="12"/>
      <c r="G572" s="12"/>
      <c r="H572" s="38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8"/>
      <c r="AS572" s="28"/>
      <c r="AT572" s="28"/>
      <c r="AU572" s="12"/>
      <c r="AV572" s="29"/>
    </row>
    <row r="573" spans="4:48">
      <c r="D573" s="12"/>
      <c r="E573" s="12"/>
      <c r="F573" s="12"/>
      <c r="G573" s="12"/>
      <c r="H573" s="38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8"/>
      <c r="AS573" s="28"/>
      <c r="AT573" s="28"/>
      <c r="AU573" s="12"/>
      <c r="AV573" s="29"/>
    </row>
    <row r="574" spans="4:48">
      <c r="D574" s="12"/>
      <c r="E574" s="12"/>
      <c r="F574" s="12"/>
      <c r="G574" s="12"/>
      <c r="H574" s="38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8"/>
      <c r="AS574" s="28"/>
      <c r="AT574" s="28"/>
      <c r="AU574" s="12"/>
      <c r="AV574" s="29"/>
    </row>
    <row r="575" spans="4:48">
      <c r="D575" s="12"/>
      <c r="E575" s="12"/>
      <c r="F575" s="12"/>
      <c r="G575" s="12"/>
      <c r="H575" s="38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8"/>
      <c r="AS575" s="28"/>
      <c r="AT575" s="28"/>
      <c r="AU575" s="12"/>
      <c r="AV575" s="29"/>
    </row>
    <row r="576" spans="4:48">
      <c r="D576" s="12"/>
      <c r="E576" s="12"/>
      <c r="F576" s="12"/>
      <c r="G576" s="12"/>
      <c r="H576" s="38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8"/>
      <c r="AS576" s="28"/>
      <c r="AT576" s="28"/>
      <c r="AU576" s="12"/>
      <c r="AV576" s="29"/>
    </row>
    <row r="577" spans="4:48">
      <c r="D577" s="12"/>
      <c r="E577" s="12"/>
      <c r="F577" s="12"/>
      <c r="G577" s="12"/>
      <c r="H577" s="38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8"/>
      <c r="AS577" s="28"/>
      <c r="AT577" s="28"/>
      <c r="AU577" s="12"/>
      <c r="AV577" s="29"/>
    </row>
    <row r="578" spans="4:48">
      <c r="D578" s="12"/>
      <c r="E578" s="12"/>
      <c r="F578" s="12"/>
      <c r="G578" s="12"/>
      <c r="H578" s="38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8"/>
      <c r="AS578" s="28"/>
      <c r="AT578" s="28"/>
      <c r="AU578" s="12"/>
      <c r="AV578" s="29"/>
    </row>
    <row r="579" spans="4:48">
      <c r="D579" s="12"/>
      <c r="E579" s="12"/>
      <c r="F579" s="12"/>
      <c r="G579" s="12"/>
      <c r="H579" s="38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8"/>
      <c r="AS579" s="28"/>
      <c r="AT579" s="28"/>
      <c r="AU579" s="12"/>
      <c r="AV579" s="29"/>
    </row>
    <row r="580" spans="4:48">
      <c r="D580" s="12"/>
      <c r="E580" s="12"/>
      <c r="F580" s="12"/>
      <c r="G580" s="12"/>
      <c r="H580" s="38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8"/>
      <c r="AS580" s="28"/>
      <c r="AT580" s="28"/>
      <c r="AU580" s="12"/>
      <c r="AV580" s="29"/>
    </row>
    <row r="581" spans="4:48">
      <c r="D581" s="12"/>
      <c r="E581" s="12"/>
      <c r="F581" s="12"/>
      <c r="G581" s="12"/>
      <c r="H581" s="38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8"/>
      <c r="AS581" s="28"/>
      <c r="AT581" s="28"/>
      <c r="AU581" s="12"/>
      <c r="AV581" s="29"/>
    </row>
    <row r="582" spans="4:48">
      <c r="D582" s="12"/>
      <c r="E582" s="12"/>
      <c r="F582" s="12"/>
      <c r="G582" s="12"/>
      <c r="H582" s="38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8"/>
      <c r="AS582" s="28"/>
      <c r="AT582" s="28"/>
      <c r="AU582" s="12"/>
      <c r="AV582" s="29"/>
    </row>
    <row r="583" spans="4:48">
      <c r="D583" s="12"/>
      <c r="E583" s="12"/>
      <c r="F583" s="12"/>
      <c r="G583" s="12"/>
      <c r="H583" s="38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8"/>
      <c r="AS583" s="28"/>
      <c r="AT583" s="28"/>
      <c r="AU583" s="12"/>
      <c r="AV583" s="29"/>
    </row>
    <row r="584" spans="4:48">
      <c r="D584" s="12"/>
      <c r="E584" s="12"/>
      <c r="F584" s="12"/>
      <c r="G584" s="12"/>
      <c r="H584" s="38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8"/>
      <c r="AS584" s="28"/>
      <c r="AT584" s="28"/>
      <c r="AU584" s="12"/>
      <c r="AV584" s="29"/>
    </row>
    <row r="585" spans="4:48">
      <c r="D585" s="12"/>
      <c r="E585" s="12"/>
      <c r="F585" s="12"/>
      <c r="G585" s="12"/>
      <c r="H585" s="38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8"/>
      <c r="AS585" s="28"/>
      <c r="AT585" s="28"/>
      <c r="AU585" s="12"/>
      <c r="AV585" s="29"/>
    </row>
    <row r="586" spans="4:48">
      <c r="D586" s="12"/>
      <c r="E586" s="12"/>
      <c r="F586" s="12"/>
      <c r="G586" s="12"/>
      <c r="H586" s="38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8"/>
      <c r="AS586" s="28"/>
      <c r="AT586" s="28"/>
      <c r="AU586" s="12"/>
      <c r="AV586" s="29"/>
    </row>
    <row r="587" spans="4:48">
      <c r="D587" s="12"/>
      <c r="E587" s="12"/>
      <c r="F587" s="12"/>
      <c r="G587" s="12"/>
      <c r="H587" s="38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8"/>
      <c r="AS587" s="28"/>
      <c r="AT587" s="28"/>
      <c r="AU587" s="12"/>
      <c r="AV587" s="29"/>
    </row>
    <row r="588" spans="4:48">
      <c r="D588" s="12"/>
      <c r="E588" s="12"/>
      <c r="F588" s="12"/>
      <c r="G588" s="12"/>
      <c r="H588" s="38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8"/>
      <c r="AS588" s="28"/>
      <c r="AT588" s="28"/>
      <c r="AU588" s="12"/>
      <c r="AV588" s="29"/>
    </row>
    <row r="589" spans="4:48">
      <c r="D589" s="12"/>
      <c r="E589" s="12"/>
      <c r="F589" s="12"/>
      <c r="G589" s="12"/>
      <c r="H589" s="38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8"/>
      <c r="AS589" s="28"/>
      <c r="AT589" s="28"/>
      <c r="AU589" s="12"/>
      <c r="AV589" s="29"/>
    </row>
    <row r="590" spans="4:48">
      <c r="D590" s="12"/>
      <c r="E590" s="12"/>
      <c r="F590" s="12"/>
      <c r="G590" s="12"/>
      <c r="H590" s="38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8"/>
      <c r="AS590" s="28"/>
      <c r="AT590" s="28"/>
      <c r="AU590" s="12"/>
      <c r="AV590" s="29"/>
    </row>
    <row r="591" spans="4:48">
      <c r="D591" s="12"/>
      <c r="E591" s="12"/>
      <c r="F591" s="12"/>
      <c r="G591" s="12"/>
      <c r="H591" s="38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8"/>
      <c r="AS591" s="28"/>
      <c r="AT591" s="28"/>
      <c r="AU591" s="12"/>
      <c r="AV591" s="29"/>
    </row>
    <row r="592" spans="4:48">
      <c r="D592" s="12"/>
      <c r="E592" s="12"/>
      <c r="F592" s="12"/>
      <c r="G592" s="12"/>
      <c r="H592" s="38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8"/>
      <c r="AS592" s="28"/>
      <c r="AT592" s="28"/>
      <c r="AU592" s="12"/>
      <c r="AV592" s="29"/>
    </row>
    <row r="593" spans="4:48">
      <c r="D593" s="12"/>
      <c r="E593" s="12"/>
      <c r="F593" s="12"/>
      <c r="G593" s="12"/>
      <c r="H593" s="38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8"/>
      <c r="AS593" s="28"/>
      <c r="AT593" s="28"/>
      <c r="AU593" s="12"/>
      <c r="AV593" s="29"/>
    </row>
    <row r="594" spans="4:48">
      <c r="D594" s="12"/>
      <c r="E594" s="12"/>
      <c r="F594" s="12"/>
      <c r="G594" s="12"/>
      <c r="H594" s="38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8"/>
      <c r="AS594" s="28"/>
      <c r="AT594" s="28"/>
      <c r="AU594" s="12"/>
      <c r="AV594" s="29"/>
    </row>
    <row r="595" spans="4:48">
      <c r="D595" s="12"/>
      <c r="E595" s="12"/>
      <c r="F595" s="12"/>
      <c r="G595" s="12"/>
      <c r="H595" s="38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8"/>
      <c r="AS595" s="28"/>
      <c r="AT595" s="28"/>
      <c r="AU595" s="12"/>
      <c r="AV595" s="29"/>
    </row>
    <row r="596" spans="4:48">
      <c r="D596" s="12"/>
      <c r="E596" s="12"/>
      <c r="F596" s="12"/>
      <c r="G596" s="12"/>
      <c r="H596" s="38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8"/>
      <c r="AS596" s="28"/>
      <c r="AT596" s="28"/>
      <c r="AU596" s="12"/>
      <c r="AV596" s="29"/>
    </row>
    <row r="597" spans="4:48">
      <c r="D597" s="12"/>
      <c r="E597" s="12"/>
      <c r="F597" s="12"/>
      <c r="G597" s="12"/>
      <c r="H597" s="38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8"/>
      <c r="AS597" s="28"/>
      <c r="AT597" s="28"/>
      <c r="AU597" s="12"/>
      <c r="AV597" s="29"/>
    </row>
    <row r="598" spans="4:48">
      <c r="D598" s="12"/>
      <c r="E598" s="12"/>
      <c r="F598" s="12"/>
      <c r="G598" s="12"/>
      <c r="H598" s="38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8"/>
      <c r="AS598" s="28"/>
      <c r="AT598" s="28"/>
      <c r="AU598" s="12"/>
      <c r="AV598" s="29"/>
    </row>
    <row r="599" spans="4:48">
      <c r="D599" s="12"/>
      <c r="E599" s="12"/>
      <c r="F599" s="12"/>
      <c r="G599" s="12"/>
      <c r="H599" s="38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8"/>
      <c r="AS599" s="28"/>
      <c r="AT599" s="28"/>
      <c r="AU599" s="12"/>
      <c r="AV599" s="29"/>
    </row>
    <row r="600" spans="4:48">
      <c r="D600" s="12"/>
      <c r="E600" s="12"/>
      <c r="F600" s="12"/>
      <c r="G600" s="12"/>
      <c r="H600" s="38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8"/>
      <c r="AS600" s="28"/>
      <c r="AT600" s="28"/>
      <c r="AU600" s="12"/>
      <c r="AV600" s="29"/>
    </row>
    <row r="601" spans="4:48">
      <c r="D601" s="12"/>
      <c r="E601" s="12"/>
      <c r="F601" s="12"/>
      <c r="G601" s="12"/>
      <c r="H601" s="38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8"/>
      <c r="AS601" s="28"/>
      <c r="AT601" s="28"/>
      <c r="AU601" s="12"/>
      <c r="AV601" s="29"/>
    </row>
    <row r="602" spans="4:48">
      <c r="D602" s="12"/>
      <c r="E602" s="12"/>
      <c r="F602" s="12"/>
      <c r="G602" s="12"/>
      <c r="H602" s="38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8"/>
      <c r="AS602" s="28"/>
      <c r="AT602" s="28"/>
      <c r="AU602" s="12"/>
      <c r="AV602" s="29"/>
    </row>
    <row r="603" spans="4:48">
      <c r="D603" s="12"/>
      <c r="E603" s="12"/>
      <c r="F603" s="12"/>
      <c r="G603" s="12"/>
      <c r="H603" s="38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8"/>
      <c r="AS603" s="28"/>
      <c r="AT603" s="28"/>
      <c r="AU603" s="12"/>
      <c r="AV603" s="29"/>
    </row>
    <row r="604" spans="4:48">
      <c r="D604" s="12"/>
      <c r="E604" s="12"/>
      <c r="F604" s="12"/>
      <c r="G604" s="12"/>
      <c r="H604" s="38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8"/>
      <c r="AS604" s="28"/>
      <c r="AT604" s="28"/>
      <c r="AU604" s="12"/>
      <c r="AV604" s="29"/>
    </row>
    <row r="605" spans="4:48">
      <c r="D605" s="12"/>
      <c r="E605" s="12"/>
      <c r="F605" s="12"/>
      <c r="G605" s="12"/>
      <c r="H605" s="38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8"/>
      <c r="AS605" s="28"/>
      <c r="AT605" s="28"/>
      <c r="AU605" s="12"/>
      <c r="AV605" s="29"/>
    </row>
    <row r="606" spans="4:48">
      <c r="D606" s="12"/>
      <c r="E606" s="12"/>
      <c r="F606" s="12"/>
      <c r="G606" s="12"/>
      <c r="H606" s="38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8"/>
      <c r="AS606" s="28"/>
      <c r="AT606" s="28"/>
      <c r="AU606" s="12"/>
      <c r="AV606" s="29"/>
    </row>
    <row r="607" spans="4:48">
      <c r="D607" s="12"/>
      <c r="E607" s="12"/>
      <c r="F607" s="12"/>
      <c r="G607" s="12"/>
      <c r="H607" s="38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8"/>
      <c r="AS607" s="28"/>
      <c r="AT607" s="28"/>
      <c r="AU607" s="12"/>
      <c r="AV607" s="29"/>
    </row>
    <row r="608" spans="4:48">
      <c r="D608" s="12"/>
      <c r="E608" s="12"/>
      <c r="F608" s="12"/>
      <c r="G608" s="12"/>
      <c r="H608" s="38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8"/>
      <c r="AS608" s="28"/>
      <c r="AT608" s="28"/>
      <c r="AU608" s="12"/>
      <c r="AV608" s="29"/>
    </row>
    <row r="609" spans="4:48">
      <c r="D609" s="12"/>
      <c r="E609" s="12"/>
      <c r="F609" s="12"/>
      <c r="G609" s="12"/>
      <c r="H609" s="38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8"/>
      <c r="AS609" s="28"/>
      <c r="AT609" s="28"/>
      <c r="AU609" s="12"/>
      <c r="AV609" s="29"/>
    </row>
    <row r="610" spans="4:48">
      <c r="D610" s="12"/>
      <c r="E610" s="12"/>
      <c r="F610" s="12"/>
      <c r="G610" s="12"/>
      <c r="H610" s="38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8"/>
      <c r="AS610" s="28"/>
      <c r="AT610" s="28"/>
      <c r="AU610" s="12"/>
      <c r="AV610" s="29"/>
    </row>
    <row r="611" spans="4:48">
      <c r="D611" s="12"/>
      <c r="E611" s="12"/>
      <c r="F611" s="12"/>
      <c r="G611" s="12"/>
      <c r="H611" s="38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8"/>
      <c r="AS611" s="28"/>
      <c r="AT611" s="28"/>
      <c r="AU611" s="12"/>
      <c r="AV611" s="29"/>
    </row>
    <row r="612" spans="4:48">
      <c r="D612" s="12"/>
      <c r="E612" s="12"/>
      <c r="F612" s="12"/>
      <c r="G612" s="12"/>
      <c r="H612" s="38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8"/>
      <c r="AS612" s="28"/>
      <c r="AT612" s="28"/>
      <c r="AU612" s="12"/>
      <c r="AV612" s="29"/>
    </row>
    <row r="613" spans="4:48">
      <c r="D613" s="12"/>
      <c r="E613" s="12"/>
      <c r="F613" s="12"/>
      <c r="G613" s="12"/>
      <c r="H613" s="38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8"/>
      <c r="AS613" s="28"/>
      <c r="AT613" s="28"/>
      <c r="AU613" s="12"/>
      <c r="AV613" s="29"/>
    </row>
    <row r="614" spans="4:48">
      <c r="D614" s="12"/>
      <c r="E614" s="12"/>
      <c r="F614" s="12"/>
      <c r="G614" s="12"/>
      <c r="H614" s="38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8"/>
      <c r="AS614" s="28"/>
      <c r="AT614" s="28"/>
      <c r="AU614" s="12"/>
      <c r="AV614" s="29"/>
    </row>
    <row r="615" spans="4:48">
      <c r="D615" s="12"/>
      <c r="E615" s="12"/>
      <c r="F615" s="12"/>
      <c r="G615" s="12"/>
      <c r="H615" s="38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8"/>
      <c r="AS615" s="28"/>
      <c r="AT615" s="28"/>
      <c r="AU615" s="12"/>
      <c r="AV615" s="29"/>
    </row>
    <row r="616" spans="4:48">
      <c r="D616" s="12"/>
      <c r="E616" s="12"/>
      <c r="F616" s="12"/>
      <c r="G616" s="12"/>
      <c r="H616" s="38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8"/>
      <c r="AS616" s="28"/>
      <c r="AT616" s="28"/>
      <c r="AU616" s="12"/>
      <c r="AV616" s="29"/>
    </row>
    <row r="617" spans="4:48">
      <c r="D617" s="12"/>
      <c r="E617" s="12"/>
      <c r="F617" s="12"/>
      <c r="G617" s="12"/>
      <c r="H617" s="38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8"/>
      <c r="AS617" s="28"/>
      <c r="AT617" s="28"/>
      <c r="AU617" s="12"/>
      <c r="AV617" s="29"/>
    </row>
    <row r="618" spans="4:48">
      <c r="D618" s="12"/>
      <c r="E618" s="12"/>
      <c r="F618" s="12"/>
      <c r="G618" s="12"/>
      <c r="H618" s="38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8"/>
      <c r="AS618" s="28"/>
      <c r="AT618" s="28"/>
      <c r="AU618" s="12"/>
      <c r="AV618" s="29"/>
    </row>
    <row r="619" spans="4:48">
      <c r="D619" s="12"/>
      <c r="E619" s="12"/>
      <c r="F619" s="12"/>
      <c r="G619" s="12"/>
      <c r="H619" s="38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8"/>
      <c r="AS619" s="28"/>
      <c r="AT619" s="28"/>
      <c r="AU619" s="12"/>
      <c r="AV619" s="29"/>
    </row>
    <row r="620" spans="4:48">
      <c r="D620" s="12"/>
      <c r="E620" s="12"/>
      <c r="F620" s="12"/>
      <c r="G620" s="12"/>
      <c r="H620" s="38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8"/>
      <c r="AS620" s="28"/>
      <c r="AT620" s="28"/>
      <c r="AU620" s="12"/>
      <c r="AV620" s="29"/>
    </row>
    <row r="621" spans="4:48">
      <c r="D621" s="12"/>
      <c r="E621" s="12"/>
      <c r="F621" s="12"/>
      <c r="G621" s="12"/>
      <c r="H621" s="38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8"/>
      <c r="AS621" s="28"/>
      <c r="AT621" s="28"/>
      <c r="AU621" s="12"/>
      <c r="AV621" s="29"/>
    </row>
    <row r="622" spans="4:48">
      <c r="D622" s="12"/>
      <c r="E622" s="12"/>
      <c r="F622" s="12"/>
      <c r="G622" s="12"/>
      <c r="H622" s="38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8"/>
      <c r="AS622" s="28"/>
      <c r="AT622" s="28"/>
      <c r="AU622" s="12"/>
      <c r="AV622" s="29"/>
    </row>
    <row r="623" spans="4:48">
      <c r="D623" s="12"/>
      <c r="E623" s="12"/>
      <c r="F623" s="12"/>
      <c r="G623" s="12"/>
      <c r="H623" s="38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8"/>
      <c r="AS623" s="28"/>
      <c r="AT623" s="28"/>
      <c r="AU623" s="12"/>
      <c r="AV623" s="29"/>
    </row>
    <row r="624" spans="4:48">
      <c r="D624" s="12"/>
      <c r="E624" s="12"/>
      <c r="F624" s="12"/>
      <c r="G624" s="12"/>
      <c r="H624" s="38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8"/>
      <c r="AS624" s="28"/>
      <c r="AT624" s="28"/>
      <c r="AU624" s="12"/>
      <c r="AV624" s="29"/>
    </row>
    <row r="625" spans="4:48">
      <c r="D625" s="12"/>
      <c r="E625" s="12"/>
      <c r="F625" s="12"/>
      <c r="G625" s="12"/>
      <c r="H625" s="38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8"/>
      <c r="AS625" s="28"/>
      <c r="AT625" s="28"/>
      <c r="AU625" s="12"/>
      <c r="AV625" s="29"/>
    </row>
    <row r="626" spans="4:48">
      <c r="D626" s="12"/>
      <c r="E626" s="12"/>
      <c r="F626" s="12"/>
      <c r="G626" s="12"/>
      <c r="H626" s="38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8"/>
      <c r="AS626" s="28"/>
      <c r="AT626" s="28"/>
      <c r="AU626" s="12"/>
      <c r="AV626" s="29"/>
    </row>
    <row r="627" spans="4:48">
      <c r="D627" s="12"/>
      <c r="E627" s="12"/>
      <c r="F627" s="12"/>
      <c r="G627" s="12"/>
      <c r="H627" s="38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8"/>
      <c r="AS627" s="28"/>
      <c r="AT627" s="28"/>
      <c r="AU627" s="12"/>
      <c r="AV627" s="29"/>
    </row>
    <row r="628" spans="4:48">
      <c r="D628" s="12"/>
      <c r="E628" s="12"/>
      <c r="F628" s="12"/>
      <c r="G628" s="12"/>
      <c r="H628" s="38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8"/>
      <c r="AS628" s="28"/>
      <c r="AT628" s="28"/>
      <c r="AU628" s="12"/>
      <c r="AV628" s="29"/>
    </row>
    <row r="629" spans="4:48">
      <c r="D629" s="12"/>
      <c r="E629" s="12"/>
      <c r="F629" s="12"/>
      <c r="G629" s="12"/>
      <c r="H629" s="38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8"/>
      <c r="AS629" s="28"/>
      <c r="AT629" s="28"/>
      <c r="AU629" s="12"/>
      <c r="AV629" s="29"/>
    </row>
    <row r="630" spans="4:48">
      <c r="D630" s="12"/>
      <c r="E630" s="12"/>
      <c r="F630" s="12"/>
      <c r="G630" s="12"/>
      <c r="H630" s="38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8"/>
      <c r="AS630" s="28"/>
      <c r="AT630" s="28"/>
      <c r="AU630" s="12"/>
      <c r="AV630" s="29"/>
    </row>
    <row r="631" spans="4:48">
      <c r="D631" s="12"/>
      <c r="E631" s="12"/>
      <c r="F631" s="12"/>
      <c r="G631" s="12"/>
      <c r="H631" s="38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8"/>
      <c r="AS631" s="28"/>
      <c r="AT631" s="28"/>
      <c r="AU631" s="12"/>
      <c r="AV631" s="29"/>
    </row>
    <row r="632" spans="4:48">
      <c r="D632" s="12"/>
      <c r="E632" s="12"/>
      <c r="F632" s="12"/>
      <c r="G632" s="12"/>
      <c r="H632" s="38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8"/>
      <c r="AS632" s="28"/>
      <c r="AT632" s="28"/>
      <c r="AU632" s="12"/>
      <c r="AV632" s="29"/>
    </row>
    <row r="633" spans="4:48">
      <c r="D633" s="12"/>
      <c r="E633" s="12"/>
      <c r="F633" s="12"/>
      <c r="G633" s="12"/>
      <c r="H633" s="38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8"/>
      <c r="AS633" s="28"/>
      <c r="AT633" s="28"/>
      <c r="AU633" s="12"/>
      <c r="AV633" s="29"/>
    </row>
    <row r="634" spans="4:48">
      <c r="D634" s="12"/>
      <c r="E634" s="12"/>
      <c r="F634" s="12"/>
      <c r="G634" s="12"/>
      <c r="H634" s="38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8"/>
      <c r="AS634" s="28"/>
      <c r="AT634" s="28"/>
      <c r="AU634" s="12"/>
      <c r="AV634" s="29"/>
    </row>
    <row r="635" spans="4:48">
      <c r="D635" s="12"/>
      <c r="E635" s="12"/>
      <c r="F635" s="12"/>
      <c r="G635" s="12"/>
      <c r="H635" s="38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8"/>
      <c r="AS635" s="28"/>
      <c r="AT635" s="28"/>
      <c r="AU635" s="12"/>
      <c r="AV635" s="29"/>
    </row>
    <row r="636" spans="4:48">
      <c r="D636" s="12"/>
      <c r="E636" s="12"/>
      <c r="F636" s="12"/>
      <c r="G636" s="12"/>
      <c r="H636" s="38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8"/>
      <c r="AS636" s="28"/>
      <c r="AT636" s="28"/>
      <c r="AU636" s="12"/>
      <c r="AV636" s="29"/>
    </row>
    <row r="637" spans="4:48">
      <c r="D637" s="12"/>
      <c r="E637" s="12"/>
      <c r="F637" s="12"/>
      <c r="G637" s="12"/>
      <c r="H637" s="38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8"/>
      <c r="AS637" s="28"/>
      <c r="AT637" s="28"/>
      <c r="AU637" s="12"/>
      <c r="AV637" s="29"/>
    </row>
    <row r="638" spans="4:48">
      <c r="D638" s="12"/>
      <c r="E638" s="12"/>
      <c r="F638" s="12"/>
      <c r="G638" s="12"/>
      <c r="H638" s="38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8"/>
      <c r="AS638" s="28"/>
      <c r="AT638" s="28"/>
      <c r="AU638" s="12"/>
      <c r="AV638" s="29"/>
    </row>
    <row r="639" spans="4:48">
      <c r="D639" s="12"/>
      <c r="E639" s="12"/>
      <c r="F639" s="12"/>
      <c r="G639" s="12"/>
      <c r="H639" s="38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8"/>
      <c r="AS639" s="28"/>
      <c r="AT639" s="28"/>
      <c r="AU639" s="12"/>
      <c r="AV639" s="29"/>
    </row>
    <row r="640" spans="4:48">
      <c r="D640" s="12"/>
      <c r="E640" s="12"/>
      <c r="F640" s="12"/>
      <c r="G640" s="12"/>
      <c r="H640" s="38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8"/>
      <c r="AS640" s="28"/>
      <c r="AT640" s="28"/>
      <c r="AU640" s="12"/>
      <c r="AV640" s="29"/>
    </row>
    <row r="641" spans="4:48">
      <c r="D641" s="12"/>
      <c r="E641" s="12"/>
      <c r="F641" s="12"/>
      <c r="G641" s="12"/>
      <c r="H641" s="38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8"/>
      <c r="AS641" s="28"/>
      <c r="AT641" s="28"/>
      <c r="AU641" s="12"/>
      <c r="AV641" s="29"/>
    </row>
    <row r="642" spans="4:48">
      <c r="D642" s="12"/>
      <c r="E642" s="12"/>
      <c r="F642" s="12"/>
      <c r="G642" s="12"/>
      <c r="H642" s="38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8"/>
      <c r="AS642" s="28"/>
      <c r="AT642" s="28"/>
      <c r="AU642" s="12"/>
      <c r="AV642" s="29"/>
    </row>
    <row r="643" spans="4:48">
      <c r="D643" s="12"/>
      <c r="E643" s="12"/>
      <c r="F643" s="12"/>
      <c r="G643" s="12"/>
      <c r="H643" s="38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8"/>
      <c r="AS643" s="28"/>
      <c r="AT643" s="28"/>
      <c r="AU643" s="12"/>
      <c r="AV643" s="29"/>
    </row>
    <row r="644" spans="4:48">
      <c r="D644" s="12"/>
      <c r="E644" s="12"/>
      <c r="F644" s="12"/>
      <c r="G644" s="12"/>
      <c r="H644" s="38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8"/>
      <c r="AS644" s="28"/>
      <c r="AT644" s="28"/>
      <c r="AU644" s="12"/>
      <c r="AV644" s="29"/>
    </row>
    <row r="645" spans="4:48">
      <c r="D645" s="12"/>
      <c r="E645" s="12"/>
      <c r="F645" s="12"/>
      <c r="G645" s="12"/>
      <c r="H645" s="38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8"/>
      <c r="AS645" s="28"/>
      <c r="AT645" s="28"/>
      <c r="AU645" s="12"/>
      <c r="AV645" s="29"/>
    </row>
    <row r="646" spans="4:48">
      <c r="D646" s="12"/>
      <c r="E646" s="12"/>
      <c r="F646" s="12"/>
      <c r="G646" s="12"/>
      <c r="H646" s="38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8"/>
      <c r="AS646" s="28"/>
      <c r="AT646" s="28"/>
      <c r="AU646" s="12"/>
      <c r="AV646" s="29"/>
    </row>
    <row r="647" spans="4:48">
      <c r="D647" s="12"/>
      <c r="E647" s="12"/>
      <c r="F647" s="12"/>
      <c r="G647" s="12"/>
      <c r="H647" s="38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8"/>
      <c r="AS647" s="28"/>
      <c r="AT647" s="28"/>
      <c r="AU647" s="12"/>
      <c r="AV647" s="29"/>
    </row>
    <row r="648" spans="4:48">
      <c r="D648" s="12"/>
      <c r="E648" s="12"/>
      <c r="F648" s="12"/>
      <c r="G648" s="12"/>
      <c r="H648" s="38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8"/>
      <c r="AS648" s="28"/>
      <c r="AT648" s="28"/>
      <c r="AU648" s="12"/>
      <c r="AV648" s="29"/>
    </row>
    <row r="649" spans="4:48">
      <c r="D649" s="12"/>
      <c r="E649" s="12"/>
      <c r="F649" s="12"/>
      <c r="G649" s="12"/>
      <c r="H649" s="38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8"/>
      <c r="AS649" s="28"/>
      <c r="AT649" s="28"/>
      <c r="AU649" s="12"/>
      <c r="AV649" s="29"/>
    </row>
    <row r="650" spans="4:48">
      <c r="D650" s="12"/>
      <c r="E650" s="12"/>
      <c r="F650" s="12"/>
      <c r="G650" s="12"/>
      <c r="H650" s="38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8"/>
      <c r="AS650" s="28"/>
      <c r="AT650" s="28"/>
      <c r="AU650" s="12"/>
      <c r="AV650" s="29"/>
    </row>
    <row r="651" spans="4:48">
      <c r="D651" s="12"/>
      <c r="E651" s="12"/>
      <c r="F651" s="12"/>
      <c r="G651" s="12"/>
      <c r="H651" s="38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8"/>
      <c r="AS651" s="28"/>
      <c r="AT651" s="28"/>
      <c r="AU651" s="12"/>
      <c r="AV651" s="29"/>
    </row>
    <row r="652" spans="4:48">
      <c r="D652" s="12"/>
      <c r="E652" s="12"/>
      <c r="F652" s="12"/>
      <c r="G652" s="12"/>
      <c r="H652" s="38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8"/>
      <c r="AS652" s="28"/>
      <c r="AT652" s="28"/>
      <c r="AU652" s="12"/>
      <c r="AV652" s="29"/>
    </row>
    <row r="653" spans="4:48">
      <c r="D653" s="12"/>
      <c r="E653" s="12"/>
      <c r="F653" s="12"/>
      <c r="G653" s="12"/>
      <c r="H653" s="38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8"/>
      <c r="AS653" s="28"/>
      <c r="AT653" s="28"/>
      <c r="AU653" s="12"/>
      <c r="AV653" s="29"/>
    </row>
    <row r="654" spans="4:48">
      <c r="D654" s="12"/>
      <c r="E654" s="12"/>
      <c r="F654" s="12"/>
      <c r="G654" s="12"/>
      <c r="H654" s="38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8"/>
      <c r="AS654" s="28"/>
      <c r="AT654" s="28"/>
      <c r="AU654" s="12"/>
      <c r="AV654" s="29"/>
    </row>
    <row r="655" spans="4:48">
      <c r="D655" s="12"/>
      <c r="E655" s="12"/>
      <c r="F655" s="12"/>
      <c r="G655" s="12"/>
      <c r="H655" s="38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8"/>
      <c r="AS655" s="28"/>
      <c r="AT655" s="28"/>
      <c r="AU655" s="12"/>
      <c r="AV655" s="29"/>
    </row>
    <row r="656" spans="4:48">
      <c r="D656" s="12"/>
      <c r="E656" s="12"/>
      <c r="F656" s="12"/>
      <c r="G656" s="12"/>
      <c r="H656" s="38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8"/>
      <c r="AS656" s="28"/>
      <c r="AT656" s="28"/>
      <c r="AU656" s="12"/>
      <c r="AV656" s="29"/>
    </row>
    <row r="657" spans="4:48">
      <c r="D657" s="12"/>
      <c r="E657" s="12"/>
      <c r="F657" s="12"/>
      <c r="G657" s="12"/>
      <c r="H657" s="38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8"/>
      <c r="AS657" s="28"/>
      <c r="AT657" s="28"/>
      <c r="AU657" s="12"/>
      <c r="AV657" s="29"/>
    </row>
    <row r="658" spans="4:48">
      <c r="D658" s="12"/>
      <c r="E658" s="12"/>
      <c r="F658" s="12"/>
      <c r="G658" s="12"/>
      <c r="H658" s="38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8"/>
      <c r="AS658" s="28"/>
      <c r="AT658" s="28"/>
      <c r="AU658" s="12"/>
      <c r="AV658" s="29"/>
    </row>
    <row r="659" spans="4:48">
      <c r="D659" s="12"/>
      <c r="E659" s="12"/>
      <c r="F659" s="12"/>
      <c r="G659" s="12"/>
      <c r="H659" s="38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8"/>
      <c r="AS659" s="28"/>
      <c r="AT659" s="28"/>
      <c r="AU659" s="12"/>
      <c r="AV659" s="29"/>
    </row>
    <row r="660" spans="4:48">
      <c r="D660" s="12"/>
      <c r="E660" s="12"/>
      <c r="F660" s="12"/>
      <c r="G660" s="12"/>
      <c r="H660" s="38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8"/>
      <c r="AS660" s="28"/>
      <c r="AT660" s="28"/>
      <c r="AU660" s="12"/>
      <c r="AV660" s="29"/>
    </row>
    <row r="661" spans="4:48">
      <c r="D661" s="12"/>
      <c r="E661" s="12"/>
      <c r="F661" s="12"/>
      <c r="G661" s="12"/>
      <c r="H661" s="38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8"/>
      <c r="AS661" s="28"/>
      <c r="AT661" s="28"/>
      <c r="AU661" s="12"/>
      <c r="AV661" s="29"/>
    </row>
    <row r="662" spans="4:48">
      <c r="D662" s="12"/>
      <c r="E662" s="12"/>
      <c r="F662" s="12"/>
      <c r="G662" s="12"/>
      <c r="H662" s="38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8"/>
      <c r="AS662" s="28"/>
      <c r="AT662" s="28"/>
      <c r="AU662" s="12"/>
      <c r="AV662" s="29"/>
    </row>
    <row r="663" spans="4:48">
      <c r="D663" s="12"/>
      <c r="E663" s="12"/>
      <c r="F663" s="12"/>
      <c r="G663" s="12"/>
      <c r="H663" s="38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8"/>
      <c r="AS663" s="28"/>
      <c r="AT663" s="28"/>
      <c r="AU663" s="12"/>
      <c r="AV663" s="29"/>
    </row>
    <row r="664" spans="4:48">
      <c r="D664" s="12"/>
      <c r="E664" s="12"/>
      <c r="F664" s="12"/>
      <c r="G664" s="12"/>
      <c r="H664" s="38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8"/>
      <c r="AS664" s="28"/>
      <c r="AT664" s="28"/>
      <c r="AU664" s="12"/>
      <c r="AV664" s="29"/>
    </row>
    <row r="665" spans="4:48">
      <c r="D665" s="12"/>
      <c r="E665" s="12"/>
      <c r="F665" s="12"/>
      <c r="G665" s="12"/>
      <c r="H665" s="38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8"/>
      <c r="AS665" s="28"/>
      <c r="AT665" s="28"/>
      <c r="AU665" s="12"/>
      <c r="AV665" s="29"/>
    </row>
    <row r="666" spans="4:48">
      <c r="D666" s="12"/>
      <c r="E666" s="12"/>
      <c r="F666" s="12"/>
      <c r="G666" s="12"/>
      <c r="H666" s="38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8"/>
      <c r="AS666" s="28"/>
      <c r="AT666" s="28"/>
      <c r="AU666" s="12"/>
      <c r="AV666" s="29"/>
    </row>
    <row r="667" spans="4:48">
      <c r="D667" s="12"/>
      <c r="E667" s="12"/>
      <c r="F667" s="12"/>
      <c r="G667" s="12"/>
      <c r="H667" s="38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8"/>
      <c r="AS667" s="28"/>
      <c r="AT667" s="28"/>
      <c r="AU667" s="12"/>
      <c r="AV667" s="29"/>
    </row>
    <row r="668" spans="4:48">
      <c r="D668" s="12"/>
      <c r="E668" s="12"/>
      <c r="F668" s="12"/>
      <c r="G668" s="12"/>
      <c r="H668" s="38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8"/>
      <c r="AS668" s="28"/>
      <c r="AT668" s="28"/>
      <c r="AU668" s="12"/>
      <c r="AV668" s="29"/>
    </row>
    <row r="669" spans="4:48">
      <c r="D669" s="12"/>
      <c r="E669" s="12"/>
      <c r="F669" s="12"/>
      <c r="G669" s="12"/>
      <c r="H669" s="38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8"/>
      <c r="AS669" s="28"/>
      <c r="AT669" s="28"/>
      <c r="AU669" s="12"/>
      <c r="AV669" s="29"/>
    </row>
    <row r="670" spans="4:48">
      <c r="D670" s="12"/>
      <c r="E670" s="12"/>
      <c r="F670" s="12"/>
      <c r="G670" s="12"/>
      <c r="H670" s="38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8"/>
      <c r="AS670" s="28"/>
      <c r="AT670" s="28"/>
      <c r="AU670" s="12"/>
      <c r="AV670" s="29"/>
    </row>
    <row r="671" spans="4:48">
      <c r="D671" s="12"/>
      <c r="E671" s="12"/>
      <c r="F671" s="12"/>
      <c r="G671" s="12"/>
      <c r="H671" s="38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8"/>
      <c r="AS671" s="28"/>
      <c r="AT671" s="28"/>
      <c r="AU671" s="12"/>
      <c r="AV671" s="29"/>
    </row>
    <row r="672" spans="4:48">
      <c r="D672" s="12"/>
      <c r="E672" s="12"/>
      <c r="F672" s="12"/>
      <c r="G672" s="12"/>
      <c r="H672" s="38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8"/>
      <c r="AS672" s="28"/>
      <c r="AT672" s="28"/>
      <c r="AU672" s="12"/>
      <c r="AV672" s="29"/>
    </row>
    <row r="673" spans="4:48">
      <c r="D673" s="12"/>
      <c r="E673" s="12"/>
      <c r="F673" s="12"/>
      <c r="G673" s="12"/>
      <c r="H673" s="38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8"/>
      <c r="AS673" s="28"/>
      <c r="AT673" s="28"/>
      <c r="AU673" s="12"/>
      <c r="AV673" s="29"/>
    </row>
    <row r="674" spans="4:48">
      <c r="D674" s="12"/>
      <c r="E674" s="12"/>
      <c r="F674" s="12"/>
      <c r="G674" s="12"/>
      <c r="H674" s="38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8"/>
      <c r="AS674" s="28"/>
      <c r="AT674" s="28"/>
      <c r="AU674" s="12"/>
      <c r="AV674" s="29"/>
    </row>
    <row r="675" spans="4:48">
      <c r="D675" s="12"/>
      <c r="E675" s="12"/>
      <c r="F675" s="12"/>
      <c r="G675" s="12"/>
      <c r="H675" s="38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8"/>
      <c r="AS675" s="28"/>
      <c r="AT675" s="28"/>
      <c r="AU675" s="12"/>
      <c r="AV675" s="29"/>
    </row>
    <row r="676" spans="4:48">
      <c r="D676" s="12"/>
      <c r="E676" s="12"/>
      <c r="F676" s="12"/>
      <c r="G676" s="12"/>
      <c r="H676" s="38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8"/>
      <c r="AS676" s="28"/>
      <c r="AT676" s="28"/>
      <c r="AU676" s="12"/>
      <c r="AV676" s="29"/>
    </row>
    <row r="677" spans="4:48">
      <c r="D677" s="12"/>
      <c r="E677" s="12"/>
      <c r="F677" s="12"/>
      <c r="G677" s="12"/>
      <c r="H677" s="38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8"/>
      <c r="AS677" s="28"/>
      <c r="AT677" s="28"/>
      <c r="AU677" s="12"/>
      <c r="AV677" s="29"/>
    </row>
    <row r="678" spans="4:48">
      <c r="D678" s="12"/>
      <c r="E678" s="12"/>
      <c r="F678" s="12"/>
      <c r="G678" s="12"/>
      <c r="H678" s="38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8"/>
      <c r="AS678" s="28"/>
      <c r="AT678" s="28"/>
      <c r="AU678" s="12"/>
      <c r="AV678" s="29"/>
    </row>
    <row r="679" spans="4:48">
      <c r="D679" s="12"/>
      <c r="E679" s="12"/>
      <c r="F679" s="12"/>
      <c r="G679" s="12"/>
      <c r="H679" s="38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8"/>
      <c r="AS679" s="28"/>
      <c r="AT679" s="28"/>
      <c r="AU679" s="12"/>
      <c r="AV679" s="29"/>
    </row>
    <row r="680" spans="4:48">
      <c r="D680" s="12"/>
      <c r="E680" s="12"/>
      <c r="F680" s="12"/>
      <c r="G680" s="12"/>
      <c r="H680" s="38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8"/>
      <c r="AS680" s="28"/>
      <c r="AT680" s="28"/>
      <c r="AU680" s="12"/>
      <c r="AV680" s="29"/>
    </row>
    <row r="681" spans="4:48">
      <c r="D681" s="12"/>
      <c r="E681" s="12"/>
      <c r="F681" s="12"/>
      <c r="G681" s="12"/>
      <c r="H681" s="38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8"/>
      <c r="AS681" s="28"/>
      <c r="AT681" s="28"/>
      <c r="AU681" s="12"/>
      <c r="AV681" s="29"/>
    </row>
    <row r="682" spans="4:48">
      <c r="D682" s="12"/>
      <c r="E682" s="12"/>
      <c r="F682" s="12"/>
      <c r="G682" s="12"/>
      <c r="H682" s="38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8"/>
      <c r="AS682" s="28"/>
      <c r="AT682" s="28"/>
      <c r="AU682" s="12"/>
      <c r="AV682" s="29"/>
    </row>
    <row r="683" spans="4:48">
      <c r="D683" s="12"/>
      <c r="E683" s="12"/>
      <c r="F683" s="12"/>
      <c r="G683" s="12"/>
      <c r="H683" s="38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8"/>
      <c r="AS683" s="28"/>
      <c r="AT683" s="28"/>
      <c r="AU683" s="12"/>
      <c r="AV683" s="29"/>
    </row>
    <row r="684" spans="4:48">
      <c r="D684" s="12"/>
      <c r="E684" s="12"/>
      <c r="F684" s="12"/>
      <c r="G684" s="12"/>
      <c r="H684" s="38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8"/>
      <c r="AS684" s="28"/>
      <c r="AT684" s="28"/>
      <c r="AU684" s="12"/>
      <c r="AV684" s="29"/>
    </row>
    <row r="685" spans="4:48">
      <c r="D685" s="12"/>
      <c r="E685" s="12"/>
      <c r="F685" s="12"/>
      <c r="G685" s="12"/>
      <c r="H685" s="38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8"/>
      <c r="AS685" s="28"/>
      <c r="AT685" s="28"/>
      <c r="AU685" s="12"/>
      <c r="AV685" s="29"/>
    </row>
    <row r="686" spans="4:48">
      <c r="D686" s="12"/>
      <c r="E686" s="12"/>
      <c r="F686" s="12"/>
      <c r="G686" s="12"/>
      <c r="H686" s="38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8"/>
      <c r="AS686" s="28"/>
      <c r="AT686" s="28"/>
      <c r="AU686" s="12"/>
      <c r="AV686" s="29"/>
    </row>
    <row r="687" spans="4:48">
      <c r="D687" s="12"/>
      <c r="E687" s="12"/>
      <c r="F687" s="12"/>
      <c r="G687" s="12"/>
      <c r="H687" s="38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8"/>
      <c r="AS687" s="28"/>
      <c r="AT687" s="28"/>
      <c r="AU687" s="12"/>
      <c r="AV687" s="29"/>
    </row>
    <row r="688" spans="4:48">
      <c r="D688" s="12"/>
      <c r="E688" s="12"/>
      <c r="F688" s="12"/>
      <c r="G688" s="12"/>
      <c r="H688" s="38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8"/>
      <c r="AS688" s="28"/>
      <c r="AT688" s="28"/>
      <c r="AU688" s="12"/>
      <c r="AV688" s="29"/>
    </row>
    <row r="689" spans="4:48">
      <c r="D689" s="12"/>
      <c r="E689" s="12"/>
      <c r="F689" s="12"/>
      <c r="G689" s="12"/>
      <c r="H689" s="38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8"/>
      <c r="AS689" s="28"/>
      <c r="AT689" s="28"/>
      <c r="AU689" s="12"/>
      <c r="AV689" s="29"/>
    </row>
    <row r="690" spans="4:48">
      <c r="D690" s="12"/>
      <c r="E690" s="12"/>
      <c r="F690" s="12"/>
      <c r="G690" s="12"/>
      <c r="H690" s="38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8"/>
      <c r="AS690" s="28"/>
      <c r="AT690" s="28"/>
      <c r="AU690" s="12"/>
      <c r="AV690" s="29"/>
    </row>
    <row r="691" spans="4:48">
      <c r="D691" s="12"/>
      <c r="E691" s="12"/>
      <c r="F691" s="12"/>
      <c r="G691" s="12"/>
      <c r="H691" s="38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8"/>
      <c r="AS691" s="28"/>
      <c r="AT691" s="28"/>
      <c r="AU691" s="12"/>
      <c r="AV691" s="29"/>
    </row>
    <row r="692" spans="4:48">
      <c r="D692" s="12"/>
      <c r="E692" s="12"/>
      <c r="F692" s="12"/>
      <c r="G692" s="12"/>
      <c r="H692" s="38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8"/>
      <c r="AS692" s="28"/>
      <c r="AT692" s="28"/>
      <c r="AU692" s="12"/>
      <c r="AV692" s="29"/>
    </row>
    <row r="693" spans="4:48">
      <c r="D693" s="12"/>
      <c r="E693" s="12"/>
      <c r="F693" s="12"/>
      <c r="G693" s="12"/>
      <c r="H693" s="38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8"/>
      <c r="AS693" s="28"/>
      <c r="AT693" s="28"/>
      <c r="AU693" s="12"/>
      <c r="AV693" s="29"/>
    </row>
    <row r="694" spans="4:48">
      <c r="D694" s="12"/>
      <c r="E694" s="12"/>
      <c r="F694" s="12"/>
      <c r="G694" s="12"/>
      <c r="H694" s="38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8"/>
      <c r="AS694" s="28"/>
      <c r="AT694" s="28"/>
      <c r="AU694" s="12"/>
      <c r="AV694" s="29"/>
    </row>
    <row r="695" spans="4:48">
      <c r="D695" s="12"/>
      <c r="E695" s="12"/>
      <c r="F695" s="12"/>
      <c r="G695" s="12"/>
      <c r="H695" s="38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8"/>
      <c r="AS695" s="28"/>
      <c r="AT695" s="28"/>
      <c r="AU695" s="12"/>
      <c r="AV695" s="29"/>
    </row>
    <row r="696" spans="4:48">
      <c r="D696" s="12"/>
      <c r="E696" s="12"/>
      <c r="F696" s="12"/>
      <c r="G696" s="12"/>
      <c r="H696" s="38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8"/>
      <c r="AS696" s="28"/>
      <c r="AT696" s="28"/>
      <c r="AU696" s="12"/>
      <c r="AV696" s="29"/>
    </row>
    <row r="697" spans="4:48">
      <c r="D697" s="12"/>
      <c r="E697" s="12"/>
      <c r="F697" s="12"/>
      <c r="G697" s="12"/>
      <c r="H697" s="38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8"/>
      <c r="AS697" s="28"/>
      <c r="AT697" s="28"/>
      <c r="AU697" s="12"/>
      <c r="AV697" s="29"/>
    </row>
    <row r="698" spans="4:48">
      <c r="D698" s="12"/>
      <c r="E698" s="12"/>
      <c r="F698" s="12"/>
      <c r="G698" s="12"/>
      <c r="H698" s="38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8"/>
      <c r="AS698" s="28"/>
      <c r="AT698" s="28"/>
      <c r="AU698" s="12"/>
      <c r="AV698" s="29"/>
    </row>
    <row r="699" spans="4:48">
      <c r="D699" s="12"/>
      <c r="E699" s="12"/>
      <c r="F699" s="12"/>
      <c r="G699" s="12"/>
      <c r="H699" s="38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8"/>
      <c r="AS699" s="28"/>
      <c r="AT699" s="28"/>
      <c r="AU699" s="12"/>
      <c r="AV699" s="29"/>
    </row>
    <row r="700" spans="4:48">
      <c r="D700" s="12"/>
      <c r="E700" s="12"/>
      <c r="F700" s="12"/>
      <c r="G700" s="12"/>
      <c r="H700" s="38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8"/>
      <c r="AS700" s="28"/>
      <c r="AT700" s="28"/>
      <c r="AU700" s="12"/>
      <c r="AV700" s="29"/>
    </row>
    <row r="701" spans="4:48">
      <c r="D701" s="12"/>
      <c r="E701" s="12"/>
      <c r="F701" s="12"/>
      <c r="G701" s="12"/>
      <c r="H701" s="38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8"/>
      <c r="AS701" s="28"/>
      <c r="AT701" s="28"/>
      <c r="AU701" s="12"/>
      <c r="AV701" s="29"/>
    </row>
    <row r="702" spans="4:48">
      <c r="D702" s="12"/>
      <c r="E702" s="12"/>
      <c r="F702" s="12"/>
      <c r="G702" s="12"/>
      <c r="H702" s="38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8"/>
      <c r="AS702" s="28"/>
      <c r="AT702" s="28"/>
      <c r="AU702" s="12"/>
      <c r="AV702" s="29"/>
    </row>
    <row r="703" spans="4:48">
      <c r="D703" s="12"/>
      <c r="E703" s="12"/>
      <c r="F703" s="12"/>
      <c r="G703" s="12"/>
      <c r="H703" s="38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8"/>
      <c r="AS703" s="28"/>
      <c r="AT703" s="28"/>
      <c r="AU703" s="12"/>
      <c r="AV703" s="29"/>
    </row>
    <row r="704" spans="4:48">
      <c r="D704" s="12"/>
      <c r="E704" s="12"/>
      <c r="F704" s="12"/>
      <c r="G704" s="12"/>
      <c r="H704" s="38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8"/>
      <c r="AS704" s="28"/>
      <c r="AT704" s="28"/>
      <c r="AU704" s="12"/>
      <c r="AV704" s="29"/>
    </row>
    <row r="705" spans="4:48">
      <c r="D705" s="12"/>
      <c r="E705" s="12"/>
      <c r="F705" s="12"/>
      <c r="G705" s="12"/>
      <c r="H705" s="38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8"/>
      <c r="AS705" s="28"/>
      <c r="AT705" s="28"/>
      <c r="AU705" s="12"/>
      <c r="AV705" s="29"/>
    </row>
    <row r="706" spans="4:48">
      <c r="D706" s="12"/>
      <c r="E706" s="12"/>
      <c r="F706" s="12"/>
      <c r="G706" s="12"/>
      <c r="H706" s="38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8"/>
      <c r="AS706" s="28"/>
      <c r="AT706" s="28"/>
      <c r="AU706" s="12"/>
      <c r="AV706" s="29"/>
    </row>
    <row r="707" spans="4:48">
      <c r="D707" s="12"/>
      <c r="E707" s="12"/>
      <c r="F707" s="12"/>
      <c r="G707" s="12"/>
      <c r="H707" s="38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8"/>
      <c r="AS707" s="28"/>
      <c r="AT707" s="28"/>
      <c r="AU707" s="12"/>
      <c r="AV707" s="29"/>
    </row>
    <row r="708" spans="4:48">
      <c r="D708" s="12"/>
      <c r="E708" s="12"/>
      <c r="F708" s="12"/>
      <c r="G708" s="12"/>
      <c r="H708" s="38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8"/>
      <c r="AS708" s="28"/>
      <c r="AT708" s="28"/>
      <c r="AU708" s="12"/>
      <c r="AV708" s="29"/>
    </row>
    <row r="709" spans="4:48">
      <c r="D709" s="12"/>
      <c r="E709" s="12"/>
      <c r="F709" s="12"/>
      <c r="G709" s="12"/>
      <c r="H709" s="38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8"/>
      <c r="AS709" s="28"/>
      <c r="AT709" s="28"/>
      <c r="AU709" s="12"/>
      <c r="AV709" s="29"/>
    </row>
    <row r="710" spans="4:48">
      <c r="D710" s="12"/>
      <c r="E710" s="12"/>
      <c r="F710" s="12"/>
      <c r="G710" s="12"/>
      <c r="H710" s="38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8"/>
      <c r="AS710" s="28"/>
      <c r="AT710" s="28"/>
      <c r="AU710" s="12"/>
      <c r="AV710" s="29"/>
    </row>
    <row r="711" spans="4:48">
      <c r="D711" s="12"/>
      <c r="E711" s="12"/>
      <c r="F711" s="12"/>
      <c r="G711" s="12"/>
      <c r="H711" s="38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8"/>
      <c r="AS711" s="28"/>
      <c r="AT711" s="28"/>
      <c r="AU711" s="12"/>
      <c r="AV711" s="29"/>
    </row>
    <row r="712" spans="4:48">
      <c r="D712" s="12"/>
      <c r="E712" s="12"/>
      <c r="F712" s="12"/>
      <c r="G712" s="12"/>
      <c r="H712" s="38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8"/>
      <c r="AS712" s="28"/>
      <c r="AT712" s="28"/>
      <c r="AU712" s="12"/>
      <c r="AV712" s="29"/>
    </row>
    <row r="713" spans="4:48">
      <c r="D713" s="12"/>
      <c r="E713" s="12"/>
      <c r="F713" s="12"/>
      <c r="G713" s="12"/>
      <c r="H713" s="38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8"/>
      <c r="AS713" s="28"/>
      <c r="AT713" s="28"/>
      <c r="AU713" s="12"/>
      <c r="AV713" s="29"/>
    </row>
    <row r="714" spans="4:48">
      <c r="D714" s="12"/>
      <c r="E714" s="12"/>
      <c r="F714" s="12"/>
      <c r="G714" s="12"/>
      <c r="H714" s="38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8"/>
      <c r="AS714" s="28"/>
      <c r="AT714" s="28"/>
      <c r="AU714" s="12"/>
      <c r="AV714" s="29"/>
    </row>
    <row r="715" spans="4:48">
      <c r="D715" s="12"/>
      <c r="E715" s="12"/>
      <c r="F715" s="12"/>
      <c r="G715" s="12"/>
      <c r="H715" s="38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8"/>
      <c r="AS715" s="28"/>
      <c r="AT715" s="28"/>
      <c r="AU715" s="12"/>
      <c r="AV715" s="29"/>
    </row>
    <row r="716" spans="4:48">
      <c r="D716" s="12"/>
      <c r="E716" s="12"/>
      <c r="F716" s="12"/>
      <c r="G716" s="12"/>
      <c r="H716" s="38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8"/>
      <c r="AS716" s="28"/>
      <c r="AT716" s="28"/>
      <c r="AU716" s="12"/>
      <c r="AV716" s="29"/>
    </row>
    <row r="717" spans="4:48">
      <c r="D717" s="12"/>
      <c r="E717" s="12"/>
      <c r="F717" s="12"/>
      <c r="G717" s="12"/>
      <c r="H717" s="38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8"/>
      <c r="AS717" s="28"/>
      <c r="AT717" s="28"/>
      <c r="AU717" s="12"/>
      <c r="AV717" s="29"/>
    </row>
    <row r="718" spans="4:48">
      <c r="D718" s="12"/>
      <c r="E718" s="12"/>
      <c r="F718" s="12"/>
      <c r="G718" s="12"/>
      <c r="H718" s="38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8"/>
      <c r="AS718" s="28"/>
      <c r="AT718" s="28"/>
      <c r="AU718" s="12"/>
      <c r="AV718" s="29"/>
    </row>
    <row r="719" spans="4:48">
      <c r="D719" s="12"/>
      <c r="E719" s="12"/>
      <c r="F719" s="12"/>
      <c r="G719" s="12"/>
      <c r="H719" s="38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8"/>
      <c r="AS719" s="28"/>
      <c r="AT719" s="28"/>
      <c r="AU719" s="12"/>
      <c r="AV719" s="29"/>
    </row>
    <row r="720" spans="4:48">
      <c r="D720" s="12"/>
      <c r="E720" s="12"/>
      <c r="F720" s="12"/>
      <c r="G720" s="12"/>
      <c r="H720" s="38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8"/>
      <c r="AS720" s="28"/>
      <c r="AT720" s="28"/>
      <c r="AU720" s="12"/>
      <c r="AV720" s="29"/>
    </row>
    <row r="721" spans="4:48">
      <c r="D721" s="12"/>
      <c r="E721" s="12"/>
      <c r="F721" s="12"/>
      <c r="G721" s="12"/>
      <c r="H721" s="38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8"/>
      <c r="AS721" s="28"/>
      <c r="AT721" s="28"/>
      <c r="AU721" s="12"/>
      <c r="AV721" s="29"/>
    </row>
    <row r="722" spans="4:48">
      <c r="D722" s="12"/>
      <c r="E722" s="12"/>
      <c r="F722" s="12"/>
      <c r="G722" s="12"/>
      <c r="H722" s="38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8"/>
      <c r="AS722" s="28"/>
      <c r="AT722" s="28"/>
      <c r="AU722" s="12"/>
      <c r="AV722" s="29"/>
    </row>
    <row r="723" spans="4:48">
      <c r="D723" s="12"/>
      <c r="E723" s="12"/>
      <c r="F723" s="12"/>
      <c r="G723" s="12"/>
      <c r="H723" s="38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8"/>
      <c r="AS723" s="28"/>
      <c r="AT723" s="28"/>
      <c r="AU723" s="12"/>
      <c r="AV723" s="29"/>
    </row>
    <row r="724" spans="4:48">
      <c r="D724" s="12"/>
      <c r="E724" s="12"/>
      <c r="F724" s="12"/>
      <c r="G724" s="12"/>
      <c r="H724" s="38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8"/>
      <c r="AS724" s="28"/>
      <c r="AT724" s="28"/>
      <c r="AU724" s="12"/>
      <c r="AV724" s="29"/>
    </row>
    <row r="725" spans="4:48">
      <c r="D725" s="12"/>
      <c r="E725" s="12"/>
      <c r="F725" s="12"/>
      <c r="G725" s="12"/>
      <c r="H725" s="38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8"/>
      <c r="AS725" s="28"/>
      <c r="AT725" s="28"/>
      <c r="AU725" s="12"/>
      <c r="AV725" s="29"/>
    </row>
    <row r="726" spans="4:48">
      <c r="D726" s="12"/>
      <c r="E726" s="12"/>
      <c r="F726" s="12"/>
      <c r="G726" s="12"/>
      <c r="H726" s="38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8"/>
      <c r="AS726" s="28"/>
      <c r="AT726" s="28"/>
      <c r="AU726" s="12"/>
      <c r="AV726" s="29"/>
    </row>
    <row r="727" spans="4:48">
      <c r="D727" s="12"/>
      <c r="E727" s="12"/>
      <c r="F727" s="12"/>
      <c r="G727" s="12"/>
      <c r="H727" s="38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8"/>
      <c r="AS727" s="28"/>
      <c r="AT727" s="28"/>
      <c r="AU727" s="12"/>
      <c r="AV727" s="29"/>
    </row>
    <row r="728" spans="4:48">
      <c r="D728" s="12"/>
      <c r="E728" s="12"/>
      <c r="F728" s="12"/>
      <c r="G728" s="12"/>
      <c r="H728" s="38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8"/>
      <c r="AS728" s="28"/>
      <c r="AT728" s="28"/>
      <c r="AU728" s="12"/>
      <c r="AV728" s="29"/>
    </row>
    <row r="729" spans="4:48">
      <c r="D729" s="12"/>
      <c r="E729" s="12"/>
      <c r="F729" s="12"/>
      <c r="G729" s="12"/>
      <c r="H729" s="38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8"/>
      <c r="AS729" s="28"/>
      <c r="AT729" s="28"/>
      <c r="AU729" s="12"/>
      <c r="AV729" s="29"/>
    </row>
    <row r="730" spans="4:48">
      <c r="D730" s="12"/>
      <c r="E730" s="12"/>
      <c r="F730" s="12"/>
      <c r="G730" s="12"/>
      <c r="H730" s="38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8"/>
      <c r="AS730" s="28"/>
      <c r="AT730" s="28"/>
      <c r="AU730" s="12"/>
      <c r="AV730" s="29"/>
    </row>
    <row r="731" spans="4:48">
      <c r="D731" s="12"/>
      <c r="E731" s="12"/>
      <c r="F731" s="12"/>
      <c r="G731" s="12"/>
      <c r="H731" s="38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8"/>
      <c r="AS731" s="28"/>
      <c r="AT731" s="28"/>
      <c r="AU731" s="12"/>
      <c r="AV731" s="29"/>
    </row>
    <row r="732" spans="4:48">
      <c r="D732" s="12"/>
      <c r="E732" s="12"/>
      <c r="F732" s="12"/>
      <c r="G732" s="12"/>
      <c r="H732" s="38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8"/>
      <c r="AS732" s="28"/>
      <c r="AT732" s="28"/>
      <c r="AU732" s="12"/>
      <c r="AV732" s="29"/>
    </row>
    <row r="733" spans="4:48">
      <c r="D733" s="12"/>
      <c r="E733" s="12"/>
      <c r="F733" s="12"/>
      <c r="G733" s="12"/>
      <c r="H733" s="38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8"/>
      <c r="AS733" s="28"/>
      <c r="AT733" s="28"/>
      <c r="AU733" s="12"/>
      <c r="AV733" s="29"/>
    </row>
    <row r="734" spans="4:48">
      <c r="D734" s="12"/>
      <c r="E734" s="12"/>
      <c r="F734" s="12"/>
      <c r="G734" s="12"/>
      <c r="H734" s="38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8"/>
      <c r="AS734" s="28"/>
      <c r="AT734" s="28"/>
      <c r="AU734" s="12"/>
      <c r="AV734" s="29"/>
    </row>
    <row r="735" spans="4:48">
      <c r="D735" s="12"/>
      <c r="E735" s="12"/>
      <c r="F735" s="12"/>
      <c r="G735" s="12"/>
      <c r="H735" s="38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8"/>
      <c r="AS735" s="28"/>
      <c r="AT735" s="28"/>
      <c r="AU735" s="12"/>
      <c r="AV735" s="29"/>
    </row>
    <row r="736" spans="4:48">
      <c r="D736" s="12"/>
      <c r="E736" s="12"/>
      <c r="F736" s="12"/>
      <c r="G736" s="12"/>
      <c r="H736" s="38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8"/>
      <c r="AS736" s="28"/>
      <c r="AT736" s="28"/>
      <c r="AU736" s="12"/>
      <c r="AV736" s="29"/>
    </row>
    <row r="737" spans="4:48">
      <c r="D737" s="12"/>
      <c r="E737" s="12"/>
      <c r="F737" s="12"/>
      <c r="G737" s="12"/>
      <c r="H737" s="38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8"/>
      <c r="AS737" s="28"/>
      <c r="AT737" s="28"/>
      <c r="AU737" s="12"/>
      <c r="AV737" s="29"/>
    </row>
    <row r="738" spans="4:48">
      <c r="D738" s="12"/>
      <c r="E738" s="12"/>
      <c r="F738" s="12"/>
      <c r="G738" s="12"/>
      <c r="H738" s="38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8"/>
      <c r="AS738" s="28"/>
      <c r="AT738" s="28"/>
      <c r="AU738" s="12"/>
      <c r="AV738" s="29"/>
    </row>
    <row r="739" spans="4:48">
      <c r="D739" s="12"/>
      <c r="E739" s="12"/>
      <c r="F739" s="12"/>
      <c r="G739" s="12"/>
      <c r="H739" s="38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8"/>
      <c r="AS739" s="28"/>
      <c r="AT739" s="28"/>
      <c r="AU739" s="12"/>
      <c r="AV739" s="29"/>
    </row>
    <row r="740" spans="4:48">
      <c r="D740" s="12"/>
      <c r="E740" s="12"/>
      <c r="F740" s="12"/>
      <c r="G740" s="12"/>
      <c r="H740" s="38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8"/>
      <c r="AS740" s="28"/>
      <c r="AT740" s="28"/>
      <c r="AU740" s="12"/>
      <c r="AV740" s="29"/>
    </row>
    <row r="741" spans="4:48">
      <c r="D741" s="12"/>
      <c r="E741" s="12"/>
      <c r="F741" s="12"/>
      <c r="G741" s="12"/>
      <c r="H741" s="38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8"/>
      <c r="AS741" s="28"/>
      <c r="AT741" s="28"/>
      <c r="AU741" s="12"/>
      <c r="AV741" s="29"/>
    </row>
    <row r="742" spans="4:48">
      <c r="D742" s="12"/>
      <c r="E742" s="12"/>
      <c r="F742" s="12"/>
      <c r="G742" s="12"/>
      <c r="H742" s="38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8"/>
      <c r="AS742" s="28"/>
      <c r="AT742" s="28"/>
      <c r="AU742" s="12"/>
      <c r="AV742" s="29"/>
    </row>
    <row r="743" spans="4:48">
      <c r="D743" s="12"/>
      <c r="E743" s="12"/>
      <c r="F743" s="12"/>
      <c r="G743" s="12"/>
      <c r="H743" s="38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8"/>
      <c r="AS743" s="28"/>
      <c r="AT743" s="28"/>
      <c r="AU743" s="12"/>
      <c r="AV743" s="29"/>
    </row>
    <row r="744" spans="4:48">
      <c r="D744" s="12"/>
      <c r="E744" s="12"/>
      <c r="F744" s="12"/>
      <c r="G744" s="12"/>
      <c r="H744" s="38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8"/>
      <c r="AS744" s="28"/>
      <c r="AT744" s="28"/>
      <c r="AU744" s="12"/>
      <c r="AV744" s="29"/>
    </row>
    <row r="745" spans="4:48">
      <c r="D745" s="12"/>
      <c r="E745" s="12"/>
      <c r="F745" s="12"/>
      <c r="G745" s="12"/>
      <c r="H745" s="38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8"/>
      <c r="AS745" s="28"/>
      <c r="AT745" s="28"/>
      <c r="AU745" s="12"/>
      <c r="AV745" s="29"/>
    </row>
    <row r="746" spans="4:48">
      <c r="D746" s="12"/>
      <c r="E746" s="12"/>
      <c r="F746" s="12"/>
      <c r="G746" s="12"/>
      <c r="H746" s="38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8"/>
      <c r="AS746" s="28"/>
      <c r="AT746" s="28"/>
      <c r="AU746" s="12"/>
      <c r="AV746" s="29"/>
    </row>
    <row r="747" spans="4:48">
      <c r="D747" s="12"/>
      <c r="E747" s="12"/>
      <c r="F747" s="12"/>
      <c r="G747" s="12"/>
      <c r="H747" s="38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8"/>
      <c r="AS747" s="28"/>
      <c r="AT747" s="28"/>
      <c r="AU747" s="12"/>
      <c r="AV747" s="29"/>
    </row>
    <row r="748" spans="4:48">
      <c r="D748" s="12"/>
      <c r="E748" s="12"/>
      <c r="F748" s="12"/>
      <c r="G748" s="12"/>
      <c r="H748" s="38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8"/>
      <c r="AS748" s="28"/>
      <c r="AT748" s="28"/>
      <c r="AU748" s="12"/>
      <c r="AV748" s="29"/>
    </row>
    <row r="749" spans="4:48">
      <c r="D749" s="12"/>
      <c r="E749" s="12"/>
      <c r="F749" s="12"/>
      <c r="G749" s="12"/>
      <c r="H749" s="38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8"/>
      <c r="AS749" s="28"/>
      <c r="AT749" s="28"/>
      <c r="AU749" s="12"/>
      <c r="AV749" s="29"/>
    </row>
    <row r="750" spans="4:48">
      <c r="D750" s="12"/>
      <c r="E750" s="12"/>
      <c r="F750" s="12"/>
      <c r="G750" s="12"/>
      <c r="H750" s="38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8"/>
      <c r="AS750" s="28"/>
      <c r="AT750" s="28"/>
      <c r="AU750" s="12"/>
      <c r="AV750" s="29"/>
    </row>
    <row r="751" spans="4:48">
      <c r="D751" s="12"/>
      <c r="E751" s="12"/>
      <c r="F751" s="12"/>
      <c r="G751" s="12"/>
      <c r="H751" s="38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8"/>
      <c r="AS751" s="28"/>
      <c r="AT751" s="28"/>
      <c r="AU751" s="12"/>
      <c r="AV751" s="29"/>
    </row>
    <row r="752" spans="4:48">
      <c r="D752" s="12"/>
      <c r="E752" s="12"/>
      <c r="F752" s="12"/>
      <c r="G752" s="12"/>
      <c r="H752" s="38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8"/>
      <c r="AS752" s="28"/>
      <c r="AT752" s="28"/>
      <c r="AU752" s="12"/>
      <c r="AV752" s="29"/>
    </row>
    <row r="753" spans="4:48">
      <c r="D753" s="12"/>
      <c r="E753" s="12"/>
      <c r="F753" s="12"/>
      <c r="G753" s="12"/>
      <c r="H753" s="38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8"/>
      <c r="AS753" s="28"/>
      <c r="AT753" s="28"/>
      <c r="AU753" s="12"/>
      <c r="AV753" s="29"/>
    </row>
    <row r="754" spans="4:48">
      <c r="D754" s="12"/>
      <c r="E754" s="12"/>
      <c r="F754" s="12"/>
      <c r="G754" s="12"/>
      <c r="H754" s="38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8"/>
      <c r="AS754" s="28"/>
      <c r="AT754" s="28"/>
      <c r="AU754" s="12"/>
      <c r="AV754" s="29"/>
    </row>
    <row r="755" spans="4:48">
      <c r="D755" s="12"/>
      <c r="E755" s="12"/>
      <c r="F755" s="12"/>
      <c r="G755" s="12"/>
      <c r="H755" s="38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8"/>
      <c r="AS755" s="28"/>
      <c r="AT755" s="28"/>
      <c r="AU755" s="12"/>
      <c r="AV755" s="29"/>
    </row>
    <row r="756" spans="4:48">
      <c r="D756" s="12"/>
      <c r="E756" s="12"/>
      <c r="F756" s="12"/>
      <c r="G756" s="12"/>
      <c r="H756" s="38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8"/>
      <c r="AS756" s="28"/>
      <c r="AT756" s="28"/>
      <c r="AU756" s="12"/>
      <c r="AV756" s="29"/>
    </row>
    <row r="757" spans="4:48">
      <c r="D757" s="12"/>
      <c r="E757" s="12"/>
      <c r="F757" s="12"/>
      <c r="G757" s="12"/>
      <c r="H757" s="38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8"/>
      <c r="AS757" s="28"/>
      <c r="AT757" s="28"/>
      <c r="AU757" s="12"/>
      <c r="AV757" s="29"/>
    </row>
    <row r="758" spans="4:48">
      <c r="D758" s="12"/>
      <c r="E758" s="12"/>
      <c r="F758" s="12"/>
      <c r="G758" s="12"/>
      <c r="H758" s="38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8"/>
      <c r="AS758" s="28"/>
      <c r="AT758" s="28"/>
      <c r="AU758" s="12"/>
      <c r="AV758" s="29"/>
    </row>
    <row r="759" spans="4:48">
      <c r="D759" s="12"/>
      <c r="E759" s="12"/>
      <c r="F759" s="12"/>
      <c r="G759" s="12"/>
      <c r="H759" s="38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8"/>
      <c r="AS759" s="28"/>
      <c r="AT759" s="28"/>
      <c r="AU759" s="12"/>
      <c r="AV759" s="29"/>
    </row>
    <row r="760" spans="4:48">
      <c r="D760" s="12"/>
      <c r="E760" s="12"/>
      <c r="F760" s="12"/>
      <c r="G760" s="12"/>
      <c r="H760" s="38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8"/>
      <c r="AS760" s="28"/>
      <c r="AT760" s="28"/>
      <c r="AU760" s="12"/>
      <c r="AV760" s="29"/>
    </row>
    <row r="761" spans="4:48">
      <c r="D761" s="12"/>
      <c r="E761" s="12"/>
      <c r="F761" s="12"/>
      <c r="G761" s="12"/>
      <c r="H761" s="38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8"/>
      <c r="AS761" s="28"/>
      <c r="AT761" s="28"/>
      <c r="AU761" s="12"/>
      <c r="AV761" s="29"/>
    </row>
    <row r="762" spans="4:48">
      <c r="D762" s="12"/>
      <c r="E762" s="12"/>
      <c r="F762" s="12"/>
      <c r="G762" s="12"/>
      <c r="H762" s="38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8"/>
      <c r="AS762" s="28"/>
      <c r="AT762" s="28"/>
      <c r="AU762" s="12"/>
      <c r="AV762" s="29"/>
    </row>
    <row r="763" spans="4:48">
      <c r="D763" s="12"/>
      <c r="E763" s="12"/>
      <c r="F763" s="12"/>
      <c r="G763" s="12"/>
      <c r="H763" s="38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8"/>
      <c r="AS763" s="28"/>
      <c r="AT763" s="28"/>
      <c r="AU763" s="12"/>
      <c r="AV763" s="29"/>
    </row>
    <row r="764" spans="4:48">
      <c r="D764" s="12"/>
      <c r="E764" s="12"/>
      <c r="F764" s="12"/>
      <c r="G764" s="12"/>
      <c r="H764" s="38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8"/>
      <c r="AS764" s="28"/>
      <c r="AT764" s="28"/>
      <c r="AU764" s="12"/>
      <c r="AV764" s="29"/>
    </row>
    <row r="765" spans="4:48">
      <c r="D765" s="12"/>
      <c r="E765" s="12"/>
      <c r="F765" s="12"/>
      <c r="G765" s="12"/>
      <c r="H765" s="38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8"/>
      <c r="AS765" s="28"/>
      <c r="AT765" s="28"/>
      <c r="AU765" s="12"/>
      <c r="AV765" s="29"/>
    </row>
    <row r="766" spans="4:48">
      <c r="D766" s="12"/>
      <c r="E766" s="12"/>
      <c r="F766" s="12"/>
      <c r="G766" s="12"/>
      <c r="H766" s="38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8"/>
      <c r="AS766" s="28"/>
      <c r="AT766" s="28"/>
      <c r="AU766" s="12"/>
      <c r="AV766" s="29"/>
    </row>
    <row r="767" spans="4:48">
      <c r="D767" s="12"/>
      <c r="E767" s="12"/>
      <c r="F767" s="12"/>
      <c r="G767" s="12"/>
      <c r="H767" s="38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8"/>
      <c r="AS767" s="28"/>
      <c r="AT767" s="28"/>
      <c r="AU767" s="12"/>
      <c r="AV767" s="29"/>
    </row>
    <row r="768" spans="4:48">
      <c r="D768" s="12"/>
      <c r="E768" s="12"/>
      <c r="F768" s="12"/>
      <c r="G768" s="12"/>
      <c r="H768" s="38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8"/>
      <c r="AS768" s="28"/>
      <c r="AT768" s="28"/>
      <c r="AU768" s="12"/>
      <c r="AV768" s="29"/>
    </row>
    <row r="769" spans="4:48">
      <c r="D769" s="12"/>
      <c r="E769" s="12"/>
      <c r="F769" s="12"/>
      <c r="G769" s="12"/>
      <c r="H769" s="38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8"/>
      <c r="AS769" s="28"/>
      <c r="AT769" s="28"/>
      <c r="AU769" s="12"/>
      <c r="AV769" s="29"/>
    </row>
    <row r="770" spans="4:48">
      <c r="D770" s="12"/>
      <c r="E770" s="12"/>
      <c r="F770" s="12"/>
      <c r="G770" s="12"/>
      <c r="H770" s="38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8"/>
      <c r="AS770" s="28"/>
      <c r="AT770" s="28"/>
      <c r="AU770" s="12"/>
      <c r="AV770" s="29"/>
    </row>
    <row r="771" spans="4:48">
      <c r="D771" s="12"/>
      <c r="E771" s="12"/>
      <c r="F771" s="12"/>
      <c r="G771" s="12"/>
      <c r="H771" s="38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8"/>
      <c r="AS771" s="28"/>
      <c r="AT771" s="28"/>
      <c r="AU771" s="12"/>
      <c r="AV771" s="29"/>
    </row>
    <row r="772" spans="4:48">
      <c r="D772" s="12"/>
      <c r="E772" s="12"/>
      <c r="F772" s="12"/>
      <c r="G772" s="12"/>
      <c r="H772" s="38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8"/>
      <c r="AS772" s="28"/>
      <c r="AT772" s="28"/>
      <c r="AU772" s="12"/>
      <c r="AV772" s="29"/>
    </row>
    <row r="773" spans="4:48">
      <c r="D773" s="12"/>
      <c r="E773" s="12"/>
      <c r="F773" s="12"/>
      <c r="G773" s="12"/>
      <c r="H773" s="38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8"/>
      <c r="AS773" s="28"/>
      <c r="AT773" s="28"/>
      <c r="AU773" s="12"/>
      <c r="AV773" s="29"/>
    </row>
    <row r="774" spans="4:48">
      <c r="D774" s="12"/>
      <c r="E774" s="12"/>
      <c r="F774" s="12"/>
      <c r="G774" s="12"/>
      <c r="H774" s="38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8"/>
      <c r="AS774" s="28"/>
      <c r="AT774" s="28"/>
      <c r="AU774" s="12"/>
      <c r="AV774" s="29"/>
    </row>
    <row r="775" spans="4:48">
      <c r="D775" s="12"/>
      <c r="E775" s="12"/>
      <c r="F775" s="12"/>
      <c r="G775" s="12"/>
      <c r="H775" s="38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8"/>
      <c r="AS775" s="28"/>
      <c r="AT775" s="28"/>
      <c r="AU775" s="12"/>
      <c r="AV775" s="29"/>
    </row>
    <row r="776" spans="4:48">
      <c r="D776" s="12"/>
      <c r="E776" s="12"/>
      <c r="F776" s="12"/>
      <c r="G776" s="12"/>
      <c r="H776" s="38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8"/>
      <c r="AS776" s="28"/>
      <c r="AT776" s="28"/>
      <c r="AU776" s="12"/>
      <c r="AV776" s="29"/>
    </row>
    <row r="777" spans="4:48">
      <c r="D777" s="12"/>
      <c r="E777" s="12"/>
      <c r="F777" s="12"/>
      <c r="G777" s="12"/>
      <c r="H777" s="38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8"/>
      <c r="AS777" s="28"/>
      <c r="AT777" s="28"/>
      <c r="AU777" s="12"/>
      <c r="AV777" s="29"/>
    </row>
    <row r="778" spans="4:48">
      <c r="D778" s="12"/>
      <c r="E778" s="12"/>
      <c r="F778" s="12"/>
      <c r="G778" s="12"/>
      <c r="H778" s="38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8"/>
      <c r="AS778" s="28"/>
      <c r="AT778" s="28"/>
      <c r="AU778" s="12"/>
      <c r="AV778" s="29"/>
    </row>
    <row r="779" spans="4:48">
      <c r="D779" s="12"/>
      <c r="E779" s="12"/>
      <c r="F779" s="12"/>
      <c r="G779" s="12"/>
      <c r="H779" s="38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8"/>
      <c r="AS779" s="28"/>
      <c r="AT779" s="28"/>
      <c r="AU779" s="12"/>
      <c r="AV779" s="29"/>
    </row>
    <row r="780" spans="4:48">
      <c r="D780" s="12"/>
      <c r="E780" s="12"/>
      <c r="F780" s="12"/>
      <c r="G780" s="12"/>
      <c r="H780" s="38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8"/>
      <c r="AS780" s="28"/>
      <c r="AT780" s="28"/>
      <c r="AU780" s="12"/>
      <c r="AV780" s="29"/>
    </row>
    <row r="781" spans="4:48">
      <c r="D781" s="12"/>
      <c r="E781" s="12"/>
      <c r="F781" s="12"/>
      <c r="G781" s="12"/>
      <c r="H781" s="38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8"/>
      <c r="AS781" s="28"/>
      <c r="AT781" s="28"/>
      <c r="AU781" s="12"/>
      <c r="AV781" s="29"/>
    </row>
    <row r="782" spans="4:48">
      <c r="D782" s="12"/>
      <c r="E782" s="12"/>
      <c r="F782" s="12"/>
      <c r="G782" s="12"/>
      <c r="H782" s="38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8"/>
      <c r="AS782" s="28"/>
      <c r="AT782" s="28"/>
      <c r="AU782" s="12"/>
      <c r="AV782" s="29"/>
    </row>
    <row r="783" spans="4:48">
      <c r="D783" s="12"/>
      <c r="E783" s="12"/>
      <c r="F783" s="12"/>
      <c r="G783" s="12"/>
      <c r="H783" s="38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8"/>
      <c r="AS783" s="28"/>
      <c r="AT783" s="28"/>
      <c r="AU783" s="12"/>
      <c r="AV783" s="29"/>
    </row>
    <row r="784" spans="4:48">
      <c r="D784" s="12"/>
      <c r="E784" s="12"/>
      <c r="F784" s="12"/>
      <c r="G784" s="12"/>
      <c r="H784" s="38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8"/>
      <c r="AS784" s="28"/>
      <c r="AT784" s="28"/>
      <c r="AU784" s="12"/>
      <c r="AV784" s="29"/>
    </row>
    <row r="785" spans="4:48">
      <c r="D785" s="12"/>
      <c r="E785" s="12"/>
      <c r="F785" s="12"/>
      <c r="G785" s="12"/>
      <c r="H785" s="38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8"/>
      <c r="AS785" s="28"/>
      <c r="AT785" s="28"/>
      <c r="AU785" s="12"/>
      <c r="AV785" s="29"/>
    </row>
    <row r="786" spans="4:48">
      <c r="D786" s="12"/>
      <c r="E786" s="12"/>
      <c r="F786" s="12"/>
      <c r="G786" s="12"/>
      <c r="H786" s="38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8"/>
      <c r="AS786" s="28"/>
      <c r="AT786" s="28"/>
      <c r="AU786" s="12"/>
      <c r="AV786" s="29"/>
    </row>
    <row r="787" spans="4:48">
      <c r="D787" s="12"/>
      <c r="E787" s="12"/>
      <c r="F787" s="12"/>
      <c r="G787" s="12"/>
      <c r="H787" s="38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8"/>
      <c r="AS787" s="28"/>
      <c r="AT787" s="28"/>
      <c r="AU787" s="12"/>
      <c r="AV787" s="29"/>
    </row>
    <row r="788" spans="4:48">
      <c r="D788" s="12"/>
      <c r="E788" s="12"/>
      <c r="F788" s="12"/>
      <c r="G788" s="12"/>
      <c r="H788" s="38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8"/>
      <c r="AS788" s="28"/>
      <c r="AT788" s="28"/>
      <c r="AU788" s="12"/>
      <c r="AV788" s="29"/>
    </row>
    <row r="789" spans="4:48">
      <c r="D789" s="12"/>
      <c r="E789" s="12"/>
      <c r="F789" s="12"/>
      <c r="G789" s="12"/>
      <c r="H789" s="38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8"/>
      <c r="AS789" s="28"/>
      <c r="AT789" s="28"/>
      <c r="AU789" s="12"/>
      <c r="AV789" s="29"/>
    </row>
    <row r="790" spans="4:48">
      <c r="D790" s="12"/>
      <c r="E790" s="12"/>
      <c r="F790" s="12"/>
      <c r="G790" s="12"/>
      <c r="H790" s="38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8"/>
      <c r="AS790" s="28"/>
      <c r="AT790" s="28"/>
      <c r="AU790" s="12"/>
      <c r="AV790" s="29"/>
    </row>
    <row r="791" spans="4:48">
      <c r="D791" s="12"/>
      <c r="E791" s="12"/>
      <c r="F791" s="12"/>
      <c r="G791" s="12"/>
      <c r="H791" s="38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8"/>
      <c r="AS791" s="28"/>
      <c r="AT791" s="28"/>
      <c r="AU791" s="12"/>
      <c r="AV791" s="29"/>
    </row>
    <row r="792" spans="4:48">
      <c r="D792" s="12"/>
      <c r="E792" s="12"/>
      <c r="F792" s="12"/>
      <c r="G792" s="12"/>
      <c r="H792" s="38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8"/>
      <c r="AS792" s="28"/>
      <c r="AT792" s="28"/>
      <c r="AU792" s="12"/>
      <c r="AV792" s="29"/>
    </row>
    <row r="793" spans="4:48">
      <c r="D793" s="12"/>
      <c r="E793" s="12"/>
      <c r="F793" s="12"/>
      <c r="G793" s="12"/>
      <c r="H793" s="38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8"/>
      <c r="AS793" s="28"/>
      <c r="AT793" s="28"/>
      <c r="AU793" s="12"/>
      <c r="AV793" s="29"/>
    </row>
    <row r="794" spans="4:48">
      <c r="D794" s="12"/>
      <c r="E794" s="12"/>
      <c r="F794" s="12"/>
      <c r="G794" s="12"/>
      <c r="H794" s="38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8"/>
      <c r="AS794" s="28"/>
      <c r="AT794" s="28"/>
      <c r="AU794" s="12"/>
      <c r="AV794" s="29"/>
    </row>
    <row r="795" spans="4:48">
      <c r="D795" s="12"/>
      <c r="E795" s="12"/>
      <c r="F795" s="12"/>
      <c r="G795" s="12"/>
      <c r="H795" s="38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8"/>
      <c r="AS795" s="28"/>
      <c r="AT795" s="28"/>
      <c r="AU795" s="12"/>
      <c r="AV795" s="29"/>
    </row>
    <row r="796" spans="4:48">
      <c r="D796" s="12"/>
      <c r="E796" s="12"/>
      <c r="F796" s="12"/>
      <c r="G796" s="12"/>
      <c r="H796" s="38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8"/>
      <c r="AS796" s="28"/>
      <c r="AT796" s="28"/>
      <c r="AU796" s="12"/>
      <c r="AV796" s="29"/>
    </row>
    <row r="797" spans="4:48">
      <c r="D797" s="12"/>
      <c r="E797" s="12"/>
      <c r="F797" s="12"/>
      <c r="G797" s="12"/>
      <c r="H797" s="38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8"/>
      <c r="AS797" s="28"/>
      <c r="AT797" s="28"/>
      <c r="AU797" s="12"/>
      <c r="AV797" s="29"/>
    </row>
    <row r="798" spans="4:48">
      <c r="D798" s="12"/>
      <c r="E798" s="12"/>
      <c r="F798" s="12"/>
      <c r="G798" s="12"/>
      <c r="H798" s="38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8"/>
      <c r="AS798" s="28"/>
      <c r="AT798" s="28"/>
      <c r="AU798" s="12"/>
      <c r="AV798" s="29"/>
    </row>
    <row r="799" spans="4:48">
      <c r="D799" s="12"/>
      <c r="E799" s="12"/>
      <c r="F799" s="12"/>
      <c r="G799" s="12"/>
      <c r="H799" s="38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8"/>
      <c r="AS799" s="28"/>
      <c r="AT799" s="28"/>
      <c r="AU799" s="12"/>
      <c r="AV799" s="29"/>
    </row>
    <row r="800" spans="4:48">
      <c r="D800" s="12"/>
      <c r="E800" s="12"/>
      <c r="F800" s="12"/>
      <c r="G800" s="12"/>
      <c r="H800" s="38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8"/>
      <c r="AS800" s="28"/>
      <c r="AT800" s="28"/>
      <c r="AU800" s="12"/>
      <c r="AV800" s="29"/>
    </row>
    <row r="801" spans="4:48">
      <c r="D801" s="12"/>
      <c r="E801" s="12"/>
      <c r="F801" s="12"/>
      <c r="G801" s="12"/>
      <c r="H801" s="38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8"/>
      <c r="AS801" s="28"/>
      <c r="AT801" s="28"/>
      <c r="AU801" s="12"/>
      <c r="AV801" s="29"/>
    </row>
    <row r="802" spans="4:48">
      <c r="D802" s="12"/>
      <c r="E802" s="12"/>
      <c r="F802" s="12"/>
      <c r="G802" s="12"/>
      <c r="H802" s="38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8"/>
      <c r="AS802" s="28"/>
      <c r="AT802" s="28"/>
      <c r="AU802" s="12"/>
      <c r="AV802" s="29"/>
    </row>
    <row r="803" spans="4:48">
      <c r="D803" s="12"/>
      <c r="E803" s="12"/>
      <c r="F803" s="12"/>
      <c r="G803" s="12"/>
      <c r="H803" s="38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8"/>
      <c r="AS803" s="28"/>
      <c r="AT803" s="28"/>
      <c r="AU803" s="12"/>
      <c r="AV803" s="29"/>
    </row>
    <row r="804" spans="4:48">
      <c r="D804" s="12"/>
      <c r="E804" s="12"/>
      <c r="F804" s="12"/>
      <c r="G804" s="12"/>
      <c r="H804" s="38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8"/>
      <c r="AS804" s="28"/>
      <c r="AT804" s="28"/>
      <c r="AU804" s="12"/>
      <c r="AV804" s="29"/>
    </row>
    <row r="805" spans="4:48">
      <c r="D805" s="12"/>
      <c r="E805" s="12"/>
      <c r="F805" s="12"/>
      <c r="G805" s="12"/>
      <c r="H805" s="38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8"/>
      <c r="AS805" s="28"/>
      <c r="AT805" s="28"/>
      <c r="AU805" s="12"/>
      <c r="AV805" s="29"/>
    </row>
    <row r="806" spans="4:48">
      <c r="D806" s="12"/>
      <c r="E806" s="12"/>
      <c r="F806" s="12"/>
      <c r="G806" s="12"/>
      <c r="H806" s="38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8"/>
      <c r="AS806" s="28"/>
      <c r="AT806" s="28"/>
      <c r="AU806" s="12"/>
      <c r="AV806" s="29"/>
    </row>
    <row r="807" spans="4:48">
      <c r="D807" s="12"/>
      <c r="E807" s="12"/>
      <c r="F807" s="12"/>
      <c r="G807" s="12"/>
      <c r="H807" s="38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8"/>
      <c r="AS807" s="28"/>
      <c r="AT807" s="28"/>
      <c r="AU807" s="12"/>
      <c r="AV807" s="29"/>
    </row>
    <row r="808" spans="4:48">
      <c r="D808" s="12"/>
      <c r="E808" s="12"/>
      <c r="F808" s="12"/>
      <c r="G808" s="12"/>
      <c r="H808" s="38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8"/>
      <c r="AS808" s="28"/>
      <c r="AT808" s="28"/>
      <c r="AU808" s="12"/>
      <c r="AV808" s="29"/>
    </row>
    <row r="809" spans="4:48">
      <c r="D809" s="12"/>
      <c r="E809" s="12"/>
      <c r="F809" s="12"/>
      <c r="G809" s="12"/>
      <c r="H809" s="38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8"/>
      <c r="AS809" s="28"/>
      <c r="AT809" s="28"/>
      <c r="AU809" s="12"/>
      <c r="AV809" s="29"/>
    </row>
    <row r="810" spans="4:48">
      <c r="D810" s="12"/>
      <c r="E810" s="12"/>
      <c r="F810" s="12"/>
      <c r="G810" s="12"/>
      <c r="H810" s="38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8"/>
      <c r="AS810" s="28"/>
      <c r="AT810" s="28"/>
      <c r="AU810" s="12"/>
      <c r="AV810" s="29"/>
    </row>
    <row r="811" spans="4:48">
      <c r="D811" s="12"/>
      <c r="E811" s="12"/>
      <c r="F811" s="12"/>
      <c r="G811" s="12"/>
      <c r="H811" s="38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8"/>
      <c r="AS811" s="28"/>
      <c r="AT811" s="28"/>
      <c r="AU811" s="12"/>
      <c r="AV811" s="29"/>
    </row>
    <row r="812" spans="4:48">
      <c r="D812" s="12"/>
      <c r="E812" s="12"/>
      <c r="F812" s="12"/>
      <c r="G812" s="12"/>
      <c r="H812" s="38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8"/>
      <c r="AS812" s="28"/>
      <c r="AT812" s="28"/>
      <c r="AU812" s="12"/>
      <c r="AV812" s="29"/>
    </row>
    <row r="813" spans="4:48">
      <c r="D813" s="12"/>
      <c r="E813" s="12"/>
      <c r="F813" s="12"/>
      <c r="G813" s="12"/>
      <c r="H813" s="38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8"/>
      <c r="AS813" s="28"/>
      <c r="AT813" s="28"/>
      <c r="AU813" s="12"/>
      <c r="AV813" s="29"/>
    </row>
    <row r="814" spans="4:48">
      <c r="D814" s="12"/>
      <c r="E814" s="12"/>
      <c r="F814" s="12"/>
      <c r="G814" s="12"/>
      <c r="H814" s="38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8"/>
      <c r="AS814" s="28"/>
      <c r="AT814" s="28"/>
      <c r="AU814" s="12"/>
      <c r="AV814" s="29"/>
    </row>
    <row r="815" spans="4:48">
      <c r="D815" s="12"/>
      <c r="E815" s="12"/>
      <c r="F815" s="12"/>
      <c r="G815" s="12"/>
      <c r="H815" s="38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8"/>
      <c r="AS815" s="28"/>
      <c r="AT815" s="28"/>
      <c r="AU815" s="12"/>
      <c r="AV815" s="29"/>
    </row>
    <row r="816" spans="4:48">
      <c r="D816" s="12"/>
      <c r="E816" s="12"/>
      <c r="F816" s="12"/>
      <c r="G816" s="12"/>
      <c r="H816" s="38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8"/>
      <c r="AS816" s="28"/>
      <c r="AT816" s="28"/>
      <c r="AU816" s="12"/>
      <c r="AV816" s="29"/>
    </row>
    <row r="817" spans="4:48">
      <c r="D817" s="12"/>
      <c r="E817" s="12"/>
      <c r="F817" s="12"/>
      <c r="G817" s="12"/>
      <c r="H817" s="38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8"/>
      <c r="AS817" s="28"/>
      <c r="AT817" s="28"/>
      <c r="AU817" s="12"/>
      <c r="AV817" s="29"/>
    </row>
    <row r="818" spans="4:48">
      <c r="D818" s="12"/>
      <c r="E818" s="12"/>
      <c r="F818" s="12"/>
      <c r="G818" s="12"/>
      <c r="H818" s="38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8"/>
      <c r="AS818" s="28"/>
      <c r="AT818" s="28"/>
      <c r="AU818" s="12"/>
      <c r="AV818" s="29"/>
    </row>
    <row r="819" spans="4:48">
      <c r="D819" s="12"/>
      <c r="E819" s="12"/>
      <c r="F819" s="12"/>
      <c r="G819" s="12"/>
      <c r="H819" s="38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8"/>
      <c r="AS819" s="28"/>
      <c r="AT819" s="28"/>
      <c r="AU819" s="12"/>
      <c r="AV819" s="29"/>
    </row>
    <row r="820" spans="4:48">
      <c r="D820" s="12"/>
      <c r="E820" s="12"/>
      <c r="F820" s="12"/>
      <c r="G820" s="12"/>
      <c r="H820" s="38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8"/>
      <c r="AS820" s="28"/>
      <c r="AT820" s="28"/>
      <c r="AU820" s="12"/>
      <c r="AV820" s="29"/>
    </row>
    <row r="821" spans="4:48">
      <c r="D821" s="12"/>
      <c r="E821" s="12"/>
      <c r="F821" s="12"/>
      <c r="G821" s="12"/>
      <c r="H821" s="38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8"/>
      <c r="AS821" s="28"/>
      <c r="AT821" s="28"/>
      <c r="AU821" s="12"/>
      <c r="AV821" s="29"/>
    </row>
    <row r="822" spans="4:48">
      <c r="D822" s="12"/>
      <c r="E822" s="12"/>
      <c r="F822" s="12"/>
      <c r="G822" s="12"/>
      <c r="H822" s="38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8"/>
      <c r="AS822" s="28"/>
      <c r="AT822" s="28"/>
      <c r="AU822" s="12"/>
      <c r="AV822" s="29"/>
    </row>
    <row r="823" spans="4:48">
      <c r="D823" s="12"/>
      <c r="E823" s="12"/>
      <c r="F823" s="12"/>
      <c r="G823" s="12"/>
      <c r="H823" s="38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8"/>
      <c r="AS823" s="28"/>
      <c r="AT823" s="28"/>
      <c r="AU823" s="12"/>
      <c r="AV823" s="29"/>
    </row>
    <row r="824" spans="4:48">
      <c r="D824" s="12"/>
      <c r="E824" s="12"/>
      <c r="F824" s="12"/>
      <c r="G824" s="12"/>
      <c r="H824" s="38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8"/>
      <c r="AS824" s="28"/>
      <c r="AT824" s="28"/>
      <c r="AU824" s="12"/>
      <c r="AV824" s="29"/>
    </row>
    <row r="825" spans="4:48">
      <c r="D825" s="12"/>
      <c r="E825" s="12"/>
      <c r="F825" s="12"/>
      <c r="G825" s="12"/>
      <c r="H825" s="38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8"/>
      <c r="AS825" s="28"/>
      <c r="AT825" s="28"/>
      <c r="AU825" s="12"/>
      <c r="AV825" s="29"/>
    </row>
    <row r="826" spans="4:48">
      <c r="D826" s="12"/>
      <c r="E826" s="12"/>
      <c r="F826" s="12"/>
      <c r="G826" s="12"/>
      <c r="H826" s="38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8"/>
      <c r="AS826" s="28"/>
      <c r="AT826" s="28"/>
      <c r="AU826" s="12"/>
      <c r="AV826" s="29"/>
    </row>
    <row r="827" spans="4:48">
      <c r="D827" s="12"/>
      <c r="E827" s="12"/>
      <c r="F827" s="12"/>
      <c r="G827" s="12"/>
      <c r="H827" s="38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8"/>
      <c r="AS827" s="28"/>
      <c r="AT827" s="28"/>
      <c r="AU827" s="12"/>
      <c r="AV827" s="29"/>
    </row>
    <row r="828" spans="4:48">
      <c r="D828" s="12"/>
      <c r="E828" s="12"/>
      <c r="F828" s="12"/>
      <c r="G828" s="12"/>
      <c r="H828" s="38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8"/>
      <c r="AS828" s="28"/>
      <c r="AT828" s="28"/>
      <c r="AU828" s="12"/>
      <c r="AV828" s="29"/>
    </row>
    <row r="829" spans="4:48">
      <c r="D829" s="12"/>
      <c r="E829" s="12"/>
      <c r="F829" s="12"/>
      <c r="G829" s="12"/>
      <c r="H829" s="38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8"/>
      <c r="AS829" s="28"/>
      <c r="AT829" s="28"/>
      <c r="AU829" s="12"/>
      <c r="AV829" s="29"/>
    </row>
    <row r="830" spans="4:48">
      <c r="D830" s="12"/>
      <c r="E830" s="12"/>
      <c r="F830" s="12"/>
      <c r="G830" s="12"/>
      <c r="H830" s="38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8"/>
      <c r="AS830" s="28"/>
      <c r="AT830" s="28"/>
      <c r="AU830" s="12"/>
      <c r="AV830" s="29"/>
    </row>
    <row r="831" spans="4:48">
      <c r="D831" s="12"/>
      <c r="E831" s="12"/>
      <c r="F831" s="12"/>
      <c r="G831" s="12"/>
      <c r="H831" s="38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8"/>
      <c r="AS831" s="28"/>
      <c r="AT831" s="28"/>
      <c r="AU831" s="12"/>
      <c r="AV831" s="29"/>
    </row>
    <row r="832" spans="4:48">
      <c r="D832" s="12"/>
      <c r="E832" s="12"/>
      <c r="F832" s="12"/>
      <c r="G832" s="12"/>
      <c r="H832" s="38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8"/>
      <c r="AS832" s="28"/>
      <c r="AT832" s="28"/>
      <c r="AU832" s="12"/>
      <c r="AV832" s="29"/>
    </row>
    <row r="833" spans="4:48">
      <c r="D833" s="12"/>
      <c r="E833" s="12"/>
      <c r="F833" s="12"/>
      <c r="G833" s="12"/>
      <c r="H833" s="38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8"/>
      <c r="AS833" s="28"/>
      <c r="AT833" s="28"/>
      <c r="AU833" s="12"/>
      <c r="AV833" s="29"/>
    </row>
    <row r="834" spans="4:48">
      <c r="D834" s="12"/>
      <c r="E834" s="12"/>
      <c r="F834" s="12"/>
      <c r="G834" s="12"/>
      <c r="H834" s="38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8"/>
      <c r="AS834" s="28"/>
      <c r="AT834" s="28"/>
      <c r="AU834" s="12"/>
      <c r="AV834" s="29"/>
    </row>
    <row r="835" spans="4:48">
      <c r="D835" s="12"/>
      <c r="E835" s="12"/>
      <c r="F835" s="12"/>
      <c r="G835" s="12"/>
      <c r="H835" s="38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8"/>
      <c r="AS835" s="28"/>
      <c r="AT835" s="28"/>
      <c r="AU835" s="12"/>
      <c r="AV835" s="29"/>
    </row>
    <row r="836" spans="4:48">
      <c r="D836" s="12"/>
      <c r="E836" s="12"/>
      <c r="F836" s="12"/>
      <c r="G836" s="12"/>
      <c r="H836" s="38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8"/>
      <c r="AS836" s="28"/>
      <c r="AT836" s="28"/>
      <c r="AU836" s="12"/>
      <c r="AV836" s="29"/>
    </row>
    <row r="837" spans="4:48">
      <c r="D837" s="12"/>
      <c r="E837" s="12"/>
      <c r="F837" s="12"/>
      <c r="G837" s="12"/>
      <c r="H837" s="38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8"/>
      <c r="AS837" s="28"/>
      <c r="AT837" s="28"/>
      <c r="AU837" s="12"/>
      <c r="AV837" s="29"/>
    </row>
    <row r="838" spans="4:48">
      <c r="D838" s="12"/>
      <c r="E838" s="12"/>
      <c r="F838" s="12"/>
      <c r="G838" s="12"/>
      <c r="H838" s="38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8"/>
      <c r="AS838" s="28"/>
      <c r="AT838" s="28"/>
      <c r="AU838" s="12"/>
      <c r="AV838" s="29"/>
    </row>
    <row r="839" spans="4:48">
      <c r="D839" s="12"/>
      <c r="E839" s="12"/>
      <c r="F839" s="12"/>
      <c r="G839" s="12"/>
      <c r="H839" s="38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8"/>
      <c r="AS839" s="28"/>
      <c r="AT839" s="28"/>
      <c r="AU839" s="12"/>
      <c r="AV839" s="29"/>
    </row>
    <row r="840" spans="4:48">
      <c r="D840" s="12"/>
      <c r="E840" s="12"/>
      <c r="F840" s="12"/>
      <c r="G840" s="12"/>
      <c r="H840" s="38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8"/>
      <c r="AS840" s="28"/>
      <c r="AT840" s="28"/>
      <c r="AU840" s="12"/>
      <c r="AV840" s="29"/>
    </row>
    <row r="841" spans="4:48">
      <c r="D841" s="12"/>
      <c r="E841" s="12"/>
      <c r="F841" s="12"/>
      <c r="G841" s="12"/>
      <c r="H841" s="38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8"/>
      <c r="AS841" s="28"/>
      <c r="AT841" s="28"/>
      <c r="AU841" s="12"/>
      <c r="AV841" s="29"/>
    </row>
    <row r="842" spans="4:48">
      <c r="D842" s="12"/>
      <c r="E842" s="12"/>
      <c r="F842" s="12"/>
      <c r="G842" s="12"/>
      <c r="H842" s="38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8"/>
      <c r="AS842" s="28"/>
      <c r="AT842" s="28"/>
      <c r="AU842" s="12"/>
      <c r="AV842" s="29"/>
    </row>
    <row r="843" spans="4:48">
      <c r="D843" s="12"/>
      <c r="E843" s="12"/>
      <c r="F843" s="12"/>
      <c r="G843" s="12"/>
      <c r="H843" s="38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8"/>
      <c r="AS843" s="28"/>
      <c r="AT843" s="28"/>
      <c r="AU843" s="12"/>
      <c r="AV843" s="29"/>
    </row>
    <row r="844" spans="4:48">
      <c r="D844" s="12"/>
      <c r="E844" s="12"/>
      <c r="F844" s="12"/>
      <c r="G844" s="12"/>
      <c r="H844" s="38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8"/>
      <c r="AS844" s="28"/>
      <c r="AT844" s="28"/>
      <c r="AU844" s="12"/>
      <c r="AV844" s="29"/>
    </row>
    <row r="845" spans="4:48">
      <c r="D845" s="12"/>
      <c r="E845" s="12"/>
      <c r="F845" s="12"/>
      <c r="G845" s="12"/>
      <c r="H845" s="38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8"/>
      <c r="AS845" s="28"/>
      <c r="AT845" s="28"/>
      <c r="AU845" s="12"/>
      <c r="AV845" s="29"/>
    </row>
    <row r="846" spans="4:48">
      <c r="D846" s="12"/>
      <c r="E846" s="12"/>
      <c r="F846" s="12"/>
      <c r="G846" s="12"/>
      <c r="H846" s="38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8"/>
      <c r="AS846" s="28"/>
      <c r="AT846" s="28"/>
      <c r="AU846" s="12"/>
      <c r="AV846" s="29"/>
    </row>
    <row r="847" spans="4:48">
      <c r="D847" s="12"/>
      <c r="E847" s="12"/>
      <c r="F847" s="12"/>
      <c r="G847" s="12"/>
      <c r="H847" s="38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8"/>
      <c r="AS847" s="28"/>
      <c r="AT847" s="28"/>
      <c r="AU847" s="12"/>
      <c r="AV847" s="29"/>
    </row>
    <row r="848" spans="4:48">
      <c r="D848" s="12"/>
      <c r="E848" s="12"/>
      <c r="F848" s="12"/>
      <c r="G848" s="12"/>
      <c r="H848" s="38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8"/>
      <c r="AS848" s="28"/>
      <c r="AT848" s="28"/>
      <c r="AU848" s="12"/>
      <c r="AV848" s="29"/>
    </row>
    <row r="849" spans="4:48">
      <c r="D849" s="12"/>
      <c r="E849" s="12"/>
      <c r="F849" s="12"/>
      <c r="G849" s="12"/>
      <c r="H849" s="38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8"/>
      <c r="AS849" s="28"/>
      <c r="AT849" s="28"/>
      <c r="AU849" s="12"/>
      <c r="AV849" s="29"/>
    </row>
    <row r="850" spans="4:48">
      <c r="D850" s="12"/>
      <c r="E850" s="12"/>
      <c r="F850" s="12"/>
      <c r="G850" s="12"/>
      <c r="H850" s="38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8"/>
      <c r="AS850" s="28"/>
      <c r="AT850" s="28"/>
      <c r="AU850" s="12"/>
      <c r="AV850" s="29"/>
    </row>
    <row r="851" spans="4:48">
      <c r="D851" s="12"/>
      <c r="E851" s="12"/>
      <c r="F851" s="12"/>
      <c r="G851" s="12"/>
      <c r="H851" s="38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8"/>
      <c r="AS851" s="28"/>
      <c r="AT851" s="28"/>
      <c r="AU851" s="12"/>
      <c r="AV851" s="29"/>
    </row>
    <row r="852" spans="4:48">
      <c r="D852" s="12"/>
      <c r="E852" s="12"/>
      <c r="F852" s="12"/>
      <c r="G852" s="12"/>
      <c r="H852" s="38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8"/>
      <c r="AS852" s="28"/>
      <c r="AT852" s="28"/>
      <c r="AU852" s="12"/>
      <c r="AV852" s="29"/>
    </row>
    <row r="853" spans="4:48">
      <c r="D853" s="12"/>
      <c r="E853" s="12"/>
      <c r="F853" s="12"/>
      <c r="G853" s="12"/>
      <c r="H853" s="38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8"/>
      <c r="AS853" s="28"/>
      <c r="AT853" s="28"/>
      <c r="AU853" s="12"/>
      <c r="AV853" s="29"/>
    </row>
    <row r="854" spans="4:48">
      <c r="D854" s="12"/>
      <c r="E854" s="12"/>
      <c r="F854" s="12"/>
      <c r="G854" s="12"/>
      <c r="H854" s="38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8"/>
      <c r="AS854" s="28"/>
      <c r="AT854" s="28"/>
      <c r="AU854" s="12"/>
      <c r="AV854" s="29"/>
    </row>
    <row r="855" spans="4:48">
      <c r="D855" s="12"/>
      <c r="E855" s="12"/>
      <c r="F855" s="12"/>
      <c r="G855" s="12"/>
      <c r="H855" s="38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8"/>
      <c r="AS855" s="28"/>
      <c r="AT855" s="28"/>
      <c r="AU855" s="12"/>
      <c r="AV855" s="29"/>
    </row>
    <row r="856" spans="4:48">
      <c r="D856" s="12"/>
      <c r="E856" s="12"/>
      <c r="F856" s="12"/>
      <c r="G856" s="12"/>
      <c r="H856" s="38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8"/>
      <c r="AS856" s="28"/>
      <c r="AT856" s="28"/>
      <c r="AU856" s="12"/>
      <c r="AV856" s="29"/>
    </row>
    <row r="857" spans="4:48">
      <c r="D857" s="12"/>
      <c r="E857" s="12"/>
      <c r="F857" s="12"/>
      <c r="G857" s="12"/>
      <c r="H857" s="38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8"/>
      <c r="AS857" s="28"/>
      <c r="AT857" s="28"/>
      <c r="AU857" s="12"/>
      <c r="AV857" s="29"/>
    </row>
    <row r="858" spans="4:48">
      <c r="D858" s="12"/>
      <c r="E858" s="12"/>
      <c r="F858" s="12"/>
      <c r="G858" s="12"/>
      <c r="H858" s="38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8"/>
      <c r="AS858" s="28"/>
      <c r="AT858" s="28"/>
      <c r="AU858" s="12"/>
      <c r="AV858" s="29"/>
    </row>
    <row r="859" spans="4:48">
      <c r="D859" s="12"/>
      <c r="E859" s="12"/>
      <c r="F859" s="12"/>
      <c r="G859" s="12"/>
      <c r="H859" s="38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8"/>
      <c r="AS859" s="28"/>
      <c r="AT859" s="28"/>
      <c r="AU859" s="12"/>
      <c r="AV859" s="29"/>
    </row>
    <row r="860" spans="4:48">
      <c r="D860" s="12"/>
      <c r="E860" s="12"/>
      <c r="F860" s="12"/>
      <c r="G860" s="12"/>
      <c r="H860" s="38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8"/>
      <c r="AS860" s="28"/>
      <c r="AT860" s="28"/>
      <c r="AU860" s="12"/>
      <c r="AV860" s="29"/>
    </row>
    <row r="861" spans="4:48">
      <c r="D861" s="12"/>
      <c r="E861" s="12"/>
      <c r="F861" s="12"/>
      <c r="G861" s="12"/>
      <c r="H861" s="38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8"/>
      <c r="AS861" s="28"/>
      <c r="AT861" s="28"/>
      <c r="AU861" s="12"/>
      <c r="AV861" s="29"/>
    </row>
    <row r="862" spans="4:48">
      <c r="D862" s="12"/>
      <c r="E862" s="12"/>
      <c r="F862" s="12"/>
      <c r="G862" s="12"/>
      <c r="H862" s="38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8"/>
      <c r="AS862" s="28"/>
      <c r="AT862" s="28"/>
      <c r="AU862" s="12"/>
      <c r="AV862" s="29"/>
    </row>
    <row r="863" spans="4:48">
      <c r="D863" s="12"/>
      <c r="E863" s="12"/>
      <c r="F863" s="12"/>
      <c r="G863" s="12"/>
      <c r="H863" s="38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8"/>
      <c r="AS863" s="28"/>
      <c r="AT863" s="28"/>
      <c r="AU863" s="12"/>
      <c r="AV863" s="29"/>
    </row>
    <row r="864" spans="4:48">
      <c r="D864" s="12"/>
      <c r="E864" s="12"/>
      <c r="F864" s="12"/>
      <c r="G864" s="12"/>
      <c r="H864" s="38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8"/>
      <c r="AS864" s="28"/>
      <c r="AT864" s="28"/>
      <c r="AU864" s="12"/>
      <c r="AV864" s="29"/>
    </row>
    <row r="865" spans="4:48">
      <c r="D865" s="12"/>
      <c r="E865" s="12"/>
      <c r="F865" s="12"/>
      <c r="G865" s="12"/>
      <c r="H865" s="38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8"/>
      <c r="AS865" s="28"/>
      <c r="AT865" s="28"/>
      <c r="AU865" s="12"/>
      <c r="AV865" s="29"/>
    </row>
    <row r="866" spans="4:48">
      <c r="D866" s="12"/>
      <c r="E866" s="12"/>
      <c r="F866" s="12"/>
      <c r="G866" s="12"/>
      <c r="H866" s="38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8"/>
      <c r="AS866" s="28"/>
      <c r="AT866" s="28"/>
      <c r="AU866" s="12"/>
      <c r="AV866" s="29"/>
    </row>
    <row r="867" spans="4:48">
      <c r="D867" s="12"/>
      <c r="E867" s="12"/>
      <c r="F867" s="12"/>
      <c r="G867" s="12"/>
      <c r="H867" s="38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8"/>
      <c r="AS867" s="28"/>
      <c r="AT867" s="28"/>
      <c r="AU867" s="12"/>
      <c r="AV867" s="29"/>
    </row>
    <row r="868" spans="4:48">
      <c r="D868" s="12"/>
      <c r="E868" s="12"/>
      <c r="F868" s="12"/>
      <c r="G868" s="12"/>
      <c r="H868" s="38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8"/>
      <c r="AS868" s="28"/>
      <c r="AT868" s="28"/>
      <c r="AU868" s="12"/>
      <c r="AV868" s="29"/>
    </row>
    <row r="869" spans="4:48">
      <c r="D869" s="12"/>
      <c r="E869" s="12"/>
      <c r="F869" s="12"/>
      <c r="G869" s="12"/>
      <c r="H869" s="38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8"/>
      <c r="AS869" s="28"/>
      <c r="AT869" s="28"/>
      <c r="AU869" s="12"/>
      <c r="AV869" s="29"/>
    </row>
    <row r="870" spans="4:48">
      <c r="D870" s="12"/>
      <c r="E870" s="12"/>
      <c r="F870" s="12"/>
      <c r="G870" s="12"/>
      <c r="H870" s="38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8"/>
      <c r="AS870" s="28"/>
      <c r="AT870" s="28"/>
      <c r="AU870" s="12"/>
      <c r="AV870" s="29"/>
    </row>
    <row r="871" spans="4:48">
      <c r="D871" s="12"/>
      <c r="E871" s="12"/>
      <c r="F871" s="12"/>
      <c r="G871" s="12"/>
      <c r="H871" s="38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8"/>
      <c r="AS871" s="28"/>
      <c r="AT871" s="28"/>
      <c r="AU871" s="12"/>
      <c r="AV871" s="29"/>
    </row>
    <row r="872" spans="4:48">
      <c r="D872" s="12"/>
      <c r="E872" s="12"/>
      <c r="F872" s="12"/>
      <c r="G872" s="12"/>
      <c r="H872" s="38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8"/>
      <c r="AS872" s="28"/>
      <c r="AT872" s="28"/>
      <c r="AU872" s="12"/>
      <c r="AV872" s="29"/>
    </row>
    <row r="873" spans="4:48">
      <c r="D873" s="12"/>
      <c r="E873" s="12"/>
      <c r="F873" s="12"/>
      <c r="G873" s="12"/>
      <c r="H873" s="38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8"/>
      <c r="AS873" s="28"/>
      <c r="AT873" s="28"/>
      <c r="AU873" s="12"/>
      <c r="AV873" s="29"/>
    </row>
    <row r="874" spans="4:48">
      <c r="D874" s="12"/>
      <c r="E874" s="12"/>
      <c r="F874" s="12"/>
      <c r="G874" s="12"/>
      <c r="H874" s="38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8"/>
      <c r="AS874" s="28"/>
      <c r="AT874" s="28"/>
      <c r="AU874" s="12"/>
      <c r="AV874" s="29"/>
    </row>
    <row r="875" spans="4:48">
      <c r="D875" s="12"/>
      <c r="E875" s="12"/>
      <c r="F875" s="12"/>
      <c r="G875" s="12"/>
      <c r="H875" s="38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8"/>
      <c r="AS875" s="28"/>
      <c r="AT875" s="28"/>
      <c r="AU875" s="12"/>
      <c r="AV875" s="29"/>
    </row>
    <row r="876" spans="4:48">
      <c r="D876" s="12"/>
      <c r="E876" s="12"/>
      <c r="F876" s="12"/>
      <c r="G876" s="12"/>
      <c r="H876" s="38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8"/>
      <c r="AS876" s="28"/>
      <c r="AT876" s="28"/>
      <c r="AU876" s="12"/>
      <c r="AV876" s="29"/>
    </row>
    <row r="877" spans="4:48">
      <c r="D877" s="12"/>
      <c r="E877" s="12"/>
      <c r="F877" s="12"/>
      <c r="G877" s="12"/>
      <c r="H877" s="38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8"/>
      <c r="AS877" s="28"/>
      <c r="AT877" s="28"/>
      <c r="AU877" s="12"/>
      <c r="AV877" s="29"/>
    </row>
    <row r="878" spans="4:48">
      <c r="D878" s="12"/>
      <c r="E878" s="12"/>
      <c r="F878" s="12"/>
      <c r="G878" s="12"/>
      <c r="H878" s="38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8"/>
      <c r="AS878" s="28"/>
      <c r="AT878" s="28"/>
      <c r="AU878" s="12"/>
      <c r="AV878" s="29"/>
    </row>
    <row r="879" spans="4:48">
      <c r="D879" s="12"/>
      <c r="E879" s="12"/>
      <c r="F879" s="12"/>
      <c r="G879" s="12"/>
      <c r="H879" s="38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8"/>
      <c r="AS879" s="28"/>
      <c r="AT879" s="28"/>
      <c r="AU879" s="12"/>
      <c r="AV879" s="29"/>
    </row>
    <row r="880" spans="4:48">
      <c r="D880" s="12"/>
      <c r="E880" s="12"/>
      <c r="F880" s="12"/>
      <c r="G880" s="12"/>
      <c r="H880" s="38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8"/>
      <c r="AS880" s="28"/>
      <c r="AT880" s="28"/>
      <c r="AU880" s="12"/>
      <c r="AV880" s="29"/>
    </row>
    <row r="881" spans="4:48">
      <c r="D881" s="12"/>
      <c r="E881" s="12"/>
      <c r="F881" s="12"/>
      <c r="G881" s="12"/>
      <c r="H881" s="38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8"/>
      <c r="AS881" s="28"/>
      <c r="AT881" s="28"/>
      <c r="AU881" s="12"/>
      <c r="AV881" s="29"/>
    </row>
    <row r="882" spans="4:48">
      <c r="D882" s="12"/>
      <c r="E882" s="12"/>
      <c r="F882" s="12"/>
      <c r="G882" s="12"/>
      <c r="H882" s="38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8"/>
      <c r="AS882" s="28"/>
      <c r="AT882" s="28"/>
      <c r="AU882" s="12"/>
      <c r="AV882" s="29"/>
    </row>
    <row r="883" spans="4:48">
      <c r="D883" s="12"/>
      <c r="E883" s="12"/>
      <c r="F883" s="12"/>
      <c r="G883" s="12"/>
      <c r="H883" s="38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8"/>
      <c r="AS883" s="28"/>
      <c r="AT883" s="28"/>
      <c r="AU883" s="12"/>
      <c r="AV883" s="29"/>
    </row>
    <row r="884" spans="4:48">
      <c r="D884" s="12"/>
      <c r="E884" s="12"/>
      <c r="F884" s="12"/>
      <c r="G884" s="12"/>
      <c r="H884" s="38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8"/>
      <c r="AS884" s="28"/>
      <c r="AT884" s="28"/>
      <c r="AU884" s="12"/>
      <c r="AV884" s="29"/>
    </row>
    <row r="885" spans="4:48">
      <c r="D885" s="12"/>
      <c r="E885" s="12"/>
      <c r="F885" s="12"/>
      <c r="G885" s="12"/>
      <c r="H885" s="38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8"/>
      <c r="AS885" s="28"/>
      <c r="AT885" s="28"/>
      <c r="AU885" s="12"/>
      <c r="AV885" s="29"/>
    </row>
    <row r="886" spans="4:48">
      <c r="D886" s="12"/>
      <c r="E886" s="12"/>
      <c r="F886" s="12"/>
      <c r="G886" s="12"/>
      <c r="H886" s="38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8"/>
      <c r="AS886" s="28"/>
      <c r="AT886" s="28"/>
      <c r="AU886" s="12"/>
      <c r="AV886" s="29"/>
    </row>
    <row r="887" spans="4:48">
      <c r="D887" s="12"/>
      <c r="E887" s="12"/>
      <c r="F887" s="12"/>
      <c r="G887" s="12"/>
      <c r="H887" s="38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8"/>
      <c r="AS887" s="28"/>
      <c r="AT887" s="28"/>
      <c r="AU887" s="12"/>
      <c r="AV887" s="29"/>
    </row>
    <row r="888" spans="4:48">
      <c r="D888" s="12"/>
      <c r="E888" s="12"/>
      <c r="F888" s="12"/>
      <c r="G888" s="12"/>
      <c r="H888" s="38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8"/>
      <c r="AS888" s="28"/>
      <c r="AT888" s="28"/>
      <c r="AU888" s="12"/>
      <c r="AV888" s="29"/>
    </row>
    <row r="889" spans="4:48">
      <c r="D889" s="12"/>
      <c r="E889" s="12"/>
      <c r="F889" s="12"/>
      <c r="G889" s="12"/>
      <c r="H889" s="38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8"/>
      <c r="AS889" s="28"/>
      <c r="AT889" s="28"/>
      <c r="AU889" s="12"/>
      <c r="AV889" s="29"/>
    </row>
    <row r="890" spans="4:48">
      <c r="D890" s="12"/>
      <c r="E890" s="12"/>
      <c r="F890" s="12"/>
      <c r="G890" s="12"/>
      <c r="H890" s="38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8"/>
      <c r="AS890" s="28"/>
      <c r="AT890" s="28"/>
      <c r="AU890" s="12"/>
      <c r="AV890" s="29"/>
    </row>
    <row r="891" spans="4:48">
      <c r="D891" s="12"/>
      <c r="E891" s="12"/>
      <c r="F891" s="12"/>
      <c r="G891" s="12"/>
      <c r="H891" s="38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8"/>
      <c r="AS891" s="28"/>
      <c r="AT891" s="28"/>
      <c r="AU891" s="12"/>
      <c r="AV891" s="29"/>
    </row>
    <row r="892" spans="4:48">
      <c r="D892" s="12"/>
      <c r="E892" s="12"/>
      <c r="F892" s="12"/>
      <c r="G892" s="12"/>
      <c r="H892" s="38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8"/>
      <c r="AS892" s="28"/>
      <c r="AT892" s="28"/>
      <c r="AU892" s="12"/>
      <c r="AV892" s="29"/>
    </row>
    <row r="893" spans="4:48">
      <c r="D893" s="12"/>
      <c r="E893" s="12"/>
      <c r="F893" s="12"/>
      <c r="G893" s="12"/>
      <c r="H893" s="38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8"/>
      <c r="AS893" s="28"/>
      <c r="AT893" s="28"/>
      <c r="AU893" s="12"/>
      <c r="AV893" s="29"/>
    </row>
    <row r="894" spans="4:48">
      <c r="D894" s="12"/>
      <c r="E894" s="12"/>
      <c r="F894" s="12"/>
      <c r="G894" s="12"/>
      <c r="H894" s="38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8"/>
      <c r="AS894" s="28"/>
      <c r="AT894" s="28"/>
      <c r="AU894" s="12"/>
      <c r="AV894" s="29"/>
    </row>
    <row r="895" spans="4:48">
      <c r="D895" s="12"/>
      <c r="E895" s="12"/>
      <c r="F895" s="12"/>
      <c r="G895" s="12"/>
      <c r="H895" s="38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8"/>
      <c r="AS895" s="28"/>
      <c r="AT895" s="28"/>
      <c r="AU895" s="12"/>
      <c r="AV895" s="29"/>
    </row>
    <row r="896" spans="4:48">
      <c r="D896" s="12"/>
      <c r="E896" s="12"/>
      <c r="F896" s="12"/>
      <c r="G896" s="12"/>
      <c r="H896" s="38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8"/>
      <c r="AS896" s="28"/>
      <c r="AT896" s="28"/>
      <c r="AU896" s="12"/>
      <c r="AV896" s="29"/>
    </row>
    <row r="897" spans="4:48">
      <c r="D897" s="12"/>
      <c r="E897" s="12"/>
      <c r="F897" s="12"/>
      <c r="G897" s="12"/>
      <c r="H897" s="38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8"/>
      <c r="AS897" s="28"/>
      <c r="AT897" s="28"/>
      <c r="AU897" s="12"/>
      <c r="AV897" s="29"/>
    </row>
    <row r="898" spans="4:48">
      <c r="D898" s="12"/>
      <c r="E898" s="12"/>
      <c r="F898" s="12"/>
      <c r="G898" s="12"/>
      <c r="H898" s="38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8"/>
      <c r="AS898" s="28"/>
      <c r="AT898" s="28"/>
      <c r="AU898" s="12"/>
      <c r="AV898" s="29"/>
    </row>
    <row r="899" spans="4:48">
      <c r="D899" s="12"/>
      <c r="E899" s="12"/>
      <c r="F899" s="12"/>
      <c r="G899" s="12"/>
      <c r="H899" s="38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8"/>
      <c r="AS899" s="28"/>
      <c r="AT899" s="28"/>
      <c r="AU899" s="12"/>
      <c r="AV899" s="29"/>
    </row>
    <row r="900" spans="4:48">
      <c r="D900" s="12"/>
      <c r="E900" s="12"/>
      <c r="F900" s="12"/>
      <c r="G900" s="12"/>
      <c r="H900" s="38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8"/>
      <c r="AS900" s="28"/>
      <c r="AT900" s="28"/>
      <c r="AU900" s="12"/>
      <c r="AV900" s="29"/>
    </row>
    <row r="901" spans="4:48">
      <c r="D901" s="12"/>
      <c r="E901" s="12"/>
      <c r="F901" s="12"/>
      <c r="G901" s="12"/>
      <c r="H901" s="38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8"/>
      <c r="AS901" s="28"/>
      <c r="AT901" s="28"/>
      <c r="AU901" s="12"/>
      <c r="AV901" s="29"/>
    </row>
    <row r="902" spans="4:48">
      <c r="D902" s="12"/>
      <c r="E902" s="12"/>
      <c r="F902" s="12"/>
      <c r="G902" s="12"/>
      <c r="H902" s="38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8"/>
      <c r="AS902" s="28"/>
      <c r="AT902" s="28"/>
      <c r="AU902" s="12"/>
      <c r="AV902" s="29"/>
    </row>
    <row r="903" spans="4:48">
      <c r="D903" s="12"/>
      <c r="E903" s="12"/>
      <c r="F903" s="12"/>
      <c r="G903" s="12"/>
      <c r="H903" s="38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8"/>
      <c r="AS903" s="28"/>
      <c r="AT903" s="28"/>
      <c r="AU903" s="12"/>
      <c r="AV903" s="29"/>
    </row>
    <row r="904" spans="4:48">
      <c r="D904" s="12"/>
      <c r="E904" s="12"/>
      <c r="F904" s="12"/>
      <c r="G904" s="12"/>
      <c r="H904" s="38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8"/>
      <c r="AS904" s="28"/>
      <c r="AT904" s="28"/>
      <c r="AU904" s="12"/>
      <c r="AV904" s="29"/>
    </row>
    <row r="905" spans="4:48">
      <c r="D905" s="12"/>
      <c r="E905" s="12"/>
      <c r="F905" s="12"/>
      <c r="G905" s="12"/>
      <c r="H905" s="38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8"/>
      <c r="AS905" s="28"/>
      <c r="AT905" s="28"/>
      <c r="AU905" s="12"/>
      <c r="AV905" s="29"/>
    </row>
    <row r="906" spans="4:48">
      <c r="D906" s="12"/>
      <c r="E906" s="12"/>
      <c r="F906" s="12"/>
      <c r="G906" s="12"/>
      <c r="H906" s="38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8"/>
      <c r="AS906" s="28"/>
      <c r="AT906" s="28"/>
      <c r="AU906" s="12"/>
      <c r="AV906" s="29"/>
    </row>
    <row r="907" spans="4:48">
      <c r="D907" s="12"/>
      <c r="E907" s="12"/>
      <c r="F907" s="12"/>
      <c r="G907" s="12"/>
      <c r="H907" s="38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8"/>
      <c r="AS907" s="28"/>
      <c r="AT907" s="28"/>
      <c r="AU907" s="12"/>
      <c r="AV907" s="29"/>
    </row>
    <row r="908" spans="4:48">
      <c r="D908" s="12"/>
      <c r="E908" s="12"/>
      <c r="F908" s="12"/>
      <c r="G908" s="12"/>
      <c r="H908" s="38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8"/>
      <c r="AS908" s="28"/>
      <c r="AT908" s="28"/>
      <c r="AU908" s="12"/>
      <c r="AV908" s="29"/>
    </row>
    <row r="909" spans="4:48">
      <c r="D909" s="12"/>
      <c r="E909" s="12"/>
      <c r="F909" s="12"/>
      <c r="G909" s="12"/>
      <c r="H909" s="38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8"/>
      <c r="AS909" s="28"/>
      <c r="AT909" s="28"/>
      <c r="AU909" s="12"/>
      <c r="AV909" s="29"/>
    </row>
    <row r="910" spans="4:48">
      <c r="D910" s="12"/>
      <c r="E910" s="12"/>
      <c r="F910" s="12"/>
      <c r="G910" s="12"/>
      <c r="H910" s="38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8"/>
      <c r="AS910" s="28"/>
      <c r="AT910" s="28"/>
      <c r="AU910" s="12"/>
      <c r="AV910" s="29"/>
    </row>
    <row r="911" spans="4:48">
      <c r="D911" s="12"/>
      <c r="E911" s="12"/>
      <c r="F911" s="12"/>
      <c r="G911" s="12"/>
      <c r="H911" s="38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8"/>
      <c r="AS911" s="28"/>
      <c r="AT911" s="28"/>
      <c r="AU911" s="12"/>
      <c r="AV911" s="29"/>
    </row>
    <row r="912" spans="4:48">
      <c r="D912" s="12"/>
      <c r="E912" s="12"/>
      <c r="F912" s="12"/>
      <c r="G912" s="12"/>
      <c r="H912" s="38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8"/>
      <c r="AS912" s="28"/>
      <c r="AT912" s="28"/>
      <c r="AU912" s="12"/>
      <c r="AV912" s="29"/>
    </row>
    <row r="913" spans="4:48">
      <c r="D913" s="12"/>
      <c r="E913" s="12"/>
      <c r="F913" s="12"/>
      <c r="G913" s="12"/>
      <c r="H913" s="38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8"/>
      <c r="AS913" s="28"/>
      <c r="AT913" s="28"/>
      <c r="AU913" s="12"/>
      <c r="AV913" s="29"/>
    </row>
    <row r="914" spans="4:48">
      <c r="D914" s="12"/>
      <c r="E914" s="12"/>
      <c r="F914" s="12"/>
      <c r="G914" s="12"/>
      <c r="H914" s="38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8"/>
      <c r="AS914" s="28"/>
      <c r="AT914" s="28"/>
      <c r="AU914" s="12"/>
      <c r="AV914" s="29"/>
    </row>
    <row r="915" spans="4:48">
      <c r="D915" s="12"/>
      <c r="E915" s="12"/>
      <c r="F915" s="12"/>
      <c r="G915" s="12"/>
      <c r="H915" s="38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8"/>
      <c r="AS915" s="28"/>
      <c r="AT915" s="28"/>
      <c r="AU915" s="12"/>
      <c r="AV915" s="29"/>
    </row>
    <row r="916" spans="4:48">
      <c r="D916" s="12"/>
      <c r="E916" s="12"/>
      <c r="F916" s="12"/>
      <c r="G916" s="12"/>
      <c r="H916" s="38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8"/>
      <c r="AS916" s="28"/>
      <c r="AT916" s="28"/>
      <c r="AU916" s="12"/>
      <c r="AV916" s="29"/>
    </row>
    <row r="917" spans="4:48">
      <c r="D917" s="12"/>
      <c r="E917" s="12"/>
      <c r="F917" s="12"/>
      <c r="G917" s="12"/>
      <c r="H917" s="38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8"/>
      <c r="AS917" s="28"/>
      <c r="AT917" s="28"/>
      <c r="AU917" s="12"/>
      <c r="AV917" s="29"/>
    </row>
    <row r="918" spans="4:48">
      <c r="D918" s="12"/>
      <c r="E918" s="12"/>
      <c r="F918" s="12"/>
      <c r="G918" s="12"/>
      <c r="H918" s="38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8"/>
      <c r="AS918" s="28"/>
      <c r="AT918" s="28"/>
      <c r="AU918" s="12"/>
      <c r="AV918" s="29"/>
    </row>
    <row r="919" spans="4:48">
      <c r="D919" s="12"/>
      <c r="E919" s="12"/>
      <c r="F919" s="12"/>
      <c r="G919" s="12"/>
      <c r="H919" s="38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8"/>
      <c r="AS919" s="28"/>
      <c r="AT919" s="28"/>
      <c r="AU919" s="12"/>
      <c r="AV919" s="29"/>
    </row>
    <row r="920" spans="4:48">
      <c r="D920" s="12"/>
      <c r="E920" s="12"/>
      <c r="F920" s="12"/>
      <c r="G920" s="12"/>
      <c r="H920" s="38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8"/>
      <c r="AS920" s="28"/>
      <c r="AT920" s="28"/>
      <c r="AU920" s="12"/>
      <c r="AV920" s="29"/>
    </row>
    <row r="921" spans="4:48">
      <c r="D921" s="12"/>
      <c r="E921" s="12"/>
      <c r="F921" s="12"/>
      <c r="G921" s="12"/>
      <c r="H921" s="38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8"/>
      <c r="AS921" s="28"/>
      <c r="AT921" s="28"/>
      <c r="AU921" s="12"/>
      <c r="AV921" s="29"/>
    </row>
    <row r="922" spans="4:48">
      <c r="D922" s="12"/>
      <c r="E922" s="12"/>
      <c r="F922" s="12"/>
      <c r="G922" s="12"/>
      <c r="H922" s="38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8"/>
      <c r="AS922" s="28"/>
      <c r="AT922" s="28"/>
      <c r="AU922" s="12"/>
      <c r="AV922" s="29"/>
    </row>
    <row r="923" spans="4:48">
      <c r="D923" s="12"/>
      <c r="E923" s="12"/>
      <c r="F923" s="12"/>
      <c r="G923" s="12"/>
      <c r="H923" s="38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8"/>
      <c r="AS923" s="28"/>
      <c r="AT923" s="28"/>
      <c r="AU923" s="12"/>
      <c r="AV923" s="29"/>
    </row>
    <row r="924" spans="4:48">
      <c r="D924" s="12"/>
      <c r="E924" s="12"/>
      <c r="F924" s="12"/>
      <c r="G924" s="12"/>
      <c r="H924" s="38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8"/>
      <c r="AS924" s="28"/>
      <c r="AT924" s="28"/>
      <c r="AU924" s="12"/>
      <c r="AV924" s="29"/>
    </row>
    <row r="925" spans="4:48">
      <c r="D925" s="12"/>
      <c r="E925" s="12"/>
      <c r="F925" s="12"/>
      <c r="G925" s="12"/>
      <c r="H925" s="38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8"/>
      <c r="AS925" s="28"/>
      <c r="AT925" s="28"/>
      <c r="AU925" s="12"/>
      <c r="AV925" s="29"/>
    </row>
    <row r="926" spans="4:48">
      <c r="D926" s="12"/>
      <c r="E926" s="12"/>
      <c r="F926" s="12"/>
      <c r="G926" s="12"/>
      <c r="H926" s="38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8"/>
      <c r="AS926" s="28"/>
      <c r="AT926" s="28"/>
      <c r="AU926" s="12"/>
      <c r="AV926" s="29"/>
    </row>
    <row r="927" spans="4:48">
      <c r="D927" s="12"/>
      <c r="E927" s="12"/>
      <c r="F927" s="12"/>
      <c r="G927" s="12"/>
      <c r="H927" s="38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8"/>
      <c r="AS927" s="28"/>
      <c r="AT927" s="28"/>
      <c r="AU927" s="12"/>
      <c r="AV927" s="29"/>
    </row>
    <row r="928" spans="4:48">
      <c r="D928" s="12"/>
      <c r="E928" s="12"/>
      <c r="F928" s="12"/>
      <c r="G928" s="12"/>
      <c r="H928" s="38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8"/>
      <c r="AS928" s="28"/>
      <c r="AT928" s="28"/>
      <c r="AU928" s="12"/>
      <c r="AV928" s="29"/>
    </row>
    <row r="929" spans="4:48">
      <c r="D929" s="12"/>
      <c r="E929" s="12"/>
      <c r="F929" s="12"/>
      <c r="G929" s="12"/>
      <c r="H929" s="38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8"/>
      <c r="AS929" s="28"/>
      <c r="AT929" s="28"/>
      <c r="AU929" s="12"/>
      <c r="AV929" s="29"/>
    </row>
    <row r="930" spans="4:48">
      <c r="D930" s="12"/>
      <c r="E930" s="12"/>
      <c r="F930" s="12"/>
      <c r="G930" s="12"/>
      <c r="H930" s="38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8"/>
      <c r="AS930" s="28"/>
      <c r="AT930" s="28"/>
      <c r="AU930" s="12"/>
      <c r="AV930" s="29"/>
    </row>
    <row r="931" spans="4:48">
      <c r="D931" s="12"/>
      <c r="E931" s="12"/>
      <c r="F931" s="12"/>
      <c r="G931" s="12"/>
      <c r="H931" s="38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8"/>
      <c r="AS931" s="28"/>
      <c r="AT931" s="28"/>
      <c r="AU931" s="12"/>
      <c r="AV931" s="29"/>
    </row>
    <row r="932" spans="4:48">
      <c r="D932" s="12"/>
      <c r="E932" s="12"/>
      <c r="F932" s="12"/>
      <c r="G932" s="12"/>
      <c r="H932" s="38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8"/>
      <c r="AS932" s="28"/>
      <c r="AT932" s="28"/>
      <c r="AU932" s="12"/>
      <c r="AV932" s="29"/>
    </row>
    <row r="933" spans="4:48">
      <c r="D933" s="12"/>
      <c r="E933" s="12"/>
      <c r="F933" s="12"/>
      <c r="G933" s="12"/>
      <c r="H933" s="38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8"/>
      <c r="AS933" s="28"/>
      <c r="AT933" s="28"/>
      <c r="AU933" s="12"/>
      <c r="AV933" s="29"/>
    </row>
    <row r="934" spans="4:48">
      <c r="D934" s="12"/>
      <c r="E934" s="12"/>
      <c r="F934" s="12"/>
      <c r="G934" s="12"/>
      <c r="H934" s="38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8"/>
      <c r="AS934" s="28"/>
      <c r="AT934" s="28"/>
      <c r="AU934" s="12"/>
      <c r="AV934" s="29"/>
    </row>
    <row r="935" spans="4:48">
      <c r="D935" s="12"/>
      <c r="E935" s="12"/>
      <c r="F935" s="12"/>
      <c r="G935" s="12"/>
      <c r="H935" s="38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8"/>
      <c r="AS935" s="28"/>
      <c r="AT935" s="28"/>
      <c r="AU935" s="12"/>
      <c r="AV935" s="29"/>
    </row>
    <row r="936" spans="4:48">
      <c r="D936" s="12"/>
      <c r="E936" s="12"/>
      <c r="F936" s="12"/>
      <c r="G936" s="12"/>
      <c r="H936" s="38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8"/>
      <c r="AS936" s="28"/>
      <c r="AT936" s="28"/>
      <c r="AU936" s="12"/>
      <c r="AV936" s="29"/>
    </row>
    <row r="937" spans="4:48">
      <c r="D937" s="12"/>
      <c r="E937" s="12"/>
      <c r="F937" s="12"/>
      <c r="G937" s="12"/>
      <c r="H937" s="38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8"/>
      <c r="AS937" s="28"/>
      <c r="AT937" s="28"/>
      <c r="AU937" s="12"/>
      <c r="AV937" s="29"/>
    </row>
    <row r="938" spans="4:48">
      <c r="D938" s="12"/>
      <c r="E938" s="12"/>
      <c r="F938" s="12"/>
      <c r="G938" s="12"/>
      <c r="H938" s="38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8"/>
      <c r="AS938" s="28"/>
      <c r="AT938" s="28"/>
      <c r="AU938" s="12"/>
      <c r="AV938" s="29"/>
    </row>
    <row r="939" spans="4:48">
      <c r="D939" s="12"/>
      <c r="E939" s="12"/>
      <c r="F939" s="12"/>
      <c r="G939" s="12"/>
      <c r="H939" s="38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8"/>
      <c r="AS939" s="28"/>
      <c r="AT939" s="28"/>
      <c r="AU939" s="12"/>
      <c r="AV939" s="29"/>
    </row>
    <row r="940" spans="4:48">
      <c r="D940" s="12"/>
      <c r="E940" s="12"/>
      <c r="F940" s="12"/>
      <c r="G940" s="12"/>
      <c r="H940" s="38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8"/>
      <c r="AS940" s="28"/>
      <c r="AT940" s="28"/>
      <c r="AU940" s="12"/>
      <c r="AV940" s="29"/>
    </row>
    <row r="941" spans="4:48">
      <c r="D941" s="12"/>
      <c r="E941" s="12"/>
      <c r="F941" s="12"/>
      <c r="G941" s="12"/>
      <c r="H941" s="38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8"/>
      <c r="AS941" s="28"/>
      <c r="AT941" s="28"/>
      <c r="AU941" s="12"/>
      <c r="AV941" s="29"/>
    </row>
    <row r="942" spans="4:48">
      <c r="D942" s="12"/>
      <c r="E942" s="12"/>
      <c r="F942" s="12"/>
      <c r="G942" s="12"/>
      <c r="H942" s="38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8"/>
      <c r="AS942" s="28"/>
      <c r="AT942" s="28"/>
      <c r="AU942" s="12"/>
      <c r="AV942" s="29"/>
    </row>
    <row r="943" spans="4:48">
      <c r="D943" s="12"/>
      <c r="E943" s="12"/>
      <c r="F943" s="12"/>
      <c r="G943" s="12"/>
      <c r="H943" s="38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8"/>
      <c r="AS943" s="28"/>
      <c r="AT943" s="28"/>
      <c r="AU943" s="12"/>
      <c r="AV943" s="29"/>
    </row>
    <row r="944" spans="4:48">
      <c r="D944" s="12"/>
      <c r="E944" s="12"/>
      <c r="F944" s="12"/>
      <c r="G944" s="12"/>
      <c r="H944" s="38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8"/>
      <c r="AS944" s="28"/>
      <c r="AT944" s="28"/>
      <c r="AU944" s="12"/>
      <c r="AV944" s="29"/>
    </row>
    <row r="945" spans="4:48">
      <c r="D945" s="12"/>
      <c r="E945" s="12"/>
      <c r="F945" s="12"/>
      <c r="G945" s="12"/>
      <c r="H945" s="38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8"/>
      <c r="AS945" s="28"/>
      <c r="AT945" s="28"/>
      <c r="AU945" s="12"/>
      <c r="AV945" s="29"/>
    </row>
    <row r="946" spans="4:48">
      <c r="D946" s="12"/>
      <c r="E946" s="12"/>
      <c r="F946" s="12"/>
      <c r="G946" s="12"/>
      <c r="H946" s="38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8"/>
      <c r="AS946" s="28"/>
      <c r="AT946" s="28"/>
      <c r="AU946" s="12"/>
      <c r="AV946" s="29"/>
    </row>
    <row r="947" spans="4:48">
      <c r="D947" s="12"/>
      <c r="E947" s="12"/>
      <c r="F947" s="12"/>
      <c r="G947" s="12"/>
      <c r="H947" s="38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8"/>
      <c r="AS947" s="28"/>
      <c r="AT947" s="28"/>
      <c r="AU947" s="12"/>
      <c r="AV947" s="29"/>
    </row>
    <row r="948" spans="4:48">
      <c r="D948" s="12"/>
      <c r="E948" s="12"/>
      <c r="F948" s="12"/>
      <c r="G948" s="12"/>
      <c r="H948" s="38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8"/>
      <c r="AS948" s="28"/>
      <c r="AT948" s="28"/>
      <c r="AU948" s="12"/>
      <c r="AV948" s="29"/>
    </row>
    <row r="949" spans="4:48">
      <c r="D949" s="12"/>
      <c r="E949" s="12"/>
      <c r="F949" s="12"/>
      <c r="G949" s="12"/>
      <c r="H949" s="38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8"/>
      <c r="AS949" s="28"/>
      <c r="AT949" s="28"/>
      <c r="AU949" s="12"/>
      <c r="AV949" s="29"/>
    </row>
    <row r="950" spans="4:48">
      <c r="D950" s="12"/>
      <c r="E950" s="12"/>
      <c r="F950" s="12"/>
      <c r="G950" s="12"/>
      <c r="H950" s="38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8"/>
      <c r="AS950" s="28"/>
      <c r="AT950" s="28"/>
      <c r="AU950" s="12"/>
      <c r="AV950" s="29"/>
    </row>
    <row r="951" spans="4:48">
      <c r="D951" s="12"/>
      <c r="E951" s="12"/>
      <c r="F951" s="12"/>
      <c r="G951" s="12"/>
      <c r="H951" s="38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8"/>
      <c r="AS951" s="28"/>
      <c r="AT951" s="28"/>
      <c r="AU951" s="12"/>
      <c r="AV951" s="29"/>
    </row>
    <row r="952" spans="4:48">
      <c r="D952" s="12"/>
      <c r="E952" s="12"/>
      <c r="F952" s="12"/>
      <c r="G952" s="12"/>
      <c r="H952" s="38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8"/>
      <c r="AS952" s="28"/>
      <c r="AT952" s="28"/>
      <c r="AU952" s="12"/>
      <c r="AV952" s="29"/>
    </row>
    <row r="953" spans="4:48">
      <c r="D953" s="12"/>
      <c r="E953" s="12"/>
      <c r="F953" s="12"/>
      <c r="G953" s="12"/>
      <c r="H953" s="38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8"/>
      <c r="AS953" s="28"/>
      <c r="AT953" s="28"/>
      <c r="AU953" s="12"/>
      <c r="AV953" s="29"/>
    </row>
    <row r="954" spans="4:48">
      <c r="D954" s="12"/>
      <c r="E954" s="12"/>
      <c r="F954" s="12"/>
      <c r="G954" s="12"/>
      <c r="H954" s="38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8"/>
      <c r="AS954" s="28"/>
      <c r="AT954" s="28"/>
      <c r="AU954" s="12"/>
      <c r="AV954" s="29"/>
    </row>
    <row r="955" spans="4:48">
      <c r="D955" s="12"/>
      <c r="E955" s="12"/>
      <c r="F955" s="12"/>
      <c r="G955" s="12"/>
      <c r="H955" s="38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8"/>
      <c r="AS955" s="28"/>
      <c r="AT955" s="28"/>
      <c r="AU955" s="12"/>
      <c r="AV955" s="29"/>
    </row>
    <row r="956" spans="4:48">
      <c r="D956" s="12"/>
      <c r="E956" s="12"/>
      <c r="F956" s="12"/>
      <c r="G956" s="12"/>
      <c r="H956" s="38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8"/>
      <c r="AS956" s="28"/>
      <c r="AT956" s="28"/>
      <c r="AU956" s="12"/>
      <c r="AV956" s="29"/>
    </row>
    <row r="957" spans="4:48">
      <c r="D957" s="12"/>
      <c r="E957" s="12"/>
      <c r="F957" s="12"/>
      <c r="G957" s="12"/>
      <c r="H957" s="38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8"/>
      <c r="AS957" s="28"/>
      <c r="AT957" s="28"/>
      <c r="AU957" s="12"/>
      <c r="AV957" s="29"/>
    </row>
    <row r="958" spans="4:48">
      <c r="D958" s="12"/>
      <c r="E958" s="12"/>
      <c r="F958" s="12"/>
      <c r="G958" s="12"/>
      <c r="H958" s="38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8"/>
      <c r="AS958" s="28"/>
      <c r="AT958" s="28"/>
      <c r="AU958" s="12"/>
      <c r="AV958" s="29"/>
    </row>
    <row r="959" spans="4:48">
      <c r="D959" s="12"/>
      <c r="E959" s="12"/>
      <c r="F959" s="12"/>
      <c r="G959" s="12"/>
      <c r="H959" s="38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8"/>
      <c r="AS959" s="28"/>
      <c r="AT959" s="28"/>
      <c r="AU959" s="12"/>
      <c r="AV959" s="29"/>
    </row>
    <row r="960" spans="4:48">
      <c r="D960" s="12"/>
      <c r="E960" s="12"/>
      <c r="F960" s="12"/>
      <c r="G960" s="12"/>
      <c r="H960" s="38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8"/>
      <c r="AS960" s="28"/>
      <c r="AT960" s="28"/>
      <c r="AU960" s="12"/>
      <c r="AV960" s="29"/>
    </row>
    <row r="961" spans="4:48">
      <c r="D961" s="12"/>
      <c r="E961" s="12"/>
      <c r="F961" s="12"/>
      <c r="G961" s="12"/>
      <c r="H961" s="38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8"/>
      <c r="AS961" s="28"/>
      <c r="AT961" s="28"/>
      <c r="AU961" s="12"/>
      <c r="AV961" s="29"/>
    </row>
    <row r="962" spans="4:48">
      <c r="D962" s="12"/>
      <c r="E962" s="12"/>
      <c r="F962" s="12"/>
      <c r="G962" s="12"/>
      <c r="H962" s="38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8"/>
      <c r="AS962" s="28"/>
      <c r="AT962" s="28"/>
      <c r="AU962" s="12"/>
      <c r="AV962" s="29"/>
    </row>
    <row r="963" spans="4:48">
      <c r="D963" s="12"/>
      <c r="E963" s="12"/>
      <c r="F963" s="12"/>
      <c r="G963" s="12"/>
      <c r="H963" s="38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8"/>
      <c r="AS963" s="28"/>
      <c r="AT963" s="28"/>
      <c r="AU963" s="12"/>
      <c r="AV963" s="29"/>
    </row>
    <row r="964" spans="4:48">
      <c r="D964" s="12"/>
      <c r="E964" s="12"/>
      <c r="F964" s="12"/>
      <c r="G964" s="12"/>
      <c r="H964" s="38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8"/>
      <c r="AS964" s="28"/>
      <c r="AT964" s="28"/>
      <c r="AU964" s="12"/>
      <c r="AV964" s="29"/>
    </row>
    <row r="965" spans="4:48">
      <c r="D965" s="12"/>
      <c r="E965" s="12"/>
      <c r="F965" s="12"/>
      <c r="G965" s="12"/>
      <c r="H965" s="38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8"/>
      <c r="AS965" s="28"/>
      <c r="AT965" s="28"/>
      <c r="AU965" s="12"/>
      <c r="AV965" s="29"/>
    </row>
    <row r="966" spans="4:48">
      <c r="D966" s="12"/>
      <c r="E966" s="12"/>
      <c r="F966" s="12"/>
      <c r="G966" s="12"/>
      <c r="H966" s="38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8"/>
      <c r="AS966" s="28"/>
      <c r="AT966" s="28"/>
      <c r="AU966" s="12"/>
      <c r="AV966" s="29"/>
    </row>
    <row r="967" spans="4:48">
      <c r="D967" s="12"/>
      <c r="E967" s="12"/>
      <c r="F967" s="12"/>
      <c r="G967" s="12"/>
      <c r="H967" s="38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8"/>
      <c r="AS967" s="28"/>
      <c r="AT967" s="28"/>
      <c r="AU967" s="12"/>
      <c r="AV967" s="29"/>
    </row>
    <row r="968" spans="4:48">
      <c r="D968" s="12"/>
      <c r="E968" s="12"/>
      <c r="F968" s="12"/>
      <c r="G968" s="12"/>
      <c r="H968" s="38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8"/>
      <c r="AS968" s="28"/>
      <c r="AT968" s="28"/>
      <c r="AU968" s="12"/>
      <c r="AV968" s="29"/>
    </row>
    <row r="969" spans="4:48">
      <c r="D969" s="12"/>
      <c r="E969" s="12"/>
      <c r="F969" s="12"/>
      <c r="G969" s="12"/>
      <c r="H969" s="38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8"/>
      <c r="AS969" s="28"/>
      <c r="AT969" s="28"/>
      <c r="AU969" s="12"/>
      <c r="AV969" s="29"/>
    </row>
    <row r="970" spans="4:48">
      <c r="D970" s="12"/>
      <c r="E970" s="12"/>
      <c r="F970" s="12"/>
      <c r="G970" s="12"/>
      <c r="H970" s="38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8"/>
      <c r="AS970" s="28"/>
      <c r="AT970" s="28"/>
      <c r="AU970" s="12"/>
      <c r="AV970" s="29"/>
    </row>
    <row r="971" spans="4:48">
      <c r="D971" s="12"/>
      <c r="E971" s="12"/>
      <c r="F971" s="12"/>
      <c r="G971" s="12"/>
      <c r="H971" s="38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8"/>
      <c r="AS971" s="28"/>
      <c r="AT971" s="28"/>
      <c r="AU971" s="12"/>
      <c r="AV971" s="29"/>
    </row>
    <row r="972" spans="4:48">
      <c r="D972" s="12"/>
      <c r="E972" s="12"/>
      <c r="F972" s="12"/>
      <c r="G972" s="12"/>
      <c r="H972" s="38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8"/>
      <c r="AS972" s="28"/>
      <c r="AT972" s="28"/>
      <c r="AU972" s="12"/>
      <c r="AV972" s="29"/>
    </row>
    <row r="973" spans="4:48">
      <c r="D973" s="12"/>
      <c r="E973" s="12"/>
      <c r="F973" s="12"/>
      <c r="G973" s="12"/>
      <c r="H973" s="38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8"/>
      <c r="AS973" s="28"/>
      <c r="AT973" s="28"/>
      <c r="AU973" s="12"/>
      <c r="AV973" s="29"/>
    </row>
    <row r="974" spans="4:48">
      <c r="D974" s="12"/>
      <c r="E974" s="12"/>
      <c r="F974" s="12"/>
      <c r="G974" s="12"/>
      <c r="H974" s="38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8"/>
      <c r="AS974" s="28"/>
      <c r="AT974" s="28"/>
      <c r="AU974" s="12"/>
      <c r="AV974" s="29"/>
    </row>
    <row r="975" spans="4:48">
      <c r="D975" s="12"/>
      <c r="E975" s="12"/>
      <c r="F975" s="12"/>
      <c r="G975" s="12"/>
      <c r="H975" s="38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8"/>
      <c r="AS975" s="28"/>
      <c r="AT975" s="28"/>
      <c r="AU975" s="12"/>
      <c r="AV975" s="29"/>
    </row>
    <row r="976" spans="4:48">
      <c r="D976" s="12"/>
      <c r="E976" s="12"/>
      <c r="F976" s="12"/>
      <c r="G976" s="12"/>
      <c r="H976" s="38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8"/>
      <c r="AS976" s="28"/>
      <c r="AT976" s="28"/>
      <c r="AU976" s="12"/>
      <c r="AV976" s="29"/>
    </row>
    <row r="977" spans="4:48">
      <c r="D977" s="12"/>
      <c r="E977" s="12"/>
      <c r="F977" s="12"/>
      <c r="G977" s="12"/>
      <c r="H977" s="38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8"/>
      <c r="AS977" s="28"/>
      <c r="AT977" s="28"/>
      <c r="AU977" s="12"/>
      <c r="AV977" s="29"/>
    </row>
    <row r="978" spans="4:48">
      <c r="D978" s="12"/>
      <c r="E978" s="12"/>
      <c r="F978" s="12"/>
      <c r="G978" s="12"/>
      <c r="H978" s="38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8"/>
      <c r="AS978" s="28"/>
      <c r="AT978" s="28"/>
      <c r="AU978" s="12"/>
      <c r="AV978" s="29"/>
    </row>
    <row r="979" spans="4:48">
      <c r="D979" s="12"/>
      <c r="E979" s="12"/>
      <c r="F979" s="12"/>
      <c r="G979" s="12"/>
      <c r="H979" s="38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8"/>
      <c r="AS979" s="28"/>
      <c r="AT979" s="28"/>
      <c r="AU979" s="12"/>
      <c r="AV979" s="29"/>
    </row>
    <row r="980" spans="4:48">
      <c r="D980" s="12"/>
      <c r="E980" s="12"/>
      <c r="F980" s="12"/>
      <c r="G980" s="12"/>
      <c r="H980" s="38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8"/>
      <c r="AS980" s="28"/>
      <c r="AT980" s="28"/>
      <c r="AU980" s="12"/>
      <c r="AV980" s="29"/>
    </row>
    <row r="981" spans="4:48">
      <c r="D981" s="12"/>
      <c r="E981" s="12"/>
      <c r="F981" s="12"/>
      <c r="G981" s="12"/>
      <c r="H981" s="38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8"/>
      <c r="AS981" s="28"/>
      <c r="AT981" s="28"/>
      <c r="AU981" s="12"/>
      <c r="AV981" s="29"/>
    </row>
    <row r="982" spans="4:48">
      <c r="D982" s="12"/>
      <c r="E982" s="12"/>
      <c r="F982" s="12"/>
      <c r="G982" s="12"/>
      <c r="H982" s="38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8"/>
      <c r="AS982" s="28"/>
      <c r="AT982" s="28"/>
      <c r="AU982" s="12"/>
      <c r="AV982" s="29"/>
    </row>
    <row r="983" spans="4:48">
      <c r="D983" s="12"/>
      <c r="E983" s="12"/>
      <c r="F983" s="12"/>
      <c r="G983" s="12"/>
      <c r="H983" s="38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8"/>
      <c r="AS983" s="28"/>
      <c r="AT983" s="28"/>
      <c r="AU983" s="12"/>
      <c r="AV983" s="29"/>
    </row>
    <row r="984" spans="4:48">
      <c r="D984" s="12"/>
      <c r="E984" s="12"/>
      <c r="F984" s="12"/>
      <c r="G984" s="12"/>
      <c r="H984" s="38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8"/>
      <c r="AS984" s="28"/>
      <c r="AT984" s="28"/>
      <c r="AU984" s="12"/>
      <c r="AV984" s="29"/>
    </row>
    <row r="985" spans="4:48">
      <c r="D985" s="12"/>
      <c r="E985" s="12"/>
      <c r="F985" s="12"/>
      <c r="G985" s="12"/>
      <c r="H985" s="38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8"/>
      <c r="AS985" s="28"/>
      <c r="AT985" s="28"/>
      <c r="AU985" s="12"/>
      <c r="AV985" s="29"/>
    </row>
    <row r="986" spans="4:48">
      <c r="D986" s="12"/>
      <c r="E986" s="12"/>
      <c r="F986" s="12"/>
      <c r="G986" s="12"/>
      <c r="H986" s="38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8"/>
      <c r="AS986" s="28"/>
      <c r="AT986" s="28"/>
      <c r="AU986" s="12"/>
      <c r="AV986" s="29"/>
    </row>
    <row r="987" spans="4:48">
      <c r="D987" s="12"/>
      <c r="E987" s="12"/>
      <c r="F987" s="12"/>
      <c r="G987" s="12"/>
      <c r="H987" s="38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8"/>
      <c r="AS987" s="28"/>
      <c r="AT987" s="28"/>
      <c r="AU987" s="12"/>
      <c r="AV987" s="29"/>
    </row>
    <row r="988" spans="4:48">
      <c r="D988" s="12"/>
      <c r="E988" s="12"/>
      <c r="F988" s="12"/>
      <c r="G988" s="12"/>
      <c r="H988" s="38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8"/>
      <c r="AS988" s="28"/>
      <c r="AT988" s="28"/>
      <c r="AU988" s="12"/>
      <c r="AV988" s="29"/>
    </row>
    <row r="989" spans="4:48">
      <c r="D989" s="12"/>
      <c r="E989" s="12"/>
      <c r="F989" s="12"/>
      <c r="G989" s="12"/>
      <c r="H989" s="38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8"/>
      <c r="AS989" s="28"/>
      <c r="AT989" s="28"/>
      <c r="AU989" s="12"/>
      <c r="AV989" s="29"/>
    </row>
    <row r="990" spans="4:48">
      <c r="D990" s="12"/>
      <c r="E990" s="12"/>
      <c r="F990" s="12"/>
      <c r="G990" s="12"/>
      <c r="H990" s="38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8"/>
      <c r="AS990" s="28"/>
      <c r="AT990" s="28"/>
      <c r="AU990" s="12"/>
      <c r="AV990" s="29"/>
    </row>
    <row r="991" spans="4:48">
      <c r="D991" s="12"/>
      <c r="E991" s="12"/>
      <c r="F991" s="12"/>
      <c r="G991" s="12"/>
      <c r="H991" s="38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8"/>
      <c r="AS991" s="28"/>
      <c r="AT991" s="28"/>
      <c r="AU991" s="12"/>
      <c r="AV991" s="29"/>
    </row>
    <row r="992" spans="4:48">
      <c r="D992" s="12"/>
      <c r="E992" s="12"/>
      <c r="F992" s="12"/>
      <c r="G992" s="12"/>
      <c r="H992" s="38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8"/>
      <c r="AS992" s="28"/>
      <c r="AT992" s="28"/>
      <c r="AU992" s="12"/>
      <c r="AV992" s="29"/>
    </row>
    <row r="993" spans="4:48">
      <c r="D993" s="12"/>
      <c r="E993" s="12"/>
      <c r="F993" s="12"/>
      <c r="G993" s="12"/>
      <c r="H993" s="38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8"/>
      <c r="AS993" s="28"/>
      <c r="AT993" s="28"/>
      <c r="AU993" s="12"/>
      <c r="AV993" s="29"/>
    </row>
    <row r="994" spans="4:48">
      <c r="D994" s="12"/>
      <c r="E994" s="12"/>
      <c r="F994" s="12"/>
      <c r="G994" s="12"/>
      <c r="H994" s="38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8"/>
      <c r="AS994" s="28"/>
      <c r="AT994" s="28"/>
      <c r="AU994" s="12"/>
      <c r="AV994" s="29"/>
    </row>
    <row r="995" spans="4:48">
      <c r="D995" s="12"/>
      <c r="E995" s="12"/>
      <c r="F995" s="12"/>
      <c r="G995" s="12"/>
      <c r="H995" s="38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8"/>
      <c r="AS995" s="28"/>
      <c r="AT995" s="28"/>
      <c r="AU995" s="12"/>
      <c r="AV995" s="29"/>
    </row>
    <row r="996" spans="4:48">
      <c r="D996" s="12"/>
      <c r="E996" s="12"/>
      <c r="F996" s="12"/>
      <c r="G996" s="12"/>
      <c r="H996" s="38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8"/>
      <c r="AS996" s="28"/>
      <c r="AT996" s="28"/>
      <c r="AU996" s="12"/>
      <c r="AV996" s="29"/>
    </row>
    <row r="997" spans="4:48">
      <c r="D997" s="12"/>
      <c r="E997" s="12"/>
      <c r="F997" s="12"/>
      <c r="G997" s="12"/>
      <c r="H997" s="38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8"/>
      <c r="AS997" s="28"/>
      <c r="AT997" s="28"/>
      <c r="AU997" s="12"/>
      <c r="AV997" s="29"/>
    </row>
    <row r="998" spans="4:48">
      <c r="D998" s="12"/>
      <c r="E998" s="12"/>
      <c r="F998" s="12"/>
      <c r="G998" s="12"/>
      <c r="H998" s="38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8"/>
      <c r="AS998" s="28"/>
      <c r="AT998" s="28"/>
      <c r="AU998" s="12"/>
      <c r="AV998" s="29"/>
    </row>
    <row r="999" spans="4:48">
      <c r="D999" s="12"/>
      <c r="E999" s="12"/>
      <c r="F999" s="12"/>
      <c r="G999" s="12"/>
      <c r="H999" s="38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8"/>
      <c r="AS999" s="28"/>
      <c r="AT999" s="28"/>
      <c r="AU999" s="12"/>
      <c r="AV999" s="29"/>
    </row>
    <row r="1000" spans="4:48">
      <c r="D1000" s="12"/>
      <c r="E1000" s="12"/>
      <c r="F1000" s="12"/>
      <c r="G1000" s="12"/>
      <c r="H1000" s="38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8"/>
      <c r="AS1000" s="28"/>
      <c r="AT1000" s="28"/>
      <c r="AU1000" s="12"/>
      <c r="AV1000" s="29"/>
    </row>
    <row r="1001" spans="4:48">
      <c r="D1001" s="12"/>
      <c r="E1001" s="12"/>
      <c r="F1001" s="12"/>
      <c r="G1001" s="12"/>
      <c r="H1001" s="38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8"/>
      <c r="AS1001" s="28"/>
      <c r="AT1001" s="28"/>
      <c r="AU1001" s="12"/>
      <c r="AV1001" s="29"/>
    </row>
    <row r="1002" spans="4:48">
      <c r="D1002" s="12"/>
      <c r="E1002" s="12"/>
      <c r="F1002" s="12"/>
      <c r="G1002" s="12"/>
      <c r="H1002" s="38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8"/>
      <c r="AS1002" s="28"/>
      <c r="AT1002" s="28"/>
      <c r="AU1002" s="12"/>
      <c r="AV1002" s="29"/>
    </row>
    <row r="1003" spans="4:48">
      <c r="D1003" s="12"/>
      <c r="E1003" s="12"/>
      <c r="F1003" s="12"/>
      <c r="G1003" s="12"/>
      <c r="H1003" s="38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8"/>
      <c r="AS1003" s="28"/>
      <c r="AT1003" s="28"/>
      <c r="AU1003" s="12"/>
      <c r="AV1003" s="29"/>
    </row>
    <row r="1004" spans="4:48">
      <c r="D1004" s="12"/>
      <c r="E1004" s="12"/>
      <c r="F1004" s="12"/>
      <c r="G1004" s="12"/>
      <c r="H1004" s="38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8"/>
      <c r="AS1004" s="28"/>
      <c r="AT1004" s="28"/>
      <c r="AU1004" s="12"/>
      <c r="AV1004" s="29"/>
    </row>
    <row r="1005" spans="4:48">
      <c r="D1005" s="12"/>
      <c r="E1005" s="12"/>
      <c r="F1005" s="12"/>
      <c r="G1005" s="12"/>
      <c r="H1005" s="38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8"/>
      <c r="AS1005" s="28"/>
      <c r="AT1005" s="28"/>
      <c r="AU1005" s="12"/>
      <c r="AV1005" s="29"/>
    </row>
    <row r="1006" spans="4:48">
      <c r="D1006" s="12"/>
      <c r="E1006" s="12"/>
      <c r="F1006" s="12"/>
      <c r="G1006" s="12"/>
      <c r="H1006" s="38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8"/>
      <c r="AS1006" s="28"/>
      <c r="AT1006" s="28"/>
      <c r="AU1006" s="12"/>
      <c r="AV1006" s="29"/>
    </row>
    <row r="1007" spans="4:48">
      <c r="D1007" s="12"/>
      <c r="E1007" s="12"/>
      <c r="F1007" s="12"/>
      <c r="G1007" s="12"/>
      <c r="H1007" s="38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8"/>
      <c r="AS1007" s="28"/>
      <c r="AT1007" s="28"/>
      <c r="AU1007" s="12"/>
      <c r="AV1007" s="29"/>
    </row>
    <row r="1008" spans="4:48">
      <c r="D1008" s="12"/>
      <c r="E1008" s="12"/>
      <c r="F1008" s="12"/>
      <c r="G1008" s="12"/>
      <c r="H1008" s="38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8"/>
      <c r="AS1008" s="28"/>
      <c r="AT1008" s="28"/>
      <c r="AU1008" s="12"/>
      <c r="AV1008" s="29"/>
    </row>
    <row r="1009" spans="4:48">
      <c r="D1009" s="12"/>
      <c r="E1009" s="12"/>
      <c r="F1009" s="12"/>
      <c r="G1009" s="12"/>
      <c r="H1009" s="38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8"/>
      <c r="AS1009" s="28"/>
      <c r="AT1009" s="28"/>
      <c r="AU1009" s="12"/>
      <c r="AV1009" s="29"/>
    </row>
    <row r="1010" spans="4:48">
      <c r="D1010" s="12"/>
      <c r="E1010" s="12"/>
      <c r="F1010" s="12"/>
      <c r="G1010" s="12"/>
      <c r="H1010" s="38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8"/>
      <c r="AS1010" s="28"/>
      <c r="AT1010" s="28"/>
      <c r="AU1010" s="12"/>
      <c r="AV1010" s="29"/>
    </row>
    <row r="1011" spans="4:48">
      <c r="D1011" s="12"/>
      <c r="E1011" s="12"/>
      <c r="F1011" s="12"/>
      <c r="G1011" s="12"/>
      <c r="H1011" s="38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8"/>
      <c r="AS1011" s="28"/>
      <c r="AT1011" s="28"/>
      <c r="AU1011" s="12"/>
      <c r="AV1011" s="29"/>
    </row>
    <row r="1012" spans="4:48">
      <c r="D1012" s="12"/>
      <c r="E1012" s="12"/>
      <c r="F1012" s="12"/>
      <c r="G1012" s="12"/>
      <c r="H1012" s="38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8"/>
      <c r="AS1012" s="28"/>
      <c r="AT1012" s="28"/>
      <c r="AU1012" s="12"/>
      <c r="AV1012" s="29"/>
    </row>
    <row r="1013" spans="4:48">
      <c r="D1013" s="12"/>
      <c r="E1013" s="12"/>
      <c r="F1013" s="12"/>
      <c r="G1013" s="12"/>
      <c r="H1013" s="38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8"/>
      <c r="AS1013" s="28"/>
      <c r="AT1013" s="28"/>
      <c r="AU1013" s="12"/>
      <c r="AV1013" s="29"/>
    </row>
    <row r="1014" spans="4:48">
      <c r="D1014" s="12"/>
      <c r="E1014" s="12"/>
      <c r="F1014" s="12"/>
      <c r="G1014" s="12"/>
      <c r="H1014" s="38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8"/>
      <c r="AS1014" s="28"/>
      <c r="AT1014" s="28"/>
      <c r="AU1014" s="12"/>
      <c r="AV1014" s="29"/>
    </row>
    <row r="1015" spans="4:48">
      <c r="D1015" s="12"/>
      <c r="E1015" s="12"/>
      <c r="F1015" s="12"/>
      <c r="G1015" s="12"/>
      <c r="H1015" s="38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8"/>
      <c r="AS1015" s="28"/>
      <c r="AT1015" s="28"/>
      <c r="AU1015" s="12"/>
      <c r="AV1015" s="29"/>
    </row>
    <row r="1016" spans="4:48">
      <c r="D1016" s="12"/>
      <c r="E1016" s="12"/>
      <c r="F1016" s="12"/>
      <c r="G1016" s="12"/>
      <c r="H1016" s="38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8"/>
      <c r="AS1016" s="28"/>
      <c r="AT1016" s="28"/>
      <c r="AU1016" s="12"/>
      <c r="AV1016" s="29"/>
    </row>
    <row r="1017" spans="4:48">
      <c r="D1017" s="12"/>
      <c r="E1017" s="12"/>
      <c r="F1017" s="12"/>
      <c r="G1017" s="12"/>
      <c r="H1017" s="38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8"/>
      <c r="AS1017" s="28"/>
      <c r="AT1017" s="28"/>
      <c r="AU1017" s="12"/>
      <c r="AV1017" s="29"/>
    </row>
    <row r="1018" spans="4:48">
      <c r="D1018" s="12"/>
      <c r="E1018" s="12"/>
      <c r="F1018" s="12"/>
      <c r="G1018" s="12"/>
      <c r="H1018" s="38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8"/>
      <c r="AS1018" s="28"/>
      <c r="AT1018" s="28"/>
      <c r="AU1018" s="12"/>
      <c r="AV1018" s="29"/>
    </row>
    <row r="1019" spans="4:48">
      <c r="D1019" s="12"/>
      <c r="E1019" s="12"/>
      <c r="F1019" s="12"/>
      <c r="G1019" s="12"/>
      <c r="H1019" s="38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8"/>
      <c r="AS1019" s="28"/>
      <c r="AT1019" s="28"/>
      <c r="AU1019" s="12"/>
      <c r="AV1019" s="29"/>
    </row>
    <row r="1020" spans="4:48">
      <c r="D1020" s="12"/>
      <c r="E1020" s="12"/>
      <c r="F1020" s="12"/>
      <c r="G1020" s="12"/>
      <c r="H1020" s="38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8"/>
      <c r="AS1020" s="28"/>
      <c r="AT1020" s="28"/>
      <c r="AU1020" s="12"/>
      <c r="AV1020" s="29"/>
    </row>
    <row r="1021" spans="4:48">
      <c r="D1021" s="12"/>
      <c r="E1021" s="12"/>
      <c r="F1021" s="12"/>
      <c r="G1021" s="12"/>
      <c r="H1021" s="38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8"/>
      <c r="AS1021" s="28"/>
      <c r="AT1021" s="28"/>
      <c r="AU1021" s="12"/>
      <c r="AV1021" s="29"/>
    </row>
    <row r="1022" spans="4:48">
      <c r="D1022" s="12"/>
      <c r="E1022" s="12"/>
      <c r="F1022" s="12"/>
      <c r="G1022" s="12"/>
      <c r="H1022" s="38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8"/>
      <c r="AS1022" s="28"/>
      <c r="AT1022" s="28"/>
      <c r="AU1022" s="12"/>
      <c r="AV1022" s="29"/>
    </row>
    <row r="1023" spans="4:48">
      <c r="D1023" s="12"/>
      <c r="E1023" s="12"/>
      <c r="F1023" s="12"/>
      <c r="G1023" s="12"/>
      <c r="H1023" s="38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8"/>
      <c r="AS1023" s="28"/>
      <c r="AT1023" s="28"/>
      <c r="AU1023" s="12"/>
      <c r="AV1023" s="29"/>
    </row>
    <row r="1024" spans="4:48">
      <c r="D1024" s="12"/>
      <c r="E1024" s="12"/>
      <c r="F1024" s="12"/>
      <c r="G1024" s="12"/>
      <c r="H1024" s="38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8"/>
      <c r="AS1024" s="28"/>
      <c r="AT1024" s="28"/>
      <c r="AU1024" s="12"/>
      <c r="AV1024" s="29"/>
    </row>
    <row r="1025" spans="4:48">
      <c r="D1025" s="12"/>
      <c r="E1025" s="12"/>
      <c r="F1025" s="12"/>
      <c r="G1025" s="12"/>
      <c r="H1025" s="38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8"/>
      <c r="AS1025" s="28"/>
      <c r="AT1025" s="28"/>
      <c r="AU1025" s="12"/>
      <c r="AV1025" s="29"/>
    </row>
    <row r="1026" spans="4:48">
      <c r="D1026" s="12"/>
      <c r="E1026" s="12"/>
      <c r="F1026" s="12"/>
      <c r="G1026" s="12"/>
      <c r="H1026" s="38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8"/>
      <c r="AS1026" s="28"/>
      <c r="AT1026" s="28"/>
      <c r="AU1026" s="12"/>
      <c r="AV1026" s="29"/>
    </row>
    <row r="1027" spans="4:48">
      <c r="D1027" s="12"/>
      <c r="E1027" s="12"/>
      <c r="F1027" s="12"/>
      <c r="G1027" s="12"/>
      <c r="H1027" s="38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8"/>
      <c r="AS1027" s="28"/>
      <c r="AT1027" s="28"/>
      <c r="AU1027" s="12"/>
      <c r="AV1027" s="29"/>
    </row>
    <row r="1028" spans="4:48">
      <c r="D1028" s="12"/>
      <c r="E1028" s="12"/>
      <c r="F1028" s="12"/>
      <c r="G1028" s="12"/>
      <c r="H1028" s="38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8"/>
      <c r="AS1028" s="28"/>
      <c r="AT1028" s="28"/>
      <c r="AU1028" s="12"/>
      <c r="AV1028" s="29"/>
    </row>
    <row r="1029" spans="4:48">
      <c r="D1029" s="12"/>
      <c r="E1029" s="12"/>
      <c r="F1029" s="12"/>
      <c r="G1029" s="12"/>
      <c r="H1029" s="38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8"/>
      <c r="AS1029" s="28"/>
      <c r="AT1029" s="28"/>
      <c r="AU1029" s="12"/>
      <c r="AV1029" s="29"/>
    </row>
    <row r="1030" spans="4:48">
      <c r="D1030" s="12"/>
      <c r="E1030" s="12"/>
      <c r="F1030" s="12"/>
      <c r="G1030" s="12"/>
      <c r="H1030" s="38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8"/>
      <c r="AS1030" s="28"/>
      <c r="AT1030" s="28"/>
      <c r="AU1030" s="12"/>
      <c r="AV1030" s="29"/>
    </row>
    <row r="1031" spans="4:48">
      <c r="D1031" s="12"/>
      <c r="E1031" s="12"/>
      <c r="F1031" s="12"/>
      <c r="G1031" s="12"/>
      <c r="H1031" s="38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8"/>
      <c r="AS1031" s="28"/>
      <c r="AT1031" s="28"/>
      <c r="AU1031" s="12"/>
      <c r="AV1031" s="29"/>
    </row>
    <row r="1032" spans="4:48">
      <c r="D1032" s="12"/>
      <c r="E1032" s="12"/>
      <c r="F1032" s="12"/>
      <c r="G1032" s="12"/>
      <c r="H1032" s="38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8"/>
      <c r="AS1032" s="28"/>
      <c r="AT1032" s="28"/>
      <c r="AU1032" s="12"/>
      <c r="AV1032" s="29"/>
    </row>
    <row r="1033" spans="4:48">
      <c r="D1033" s="12"/>
      <c r="E1033" s="12"/>
      <c r="F1033" s="12"/>
      <c r="G1033" s="12"/>
      <c r="H1033" s="38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8"/>
      <c r="AS1033" s="28"/>
      <c r="AT1033" s="28"/>
      <c r="AU1033" s="12"/>
      <c r="AV1033" s="29"/>
    </row>
    <row r="1034" spans="4:48">
      <c r="D1034" s="12"/>
      <c r="E1034" s="12"/>
      <c r="F1034" s="12"/>
      <c r="G1034" s="12"/>
      <c r="H1034" s="38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8"/>
      <c r="AS1034" s="28"/>
      <c r="AT1034" s="28"/>
      <c r="AU1034" s="12"/>
      <c r="AV1034" s="29"/>
    </row>
    <row r="1035" spans="4:48">
      <c r="D1035" s="12"/>
      <c r="E1035" s="12"/>
      <c r="F1035" s="12"/>
      <c r="G1035" s="12"/>
      <c r="H1035" s="38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8"/>
      <c r="AS1035" s="28"/>
      <c r="AT1035" s="28"/>
      <c r="AU1035" s="12"/>
      <c r="AV1035" s="29"/>
    </row>
    <row r="1036" spans="4:48">
      <c r="D1036" s="12"/>
      <c r="E1036" s="12"/>
      <c r="F1036" s="12"/>
      <c r="G1036" s="12"/>
      <c r="H1036" s="38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8"/>
      <c r="AS1036" s="28"/>
      <c r="AT1036" s="28"/>
      <c r="AU1036" s="12"/>
      <c r="AV1036" s="29"/>
    </row>
    <row r="1037" spans="4:48">
      <c r="D1037" s="12"/>
      <c r="E1037" s="12"/>
      <c r="F1037" s="12"/>
      <c r="G1037" s="12"/>
      <c r="H1037" s="38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8"/>
      <c r="AS1037" s="28"/>
      <c r="AT1037" s="28"/>
      <c r="AU1037" s="12"/>
      <c r="AV1037" s="29"/>
    </row>
    <row r="1038" spans="4:48">
      <c r="D1038" s="12"/>
      <c r="E1038" s="12"/>
      <c r="F1038" s="12"/>
      <c r="G1038" s="12"/>
      <c r="H1038" s="38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8"/>
      <c r="AS1038" s="28"/>
      <c r="AT1038" s="28"/>
      <c r="AU1038" s="12"/>
      <c r="AV1038" s="29"/>
    </row>
    <row r="1039" spans="4:48">
      <c r="D1039" s="12"/>
      <c r="E1039" s="12"/>
      <c r="F1039" s="12"/>
      <c r="G1039" s="12"/>
      <c r="H1039" s="38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8"/>
      <c r="AS1039" s="28"/>
      <c r="AT1039" s="28"/>
      <c r="AU1039" s="12"/>
      <c r="AV1039" s="29"/>
    </row>
    <row r="1040" spans="4:48">
      <c r="D1040" s="12"/>
      <c r="E1040" s="12"/>
      <c r="F1040" s="12"/>
      <c r="G1040" s="12"/>
      <c r="H1040" s="38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8"/>
      <c r="AS1040" s="28"/>
      <c r="AT1040" s="28"/>
      <c r="AU1040" s="12"/>
      <c r="AV1040" s="29"/>
    </row>
    <row r="1041" spans="4:48">
      <c r="D1041" s="12"/>
      <c r="E1041" s="12"/>
      <c r="F1041" s="12"/>
      <c r="G1041" s="12"/>
      <c r="H1041" s="38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8"/>
      <c r="AS1041" s="28"/>
      <c r="AT1041" s="28"/>
      <c r="AU1041" s="12"/>
      <c r="AV1041" s="29"/>
    </row>
    <row r="1042" spans="4:48">
      <c r="D1042" s="12"/>
      <c r="E1042" s="12"/>
      <c r="F1042" s="12"/>
      <c r="G1042" s="12"/>
      <c r="H1042" s="38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8"/>
      <c r="AS1042" s="28"/>
      <c r="AT1042" s="28"/>
      <c r="AU1042" s="12"/>
      <c r="AV1042" s="29"/>
    </row>
    <row r="1043" spans="4:48">
      <c r="D1043" s="12"/>
      <c r="E1043" s="12"/>
      <c r="F1043" s="12"/>
      <c r="G1043" s="12"/>
      <c r="H1043" s="38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8"/>
      <c r="AS1043" s="28"/>
      <c r="AT1043" s="28"/>
      <c r="AU1043" s="12"/>
      <c r="AV1043" s="29"/>
    </row>
    <row r="1044" spans="4:48">
      <c r="D1044" s="12"/>
      <c r="E1044" s="12"/>
      <c r="F1044" s="12"/>
      <c r="G1044" s="12"/>
      <c r="H1044" s="38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8"/>
      <c r="AS1044" s="28"/>
      <c r="AT1044" s="28"/>
      <c r="AU1044" s="12"/>
      <c r="AV1044" s="29"/>
    </row>
    <row r="1045" spans="4:48">
      <c r="D1045" s="12"/>
      <c r="E1045" s="12"/>
      <c r="F1045" s="12"/>
      <c r="G1045" s="12"/>
      <c r="H1045" s="38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8"/>
      <c r="AS1045" s="28"/>
      <c r="AT1045" s="28"/>
      <c r="AU1045" s="12"/>
      <c r="AV1045" s="29"/>
    </row>
    <row r="1046" spans="4:48">
      <c r="D1046" s="12"/>
      <c r="E1046" s="12"/>
      <c r="F1046" s="12"/>
      <c r="G1046" s="12"/>
      <c r="H1046" s="38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8"/>
      <c r="AS1046" s="28"/>
      <c r="AT1046" s="28"/>
      <c r="AU1046" s="12"/>
      <c r="AV1046" s="29"/>
    </row>
    <row r="1047" spans="4:48">
      <c r="D1047" s="12"/>
      <c r="E1047" s="12"/>
      <c r="F1047" s="12"/>
      <c r="G1047" s="12"/>
      <c r="H1047" s="38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8"/>
      <c r="AS1047" s="28"/>
      <c r="AT1047" s="28"/>
      <c r="AU1047" s="12"/>
      <c r="AV1047" s="29"/>
    </row>
    <row r="1048" spans="4:48">
      <c r="D1048" s="12"/>
      <c r="E1048" s="12"/>
      <c r="F1048" s="12"/>
      <c r="G1048" s="12"/>
      <c r="H1048" s="38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8"/>
      <c r="AS1048" s="28"/>
      <c r="AT1048" s="28"/>
      <c r="AU1048" s="12"/>
      <c r="AV1048" s="29"/>
    </row>
    <row r="1049" spans="4:48">
      <c r="D1049" s="12"/>
      <c r="E1049" s="12"/>
      <c r="F1049" s="12"/>
      <c r="G1049" s="12"/>
      <c r="H1049" s="38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8"/>
      <c r="AS1049" s="28"/>
      <c r="AT1049" s="28"/>
      <c r="AU1049" s="12"/>
      <c r="AV1049" s="29"/>
    </row>
    <row r="1050" spans="4:48">
      <c r="D1050" s="12"/>
      <c r="E1050" s="12"/>
      <c r="F1050" s="12"/>
      <c r="G1050" s="12"/>
      <c r="H1050" s="38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8"/>
      <c r="AS1050" s="28"/>
      <c r="AT1050" s="28"/>
      <c r="AU1050" s="12"/>
      <c r="AV1050" s="29"/>
    </row>
    <row r="1051" spans="4:48">
      <c r="D1051" s="12"/>
      <c r="E1051" s="12"/>
      <c r="F1051" s="12"/>
      <c r="G1051" s="12"/>
      <c r="H1051" s="38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8"/>
      <c r="AS1051" s="28"/>
      <c r="AT1051" s="28"/>
      <c r="AU1051" s="12"/>
      <c r="AV1051" s="29"/>
    </row>
    <row r="1052" spans="4:48">
      <c r="D1052" s="12"/>
      <c r="E1052" s="12"/>
      <c r="F1052" s="12"/>
      <c r="G1052" s="12"/>
      <c r="H1052" s="38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8"/>
      <c r="AS1052" s="28"/>
      <c r="AT1052" s="28"/>
      <c r="AU1052" s="12"/>
      <c r="AV1052" s="29"/>
    </row>
    <row r="1053" spans="4:48">
      <c r="D1053" s="12"/>
      <c r="E1053" s="12"/>
      <c r="F1053" s="12"/>
      <c r="G1053" s="12"/>
      <c r="H1053" s="38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8"/>
      <c r="AS1053" s="28"/>
      <c r="AT1053" s="28"/>
      <c r="AU1053" s="12"/>
      <c r="AV1053" s="29"/>
    </row>
    <row r="1054" spans="4:48">
      <c r="D1054" s="12"/>
      <c r="E1054" s="12"/>
      <c r="F1054" s="12"/>
      <c r="G1054" s="12"/>
      <c r="H1054" s="38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8"/>
      <c r="AS1054" s="28"/>
      <c r="AT1054" s="28"/>
      <c r="AU1054" s="12"/>
      <c r="AV1054" s="29"/>
    </row>
    <row r="1055" spans="4:48">
      <c r="D1055" s="12"/>
      <c r="E1055" s="12"/>
      <c r="F1055" s="12"/>
      <c r="G1055" s="12"/>
      <c r="H1055" s="38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8"/>
      <c r="AS1055" s="28"/>
      <c r="AT1055" s="28"/>
      <c r="AU1055" s="12"/>
      <c r="AV1055" s="29"/>
    </row>
    <row r="1056" spans="4:48">
      <c r="D1056" s="12"/>
      <c r="E1056" s="12"/>
      <c r="F1056" s="12"/>
      <c r="G1056" s="12"/>
      <c r="H1056" s="38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8"/>
      <c r="AS1056" s="28"/>
      <c r="AT1056" s="28"/>
      <c r="AU1056" s="12"/>
      <c r="AV1056" s="29"/>
    </row>
    <row r="1057" spans="4:48">
      <c r="D1057" s="12"/>
      <c r="E1057" s="12"/>
      <c r="F1057" s="12"/>
      <c r="G1057" s="12"/>
      <c r="H1057" s="38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8"/>
      <c r="AS1057" s="28"/>
      <c r="AT1057" s="28"/>
      <c r="AU1057" s="12"/>
      <c r="AV1057" s="29"/>
    </row>
    <row r="1058" spans="4:48">
      <c r="D1058" s="12"/>
      <c r="E1058" s="12"/>
      <c r="F1058" s="12"/>
      <c r="G1058" s="12"/>
      <c r="H1058" s="38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8"/>
      <c r="AS1058" s="28"/>
      <c r="AT1058" s="28"/>
      <c r="AU1058" s="12"/>
      <c r="AV1058" s="29"/>
    </row>
    <row r="1059" spans="4:48">
      <c r="D1059" s="12"/>
      <c r="E1059" s="12"/>
      <c r="F1059" s="12"/>
      <c r="G1059" s="12"/>
      <c r="H1059" s="38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8"/>
      <c r="AS1059" s="28"/>
      <c r="AT1059" s="28"/>
      <c r="AU1059" s="12"/>
      <c r="AV1059" s="29"/>
    </row>
    <row r="1060" spans="4:48">
      <c r="D1060" s="12"/>
      <c r="E1060" s="12"/>
      <c r="F1060" s="12"/>
      <c r="G1060" s="12"/>
      <c r="H1060" s="38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8"/>
      <c r="AS1060" s="28"/>
      <c r="AT1060" s="28"/>
      <c r="AU1060" s="12"/>
      <c r="AV1060" s="29"/>
    </row>
    <row r="1061" spans="4:48">
      <c r="D1061" s="12"/>
      <c r="E1061" s="12"/>
      <c r="F1061" s="12"/>
      <c r="G1061" s="12"/>
      <c r="H1061" s="38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8"/>
      <c r="AS1061" s="28"/>
      <c r="AT1061" s="28"/>
      <c r="AU1061" s="12"/>
      <c r="AV1061" s="29"/>
    </row>
    <row r="1062" spans="4:48">
      <c r="D1062" s="12"/>
      <c r="E1062" s="12"/>
      <c r="F1062" s="12"/>
      <c r="G1062" s="12"/>
      <c r="H1062" s="38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8"/>
      <c r="AS1062" s="28"/>
      <c r="AT1062" s="28"/>
      <c r="AU1062" s="12"/>
      <c r="AV1062" s="29"/>
    </row>
    <row r="1063" spans="4:48">
      <c r="D1063" s="12"/>
      <c r="E1063" s="12"/>
      <c r="F1063" s="12"/>
      <c r="G1063" s="12"/>
      <c r="H1063" s="38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8"/>
      <c r="AS1063" s="28"/>
      <c r="AT1063" s="28"/>
      <c r="AU1063" s="12"/>
      <c r="AV1063" s="29"/>
    </row>
    <row r="1064" spans="4:48">
      <c r="D1064" s="12"/>
      <c r="E1064" s="12"/>
      <c r="F1064" s="12"/>
      <c r="G1064" s="12"/>
      <c r="H1064" s="38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8"/>
      <c r="AS1064" s="28"/>
      <c r="AT1064" s="28"/>
      <c r="AU1064" s="12"/>
      <c r="AV1064" s="29"/>
    </row>
    <row r="1065" spans="4:48">
      <c r="D1065" s="12"/>
      <c r="E1065" s="12"/>
      <c r="F1065" s="12"/>
      <c r="G1065" s="12"/>
      <c r="H1065" s="38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8"/>
      <c r="AS1065" s="28"/>
      <c r="AT1065" s="28"/>
      <c r="AU1065" s="12"/>
      <c r="AV1065" s="29"/>
    </row>
    <row r="1066" spans="4:48">
      <c r="D1066" s="12"/>
      <c r="E1066" s="12"/>
      <c r="F1066" s="12"/>
      <c r="G1066" s="12"/>
      <c r="H1066" s="38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8"/>
      <c r="AS1066" s="28"/>
      <c r="AT1066" s="28"/>
      <c r="AU1066" s="12"/>
      <c r="AV1066" s="29"/>
    </row>
    <row r="1067" spans="4:48">
      <c r="D1067" s="12"/>
      <c r="E1067" s="12"/>
      <c r="F1067" s="12"/>
      <c r="G1067" s="12"/>
      <c r="H1067" s="38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8"/>
      <c r="AS1067" s="28"/>
      <c r="AT1067" s="28"/>
      <c r="AU1067" s="12"/>
      <c r="AV1067" s="29"/>
    </row>
    <row r="1068" spans="4:48">
      <c r="D1068" s="12"/>
      <c r="E1068" s="12"/>
      <c r="F1068" s="12"/>
      <c r="G1068" s="12"/>
      <c r="H1068" s="38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8"/>
      <c r="AS1068" s="28"/>
      <c r="AT1068" s="28"/>
      <c r="AU1068" s="12"/>
      <c r="AV1068" s="29"/>
    </row>
    <row r="1069" spans="4:48">
      <c r="D1069" s="12"/>
      <c r="E1069" s="12"/>
      <c r="F1069" s="12"/>
      <c r="G1069" s="12"/>
      <c r="H1069" s="38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8"/>
      <c r="AS1069" s="28"/>
      <c r="AT1069" s="28"/>
      <c r="AU1069" s="12"/>
      <c r="AV1069" s="29"/>
    </row>
    <row r="1070" spans="4:48">
      <c r="D1070" s="12"/>
      <c r="E1070" s="12"/>
      <c r="F1070" s="12"/>
      <c r="G1070" s="12"/>
      <c r="H1070" s="38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8"/>
      <c r="AS1070" s="28"/>
      <c r="AT1070" s="28"/>
      <c r="AU1070" s="12"/>
      <c r="AV1070" s="29"/>
    </row>
    <row r="1071" spans="4:48">
      <c r="D1071" s="12"/>
      <c r="E1071" s="12"/>
      <c r="F1071" s="12"/>
      <c r="G1071" s="12"/>
      <c r="H1071" s="38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8"/>
      <c r="AS1071" s="28"/>
      <c r="AT1071" s="28"/>
      <c r="AU1071" s="12"/>
      <c r="AV1071" s="29"/>
    </row>
    <row r="1072" spans="4:48">
      <c r="D1072" s="12"/>
      <c r="E1072" s="12"/>
      <c r="F1072" s="12"/>
      <c r="G1072" s="12"/>
      <c r="H1072" s="38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8"/>
      <c r="AS1072" s="28"/>
      <c r="AT1072" s="28"/>
      <c r="AU1072" s="12"/>
      <c r="AV1072" s="29"/>
    </row>
    <row r="1073" spans="4:48">
      <c r="D1073" s="12"/>
      <c r="E1073" s="12"/>
      <c r="F1073" s="12"/>
      <c r="G1073" s="12"/>
      <c r="H1073" s="38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8"/>
      <c r="AS1073" s="28"/>
      <c r="AT1073" s="28"/>
      <c r="AU1073" s="12"/>
      <c r="AV1073" s="29"/>
    </row>
    <row r="1074" spans="4:48">
      <c r="D1074" s="12"/>
      <c r="E1074" s="12"/>
      <c r="F1074" s="12"/>
      <c r="G1074" s="12"/>
      <c r="H1074" s="38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8"/>
      <c r="AS1074" s="28"/>
      <c r="AT1074" s="28"/>
      <c r="AU1074" s="12"/>
      <c r="AV1074" s="29"/>
    </row>
    <row r="1075" spans="4:48">
      <c r="D1075" s="12"/>
      <c r="E1075" s="12"/>
      <c r="F1075" s="12"/>
      <c r="G1075" s="12"/>
      <c r="H1075" s="38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8"/>
      <c r="AS1075" s="28"/>
      <c r="AT1075" s="28"/>
      <c r="AU1075" s="12"/>
      <c r="AV1075" s="29"/>
    </row>
    <row r="1076" spans="4:48">
      <c r="D1076" s="12"/>
      <c r="E1076" s="12"/>
      <c r="F1076" s="12"/>
      <c r="G1076" s="12"/>
      <c r="H1076" s="38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8"/>
      <c r="AS1076" s="28"/>
      <c r="AT1076" s="28"/>
      <c r="AU1076" s="12"/>
      <c r="AV1076" s="29"/>
    </row>
    <row r="1077" spans="4:48">
      <c r="D1077" s="12"/>
      <c r="E1077" s="12"/>
      <c r="F1077" s="12"/>
      <c r="G1077" s="12"/>
      <c r="H1077" s="38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8"/>
      <c r="AS1077" s="28"/>
      <c r="AT1077" s="28"/>
      <c r="AU1077" s="12"/>
      <c r="AV1077" s="29"/>
    </row>
    <row r="1078" spans="4:48">
      <c r="D1078" s="12"/>
      <c r="E1078" s="12"/>
      <c r="F1078" s="12"/>
      <c r="G1078" s="12"/>
      <c r="H1078" s="38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8"/>
      <c r="AS1078" s="28"/>
      <c r="AT1078" s="28"/>
      <c r="AU1078" s="12"/>
      <c r="AV1078" s="29"/>
    </row>
    <row r="1079" spans="4:48">
      <c r="D1079" s="12"/>
      <c r="E1079" s="12"/>
      <c r="F1079" s="12"/>
      <c r="G1079" s="12"/>
      <c r="H1079" s="38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8"/>
      <c r="AS1079" s="28"/>
      <c r="AT1079" s="28"/>
      <c r="AU1079" s="12"/>
      <c r="AV1079" s="29"/>
    </row>
    <row r="1080" spans="4:48">
      <c r="D1080" s="12"/>
      <c r="E1080" s="12"/>
      <c r="F1080" s="12"/>
      <c r="G1080" s="12"/>
      <c r="H1080" s="38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8"/>
      <c r="AS1080" s="28"/>
      <c r="AT1080" s="28"/>
      <c r="AU1080" s="12"/>
      <c r="AV1080" s="29"/>
    </row>
    <row r="1081" spans="4:48">
      <c r="D1081" s="12"/>
      <c r="E1081" s="12"/>
      <c r="F1081" s="12"/>
      <c r="G1081" s="12"/>
      <c r="H1081" s="38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8"/>
      <c r="AS1081" s="28"/>
      <c r="AT1081" s="28"/>
      <c r="AU1081" s="12"/>
      <c r="AV1081" s="29"/>
    </row>
    <row r="1082" spans="4:48">
      <c r="D1082" s="12"/>
      <c r="E1082" s="12"/>
      <c r="F1082" s="12"/>
      <c r="G1082" s="12"/>
      <c r="H1082" s="38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8"/>
      <c r="AS1082" s="28"/>
      <c r="AT1082" s="28"/>
      <c r="AU1082" s="12"/>
      <c r="AV1082" s="29"/>
    </row>
    <row r="1083" spans="4:48">
      <c r="D1083" s="12"/>
      <c r="E1083" s="12"/>
      <c r="F1083" s="12"/>
      <c r="G1083" s="12"/>
      <c r="H1083" s="38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8"/>
      <c r="AS1083" s="28"/>
      <c r="AT1083" s="28"/>
      <c r="AU1083" s="12"/>
      <c r="AV1083" s="29"/>
    </row>
    <row r="1084" spans="4:48">
      <c r="D1084" s="12"/>
      <c r="E1084" s="12"/>
      <c r="F1084" s="12"/>
      <c r="G1084" s="12"/>
      <c r="H1084" s="38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8"/>
      <c r="AS1084" s="28"/>
      <c r="AT1084" s="28"/>
      <c r="AU1084" s="12"/>
      <c r="AV1084" s="29"/>
    </row>
    <row r="1085" spans="4:48">
      <c r="D1085" s="12"/>
      <c r="E1085" s="12"/>
      <c r="F1085" s="12"/>
      <c r="G1085" s="12"/>
      <c r="H1085" s="38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8"/>
      <c r="AS1085" s="28"/>
      <c r="AT1085" s="28"/>
      <c r="AU1085" s="12"/>
      <c r="AV1085" s="29"/>
    </row>
    <row r="1086" spans="4:48">
      <c r="D1086" s="12"/>
      <c r="E1086" s="12"/>
      <c r="F1086" s="12"/>
      <c r="G1086" s="12"/>
      <c r="H1086" s="38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8"/>
      <c r="AS1086" s="28"/>
      <c r="AT1086" s="28"/>
      <c r="AU1086" s="12"/>
      <c r="AV1086" s="29"/>
    </row>
    <row r="1087" spans="4:48">
      <c r="D1087" s="12"/>
      <c r="E1087" s="12"/>
      <c r="F1087" s="12"/>
      <c r="G1087" s="12"/>
      <c r="H1087" s="38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8"/>
      <c r="AS1087" s="28"/>
      <c r="AT1087" s="28"/>
      <c r="AU1087" s="12"/>
      <c r="AV1087" s="29"/>
    </row>
    <row r="1088" spans="4:48">
      <c r="D1088" s="12"/>
      <c r="E1088" s="12"/>
      <c r="F1088" s="12"/>
      <c r="G1088" s="12"/>
      <c r="H1088" s="38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8"/>
      <c r="AS1088" s="28"/>
      <c r="AT1088" s="28"/>
      <c r="AU1088" s="12"/>
      <c r="AV1088" s="29"/>
    </row>
    <row r="1089" spans="4:48">
      <c r="D1089" s="12"/>
      <c r="E1089" s="12"/>
      <c r="F1089" s="12"/>
      <c r="G1089" s="12"/>
      <c r="H1089" s="38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8"/>
      <c r="AS1089" s="28"/>
      <c r="AT1089" s="28"/>
      <c r="AU1089" s="12"/>
      <c r="AV1089" s="29"/>
    </row>
    <row r="1090" spans="4:48">
      <c r="D1090" s="12"/>
      <c r="E1090" s="12"/>
      <c r="F1090" s="12"/>
      <c r="G1090" s="12"/>
      <c r="H1090" s="38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8"/>
      <c r="AS1090" s="28"/>
      <c r="AT1090" s="28"/>
      <c r="AU1090" s="12"/>
      <c r="AV1090" s="29"/>
    </row>
    <row r="1091" spans="4:48">
      <c r="D1091" s="12"/>
      <c r="E1091" s="12"/>
      <c r="F1091" s="12"/>
      <c r="G1091" s="12"/>
      <c r="H1091" s="38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8"/>
      <c r="AS1091" s="28"/>
      <c r="AT1091" s="28"/>
      <c r="AU1091" s="12"/>
      <c r="AV1091" s="29"/>
    </row>
    <row r="1092" spans="4:48">
      <c r="D1092" s="12"/>
      <c r="E1092" s="12"/>
      <c r="F1092" s="12"/>
      <c r="G1092" s="12"/>
      <c r="H1092" s="38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8"/>
      <c r="AS1092" s="28"/>
      <c r="AT1092" s="28"/>
      <c r="AU1092" s="12"/>
      <c r="AV1092" s="29"/>
    </row>
    <row r="1093" spans="4:48">
      <c r="D1093" s="12"/>
      <c r="E1093" s="12"/>
      <c r="F1093" s="12"/>
      <c r="G1093" s="12"/>
      <c r="H1093" s="38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8"/>
      <c r="AS1093" s="28"/>
      <c r="AT1093" s="28"/>
      <c r="AU1093" s="12"/>
      <c r="AV1093" s="29"/>
    </row>
    <row r="1094" spans="4:48">
      <c r="D1094" s="12"/>
      <c r="E1094" s="12"/>
      <c r="F1094" s="12"/>
      <c r="G1094" s="12"/>
      <c r="H1094" s="38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8"/>
      <c r="AS1094" s="28"/>
      <c r="AT1094" s="28"/>
      <c r="AU1094" s="12"/>
      <c r="AV1094" s="29"/>
    </row>
    <row r="1095" spans="4:48">
      <c r="D1095" s="12"/>
      <c r="E1095" s="12"/>
      <c r="F1095" s="12"/>
      <c r="G1095" s="12"/>
      <c r="H1095" s="38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8"/>
      <c r="AS1095" s="28"/>
      <c r="AT1095" s="28"/>
      <c r="AU1095" s="12"/>
      <c r="AV1095" s="29"/>
    </row>
    <row r="1096" spans="4:48">
      <c r="D1096" s="12"/>
      <c r="E1096" s="12"/>
      <c r="F1096" s="12"/>
      <c r="G1096" s="12"/>
      <c r="H1096" s="38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8"/>
      <c r="AS1096" s="28"/>
      <c r="AT1096" s="28"/>
      <c r="AU1096" s="12"/>
      <c r="AV1096" s="29"/>
    </row>
    <row r="1097" spans="4:48">
      <c r="D1097" s="12"/>
      <c r="E1097" s="12"/>
      <c r="F1097" s="12"/>
      <c r="G1097" s="12"/>
      <c r="H1097" s="38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8"/>
      <c r="AS1097" s="28"/>
      <c r="AT1097" s="28"/>
      <c r="AU1097" s="12"/>
      <c r="AV1097" s="29"/>
    </row>
    <row r="1098" spans="4:48">
      <c r="D1098" s="12"/>
      <c r="E1098" s="12"/>
      <c r="F1098" s="12"/>
      <c r="G1098" s="12"/>
      <c r="H1098" s="38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8"/>
      <c r="AS1098" s="28"/>
      <c r="AT1098" s="28"/>
      <c r="AU1098" s="12"/>
      <c r="AV1098" s="29"/>
    </row>
    <row r="1099" spans="4:48">
      <c r="D1099" s="12"/>
      <c r="E1099" s="12"/>
      <c r="F1099" s="12"/>
      <c r="G1099" s="12"/>
      <c r="H1099" s="38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8"/>
      <c r="AS1099" s="28"/>
      <c r="AT1099" s="28"/>
      <c r="AU1099" s="12"/>
      <c r="AV1099" s="29"/>
    </row>
    <row r="1100" spans="4:48">
      <c r="D1100" s="12"/>
      <c r="E1100" s="12"/>
      <c r="F1100" s="12"/>
      <c r="G1100" s="12"/>
      <c r="H1100" s="38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8"/>
      <c r="AS1100" s="28"/>
      <c r="AT1100" s="28"/>
      <c r="AU1100" s="12"/>
      <c r="AV1100" s="29"/>
    </row>
    <row r="1101" spans="4:48">
      <c r="D1101" s="12"/>
      <c r="E1101" s="12"/>
      <c r="F1101" s="12"/>
      <c r="G1101" s="12"/>
      <c r="H1101" s="38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8"/>
      <c r="AS1101" s="28"/>
      <c r="AT1101" s="28"/>
      <c r="AU1101" s="12"/>
      <c r="AV1101" s="29"/>
    </row>
    <row r="1102" spans="4:48">
      <c r="D1102" s="12"/>
      <c r="E1102" s="12"/>
      <c r="F1102" s="12"/>
      <c r="G1102" s="12"/>
      <c r="H1102" s="38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8"/>
      <c r="AS1102" s="28"/>
      <c r="AT1102" s="28"/>
      <c r="AU1102" s="12"/>
      <c r="AV1102" s="29"/>
    </row>
    <row r="1103" spans="4:48">
      <c r="D1103" s="12"/>
      <c r="E1103" s="12"/>
      <c r="F1103" s="12"/>
      <c r="G1103" s="12"/>
      <c r="H1103" s="38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8"/>
      <c r="AS1103" s="28"/>
      <c r="AT1103" s="28"/>
      <c r="AU1103" s="12"/>
      <c r="AV1103" s="29"/>
    </row>
    <row r="1104" spans="4:48">
      <c r="D1104" s="12"/>
      <c r="E1104" s="12"/>
      <c r="F1104" s="12"/>
      <c r="G1104" s="12"/>
      <c r="H1104" s="38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8"/>
      <c r="AS1104" s="28"/>
      <c r="AT1104" s="28"/>
      <c r="AU1104" s="12"/>
      <c r="AV1104" s="29"/>
    </row>
    <row r="1105" spans="4:48">
      <c r="D1105" s="12"/>
      <c r="E1105" s="12"/>
      <c r="F1105" s="12"/>
      <c r="G1105" s="12"/>
      <c r="H1105" s="38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8"/>
      <c r="AS1105" s="28"/>
      <c r="AT1105" s="28"/>
      <c r="AU1105" s="12"/>
      <c r="AV1105" s="29"/>
    </row>
    <row r="1106" spans="4:48">
      <c r="D1106" s="12"/>
      <c r="E1106" s="12"/>
      <c r="F1106" s="12"/>
      <c r="G1106" s="12"/>
      <c r="H1106" s="38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8"/>
      <c r="AS1106" s="28"/>
      <c r="AT1106" s="28"/>
      <c r="AU1106" s="12"/>
      <c r="AV1106" s="29"/>
    </row>
    <row r="1107" spans="4:48">
      <c r="D1107" s="12"/>
      <c r="E1107" s="12"/>
      <c r="F1107" s="12"/>
      <c r="G1107" s="12"/>
      <c r="H1107" s="38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8"/>
      <c r="AS1107" s="28"/>
      <c r="AT1107" s="28"/>
      <c r="AU1107" s="12"/>
      <c r="AV1107" s="29"/>
    </row>
    <row r="1108" spans="4:48">
      <c r="D1108" s="12"/>
      <c r="E1108" s="12"/>
      <c r="F1108" s="12"/>
      <c r="G1108" s="12"/>
      <c r="H1108" s="38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8"/>
      <c r="AS1108" s="28"/>
      <c r="AT1108" s="28"/>
      <c r="AU1108" s="12"/>
      <c r="AV1108" s="29"/>
    </row>
    <row r="1109" spans="4:48">
      <c r="D1109" s="12"/>
      <c r="E1109" s="12"/>
      <c r="F1109" s="12"/>
      <c r="G1109" s="12"/>
      <c r="H1109" s="38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8"/>
      <c r="AS1109" s="28"/>
      <c r="AT1109" s="28"/>
      <c r="AU1109" s="12"/>
      <c r="AV1109" s="29"/>
    </row>
    <row r="1110" spans="4:48">
      <c r="D1110" s="12"/>
      <c r="E1110" s="12"/>
      <c r="F1110" s="12"/>
      <c r="G1110" s="12"/>
      <c r="H1110" s="38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8"/>
      <c r="AS1110" s="28"/>
      <c r="AT1110" s="28"/>
      <c r="AU1110" s="12"/>
      <c r="AV1110" s="29"/>
    </row>
    <row r="1111" spans="4:48">
      <c r="D1111" s="12"/>
      <c r="E1111" s="12"/>
      <c r="F1111" s="12"/>
      <c r="G1111" s="12"/>
      <c r="H1111" s="38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8"/>
      <c r="AS1111" s="28"/>
      <c r="AT1111" s="28"/>
      <c r="AU1111" s="12"/>
      <c r="AV1111" s="29"/>
    </row>
    <row r="1112" spans="4:48">
      <c r="D1112" s="12"/>
      <c r="E1112" s="12"/>
      <c r="F1112" s="12"/>
      <c r="G1112" s="12"/>
      <c r="H1112" s="38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8"/>
      <c r="AS1112" s="28"/>
      <c r="AT1112" s="28"/>
      <c r="AU1112" s="12"/>
      <c r="AV1112" s="29"/>
    </row>
    <row r="1113" spans="4:48">
      <c r="D1113" s="12"/>
      <c r="E1113" s="12"/>
      <c r="F1113" s="12"/>
      <c r="G1113" s="12"/>
      <c r="H1113" s="38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8"/>
      <c r="AS1113" s="28"/>
      <c r="AT1113" s="28"/>
      <c r="AU1113" s="12"/>
      <c r="AV1113" s="29"/>
    </row>
    <row r="1114" spans="4:48">
      <c r="D1114" s="12"/>
      <c r="E1114" s="12"/>
      <c r="F1114" s="12"/>
      <c r="G1114" s="12"/>
      <c r="H1114" s="38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8"/>
      <c r="AS1114" s="28"/>
      <c r="AT1114" s="28"/>
      <c r="AU1114" s="12"/>
      <c r="AV1114" s="29"/>
    </row>
    <row r="1115" spans="4:48">
      <c r="D1115" s="12"/>
      <c r="E1115" s="12"/>
      <c r="F1115" s="12"/>
      <c r="G1115" s="12"/>
      <c r="H1115" s="38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8"/>
      <c r="AS1115" s="28"/>
      <c r="AT1115" s="28"/>
      <c r="AU1115" s="12"/>
      <c r="AV1115" s="29"/>
    </row>
    <row r="1116" spans="4:48">
      <c r="D1116" s="12"/>
      <c r="E1116" s="12"/>
      <c r="F1116" s="12"/>
      <c r="G1116" s="12"/>
      <c r="H1116" s="38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8"/>
      <c r="AS1116" s="28"/>
      <c r="AT1116" s="28"/>
      <c r="AU1116" s="12"/>
      <c r="AV1116" s="29"/>
    </row>
    <row r="1117" spans="4:48">
      <c r="D1117" s="12"/>
      <c r="E1117" s="12"/>
      <c r="F1117" s="12"/>
      <c r="G1117" s="12"/>
      <c r="H1117" s="38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8"/>
      <c r="AS1117" s="28"/>
      <c r="AT1117" s="28"/>
      <c r="AU1117" s="12"/>
      <c r="AV1117" s="29"/>
    </row>
    <row r="1118" spans="4:48">
      <c r="D1118" s="12"/>
      <c r="E1118" s="12"/>
      <c r="F1118" s="12"/>
      <c r="G1118" s="12"/>
      <c r="H1118" s="38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8"/>
      <c r="AS1118" s="28"/>
      <c r="AT1118" s="28"/>
      <c r="AU1118" s="12"/>
      <c r="AV1118" s="29"/>
    </row>
    <row r="1119" spans="4:48">
      <c r="D1119" s="12"/>
      <c r="E1119" s="12"/>
      <c r="F1119" s="12"/>
      <c r="G1119" s="12"/>
      <c r="H1119" s="38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8"/>
      <c r="AS1119" s="28"/>
      <c r="AT1119" s="28"/>
      <c r="AU1119" s="12"/>
      <c r="AV1119" s="29"/>
    </row>
    <row r="1120" spans="4:48">
      <c r="D1120" s="12"/>
      <c r="E1120" s="12"/>
      <c r="F1120" s="12"/>
      <c r="G1120" s="12"/>
      <c r="H1120" s="38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8"/>
      <c r="AS1120" s="28"/>
      <c r="AT1120" s="28"/>
      <c r="AU1120" s="12"/>
      <c r="AV1120" s="29"/>
    </row>
    <row r="1121" spans="4:48">
      <c r="D1121" s="12"/>
      <c r="E1121" s="12"/>
      <c r="F1121" s="12"/>
      <c r="G1121" s="12"/>
      <c r="H1121" s="38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8"/>
      <c r="AS1121" s="28"/>
      <c r="AT1121" s="28"/>
      <c r="AU1121" s="12"/>
      <c r="AV1121" s="29"/>
    </row>
    <row r="1122" spans="4:48">
      <c r="D1122" s="12"/>
      <c r="E1122" s="12"/>
      <c r="F1122" s="12"/>
      <c r="G1122" s="12"/>
      <c r="H1122" s="38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8"/>
      <c r="AS1122" s="28"/>
      <c r="AT1122" s="28"/>
      <c r="AU1122" s="12"/>
      <c r="AV1122" s="29"/>
    </row>
    <row r="1123" spans="4:48">
      <c r="D1123" s="12"/>
      <c r="E1123" s="12"/>
      <c r="F1123" s="12"/>
      <c r="G1123" s="12"/>
      <c r="H1123" s="38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8"/>
      <c r="AS1123" s="28"/>
      <c r="AT1123" s="28"/>
      <c r="AU1123" s="12"/>
      <c r="AV1123" s="29"/>
    </row>
    <row r="1124" spans="4:48">
      <c r="D1124" s="12"/>
      <c r="E1124" s="12"/>
      <c r="F1124" s="12"/>
      <c r="G1124" s="12"/>
      <c r="H1124" s="38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8"/>
      <c r="AS1124" s="28"/>
      <c r="AT1124" s="28"/>
      <c r="AU1124" s="12"/>
      <c r="AV1124" s="29"/>
    </row>
    <row r="1125" spans="4:48">
      <c r="D1125" s="12"/>
      <c r="E1125" s="12"/>
      <c r="F1125" s="12"/>
      <c r="G1125" s="12"/>
      <c r="H1125" s="38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8"/>
      <c r="AS1125" s="28"/>
      <c r="AT1125" s="28"/>
      <c r="AU1125" s="12"/>
      <c r="AV1125" s="29"/>
    </row>
    <row r="1126" spans="4:48">
      <c r="D1126" s="12"/>
      <c r="E1126" s="12"/>
      <c r="F1126" s="12"/>
      <c r="G1126" s="12"/>
      <c r="H1126" s="38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8"/>
      <c r="AS1126" s="28"/>
      <c r="AT1126" s="28"/>
      <c r="AU1126" s="12"/>
      <c r="AV1126" s="29"/>
    </row>
    <row r="1127" spans="4:48">
      <c r="D1127" s="12"/>
      <c r="E1127" s="12"/>
      <c r="F1127" s="12"/>
      <c r="G1127" s="12"/>
      <c r="H1127" s="38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8"/>
      <c r="AS1127" s="28"/>
      <c r="AT1127" s="28"/>
      <c r="AU1127" s="12"/>
      <c r="AV1127" s="29"/>
    </row>
    <row r="1128" spans="4:48">
      <c r="D1128" s="12"/>
      <c r="E1128" s="12"/>
      <c r="F1128" s="12"/>
      <c r="G1128" s="12"/>
      <c r="H1128" s="38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8"/>
      <c r="AS1128" s="28"/>
      <c r="AT1128" s="28"/>
      <c r="AU1128" s="12"/>
      <c r="AV1128" s="29"/>
    </row>
    <row r="1129" spans="4:48">
      <c r="D1129" s="12"/>
      <c r="E1129" s="12"/>
      <c r="F1129" s="12"/>
      <c r="G1129" s="12"/>
      <c r="H1129" s="38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8"/>
      <c r="AS1129" s="28"/>
      <c r="AT1129" s="28"/>
      <c r="AU1129" s="12"/>
      <c r="AV1129" s="29"/>
    </row>
    <row r="1130" spans="4:48">
      <c r="D1130" s="12"/>
      <c r="E1130" s="12"/>
      <c r="F1130" s="12"/>
      <c r="G1130" s="12"/>
      <c r="H1130" s="38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8"/>
      <c r="AS1130" s="28"/>
      <c r="AT1130" s="28"/>
      <c r="AU1130" s="12"/>
      <c r="AV1130" s="29"/>
    </row>
    <row r="1131" spans="4:48">
      <c r="D1131" s="12"/>
      <c r="E1131" s="12"/>
      <c r="F1131" s="12"/>
      <c r="G1131" s="12"/>
      <c r="H1131" s="38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8"/>
      <c r="AS1131" s="28"/>
      <c r="AT1131" s="28"/>
      <c r="AU1131" s="12"/>
      <c r="AV1131" s="29"/>
    </row>
    <row r="1132" spans="4:48">
      <c r="D1132" s="12"/>
      <c r="E1132" s="12"/>
      <c r="F1132" s="12"/>
      <c r="G1132" s="12"/>
      <c r="H1132" s="38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8"/>
      <c r="AS1132" s="28"/>
      <c r="AT1132" s="28"/>
      <c r="AU1132" s="12"/>
      <c r="AV1132" s="29"/>
    </row>
    <row r="1133" spans="4:48">
      <c r="D1133" s="12"/>
      <c r="E1133" s="12"/>
      <c r="F1133" s="12"/>
      <c r="G1133" s="12"/>
      <c r="H1133" s="38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8"/>
      <c r="AS1133" s="28"/>
      <c r="AT1133" s="28"/>
      <c r="AU1133" s="12"/>
      <c r="AV1133" s="29"/>
    </row>
    <row r="1134" spans="4:48">
      <c r="D1134" s="12"/>
      <c r="E1134" s="12"/>
      <c r="F1134" s="12"/>
      <c r="G1134" s="12"/>
      <c r="H1134" s="38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8"/>
      <c r="AS1134" s="28"/>
      <c r="AT1134" s="28"/>
      <c r="AU1134" s="12"/>
      <c r="AV1134" s="29"/>
    </row>
    <row r="1135" spans="4:48">
      <c r="D1135" s="12"/>
      <c r="E1135" s="12"/>
      <c r="F1135" s="12"/>
      <c r="G1135" s="12"/>
      <c r="H1135" s="38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8"/>
      <c r="AS1135" s="28"/>
      <c r="AT1135" s="28"/>
      <c r="AU1135" s="12"/>
      <c r="AV1135" s="29"/>
    </row>
    <row r="1136" spans="4:48">
      <c r="D1136" s="12"/>
      <c r="E1136" s="12"/>
      <c r="F1136" s="12"/>
      <c r="G1136" s="12"/>
      <c r="H1136" s="38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8"/>
      <c r="AS1136" s="28"/>
      <c r="AT1136" s="28"/>
      <c r="AU1136" s="12"/>
      <c r="AV1136" s="29"/>
    </row>
    <row r="1137" spans="4:48">
      <c r="D1137" s="12"/>
      <c r="E1137" s="12"/>
      <c r="F1137" s="12"/>
      <c r="G1137" s="12"/>
      <c r="H1137" s="38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8"/>
      <c r="AS1137" s="28"/>
      <c r="AT1137" s="28"/>
      <c r="AU1137" s="12"/>
      <c r="AV1137" s="29"/>
    </row>
    <row r="1138" spans="4:48">
      <c r="D1138" s="12"/>
      <c r="E1138" s="12"/>
      <c r="F1138" s="12"/>
      <c r="G1138" s="12"/>
      <c r="H1138" s="38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8"/>
      <c r="AS1138" s="28"/>
      <c r="AT1138" s="28"/>
      <c r="AU1138" s="12"/>
      <c r="AV1138" s="29"/>
    </row>
    <row r="1139" spans="4:48">
      <c r="D1139" s="12"/>
      <c r="E1139" s="12"/>
      <c r="F1139" s="12"/>
      <c r="G1139" s="12"/>
      <c r="H1139" s="38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8"/>
      <c r="AS1139" s="28"/>
      <c r="AT1139" s="28"/>
      <c r="AU1139" s="12"/>
      <c r="AV1139" s="29"/>
    </row>
    <row r="1140" spans="4:48">
      <c r="D1140" s="12"/>
      <c r="E1140" s="12"/>
      <c r="F1140" s="12"/>
      <c r="G1140" s="12"/>
      <c r="H1140" s="38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8"/>
      <c r="AS1140" s="28"/>
      <c r="AT1140" s="28"/>
      <c r="AU1140" s="12"/>
      <c r="AV1140" s="29"/>
    </row>
    <row r="1141" spans="4:48">
      <c r="D1141" s="12"/>
      <c r="E1141" s="12"/>
      <c r="F1141" s="12"/>
      <c r="G1141" s="12"/>
      <c r="H1141" s="38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8"/>
      <c r="AS1141" s="28"/>
      <c r="AT1141" s="28"/>
      <c r="AU1141" s="12"/>
      <c r="AV1141" s="29"/>
    </row>
    <row r="1142" spans="4:48">
      <c r="D1142" s="12"/>
      <c r="E1142" s="12"/>
      <c r="F1142" s="12"/>
      <c r="G1142" s="12"/>
      <c r="H1142" s="38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8"/>
      <c r="AS1142" s="28"/>
      <c r="AT1142" s="28"/>
      <c r="AU1142" s="12"/>
      <c r="AV1142" s="29"/>
    </row>
    <row r="1143" spans="4:48">
      <c r="D1143" s="12"/>
      <c r="E1143" s="12"/>
      <c r="F1143" s="12"/>
      <c r="G1143" s="12"/>
      <c r="H1143" s="38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8"/>
      <c r="AS1143" s="28"/>
      <c r="AT1143" s="28"/>
      <c r="AU1143" s="12"/>
      <c r="AV1143" s="29"/>
    </row>
    <row r="1144" spans="4:48">
      <c r="D1144" s="12"/>
      <c r="E1144" s="12"/>
      <c r="F1144" s="12"/>
      <c r="G1144" s="12"/>
      <c r="H1144" s="38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8"/>
      <c r="AS1144" s="28"/>
      <c r="AT1144" s="28"/>
      <c r="AU1144" s="12"/>
      <c r="AV1144" s="29"/>
    </row>
    <row r="1145" spans="4:48">
      <c r="D1145" s="12"/>
      <c r="E1145" s="12"/>
      <c r="F1145" s="12"/>
      <c r="G1145" s="12"/>
      <c r="H1145" s="38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8"/>
      <c r="AS1145" s="28"/>
      <c r="AT1145" s="28"/>
      <c r="AU1145" s="12"/>
      <c r="AV1145" s="29"/>
    </row>
    <row r="1146" spans="4:48">
      <c r="D1146" s="12"/>
      <c r="E1146" s="12"/>
      <c r="F1146" s="12"/>
      <c r="G1146" s="12"/>
      <c r="H1146" s="38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8"/>
      <c r="AS1146" s="28"/>
      <c r="AT1146" s="28"/>
      <c r="AU1146" s="12"/>
      <c r="AV1146" s="29"/>
    </row>
    <row r="1147" spans="4:48">
      <c r="D1147" s="12"/>
      <c r="E1147" s="12"/>
      <c r="F1147" s="12"/>
      <c r="G1147" s="12"/>
      <c r="H1147" s="38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8"/>
      <c r="AS1147" s="28"/>
      <c r="AT1147" s="28"/>
      <c r="AU1147" s="12"/>
      <c r="AV1147" s="29"/>
    </row>
    <row r="1148" spans="4:48">
      <c r="D1148" s="12"/>
      <c r="E1148" s="12"/>
      <c r="F1148" s="12"/>
      <c r="G1148" s="12"/>
      <c r="H1148" s="38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8"/>
      <c r="AS1148" s="28"/>
      <c r="AT1148" s="28"/>
      <c r="AU1148" s="12"/>
      <c r="AV1148" s="29"/>
    </row>
    <row r="1149" spans="4:48">
      <c r="D1149" s="12"/>
      <c r="E1149" s="12"/>
      <c r="F1149" s="12"/>
      <c r="G1149" s="12"/>
      <c r="H1149" s="38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8"/>
      <c r="AS1149" s="28"/>
      <c r="AT1149" s="28"/>
      <c r="AU1149" s="12"/>
      <c r="AV1149" s="29"/>
    </row>
    <row r="1150" spans="4:48">
      <c r="D1150" s="12"/>
      <c r="E1150" s="12"/>
      <c r="F1150" s="12"/>
      <c r="G1150" s="12"/>
      <c r="H1150" s="38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8"/>
      <c r="AS1150" s="28"/>
      <c r="AT1150" s="28"/>
      <c r="AU1150" s="12"/>
      <c r="AV1150" s="29"/>
    </row>
    <row r="1151" spans="4:48">
      <c r="D1151" s="12"/>
      <c r="E1151" s="12"/>
      <c r="F1151" s="12"/>
      <c r="G1151" s="12"/>
      <c r="H1151" s="38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8"/>
      <c r="AS1151" s="28"/>
      <c r="AT1151" s="28"/>
      <c r="AU1151" s="12"/>
      <c r="AV1151" s="29"/>
    </row>
    <row r="1152" spans="4:48">
      <c r="D1152" s="12"/>
      <c r="E1152" s="12"/>
      <c r="F1152" s="12"/>
      <c r="G1152" s="12"/>
      <c r="H1152" s="38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8"/>
      <c r="AS1152" s="28"/>
      <c r="AT1152" s="28"/>
      <c r="AU1152" s="12"/>
      <c r="AV1152" s="29"/>
    </row>
    <row r="1153" spans="4:48">
      <c r="D1153" s="12"/>
      <c r="E1153" s="12"/>
      <c r="F1153" s="12"/>
      <c r="G1153" s="12"/>
      <c r="H1153" s="38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8"/>
      <c r="AS1153" s="28"/>
      <c r="AT1153" s="28"/>
      <c r="AU1153" s="12"/>
      <c r="AV1153" s="29"/>
    </row>
    <row r="1154" spans="4:48">
      <c r="D1154" s="12"/>
      <c r="E1154" s="12"/>
      <c r="F1154" s="12"/>
      <c r="G1154" s="12"/>
      <c r="H1154" s="38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8"/>
      <c r="AS1154" s="28"/>
      <c r="AT1154" s="28"/>
      <c r="AU1154" s="12"/>
      <c r="AV1154" s="29"/>
    </row>
    <row r="1155" spans="4:48">
      <c r="D1155" s="12"/>
      <c r="E1155" s="12"/>
      <c r="F1155" s="12"/>
      <c r="G1155" s="12"/>
      <c r="H1155" s="38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8"/>
      <c r="AS1155" s="28"/>
      <c r="AT1155" s="28"/>
      <c r="AU1155" s="12"/>
      <c r="AV1155" s="29"/>
    </row>
    <row r="1156" spans="4:48">
      <c r="D1156" s="12"/>
      <c r="E1156" s="12"/>
      <c r="F1156" s="12"/>
      <c r="G1156" s="12"/>
      <c r="H1156" s="38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8"/>
      <c r="AS1156" s="28"/>
      <c r="AT1156" s="28"/>
      <c r="AU1156" s="12"/>
      <c r="AV1156" s="29"/>
    </row>
    <row r="1157" spans="4:48">
      <c r="D1157" s="12"/>
      <c r="E1157" s="12"/>
      <c r="F1157" s="12"/>
      <c r="G1157" s="12"/>
      <c r="H1157" s="38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8"/>
      <c r="AS1157" s="28"/>
      <c r="AT1157" s="28"/>
      <c r="AU1157" s="12"/>
      <c r="AV1157" s="29"/>
    </row>
    <row r="1158" spans="4:48">
      <c r="D1158" s="12"/>
      <c r="E1158" s="12"/>
      <c r="F1158" s="12"/>
      <c r="G1158" s="12"/>
      <c r="H1158" s="38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8"/>
      <c r="AS1158" s="28"/>
      <c r="AT1158" s="28"/>
      <c r="AU1158" s="12"/>
      <c r="AV1158" s="29"/>
    </row>
    <row r="1159" spans="4:48">
      <c r="D1159" s="12"/>
      <c r="E1159" s="12"/>
      <c r="F1159" s="12"/>
      <c r="G1159" s="12"/>
      <c r="H1159" s="38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8"/>
      <c r="AS1159" s="28"/>
      <c r="AT1159" s="28"/>
      <c r="AU1159" s="12"/>
      <c r="AV1159" s="29"/>
    </row>
    <row r="1160" spans="4:48">
      <c r="D1160" s="12"/>
      <c r="E1160" s="12"/>
      <c r="F1160" s="12"/>
      <c r="G1160" s="12"/>
      <c r="H1160" s="38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8"/>
      <c r="AS1160" s="28"/>
      <c r="AT1160" s="28"/>
      <c r="AU1160" s="12"/>
      <c r="AV1160" s="29"/>
    </row>
    <row r="1161" spans="4:48">
      <c r="D1161" s="12"/>
      <c r="E1161" s="12"/>
      <c r="F1161" s="12"/>
      <c r="G1161" s="12"/>
      <c r="H1161" s="38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8"/>
      <c r="AS1161" s="28"/>
      <c r="AT1161" s="28"/>
      <c r="AU1161" s="12"/>
      <c r="AV1161" s="29"/>
    </row>
    <row r="1162" spans="4:48">
      <c r="D1162" s="12"/>
      <c r="E1162" s="12"/>
      <c r="F1162" s="12"/>
      <c r="G1162" s="12"/>
      <c r="H1162" s="38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8"/>
      <c r="AS1162" s="28"/>
      <c r="AT1162" s="28"/>
      <c r="AU1162" s="12"/>
      <c r="AV1162" s="29"/>
    </row>
    <row r="1163" spans="4:48">
      <c r="D1163" s="12"/>
      <c r="E1163" s="12"/>
      <c r="F1163" s="12"/>
      <c r="G1163" s="12"/>
      <c r="H1163" s="38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8"/>
      <c r="AS1163" s="28"/>
      <c r="AT1163" s="28"/>
      <c r="AU1163" s="12"/>
      <c r="AV1163" s="29"/>
    </row>
    <row r="1164" spans="4:48">
      <c r="D1164" s="12"/>
      <c r="E1164" s="12"/>
      <c r="F1164" s="12"/>
      <c r="G1164" s="12"/>
      <c r="H1164" s="38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8"/>
      <c r="AS1164" s="28"/>
      <c r="AT1164" s="28"/>
      <c r="AU1164" s="12"/>
      <c r="AV1164" s="29"/>
    </row>
    <row r="1165" spans="4:48">
      <c r="D1165" s="12"/>
      <c r="E1165" s="12"/>
      <c r="F1165" s="12"/>
      <c r="G1165" s="12"/>
      <c r="H1165" s="38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8"/>
      <c r="AS1165" s="28"/>
      <c r="AT1165" s="28"/>
      <c r="AU1165" s="12"/>
      <c r="AV1165" s="29"/>
    </row>
    <row r="1166" spans="4:48">
      <c r="D1166" s="12"/>
      <c r="E1166" s="12"/>
      <c r="F1166" s="12"/>
      <c r="G1166" s="12"/>
      <c r="H1166" s="38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8"/>
      <c r="AS1166" s="28"/>
      <c r="AT1166" s="28"/>
      <c r="AU1166" s="12"/>
      <c r="AV1166" s="29"/>
    </row>
    <row r="1167" spans="4:48">
      <c r="D1167" s="12"/>
      <c r="E1167" s="12"/>
      <c r="F1167" s="12"/>
      <c r="G1167" s="12"/>
      <c r="H1167" s="38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8"/>
      <c r="AS1167" s="28"/>
      <c r="AT1167" s="28"/>
      <c r="AU1167" s="12"/>
      <c r="AV1167" s="29"/>
    </row>
    <row r="1168" spans="4:48">
      <c r="D1168" s="12"/>
      <c r="E1168" s="12"/>
      <c r="F1168" s="12"/>
      <c r="G1168" s="12"/>
      <c r="H1168" s="38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8"/>
      <c r="AS1168" s="28"/>
      <c r="AT1168" s="28"/>
      <c r="AU1168" s="12"/>
      <c r="AV1168" s="29"/>
    </row>
    <row r="1169" spans="4:48">
      <c r="D1169" s="12"/>
      <c r="E1169" s="12"/>
      <c r="F1169" s="12"/>
      <c r="G1169" s="12"/>
      <c r="H1169" s="38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8"/>
      <c r="AS1169" s="28"/>
      <c r="AT1169" s="28"/>
      <c r="AU1169" s="12"/>
      <c r="AV1169" s="29"/>
    </row>
    <row r="1170" spans="4:48">
      <c r="D1170" s="12"/>
      <c r="E1170" s="12"/>
      <c r="F1170" s="12"/>
      <c r="G1170" s="12"/>
      <c r="H1170" s="38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8"/>
      <c r="AS1170" s="28"/>
      <c r="AT1170" s="28"/>
      <c r="AU1170" s="12"/>
      <c r="AV1170" s="29"/>
    </row>
    <row r="1171" spans="4:48">
      <c r="D1171" s="12"/>
      <c r="E1171" s="12"/>
      <c r="F1171" s="12"/>
      <c r="G1171" s="12"/>
      <c r="H1171" s="38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8"/>
      <c r="AS1171" s="28"/>
      <c r="AT1171" s="28"/>
      <c r="AU1171" s="12"/>
      <c r="AV1171" s="29"/>
    </row>
    <row r="1172" spans="4:48">
      <c r="D1172" s="12"/>
      <c r="E1172" s="12"/>
      <c r="F1172" s="12"/>
      <c r="G1172" s="12"/>
      <c r="H1172" s="38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8"/>
      <c r="AS1172" s="28"/>
      <c r="AT1172" s="28"/>
      <c r="AU1172" s="12"/>
      <c r="AV1172" s="29"/>
    </row>
    <row r="1173" spans="4:48">
      <c r="D1173" s="12"/>
      <c r="E1173" s="12"/>
      <c r="F1173" s="12"/>
      <c r="G1173" s="12"/>
      <c r="H1173" s="38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8"/>
      <c r="AS1173" s="28"/>
      <c r="AT1173" s="28"/>
      <c r="AU1173" s="12"/>
      <c r="AV1173" s="29"/>
    </row>
    <row r="1174" spans="4:48">
      <c r="D1174" s="12"/>
      <c r="E1174" s="12"/>
      <c r="F1174" s="12"/>
      <c r="G1174" s="12"/>
      <c r="H1174" s="38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8"/>
      <c r="AS1174" s="28"/>
      <c r="AT1174" s="28"/>
      <c r="AU1174" s="12"/>
      <c r="AV1174" s="29"/>
    </row>
    <row r="1175" spans="4:48">
      <c r="D1175" s="12"/>
      <c r="E1175" s="12"/>
      <c r="F1175" s="12"/>
      <c r="G1175" s="12"/>
      <c r="H1175" s="38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8"/>
      <c r="AS1175" s="28"/>
      <c r="AT1175" s="28"/>
      <c r="AU1175" s="12"/>
      <c r="AV1175" s="29"/>
    </row>
    <row r="1176" spans="4:48">
      <c r="D1176" s="12"/>
      <c r="E1176" s="12"/>
      <c r="F1176" s="12"/>
      <c r="G1176" s="12"/>
      <c r="H1176" s="38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8"/>
      <c r="AS1176" s="28"/>
      <c r="AT1176" s="28"/>
      <c r="AU1176" s="12"/>
      <c r="AV1176" s="29"/>
    </row>
    <row r="1177" spans="4:48">
      <c r="D1177" s="12"/>
      <c r="E1177" s="12"/>
      <c r="F1177" s="12"/>
      <c r="G1177" s="12"/>
      <c r="H1177" s="38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8"/>
      <c r="AS1177" s="28"/>
      <c r="AT1177" s="28"/>
      <c r="AU1177" s="12"/>
      <c r="AV1177" s="29"/>
    </row>
    <row r="1178" spans="4:48">
      <c r="D1178" s="12"/>
      <c r="E1178" s="12"/>
      <c r="F1178" s="12"/>
      <c r="G1178" s="12"/>
      <c r="H1178" s="38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8"/>
      <c r="AS1178" s="28"/>
      <c r="AT1178" s="28"/>
      <c r="AU1178" s="12"/>
      <c r="AV1178" s="29"/>
    </row>
    <row r="1179" spans="4:48">
      <c r="D1179" s="12"/>
      <c r="E1179" s="12"/>
      <c r="F1179" s="12"/>
      <c r="G1179" s="12"/>
      <c r="H1179" s="38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8"/>
      <c r="AS1179" s="28"/>
      <c r="AT1179" s="28"/>
      <c r="AU1179" s="12"/>
      <c r="AV1179" s="29"/>
    </row>
    <row r="1180" spans="4:48">
      <c r="D1180" s="12"/>
      <c r="E1180" s="12"/>
      <c r="F1180" s="12"/>
      <c r="G1180" s="12"/>
      <c r="H1180" s="38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8"/>
      <c r="AS1180" s="28"/>
      <c r="AT1180" s="28"/>
      <c r="AU1180" s="12"/>
      <c r="AV1180" s="29"/>
    </row>
    <row r="1181" spans="4:48">
      <c r="D1181" s="12"/>
      <c r="E1181" s="12"/>
      <c r="F1181" s="12"/>
      <c r="G1181" s="12"/>
      <c r="H1181" s="38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8"/>
      <c r="AS1181" s="28"/>
      <c r="AT1181" s="28"/>
      <c r="AU1181" s="12"/>
      <c r="AV1181" s="29"/>
    </row>
    <row r="1182" spans="4:48">
      <c r="D1182" s="12"/>
      <c r="E1182" s="12"/>
      <c r="F1182" s="12"/>
      <c r="G1182" s="12"/>
      <c r="H1182" s="38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8"/>
      <c r="AS1182" s="28"/>
      <c r="AT1182" s="28"/>
      <c r="AU1182" s="12"/>
      <c r="AV1182" s="29"/>
    </row>
    <row r="1183" spans="4:48">
      <c r="D1183" s="12"/>
      <c r="E1183" s="12"/>
      <c r="F1183" s="12"/>
      <c r="G1183" s="12"/>
      <c r="H1183" s="38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8"/>
      <c r="AS1183" s="28"/>
      <c r="AT1183" s="28"/>
      <c r="AU1183" s="12"/>
      <c r="AV1183" s="29"/>
    </row>
    <row r="1184" spans="4:48">
      <c r="D1184" s="12"/>
      <c r="E1184" s="12"/>
      <c r="F1184" s="12"/>
      <c r="G1184" s="12"/>
      <c r="H1184" s="38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8"/>
      <c r="AS1184" s="28"/>
      <c r="AT1184" s="28"/>
      <c r="AU1184" s="12"/>
      <c r="AV1184" s="29"/>
    </row>
    <row r="1185" spans="4:48">
      <c r="D1185" s="12"/>
      <c r="E1185" s="12"/>
      <c r="F1185" s="12"/>
      <c r="G1185" s="12"/>
      <c r="H1185" s="38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8"/>
      <c r="AS1185" s="28"/>
      <c r="AT1185" s="28"/>
      <c r="AU1185" s="12"/>
      <c r="AV1185" s="29"/>
    </row>
    <row r="1186" spans="4:48">
      <c r="D1186" s="12"/>
      <c r="E1186" s="12"/>
      <c r="F1186" s="12"/>
      <c r="G1186" s="12"/>
      <c r="H1186" s="38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8"/>
      <c r="AS1186" s="28"/>
      <c r="AT1186" s="28"/>
      <c r="AU1186" s="12"/>
      <c r="AV1186" s="29"/>
    </row>
    <row r="1187" spans="4:48">
      <c r="D1187" s="12"/>
      <c r="E1187" s="12"/>
      <c r="F1187" s="12"/>
      <c r="G1187" s="12"/>
      <c r="H1187" s="38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8"/>
      <c r="AS1187" s="28"/>
      <c r="AT1187" s="28"/>
      <c r="AU1187" s="12"/>
      <c r="AV1187" s="29"/>
    </row>
    <row r="1188" spans="4:48">
      <c r="D1188" s="12"/>
      <c r="E1188" s="12"/>
      <c r="F1188" s="12"/>
      <c r="G1188" s="12"/>
      <c r="H1188" s="38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8"/>
      <c r="AS1188" s="28"/>
      <c r="AT1188" s="28"/>
      <c r="AU1188" s="12"/>
      <c r="AV1188" s="29"/>
    </row>
    <row r="1189" spans="4:48">
      <c r="D1189" s="12"/>
      <c r="E1189" s="12"/>
      <c r="F1189" s="12"/>
      <c r="G1189" s="12"/>
      <c r="H1189" s="38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8"/>
      <c r="AS1189" s="28"/>
      <c r="AT1189" s="28"/>
      <c r="AU1189" s="12"/>
      <c r="AV1189" s="29"/>
    </row>
    <row r="1190" spans="4:48">
      <c r="D1190" s="12"/>
      <c r="E1190" s="12"/>
      <c r="F1190" s="12"/>
      <c r="G1190" s="12"/>
      <c r="H1190" s="38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8"/>
      <c r="AS1190" s="28"/>
      <c r="AT1190" s="28"/>
      <c r="AU1190" s="12"/>
      <c r="AV1190" s="29"/>
    </row>
    <row r="1191" spans="4:48">
      <c r="D1191" s="12"/>
      <c r="E1191" s="12"/>
      <c r="F1191" s="12"/>
      <c r="G1191" s="12"/>
      <c r="H1191" s="38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8"/>
      <c r="AS1191" s="28"/>
      <c r="AT1191" s="28"/>
      <c r="AU1191" s="12"/>
      <c r="AV1191" s="29"/>
    </row>
    <row r="1192" spans="4:48">
      <c r="D1192" s="12"/>
      <c r="E1192" s="12"/>
      <c r="F1192" s="12"/>
      <c r="G1192" s="12"/>
      <c r="H1192" s="38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8"/>
      <c r="AS1192" s="28"/>
      <c r="AT1192" s="28"/>
      <c r="AU1192" s="12"/>
      <c r="AV1192" s="29"/>
    </row>
    <row r="1193" spans="4:48">
      <c r="D1193" s="12"/>
      <c r="E1193" s="12"/>
      <c r="F1193" s="12"/>
      <c r="G1193" s="12"/>
      <c r="H1193" s="38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8"/>
      <c r="AS1193" s="28"/>
      <c r="AT1193" s="28"/>
      <c r="AU1193" s="12"/>
      <c r="AV1193" s="29"/>
    </row>
    <row r="1194" spans="4:48">
      <c r="D1194" s="12"/>
      <c r="E1194" s="12"/>
      <c r="F1194" s="12"/>
      <c r="G1194" s="12"/>
      <c r="H1194" s="38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8"/>
      <c r="AS1194" s="28"/>
      <c r="AT1194" s="28"/>
      <c r="AU1194" s="12"/>
      <c r="AV1194" s="29"/>
    </row>
    <row r="1195" spans="4:48">
      <c r="D1195" s="12"/>
      <c r="E1195" s="12"/>
      <c r="F1195" s="12"/>
      <c r="G1195" s="12"/>
      <c r="H1195" s="38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8"/>
      <c r="AS1195" s="28"/>
      <c r="AT1195" s="28"/>
      <c r="AU1195" s="12"/>
      <c r="AV1195" s="29"/>
    </row>
    <row r="1196" spans="4:48">
      <c r="D1196" s="12"/>
      <c r="E1196" s="12"/>
      <c r="F1196" s="12"/>
      <c r="G1196" s="12"/>
      <c r="H1196" s="38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8"/>
      <c r="AS1196" s="28"/>
      <c r="AT1196" s="28"/>
      <c r="AU1196" s="12"/>
      <c r="AV1196" s="29"/>
    </row>
    <row r="1197" spans="4:48">
      <c r="D1197" s="12"/>
      <c r="E1197" s="12"/>
      <c r="F1197" s="12"/>
      <c r="G1197" s="12"/>
      <c r="H1197" s="38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8"/>
      <c r="AS1197" s="28"/>
      <c r="AT1197" s="28"/>
      <c r="AU1197" s="12"/>
      <c r="AV1197" s="29"/>
    </row>
    <row r="1198" spans="4:48">
      <c r="D1198" s="12"/>
      <c r="E1198" s="12"/>
      <c r="F1198" s="12"/>
      <c r="G1198" s="12"/>
      <c r="H1198" s="38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8"/>
      <c r="AS1198" s="28"/>
      <c r="AT1198" s="28"/>
      <c r="AU1198" s="12"/>
      <c r="AV1198" s="29"/>
    </row>
    <row r="1199" spans="4:48">
      <c r="D1199" s="12"/>
      <c r="E1199" s="12"/>
      <c r="F1199" s="12"/>
      <c r="G1199" s="12"/>
      <c r="H1199" s="38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8"/>
      <c r="AS1199" s="28"/>
      <c r="AT1199" s="28"/>
      <c r="AU1199" s="12"/>
      <c r="AV1199" s="29"/>
    </row>
    <row r="1200" spans="4:48">
      <c r="D1200" s="12"/>
      <c r="E1200" s="12"/>
      <c r="F1200" s="12"/>
      <c r="G1200" s="12"/>
      <c r="H1200" s="38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8"/>
      <c r="AS1200" s="28"/>
      <c r="AT1200" s="28"/>
      <c r="AU1200" s="12"/>
      <c r="AV1200" s="29"/>
    </row>
    <row r="1201" spans="4:48">
      <c r="D1201" s="12"/>
      <c r="E1201" s="12"/>
      <c r="F1201" s="12"/>
      <c r="G1201" s="12"/>
      <c r="H1201" s="38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8"/>
      <c r="AS1201" s="28"/>
      <c r="AT1201" s="28"/>
      <c r="AU1201" s="12"/>
      <c r="AV1201" s="29"/>
    </row>
    <row r="1202" spans="4:48">
      <c r="D1202" s="12"/>
      <c r="E1202" s="12"/>
      <c r="F1202" s="12"/>
      <c r="G1202" s="12"/>
      <c r="H1202" s="38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8"/>
      <c r="AS1202" s="28"/>
      <c r="AT1202" s="28"/>
      <c r="AU1202" s="12"/>
      <c r="AV1202" s="29"/>
    </row>
    <row r="1203" spans="4:48">
      <c r="D1203" s="12"/>
      <c r="E1203" s="12"/>
      <c r="F1203" s="12"/>
      <c r="G1203" s="12"/>
      <c r="H1203" s="38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8"/>
      <c r="AS1203" s="28"/>
      <c r="AT1203" s="28"/>
      <c r="AU1203" s="12"/>
      <c r="AV1203" s="29"/>
    </row>
    <row r="1204" spans="4:48">
      <c r="D1204" s="12"/>
      <c r="E1204" s="12"/>
      <c r="F1204" s="12"/>
      <c r="G1204" s="12"/>
      <c r="H1204" s="38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8"/>
      <c r="AS1204" s="28"/>
      <c r="AT1204" s="28"/>
      <c r="AU1204" s="12"/>
      <c r="AV1204" s="29"/>
    </row>
    <row r="1205" spans="4:48">
      <c r="D1205" s="12"/>
      <c r="E1205" s="12"/>
      <c r="F1205" s="12"/>
      <c r="G1205" s="12"/>
      <c r="H1205" s="38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8"/>
      <c r="AS1205" s="28"/>
      <c r="AT1205" s="28"/>
      <c r="AU1205" s="12"/>
      <c r="AV1205" s="29"/>
    </row>
    <row r="1206" spans="4:48">
      <c r="D1206" s="12"/>
      <c r="E1206" s="12"/>
      <c r="F1206" s="12"/>
      <c r="G1206" s="12"/>
      <c r="H1206" s="38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8"/>
      <c r="AS1206" s="28"/>
      <c r="AT1206" s="28"/>
      <c r="AU1206" s="12"/>
      <c r="AV1206" s="29"/>
    </row>
    <row r="1207" spans="4:48">
      <c r="D1207" s="12"/>
      <c r="E1207" s="12"/>
      <c r="F1207" s="12"/>
      <c r="G1207" s="12"/>
      <c r="H1207" s="38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8"/>
      <c r="AS1207" s="28"/>
      <c r="AT1207" s="28"/>
      <c r="AU1207" s="12"/>
      <c r="AV1207" s="29"/>
    </row>
    <row r="1208" spans="4:48">
      <c r="D1208" s="12"/>
      <c r="E1208" s="12"/>
      <c r="F1208" s="12"/>
      <c r="G1208" s="12"/>
      <c r="H1208" s="38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8"/>
      <c r="AS1208" s="28"/>
      <c r="AT1208" s="28"/>
      <c r="AU1208" s="12"/>
      <c r="AV1208" s="29"/>
    </row>
    <row r="1209" spans="4:48">
      <c r="D1209" s="12"/>
      <c r="E1209" s="12"/>
      <c r="F1209" s="12"/>
      <c r="G1209" s="12"/>
      <c r="H1209" s="38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8"/>
      <c r="AS1209" s="28"/>
      <c r="AT1209" s="28"/>
      <c r="AU1209" s="12"/>
      <c r="AV1209" s="29"/>
    </row>
    <row r="1210" spans="4:48">
      <c r="D1210" s="12"/>
      <c r="E1210" s="12"/>
      <c r="F1210" s="12"/>
      <c r="G1210" s="12"/>
      <c r="H1210" s="38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8"/>
      <c r="AS1210" s="28"/>
      <c r="AT1210" s="28"/>
      <c r="AU1210" s="12"/>
      <c r="AV1210" s="29"/>
    </row>
    <row r="1211" spans="4:48">
      <c r="D1211" s="12"/>
      <c r="E1211" s="12"/>
      <c r="F1211" s="12"/>
      <c r="G1211" s="12"/>
      <c r="H1211" s="38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8"/>
      <c r="AS1211" s="28"/>
      <c r="AT1211" s="28"/>
      <c r="AU1211" s="12"/>
      <c r="AV1211" s="29"/>
    </row>
    <row r="1212" spans="4:48">
      <c r="D1212" s="12"/>
      <c r="E1212" s="12"/>
      <c r="F1212" s="12"/>
      <c r="G1212" s="12"/>
      <c r="H1212" s="38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8"/>
      <c r="AS1212" s="28"/>
      <c r="AT1212" s="28"/>
      <c r="AU1212" s="12"/>
      <c r="AV1212" s="29"/>
    </row>
    <row r="1213" spans="4:48">
      <c r="D1213" s="12"/>
      <c r="E1213" s="12"/>
      <c r="F1213" s="12"/>
      <c r="G1213" s="12"/>
      <c r="H1213" s="38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8"/>
      <c r="AS1213" s="28"/>
      <c r="AT1213" s="28"/>
      <c r="AU1213" s="12"/>
      <c r="AV1213" s="29"/>
    </row>
    <row r="1214" spans="4:48">
      <c r="D1214" s="12"/>
      <c r="E1214" s="12"/>
      <c r="F1214" s="12"/>
      <c r="G1214" s="12"/>
      <c r="H1214" s="38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8"/>
      <c r="AS1214" s="28"/>
      <c r="AT1214" s="28"/>
      <c r="AU1214" s="12"/>
      <c r="AV1214" s="29"/>
    </row>
    <row r="1215" spans="4:48">
      <c r="D1215" s="12"/>
      <c r="E1215" s="12"/>
      <c r="F1215" s="12"/>
      <c r="G1215" s="12"/>
      <c r="H1215" s="38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8"/>
      <c r="AS1215" s="28"/>
      <c r="AT1215" s="28"/>
      <c r="AU1215" s="12"/>
      <c r="AV1215" s="29"/>
    </row>
    <row r="1216" spans="4:48">
      <c r="D1216" s="12"/>
      <c r="E1216" s="12"/>
      <c r="F1216" s="12"/>
      <c r="G1216" s="12"/>
      <c r="H1216" s="38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8"/>
      <c r="AS1216" s="28"/>
      <c r="AT1216" s="28"/>
      <c r="AU1216" s="12"/>
      <c r="AV1216" s="29"/>
    </row>
    <row r="1217" spans="4:48">
      <c r="D1217" s="12"/>
      <c r="E1217" s="12"/>
      <c r="F1217" s="12"/>
      <c r="G1217" s="12"/>
      <c r="H1217" s="38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8"/>
      <c r="AS1217" s="28"/>
      <c r="AT1217" s="28"/>
      <c r="AU1217" s="12"/>
      <c r="AV1217" s="29"/>
    </row>
    <row r="1218" spans="4:48">
      <c r="D1218" s="12"/>
      <c r="E1218" s="12"/>
      <c r="F1218" s="12"/>
      <c r="G1218" s="12"/>
      <c r="H1218" s="38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8"/>
      <c r="AS1218" s="28"/>
      <c r="AT1218" s="28"/>
      <c r="AU1218" s="12"/>
      <c r="AV1218" s="29"/>
    </row>
    <row r="1219" spans="4:48">
      <c r="D1219" s="12"/>
      <c r="E1219" s="12"/>
      <c r="F1219" s="12"/>
      <c r="G1219" s="12"/>
      <c r="H1219" s="38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8"/>
      <c r="AS1219" s="28"/>
      <c r="AT1219" s="28"/>
      <c r="AU1219" s="12"/>
      <c r="AV1219" s="29"/>
    </row>
    <row r="1220" spans="4:48">
      <c r="D1220" s="12"/>
      <c r="E1220" s="12"/>
      <c r="F1220" s="12"/>
      <c r="G1220" s="12"/>
      <c r="H1220" s="38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8"/>
      <c r="AS1220" s="28"/>
      <c r="AT1220" s="28"/>
      <c r="AU1220" s="12"/>
      <c r="AV1220" s="29"/>
    </row>
    <row r="1221" spans="4:48">
      <c r="D1221" s="12"/>
      <c r="E1221" s="12"/>
      <c r="F1221" s="12"/>
      <c r="G1221" s="12"/>
      <c r="H1221" s="38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8"/>
      <c r="AS1221" s="28"/>
      <c r="AT1221" s="28"/>
      <c r="AU1221" s="12"/>
      <c r="AV1221" s="29"/>
    </row>
    <row r="1222" spans="4:48">
      <c r="D1222" s="12"/>
      <c r="E1222" s="12"/>
      <c r="F1222" s="12"/>
      <c r="G1222" s="12"/>
      <c r="H1222" s="38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8"/>
      <c r="AS1222" s="28"/>
      <c r="AT1222" s="28"/>
      <c r="AU1222" s="12"/>
      <c r="AV1222" s="29"/>
    </row>
    <row r="1223" spans="4:48">
      <c r="D1223" s="12"/>
      <c r="E1223" s="12"/>
      <c r="F1223" s="12"/>
      <c r="G1223" s="12"/>
      <c r="H1223" s="38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8"/>
      <c r="AS1223" s="28"/>
      <c r="AT1223" s="28"/>
      <c r="AU1223" s="12"/>
      <c r="AV1223" s="29"/>
    </row>
    <row r="1224" spans="4:48">
      <c r="D1224" s="12"/>
      <c r="E1224" s="12"/>
      <c r="F1224" s="12"/>
      <c r="G1224" s="12"/>
      <c r="H1224" s="38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8"/>
      <c r="AS1224" s="28"/>
      <c r="AT1224" s="28"/>
      <c r="AU1224" s="12"/>
      <c r="AV1224" s="29"/>
    </row>
    <row r="1225" spans="4:48">
      <c r="D1225" s="12"/>
      <c r="E1225" s="12"/>
      <c r="F1225" s="12"/>
      <c r="G1225" s="12"/>
      <c r="H1225" s="38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8"/>
      <c r="AS1225" s="28"/>
      <c r="AT1225" s="28"/>
      <c r="AU1225" s="12"/>
      <c r="AV1225" s="29"/>
    </row>
    <row r="1226" spans="4:48">
      <c r="D1226" s="12"/>
      <c r="E1226" s="12"/>
      <c r="F1226" s="12"/>
      <c r="G1226" s="12"/>
      <c r="H1226" s="38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8"/>
      <c r="AS1226" s="28"/>
      <c r="AT1226" s="28"/>
      <c r="AU1226" s="12"/>
      <c r="AV1226" s="29"/>
    </row>
    <row r="1227" spans="4:48">
      <c r="D1227" s="12"/>
      <c r="E1227" s="12"/>
      <c r="F1227" s="12"/>
      <c r="G1227" s="12"/>
      <c r="H1227" s="38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8"/>
      <c r="AS1227" s="28"/>
      <c r="AT1227" s="28"/>
      <c r="AU1227" s="12"/>
      <c r="AV1227" s="29"/>
    </row>
    <row r="1228" spans="4:48">
      <c r="D1228" s="12"/>
      <c r="E1228" s="12"/>
      <c r="F1228" s="12"/>
      <c r="G1228" s="12"/>
      <c r="H1228" s="38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8"/>
      <c r="AS1228" s="28"/>
      <c r="AT1228" s="28"/>
      <c r="AU1228" s="12"/>
      <c r="AV1228" s="29"/>
    </row>
    <row r="1229" spans="4:48">
      <c r="D1229" s="12"/>
      <c r="E1229" s="12"/>
      <c r="F1229" s="12"/>
      <c r="G1229" s="12"/>
      <c r="H1229" s="38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8"/>
      <c r="AS1229" s="28"/>
      <c r="AT1229" s="28"/>
      <c r="AU1229" s="12"/>
      <c r="AV1229" s="29"/>
    </row>
    <row r="1230" spans="4:48">
      <c r="D1230" s="12"/>
      <c r="E1230" s="12"/>
      <c r="F1230" s="12"/>
      <c r="G1230" s="12"/>
      <c r="H1230" s="38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8"/>
      <c r="AS1230" s="28"/>
      <c r="AT1230" s="28"/>
      <c r="AU1230" s="12"/>
      <c r="AV1230" s="29"/>
    </row>
    <row r="1231" spans="4:48">
      <c r="D1231" s="12"/>
      <c r="E1231" s="12"/>
      <c r="F1231" s="12"/>
      <c r="G1231" s="12"/>
      <c r="H1231" s="38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8"/>
      <c r="AS1231" s="28"/>
      <c r="AT1231" s="28"/>
      <c r="AU1231" s="12"/>
      <c r="AV1231" s="29"/>
    </row>
    <row r="1232" spans="4:48">
      <c r="D1232" s="12"/>
      <c r="E1232" s="12"/>
      <c r="F1232" s="12"/>
      <c r="G1232" s="12"/>
      <c r="H1232" s="38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8"/>
      <c r="AS1232" s="28"/>
      <c r="AT1232" s="28"/>
      <c r="AU1232" s="12"/>
      <c r="AV1232" s="29"/>
    </row>
    <row r="1233" spans="4:48">
      <c r="D1233" s="12"/>
      <c r="E1233" s="12"/>
      <c r="F1233" s="12"/>
      <c r="G1233" s="12"/>
      <c r="H1233" s="38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8"/>
      <c r="AS1233" s="28"/>
      <c r="AT1233" s="28"/>
      <c r="AU1233" s="12"/>
      <c r="AV1233" s="29"/>
    </row>
    <row r="1234" spans="4:48">
      <c r="D1234" s="12"/>
      <c r="E1234" s="12"/>
      <c r="F1234" s="12"/>
      <c r="G1234" s="12"/>
      <c r="H1234" s="38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8"/>
      <c r="AS1234" s="28"/>
      <c r="AT1234" s="28"/>
      <c r="AU1234" s="12"/>
      <c r="AV1234" s="29"/>
    </row>
    <row r="1235" spans="4:48">
      <c r="D1235" s="12"/>
      <c r="E1235" s="12"/>
      <c r="F1235" s="12"/>
      <c r="G1235" s="12"/>
      <c r="H1235" s="38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8"/>
      <c r="AS1235" s="28"/>
      <c r="AT1235" s="28"/>
      <c r="AU1235" s="12"/>
      <c r="AV1235" s="29"/>
    </row>
    <row r="1236" spans="4:48">
      <c r="D1236" s="12"/>
      <c r="E1236" s="12"/>
      <c r="F1236" s="12"/>
      <c r="G1236" s="12"/>
      <c r="H1236" s="38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8"/>
      <c r="AS1236" s="28"/>
      <c r="AT1236" s="28"/>
      <c r="AU1236" s="12"/>
      <c r="AV1236" s="29"/>
    </row>
    <row r="1237" spans="4:48">
      <c r="D1237" s="12"/>
      <c r="E1237" s="12"/>
      <c r="F1237" s="12"/>
      <c r="G1237" s="12"/>
      <c r="H1237" s="38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8"/>
      <c r="AS1237" s="28"/>
      <c r="AT1237" s="28"/>
      <c r="AU1237" s="12"/>
      <c r="AV1237" s="29"/>
    </row>
    <row r="1238" spans="4:48">
      <c r="D1238" s="12"/>
      <c r="E1238" s="12"/>
      <c r="F1238" s="12"/>
      <c r="G1238" s="12"/>
      <c r="H1238" s="38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8"/>
      <c r="AS1238" s="28"/>
      <c r="AT1238" s="28"/>
      <c r="AU1238" s="12"/>
      <c r="AV1238" s="29"/>
    </row>
    <row r="1239" spans="4:48">
      <c r="D1239" s="12"/>
      <c r="E1239" s="12"/>
      <c r="F1239" s="12"/>
      <c r="G1239" s="12"/>
      <c r="H1239" s="38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8"/>
      <c r="AS1239" s="28"/>
      <c r="AT1239" s="28"/>
      <c r="AU1239" s="12"/>
      <c r="AV1239" s="29"/>
    </row>
    <row r="1240" spans="4:48">
      <c r="D1240" s="12"/>
      <c r="E1240" s="12"/>
      <c r="F1240" s="12"/>
      <c r="G1240" s="12"/>
      <c r="H1240" s="38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8"/>
      <c r="AS1240" s="28"/>
      <c r="AT1240" s="28"/>
      <c r="AU1240" s="12"/>
      <c r="AV1240" s="29"/>
    </row>
    <row r="1241" spans="4:48">
      <c r="D1241" s="12"/>
      <c r="E1241" s="12"/>
      <c r="F1241" s="12"/>
      <c r="G1241" s="12"/>
      <c r="H1241" s="38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8"/>
      <c r="AS1241" s="28"/>
      <c r="AT1241" s="28"/>
      <c r="AU1241" s="12"/>
      <c r="AV1241" s="29"/>
    </row>
    <row r="1242" spans="4:48">
      <c r="D1242" s="12"/>
      <c r="E1242" s="12"/>
      <c r="F1242" s="12"/>
      <c r="G1242" s="12"/>
      <c r="H1242" s="38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8"/>
      <c r="AS1242" s="28"/>
      <c r="AT1242" s="28"/>
      <c r="AU1242" s="12"/>
      <c r="AV1242" s="29"/>
    </row>
    <row r="1243" spans="4:48">
      <c r="D1243" s="12"/>
      <c r="E1243" s="12"/>
      <c r="F1243" s="12"/>
      <c r="G1243" s="12"/>
      <c r="H1243" s="38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8"/>
      <c r="AS1243" s="28"/>
      <c r="AT1243" s="28"/>
      <c r="AU1243" s="12"/>
      <c r="AV1243" s="29"/>
    </row>
    <row r="1244" spans="4:48">
      <c r="D1244" s="12"/>
      <c r="E1244" s="12"/>
      <c r="F1244" s="12"/>
      <c r="G1244" s="12"/>
      <c r="H1244" s="38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8"/>
      <c r="AS1244" s="28"/>
      <c r="AT1244" s="28"/>
      <c r="AU1244" s="12"/>
      <c r="AV1244" s="29"/>
    </row>
    <row r="1245" spans="4:48">
      <c r="D1245" s="12"/>
      <c r="E1245" s="12"/>
      <c r="F1245" s="12"/>
      <c r="G1245" s="12"/>
      <c r="H1245" s="38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8"/>
      <c r="AS1245" s="28"/>
      <c r="AT1245" s="28"/>
      <c r="AU1245" s="12"/>
      <c r="AV1245" s="29"/>
    </row>
    <row r="1246" spans="4:48">
      <c r="D1246" s="12"/>
      <c r="E1246" s="12"/>
      <c r="F1246" s="12"/>
      <c r="G1246" s="12"/>
      <c r="H1246" s="38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8"/>
      <c r="AS1246" s="28"/>
      <c r="AT1246" s="28"/>
      <c r="AU1246" s="12"/>
      <c r="AV1246" s="29"/>
    </row>
    <row r="1247" spans="4:48">
      <c r="D1247" s="12"/>
      <c r="E1247" s="12"/>
      <c r="F1247" s="12"/>
      <c r="G1247" s="12"/>
      <c r="H1247" s="38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8"/>
      <c r="AS1247" s="28"/>
      <c r="AT1247" s="28"/>
      <c r="AU1247" s="12"/>
      <c r="AV1247" s="29"/>
    </row>
    <row r="1248" spans="4:48">
      <c r="D1248" s="12"/>
      <c r="E1248" s="12"/>
      <c r="F1248" s="12"/>
      <c r="G1248" s="12"/>
      <c r="H1248" s="38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8"/>
      <c r="AS1248" s="28"/>
      <c r="AT1248" s="28"/>
      <c r="AU1248" s="12"/>
      <c r="AV1248" s="29"/>
    </row>
    <row r="1249" spans="4:48">
      <c r="D1249" s="12"/>
      <c r="E1249" s="12"/>
      <c r="F1249" s="12"/>
      <c r="G1249" s="12"/>
      <c r="H1249" s="38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8"/>
      <c r="AS1249" s="28"/>
      <c r="AT1249" s="28"/>
      <c r="AU1249" s="12"/>
      <c r="AV1249" s="29"/>
    </row>
    <row r="1250" spans="4:48">
      <c r="D1250" s="12"/>
      <c r="E1250" s="12"/>
      <c r="F1250" s="12"/>
      <c r="G1250" s="12"/>
      <c r="H1250" s="38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8"/>
      <c r="AS1250" s="28"/>
      <c r="AT1250" s="28"/>
      <c r="AU1250" s="12"/>
      <c r="AV1250" s="29"/>
    </row>
    <row r="1251" spans="4:48">
      <c r="D1251" s="12"/>
      <c r="E1251" s="12"/>
      <c r="F1251" s="12"/>
      <c r="G1251" s="12"/>
      <c r="H1251" s="38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8"/>
      <c r="AS1251" s="28"/>
      <c r="AT1251" s="28"/>
      <c r="AU1251" s="12"/>
      <c r="AV1251" s="29"/>
    </row>
    <row r="1252" spans="4:48">
      <c r="D1252" s="12"/>
      <c r="E1252" s="12"/>
      <c r="F1252" s="12"/>
      <c r="G1252" s="12"/>
      <c r="H1252" s="38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8"/>
      <c r="AS1252" s="28"/>
      <c r="AT1252" s="28"/>
      <c r="AU1252" s="12"/>
      <c r="AV1252" s="29"/>
    </row>
    <row r="1253" spans="4:48">
      <c r="D1253" s="12"/>
      <c r="E1253" s="12"/>
      <c r="F1253" s="12"/>
      <c r="G1253" s="12"/>
      <c r="H1253" s="38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8"/>
      <c r="AS1253" s="28"/>
      <c r="AT1253" s="28"/>
      <c r="AU1253" s="12"/>
      <c r="AV1253" s="29"/>
    </row>
    <row r="1254" spans="4:48">
      <c r="D1254" s="12"/>
      <c r="E1254" s="12"/>
      <c r="F1254" s="12"/>
      <c r="G1254" s="12"/>
      <c r="H1254" s="38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8"/>
      <c r="AS1254" s="28"/>
      <c r="AT1254" s="28"/>
      <c r="AU1254" s="12"/>
      <c r="AV1254" s="29"/>
    </row>
    <row r="1255" spans="4:48">
      <c r="D1255" s="12"/>
      <c r="E1255" s="12"/>
      <c r="F1255" s="12"/>
      <c r="G1255" s="12"/>
      <c r="H1255" s="38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8"/>
      <c r="AS1255" s="28"/>
      <c r="AT1255" s="28"/>
      <c r="AU1255" s="12"/>
      <c r="AV1255" s="29"/>
    </row>
    <row r="1256" spans="4:48">
      <c r="D1256" s="12"/>
      <c r="E1256" s="12"/>
      <c r="F1256" s="12"/>
      <c r="G1256" s="12"/>
      <c r="H1256" s="38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8"/>
      <c r="AS1256" s="28"/>
      <c r="AT1256" s="28"/>
      <c r="AU1256" s="12"/>
      <c r="AV1256" s="29"/>
    </row>
    <row r="1257" spans="4:48">
      <c r="D1257" s="12"/>
      <c r="E1257" s="12"/>
      <c r="F1257" s="12"/>
      <c r="G1257" s="12"/>
      <c r="H1257" s="38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8"/>
      <c r="AS1257" s="28"/>
      <c r="AT1257" s="28"/>
      <c r="AU1257" s="12"/>
      <c r="AV1257" s="29"/>
    </row>
    <row r="1258" spans="4:48">
      <c r="D1258" s="12"/>
      <c r="E1258" s="12"/>
      <c r="F1258" s="12"/>
      <c r="G1258" s="12"/>
      <c r="H1258" s="38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8"/>
      <c r="AS1258" s="28"/>
      <c r="AT1258" s="28"/>
      <c r="AU1258" s="12"/>
      <c r="AV1258" s="29"/>
    </row>
    <row r="1259" spans="4:48">
      <c r="D1259" s="12"/>
      <c r="E1259" s="12"/>
      <c r="F1259" s="12"/>
      <c r="G1259" s="12"/>
      <c r="H1259" s="38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8"/>
      <c r="AS1259" s="28"/>
      <c r="AT1259" s="28"/>
      <c r="AU1259" s="12"/>
      <c r="AV1259" s="29"/>
    </row>
    <row r="1260" spans="4:48">
      <c r="D1260" s="12"/>
      <c r="E1260" s="12"/>
      <c r="F1260" s="12"/>
      <c r="G1260" s="12"/>
      <c r="H1260" s="38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8"/>
      <c r="AS1260" s="28"/>
      <c r="AT1260" s="28"/>
      <c r="AU1260" s="12"/>
      <c r="AV1260" s="29"/>
    </row>
    <row r="1261" spans="4:48">
      <c r="D1261" s="12"/>
      <c r="E1261" s="12"/>
      <c r="F1261" s="12"/>
      <c r="G1261" s="12"/>
      <c r="H1261" s="38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8"/>
      <c r="AS1261" s="28"/>
      <c r="AT1261" s="28"/>
      <c r="AU1261" s="12"/>
      <c r="AV1261" s="29"/>
    </row>
    <row r="1262" spans="4:48">
      <c r="D1262" s="12"/>
      <c r="E1262" s="12"/>
      <c r="F1262" s="12"/>
      <c r="G1262" s="12"/>
      <c r="H1262" s="38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8"/>
      <c r="AS1262" s="28"/>
      <c r="AT1262" s="28"/>
      <c r="AU1262" s="12"/>
      <c r="AV1262" s="29"/>
    </row>
    <row r="1263" spans="4:48">
      <c r="D1263" s="12"/>
      <c r="E1263" s="12"/>
      <c r="F1263" s="12"/>
      <c r="G1263" s="12"/>
      <c r="H1263" s="38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8"/>
      <c r="AS1263" s="28"/>
      <c r="AT1263" s="28"/>
      <c r="AU1263" s="12"/>
      <c r="AV1263" s="29"/>
    </row>
    <row r="1264" spans="4:48">
      <c r="D1264" s="12"/>
      <c r="E1264" s="12"/>
      <c r="F1264" s="12"/>
      <c r="G1264" s="12"/>
      <c r="H1264" s="38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8"/>
      <c r="AS1264" s="28"/>
      <c r="AT1264" s="28"/>
      <c r="AU1264" s="12"/>
      <c r="AV1264" s="29"/>
    </row>
    <row r="1265" spans="4:48">
      <c r="D1265" s="12"/>
      <c r="E1265" s="12"/>
      <c r="F1265" s="12"/>
      <c r="G1265" s="12"/>
      <c r="H1265" s="38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8"/>
      <c r="AS1265" s="28"/>
      <c r="AT1265" s="28"/>
      <c r="AU1265" s="12"/>
      <c r="AV1265" s="29"/>
    </row>
    <row r="1266" spans="4:48">
      <c r="D1266" s="12"/>
      <c r="E1266" s="12"/>
      <c r="F1266" s="12"/>
      <c r="G1266" s="12"/>
      <c r="H1266" s="38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8"/>
      <c r="AS1266" s="28"/>
      <c r="AT1266" s="28"/>
      <c r="AU1266" s="12"/>
      <c r="AV1266" s="29"/>
    </row>
    <row r="1267" spans="4:48">
      <c r="D1267" s="12"/>
      <c r="E1267" s="12"/>
      <c r="F1267" s="12"/>
      <c r="G1267" s="12"/>
      <c r="H1267" s="38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8"/>
      <c r="AS1267" s="28"/>
      <c r="AT1267" s="28"/>
      <c r="AU1267" s="12"/>
      <c r="AV1267" s="29"/>
    </row>
    <row r="1268" spans="4:48">
      <c r="D1268" s="12"/>
      <c r="E1268" s="12"/>
      <c r="F1268" s="12"/>
      <c r="G1268" s="12"/>
      <c r="H1268" s="38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8"/>
      <c r="AS1268" s="28"/>
      <c r="AT1268" s="28"/>
      <c r="AU1268" s="12"/>
      <c r="AV1268" s="29"/>
    </row>
    <row r="1269" spans="4:48">
      <c r="D1269" s="12"/>
      <c r="E1269" s="12"/>
      <c r="F1269" s="12"/>
      <c r="G1269" s="12"/>
      <c r="H1269" s="38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8"/>
      <c r="AS1269" s="28"/>
      <c r="AT1269" s="28"/>
      <c r="AU1269" s="12"/>
      <c r="AV1269" s="29"/>
    </row>
    <row r="1270" spans="4:48">
      <c r="D1270" s="12"/>
      <c r="E1270" s="12"/>
      <c r="F1270" s="12"/>
      <c r="G1270" s="12"/>
      <c r="H1270" s="38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8"/>
      <c r="AS1270" s="28"/>
      <c r="AT1270" s="28"/>
      <c r="AU1270" s="12"/>
      <c r="AV1270" s="29"/>
    </row>
    <row r="1271" spans="4:48">
      <c r="D1271" s="12"/>
      <c r="E1271" s="12"/>
      <c r="F1271" s="12"/>
      <c r="G1271" s="12"/>
      <c r="H1271" s="38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8"/>
      <c r="AS1271" s="28"/>
      <c r="AT1271" s="28"/>
      <c r="AU1271" s="12"/>
      <c r="AV1271" s="29"/>
    </row>
    <row r="1272" spans="4:48">
      <c r="D1272" s="12"/>
      <c r="E1272" s="12"/>
      <c r="F1272" s="12"/>
      <c r="G1272" s="12"/>
      <c r="H1272" s="38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8"/>
      <c r="AS1272" s="28"/>
      <c r="AT1272" s="28"/>
      <c r="AU1272" s="12"/>
      <c r="AV1272" s="29"/>
    </row>
    <row r="1273" spans="4:48">
      <c r="D1273" s="12"/>
      <c r="E1273" s="12"/>
      <c r="F1273" s="12"/>
      <c r="G1273" s="12"/>
      <c r="H1273" s="38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8"/>
      <c r="AS1273" s="28"/>
      <c r="AT1273" s="28"/>
      <c r="AU1273" s="12"/>
      <c r="AV1273" s="29"/>
    </row>
    <row r="1274" spans="4:48">
      <c r="D1274" s="12"/>
      <c r="E1274" s="12"/>
      <c r="F1274" s="12"/>
      <c r="G1274" s="12"/>
      <c r="H1274" s="38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8"/>
      <c r="AS1274" s="28"/>
      <c r="AT1274" s="28"/>
      <c r="AU1274" s="12"/>
      <c r="AV1274" s="29"/>
    </row>
    <row r="1275" spans="4:48">
      <c r="D1275" s="12"/>
      <c r="E1275" s="12"/>
      <c r="F1275" s="12"/>
      <c r="G1275" s="12"/>
      <c r="H1275" s="38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8"/>
      <c r="AS1275" s="28"/>
      <c r="AT1275" s="28"/>
      <c r="AU1275" s="12"/>
      <c r="AV1275" s="29"/>
    </row>
    <row r="1276" spans="4:48">
      <c r="D1276" s="12"/>
      <c r="E1276" s="12"/>
      <c r="F1276" s="12"/>
      <c r="G1276" s="12"/>
      <c r="H1276" s="38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8"/>
      <c r="AS1276" s="28"/>
      <c r="AT1276" s="28"/>
      <c r="AU1276" s="12"/>
      <c r="AV1276" s="29"/>
    </row>
    <row r="1277" spans="4:48">
      <c r="D1277" s="12"/>
      <c r="E1277" s="12"/>
      <c r="F1277" s="12"/>
      <c r="G1277" s="12"/>
      <c r="H1277" s="38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8"/>
      <c r="AS1277" s="28"/>
      <c r="AT1277" s="28"/>
      <c r="AU1277" s="12"/>
      <c r="AV1277" s="29"/>
    </row>
    <row r="1278" spans="4:48">
      <c r="D1278" s="12"/>
      <c r="E1278" s="12"/>
      <c r="F1278" s="12"/>
      <c r="G1278" s="12"/>
      <c r="H1278" s="38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8"/>
      <c r="AS1278" s="28"/>
      <c r="AT1278" s="28"/>
      <c r="AU1278" s="12"/>
      <c r="AV1278" s="29"/>
    </row>
    <row r="1279" spans="4:48">
      <c r="D1279" s="12"/>
      <c r="E1279" s="12"/>
      <c r="F1279" s="12"/>
      <c r="G1279" s="12"/>
      <c r="H1279" s="38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8"/>
      <c r="AS1279" s="28"/>
      <c r="AT1279" s="28"/>
      <c r="AU1279" s="12"/>
      <c r="AV1279" s="29"/>
    </row>
    <row r="1280" spans="4:48">
      <c r="D1280" s="12"/>
      <c r="E1280" s="12"/>
      <c r="F1280" s="12"/>
      <c r="G1280" s="12"/>
      <c r="H1280" s="38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8"/>
      <c r="AS1280" s="28"/>
      <c r="AT1280" s="28"/>
      <c r="AU1280" s="12"/>
      <c r="AV1280" s="29"/>
    </row>
    <row r="1281" spans="4:48">
      <c r="D1281" s="12"/>
      <c r="E1281" s="12"/>
      <c r="F1281" s="12"/>
      <c r="G1281" s="12"/>
      <c r="H1281" s="38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8"/>
      <c r="AS1281" s="28"/>
      <c r="AT1281" s="28"/>
      <c r="AU1281" s="12"/>
      <c r="AV1281" s="29"/>
    </row>
    <row r="1282" spans="4:48">
      <c r="D1282" s="12"/>
      <c r="E1282" s="12"/>
      <c r="F1282" s="12"/>
      <c r="G1282" s="12"/>
      <c r="H1282" s="38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8"/>
      <c r="AS1282" s="28"/>
      <c r="AT1282" s="28"/>
      <c r="AU1282" s="12"/>
      <c r="AV1282" s="29"/>
    </row>
    <row r="1283" spans="4:48">
      <c r="D1283" s="12"/>
      <c r="E1283" s="12"/>
      <c r="F1283" s="12"/>
      <c r="G1283" s="12"/>
      <c r="H1283" s="38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8"/>
      <c r="AS1283" s="28"/>
      <c r="AT1283" s="28"/>
      <c r="AU1283" s="12"/>
      <c r="AV1283" s="29"/>
    </row>
    <row r="1284" spans="4:48">
      <c r="D1284" s="12"/>
      <c r="E1284" s="12"/>
      <c r="F1284" s="12"/>
      <c r="G1284" s="12"/>
      <c r="H1284" s="38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8"/>
      <c r="AS1284" s="28"/>
      <c r="AT1284" s="28"/>
      <c r="AU1284" s="12"/>
      <c r="AV1284" s="29"/>
    </row>
    <row r="1285" spans="4:48">
      <c r="D1285" s="12"/>
      <c r="E1285" s="12"/>
      <c r="F1285" s="12"/>
      <c r="G1285" s="12"/>
      <c r="H1285" s="38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8"/>
      <c r="AS1285" s="28"/>
      <c r="AT1285" s="28"/>
      <c r="AU1285" s="12"/>
      <c r="AV1285" s="29"/>
    </row>
    <row r="1286" spans="4:48">
      <c r="D1286" s="12"/>
      <c r="E1286" s="12"/>
      <c r="F1286" s="12"/>
      <c r="G1286" s="12"/>
      <c r="H1286" s="38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8"/>
      <c r="AS1286" s="28"/>
      <c r="AT1286" s="28"/>
      <c r="AU1286" s="12"/>
      <c r="AV1286" s="29"/>
    </row>
    <row r="1287" spans="4:48">
      <c r="D1287" s="12"/>
      <c r="E1287" s="12"/>
      <c r="F1287" s="12"/>
      <c r="G1287" s="12"/>
      <c r="H1287" s="38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8"/>
      <c r="AS1287" s="28"/>
      <c r="AT1287" s="28"/>
      <c r="AU1287" s="12"/>
      <c r="AV1287" s="29"/>
    </row>
    <row r="1288" spans="4:48">
      <c r="D1288" s="12"/>
      <c r="E1288" s="12"/>
      <c r="F1288" s="12"/>
      <c r="G1288" s="12"/>
      <c r="H1288" s="38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8"/>
      <c r="AS1288" s="28"/>
      <c r="AT1288" s="28"/>
      <c r="AU1288" s="12"/>
      <c r="AV1288" s="29"/>
    </row>
    <row r="1289" spans="4:48">
      <c r="D1289" s="12"/>
      <c r="E1289" s="12"/>
      <c r="F1289" s="12"/>
      <c r="G1289" s="12"/>
      <c r="H1289" s="38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8"/>
      <c r="AS1289" s="28"/>
      <c r="AT1289" s="28"/>
      <c r="AU1289" s="12"/>
      <c r="AV1289" s="29"/>
    </row>
    <row r="1290" spans="4:48">
      <c r="D1290" s="12"/>
      <c r="E1290" s="12"/>
      <c r="F1290" s="12"/>
      <c r="G1290" s="12"/>
      <c r="H1290" s="38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8"/>
      <c r="AS1290" s="28"/>
      <c r="AT1290" s="28"/>
      <c r="AU1290" s="12"/>
      <c r="AV1290" s="29"/>
    </row>
    <row r="1291" spans="4:48">
      <c r="D1291" s="12"/>
      <c r="E1291" s="12"/>
      <c r="F1291" s="12"/>
      <c r="G1291" s="12"/>
      <c r="H1291" s="38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8"/>
      <c r="AS1291" s="28"/>
      <c r="AT1291" s="28"/>
      <c r="AU1291" s="12"/>
      <c r="AV1291" s="29"/>
    </row>
    <row r="1292" spans="4:48">
      <c r="D1292" s="12"/>
      <c r="E1292" s="12"/>
      <c r="F1292" s="12"/>
      <c r="G1292" s="12"/>
      <c r="H1292" s="38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8"/>
      <c r="AS1292" s="28"/>
      <c r="AT1292" s="28"/>
      <c r="AU1292" s="12"/>
      <c r="AV1292" s="29"/>
    </row>
    <row r="1293" spans="4:48">
      <c r="D1293" s="12"/>
      <c r="E1293" s="12"/>
      <c r="F1293" s="12"/>
      <c r="G1293" s="12"/>
      <c r="H1293" s="38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8"/>
      <c r="AS1293" s="28"/>
      <c r="AT1293" s="28"/>
      <c r="AU1293" s="12"/>
      <c r="AV1293" s="29"/>
    </row>
    <row r="1294" spans="4:48">
      <c r="D1294" s="12"/>
      <c r="E1294" s="12"/>
      <c r="F1294" s="12"/>
      <c r="G1294" s="12"/>
      <c r="H1294" s="38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8"/>
      <c r="AS1294" s="28"/>
      <c r="AT1294" s="28"/>
      <c r="AU1294" s="12"/>
      <c r="AV1294" s="29"/>
    </row>
    <row r="1295" spans="4:48">
      <c r="D1295" s="12"/>
      <c r="E1295" s="12"/>
      <c r="F1295" s="12"/>
      <c r="G1295" s="12"/>
      <c r="H1295" s="38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8"/>
      <c r="AS1295" s="28"/>
      <c r="AT1295" s="28"/>
      <c r="AU1295" s="12"/>
      <c r="AV1295" s="29"/>
    </row>
    <row r="1296" spans="4:48">
      <c r="D1296" s="12"/>
      <c r="E1296" s="12"/>
      <c r="F1296" s="12"/>
      <c r="G1296" s="12"/>
      <c r="H1296" s="38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8"/>
      <c r="AS1296" s="28"/>
      <c r="AT1296" s="28"/>
      <c r="AU1296" s="12"/>
      <c r="AV1296" s="29"/>
    </row>
    <row r="1297" spans="4:48">
      <c r="D1297" s="12"/>
      <c r="E1297" s="12"/>
      <c r="F1297" s="12"/>
      <c r="G1297" s="12"/>
      <c r="H1297" s="38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8"/>
      <c r="AS1297" s="28"/>
      <c r="AT1297" s="28"/>
      <c r="AU1297" s="12"/>
      <c r="AV1297" s="29"/>
    </row>
    <row r="1298" spans="4:48">
      <c r="D1298" s="12"/>
      <c r="E1298" s="12"/>
      <c r="F1298" s="12"/>
      <c r="G1298" s="12"/>
      <c r="H1298" s="38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8"/>
      <c r="AS1298" s="28"/>
      <c r="AT1298" s="28"/>
      <c r="AU1298" s="12"/>
      <c r="AV1298" s="29"/>
    </row>
    <row r="1299" spans="4:48">
      <c r="D1299" s="12"/>
      <c r="E1299" s="12"/>
      <c r="F1299" s="12"/>
      <c r="G1299" s="12"/>
      <c r="H1299" s="38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8"/>
      <c r="AS1299" s="28"/>
      <c r="AT1299" s="28"/>
      <c r="AU1299" s="12"/>
      <c r="AV1299" s="29"/>
    </row>
    <row r="1300" spans="4:48">
      <c r="D1300" s="12"/>
      <c r="E1300" s="12"/>
      <c r="F1300" s="12"/>
      <c r="G1300" s="12"/>
      <c r="H1300" s="38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8"/>
      <c r="AS1300" s="28"/>
      <c r="AT1300" s="28"/>
      <c r="AU1300" s="12"/>
      <c r="AV1300" s="29"/>
    </row>
    <row r="1301" spans="4:48">
      <c r="D1301" s="12"/>
      <c r="E1301" s="12"/>
      <c r="F1301" s="12"/>
      <c r="G1301" s="12"/>
      <c r="H1301" s="38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8"/>
      <c r="AS1301" s="28"/>
      <c r="AT1301" s="28"/>
      <c r="AU1301" s="12"/>
      <c r="AV1301" s="29"/>
    </row>
    <row r="1302" spans="4:48">
      <c r="D1302" s="12"/>
      <c r="E1302" s="12"/>
      <c r="F1302" s="12"/>
      <c r="G1302" s="12"/>
      <c r="H1302" s="38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8"/>
      <c r="AS1302" s="28"/>
      <c r="AT1302" s="28"/>
      <c r="AU1302" s="12"/>
      <c r="AV1302" s="29"/>
    </row>
    <row r="1303" spans="4:48">
      <c r="D1303" s="12"/>
      <c r="E1303" s="12"/>
      <c r="F1303" s="12"/>
      <c r="G1303" s="12"/>
      <c r="H1303" s="38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8"/>
      <c r="AS1303" s="28"/>
      <c r="AT1303" s="28"/>
      <c r="AU1303" s="12"/>
      <c r="AV1303" s="29"/>
    </row>
    <row r="1304" spans="4:48">
      <c r="D1304" s="12"/>
      <c r="E1304" s="12"/>
      <c r="F1304" s="12"/>
      <c r="G1304" s="12"/>
      <c r="H1304" s="38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8"/>
      <c r="AS1304" s="28"/>
      <c r="AT1304" s="28"/>
      <c r="AU1304" s="12"/>
      <c r="AV1304" s="29"/>
    </row>
    <row r="1305" spans="4:48">
      <c r="D1305" s="12"/>
      <c r="E1305" s="12"/>
      <c r="F1305" s="12"/>
      <c r="G1305" s="12"/>
      <c r="H1305" s="38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8"/>
      <c r="AS1305" s="28"/>
      <c r="AT1305" s="28"/>
      <c r="AU1305" s="12"/>
      <c r="AV1305" s="29"/>
    </row>
    <row r="1306" spans="4:48">
      <c r="D1306" s="12"/>
      <c r="E1306" s="12"/>
      <c r="F1306" s="12"/>
      <c r="G1306" s="12"/>
      <c r="H1306" s="38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8"/>
      <c r="AS1306" s="28"/>
      <c r="AT1306" s="28"/>
      <c r="AU1306" s="12"/>
      <c r="AV1306" s="29"/>
    </row>
    <row r="1307" spans="4:48">
      <c r="D1307" s="12"/>
      <c r="E1307" s="12"/>
      <c r="F1307" s="12"/>
      <c r="G1307" s="12"/>
      <c r="H1307" s="38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8"/>
      <c r="AS1307" s="28"/>
      <c r="AT1307" s="28"/>
      <c r="AU1307" s="12"/>
      <c r="AV1307" s="29"/>
    </row>
    <row r="1308" spans="4:48">
      <c r="D1308" s="12"/>
      <c r="E1308" s="12"/>
      <c r="F1308" s="12"/>
      <c r="G1308" s="12"/>
      <c r="H1308" s="38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8"/>
      <c r="AS1308" s="28"/>
      <c r="AT1308" s="28"/>
      <c r="AU1308" s="12"/>
      <c r="AV1308" s="29"/>
    </row>
    <row r="1309" spans="4:48">
      <c r="D1309" s="12"/>
      <c r="E1309" s="12"/>
      <c r="F1309" s="12"/>
      <c r="G1309" s="12"/>
      <c r="H1309" s="38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8"/>
      <c r="AS1309" s="28"/>
      <c r="AT1309" s="28"/>
      <c r="AU1309" s="12"/>
      <c r="AV1309" s="29"/>
    </row>
    <row r="1310" spans="4:48">
      <c r="D1310" s="12"/>
      <c r="E1310" s="12"/>
      <c r="F1310" s="12"/>
      <c r="G1310" s="12"/>
      <c r="H1310" s="38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8"/>
      <c r="AS1310" s="28"/>
      <c r="AT1310" s="28"/>
      <c r="AU1310" s="12"/>
      <c r="AV1310" s="29"/>
    </row>
    <row r="1311" spans="4:48">
      <c r="D1311" s="12"/>
      <c r="E1311" s="12"/>
      <c r="F1311" s="12"/>
      <c r="G1311" s="12"/>
      <c r="H1311" s="38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8"/>
      <c r="AS1311" s="28"/>
      <c r="AT1311" s="28"/>
      <c r="AU1311" s="12"/>
      <c r="AV1311" s="29"/>
    </row>
    <row r="1312" spans="4:48">
      <c r="D1312" s="12"/>
      <c r="E1312" s="12"/>
      <c r="F1312" s="12"/>
      <c r="G1312" s="12"/>
      <c r="H1312" s="38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8"/>
      <c r="AS1312" s="28"/>
      <c r="AT1312" s="28"/>
      <c r="AU1312" s="12"/>
      <c r="AV1312" s="29"/>
    </row>
    <row r="1313" spans="4:48">
      <c r="D1313" s="12"/>
      <c r="E1313" s="12"/>
      <c r="F1313" s="12"/>
      <c r="G1313" s="12"/>
      <c r="H1313" s="38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8"/>
      <c r="AS1313" s="28"/>
      <c r="AT1313" s="28"/>
      <c r="AU1313" s="12"/>
      <c r="AV1313" s="29"/>
    </row>
    <row r="1314" spans="4:48">
      <c r="D1314" s="12"/>
      <c r="E1314" s="12"/>
      <c r="F1314" s="12"/>
      <c r="G1314" s="12"/>
      <c r="H1314" s="38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8"/>
      <c r="AS1314" s="28"/>
      <c r="AT1314" s="28"/>
      <c r="AU1314" s="12"/>
      <c r="AV1314" s="29"/>
    </row>
    <row r="1315" spans="4:48">
      <c r="D1315" s="12"/>
      <c r="E1315" s="12"/>
      <c r="F1315" s="12"/>
      <c r="G1315" s="12"/>
      <c r="H1315" s="38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8"/>
      <c r="AS1315" s="28"/>
      <c r="AT1315" s="28"/>
      <c r="AU1315" s="12"/>
      <c r="AV1315" s="29"/>
    </row>
    <row r="1316" spans="4:48">
      <c r="D1316" s="12"/>
      <c r="E1316" s="12"/>
      <c r="F1316" s="12"/>
      <c r="G1316" s="12"/>
      <c r="H1316" s="38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8"/>
      <c r="AS1316" s="28"/>
      <c r="AT1316" s="28"/>
      <c r="AU1316" s="12"/>
      <c r="AV1316" s="29"/>
    </row>
    <row r="1317" spans="4:48">
      <c r="D1317" s="12"/>
      <c r="E1317" s="12"/>
      <c r="F1317" s="12"/>
      <c r="G1317" s="12"/>
      <c r="H1317" s="38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8"/>
      <c r="AS1317" s="28"/>
      <c r="AT1317" s="28"/>
      <c r="AU1317" s="12"/>
      <c r="AV1317" s="29"/>
    </row>
    <row r="1318" spans="4:48">
      <c r="D1318" s="12"/>
      <c r="E1318" s="12"/>
      <c r="F1318" s="12"/>
      <c r="G1318" s="12"/>
      <c r="H1318" s="38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8"/>
      <c r="AS1318" s="28"/>
      <c r="AT1318" s="28"/>
      <c r="AU1318" s="12"/>
      <c r="AV1318" s="29"/>
    </row>
    <row r="1319" spans="4:48">
      <c r="D1319" s="12"/>
      <c r="E1319" s="12"/>
      <c r="F1319" s="12"/>
      <c r="G1319" s="12"/>
      <c r="H1319" s="38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8"/>
      <c r="AS1319" s="28"/>
      <c r="AT1319" s="28"/>
      <c r="AU1319" s="12"/>
      <c r="AV1319" s="29"/>
    </row>
    <row r="1320" spans="4:48">
      <c r="D1320" s="12"/>
      <c r="E1320" s="12"/>
      <c r="F1320" s="12"/>
      <c r="G1320" s="12"/>
      <c r="H1320" s="38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8"/>
      <c r="AS1320" s="28"/>
      <c r="AT1320" s="28"/>
      <c r="AU1320" s="12"/>
      <c r="AV1320" s="29"/>
    </row>
    <row r="1321" spans="4:48">
      <c r="D1321" s="12"/>
      <c r="E1321" s="12"/>
      <c r="F1321" s="12"/>
      <c r="G1321" s="12"/>
      <c r="H1321" s="38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8"/>
      <c r="AS1321" s="28"/>
      <c r="AT1321" s="28"/>
      <c r="AU1321" s="12"/>
      <c r="AV1321" s="29"/>
    </row>
    <row r="1322" spans="4:48">
      <c r="D1322" s="12"/>
      <c r="E1322" s="12"/>
      <c r="F1322" s="12"/>
      <c r="G1322" s="12"/>
      <c r="H1322" s="38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8"/>
      <c r="AS1322" s="28"/>
      <c r="AT1322" s="28"/>
      <c r="AU1322" s="12"/>
      <c r="AV1322" s="29"/>
    </row>
    <row r="1323" spans="4:48">
      <c r="D1323" s="12"/>
      <c r="E1323" s="12"/>
      <c r="F1323" s="12"/>
      <c r="G1323" s="12"/>
      <c r="H1323" s="38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8"/>
      <c r="AS1323" s="28"/>
      <c r="AT1323" s="28"/>
      <c r="AU1323" s="12"/>
      <c r="AV1323" s="29"/>
    </row>
    <row r="1324" spans="4:48">
      <c r="D1324" s="12"/>
      <c r="E1324" s="12"/>
      <c r="F1324" s="12"/>
      <c r="G1324" s="12"/>
      <c r="H1324" s="38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8"/>
      <c r="AS1324" s="28"/>
      <c r="AT1324" s="28"/>
      <c r="AU1324" s="12"/>
      <c r="AV1324" s="29"/>
    </row>
    <row r="1325" spans="4:48">
      <c r="D1325" s="12"/>
      <c r="E1325" s="12"/>
      <c r="F1325" s="12"/>
      <c r="G1325" s="12"/>
      <c r="H1325" s="38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8"/>
      <c r="AS1325" s="28"/>
      <c r="AT1325" s="28"/>
      <c r="AU1325" s="12"/>
      <c r="AV1325" s="29"/>
    </row>
    <row r="1326" spans="4:48">
      <c r="D1326" s="12"/>
      <c r="E1326" s="12"/>
      <c r="F1326" s="12"/>
      <c r="G1326" s="12"/>
      <c r="H1326" s="38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8"/>
      <c r="AS1326" s="28"/>
      <c r="AT1326" s="28"/>
      <c r="AU1326" s="12"/>
      <c r="AV1326" s="29"/>
    </row>
    <row r="1327" spans="4:48">
      <c r="D1327" s="12"/>
      <c r="E1327" s="12"/>
      <c r="F1327" s="12"/>
      <c r="G1327" s="12"/>
      <c r="H1327" s="38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8"/>
      <c r="AS1327" s="28"/>
      <c r="AT1327" s="28"/>
      <c r="AU1327" s="12"/>
      <c r="AV1327" s="29"/>
    </row>
    <row r="1328" spans="4:48">
      <c r="D1328" s="12"/>
      <c r="E1328" s="12"/>
      <c r="F1328" s="12"/>
      <c r="G1328" s="12"/>
      <c r="H1328" s="38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8"/>
      <c r="AS1328" s="28"/>
      <c r="AT1328" s="28"/>
      <c r="AU1328" s="12"/>
      <c r="AV1328" s="29"/>
    </row>
    <row r="1329" spans="4:48">
      <c r="D1329" s="12"/>
      <c r="E1329" s="12"/>
      <c r="F1329" s="12"/>
      <c r="G1329" s="12"/>
      <c r="H1329" s="38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8"/>
      <c r="AS1329" s="28"/>
      <c r="AT1329" s="28"/>
      <c r="AU1329" s="12"/>
      <c r="AV1329" s="29"/>
    </row>
    <row r="1330" spans="4:48">
      <c r="D1330" s="12"/>
      <c r="E1330" s="12"/>
      <c r="F1330" s="12"/>
      <c r="G1330" s="12"/>
      <c r="H1330" s="38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8"/>
      <c r="AS1330" s="28"/>
      <c r="AT1330" s="28"/>
      <c r="AU1330" s="12"/>
      <c r="AV1330" s="29"/>
    </row>
    <row r="1331" spans="4:48">
      <c r="D1331" s="12"/>
      <c r="E1331" s="12"/>
      <c r="F1331" s="12"/>
      <c r="G1331" s="12"/>
      <c r="H1331" s="38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8"/>
      <c r="AS1331" s="28"/>
      <c r="AT1331" s="28"/>
      <c r="AU1331" s="12"/>
      <c r="AV1331" s="29"/>
    </row>
    <row r="1332" spans="4:48">
      <c r="D1332" s="12"/>
      <c r="E1332" s="12"/>
      <c r="F1332" s="12"/>
      <c r="G1332" s="12"/>
      <c r="H1332" s="38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8"/>
      <c r="AS1332" s="28"/>
      <c r="AT1332" s="28"/>
      <c r="AU1332" s="12"/>
      <c r="AV1332" s="29"/>
    </row>
    <row r="1333" spans="4:48">
      <c r="D1333" s="12"/>
      <c r="E1333" s="12"/>
      <c r="F1333" s="12"/>
      <c r="G1333" s="12"/>
      <c r="H1333" s="38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8"/>
      <c r="AS1333" s="28"/>
      <c r="AT1333" s="28"/>
      <c r="AU1333" s="12"/>
      <c r="AV1333" s="29"/>
    </row>
    <row r="1334" spans="4:48">
      <c r="D1334" s="12"/>
      <c r="E1334" s="12"/>
      <c r="F1334" s="12"/>
      <c r="G1334" s="12"/>
      <c r="H1334" s="38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8"/>
      <c r="AS1334" s="28"/>
      <c r="AT1334" s="28"/>
      <c r="AU1334" s="12"/>
      <c r="AV1334" s="29"/>
    </row>
    <row r="1335" spans="4:48">
      <c r="D1335" s="12"/>
      <c r="E1335" s="12"/>
      <c r="F1335" s="12"/>
      <c r="G1335" s="12"/>
      <c r="H1335" s="38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8"/>
      <c r="AS1335" s="28"/>
      <c r="AT1335" s="28"/>
      <c r="AU1335" s="12"/>
      <c r="AV1335" s="29"/>
    </row>
    <row r="1336" spans="4:48">
      <c r="D1336" s="12"/>
      <c r="E1336" s="12"/>
      <c r="F1336" s="12"/>
      <c r="G1336" s="12"/>
      <c r="H1336" s="38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8"/>
      <c r="AS1336" s="28"/>
      <c r="AT1336" s="28"/>
      <c r="AU1336" s="12"/>
      <c r="AV1336" s="29"/>
    </row>
    <row r="1337" spans="4:48">
      <c r="D1337" s="12"/>
      <c r="E1337" s="12"/>
      <c r="F1337" s="12"/>
      <c r="G1337" s="12"/>
      <c r="H1337" s="38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8"/>
      <c r="AS1337" s="28"/>
      <c r="AT1337" s="28"/>
      <c r="AU1337" s="12"/>
      <c r="AV1337" s="29"/>
    </row>
    <row r="1338" spans="4:48">
      <c r="D1338" s="12"/>
      <c r="E1338" s="12"/>
      <c r="F1338" s="12"/>
      <c r="G1338" s="12"/>
      <c r="H1338" s="38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8"/>
      <c r="AS1338" s="28"/>
      <c r="AT1338" s="28"/>
      <c r="AU1338" s="12"/>
      <c r="AV1338" s="29"/>
    </row>
    <row r="1339" spans="4:48">
      <c r="D1339" s="12"/>
      <c r="E1339" s="12"/>
      <c r="F1339" s="12"/>
      <c r="G1339" s="12"/>
      <c r="H1339" s="38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8"/>
      <c r="AS1339" s="28"/>
      <c r="AT1339" s="28"/>
      <c r="AU1339" s="12"/>
      <c r="AV1339" s="29"/>
    </row>
    <row r="1340" spans="4:48">
      <c r="D1340" s="12"/>
      <c r="E1340" s="12"/>
      <c r="F1340" s="12"/>
      <c r="G1340" s="12"/>
      <c r="H1340" s="38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8"/>
      <c r="AS1340" s="28"/>
      <c r="AT1340" s="28"/>
      <c r="AU1340" s="12"/>
      <c r="AV1340" s="29"/>
    </row>
    <row r="1341" spans="4:48">
      <c r="D1341" s="12"/>
      <c r="E1341" s="12"/>
      <c r="F1341" s="12"/>
      <c r="G1341" s="12"/>
      <c r="H1341" s="38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8"/>
      <c r="AS1341" s="28"/>
      <c r="AT1341" s="28"/>
      <c r="AU1341" s="12"/>
      <c r="AV1341" s="29"/>
    </row>
    <row r="1342" spans="4:48">
      <c r="D1342" s="12"/>
      <c r="E1342" s="12"/>
      <c r="F1342" s="12"/>
      <c r="G1342" s="12"/>
      <c r="H1342" s="38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8"/>
      <c r="AS1342" s="28"/>
      <c r="AT1342" s="28"/>
      <c r="AU1342" s="12"/>
      <c r="AV1342" s="29"/>
    </row>
    <row r="1343" spans="4:48">
      <c r="D1343" s="12"/>
      <c r="E1343" s="12"/>
      <c r="F1343" s="12"/>
      <c r="G1343" s="12"/>
      <c r="H1343" s="38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8"/>
      <c r="AS1343" s="28"/>
      <c r="AT1343" s="28"/>
      <c r="AU1343" s="12"/>
      <c r="AV1343" s="29"/>
    </row>
    <row r="1344" spans="4:48">
      <c r="D1344" s="12"/>
      <c r="E1344" s="12"/>
      <c r="F1344" s="12"/>
      <c r="G1344" s="12"/>
      <c r="H1344" s="38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8"/>
      <c r="AS1344" s="28"/>
      <c r="AT1344" s="28"/>
      <c r="AU1344" s="12"/>
      <c r="AV1344" s="29"/>
    </row>
    <row r="1345" spans="4:48">
      <c r="D1345" s="12"/>
      <c r="E1345" s="12"/>
      <c r="F1345" s="12"/>
      <c r="G1345" s="12"/>
      <c r="H1345" s="38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8"/>
      <c r="AS1345" s="28"/>
      <c r="AT1345" s="28"/>
      <c r="AU1345" s="12"/>
      <c r="AV1345" s="29"/>
    </row>
    <row r="1346" spans="4:48">
      <c r="D1346" s="12"/>
      <c r="E1346" s="12"/>
      <c r="F1346" s="12"/>
      <c r="G1346" s="12"/>
      <c r="H1346" s="38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8"/>
      <c r="AS1346" s="28"/>
      <c r="AT1346" s="28"/>
      <c r="AU1346" s="12"/>
      <c r="AV1346" s="29"/>
    </row>
    <row r="1347" spans="4:48">
      <c r="D1347" s="12"/>
      <c r="E1347" s="12"/>
      <c r="F1347" s="12"/>
      <c r="G1347" s="12"/>
      <c r="H1347" s="38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8"/>
      <c r="AS1347" s="28"/>
      <c r="AT1347" s="28"/>
      <c r="AU1347" s="12"/>
      <c r="AV1347" s="29"/>
    </row>
    <row r="1348" spans="4:48">
      <c r="D1348" s="12"/>
      <c r="E1348" s="12"/>
      <c r="F1348" s="12"/>
      <c r="G1348" s="12"/>
      <c r="H1348" s="38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8"/>
      <c r="AS1348" s="28"/>
      <c r="AT1348" s="28"/>
      <c r="AU1348" s="12"/>
      <c r="AV1348" s="29"/>
    </row>
    <row r="1349" spans="4:48">
      <c r="D1349" s="12"/>
      <c r="E1349" s="12"/>
      <c r="F1349" s="12"/>
      <c r="G1349" s="12"/>
      <c r="H1349" s="38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8"/>
      <c r="AS1349" s="28"/>
      <c r="AT1349" s="28"/>
      <c r="AU1349" s="12"/>
      <c r="AV1349" s="29"/>
    </row>
    <row r="1350" spans="4:48">
      <c r="D1350" s="12"/>
      <c r="E1350" s="12"/>
      <c r="F1350" s="12"/>
      <c r="G1350" s="12"/>
      <c r="H1350" s="38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8"/>
      <c r="AS1350" s="28"/>
      <c r="AT1350" s="28"/>
      <c r="AU1350" s="12"/>
      <c r="AV1350" s="29"/>
    </row>
    <row r="1351" spans="4:48">
      <c r="D1351" s="12"/>
      <c r="E1351" s="12"/>
      <c r="F1351" s="12"/>
      <c r="G1351" s="12"/>
      <c r="H1351" s="38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8"/>
      <c r="AS1351" s="28"/>
      <c r="AT1351" s="28"/>
      <c r="AU1351" s="12"/>
      <c r="AV1351" s="29"/>
    </row>
    <row r="1352" spans="4:48">
      <c r="D1352" s="12"/>
      <c r="E1352" s="12"/>
      <c r="F1352" s="12"/>
      <c r="G1352" s="12"/>
      <c r="H1352" s="38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8"/>
      <c r="AS1352" s="28"/>
      <c r="AT1352" s="28"/>
      <c r="AU1352" s="12"/>
      <c r="AV1352" s="29"/>
    </row>
    <row r="1353" spans="4:48">
      <c r="D1353" s="12"/>
      <c r="E1353" s="12"/>
      <c r="F1353" s="12"/>
      <c r="G1353" s="12"/>
      <c r="H1353" s="38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8"/>
      <c r="AS1353" s="28"/>
      <c r="AT1353" s="28"/>
      <c r="AU1353" s="12"/>
      <c r="AV1353" s="29"/>
    </row>
    <row r="1354" spans="4:48">
      <c r="D1354" s="12"/>
      <c r="E1354" s="12"/>
      <c r="F1354" s="12"/>
      <c r="G1354" s="12"/>
      <c r="H1354" s="38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8"/>
      <c r="AS1354" s="28"/>
      <c r="AT1354" s="28"/>
      <c r="AU1354" s="12"/>
      <c r="AV1354" s="29"/>
    </row>
    <row r="1355" spans="4:48">
      <c r="D1355" s="12"/>
      <c r="E1355" s="12"/>
      <c r="F1355" s="12"/>
      <c r="G1355" s="12"/>
      <c r="H1355" s="38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8"/>
      <c r="AS1355" s="28"/>
      <c r="AT1355" s="28"/>
      <c r="AU1355" s="12"/>
      <c r="AV1355" s="29"/>
    </row>
    <row r="1356" spans="4:48">
      <c r="D1356" s="12"/>
      <c r="E1356" s="12"/>
      <c r="F1356" s="12"/>
      <c r="G1356" s="12"/>
      <c r="H1356" s="38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8"/>
      <c r="AS1356" s="28"/>
      <c r="AT1356" s="28"/>
      <c r="AU1356" s="12"/>
      <c r="AV1356" s="29"/>
    </row>
    <row r="1357" spans="4:48">
      <c r="D1357" s="12"/>
      <c r="E1357" s="12"/>
      <c r="F1357" s="12"/>
      <c r="G1357" s="12"/>
      <c r="H1357" s="38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8"/>
      <c r="AS1357" s="28"/>
      <c r="AT1357" s="28"/>
      <c r="AU1357" s="12"/>
      <c r="AV1357" s="29"/>
    </row>
    <row r="1358" spans="4:48">
      <c r="D1358" s="12"/>
      <c r="E1358" s="12"/>
      <c r="F1358" s="12"/>
      <c r="G1358" s="12"/>
      <c r="H1358" s="38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8"/>
      <c r="AS1358" s="28"/>
      <c r="AT1358" s="28"/>
      <c r="AU1358" s="12"/>
      <c r="AV1358" s="29"/>
    </row>
    <row r="1359" spans="4:48">
      <c r="D1359" s="12"/>
      <c r="E1359" s="12"/>
      <c r="F1359" s="12"/>
      <c r="G1359" s="12"/>
      <c r="H1359" s="38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8"/>
      <c r="AS1359" s="28"/>
      <c r="AT1359" s="28"/>
      <c r="AU1359" s="12"/>
      <c r="AV1359" s="29"/>
    </row>
    <row r="1360" spans="4:48">
      <c r="D1360" s="12"/>
      <c r="E1360" s="12"/>
      <c r="F1360" s="12"/>
      <c r="G1360" s="12"/>
      <c r="H1360" s="38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8"/>
      <c r="AS1360" s="28"/>
      <c r="AT1360" s="28"/>
      <c r="AU1360" s="12"/>
      <c r="AV1360" s="29"/>
    </row>
    <row r="1361" spans="4:48">
      <c r="D1361" s="12"/>
      <c r="E1361" s="12"/>
      <c r="F1361" s="12"/>
      <c r="G1361" s="12"/>
      <c r="H1361" s="38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8"/>
      <c r="AS1361" s="28"/>
      <c r="AT1361" s="28"/>
      <c r="AU1361" s="12"/>
      <c r="AV1361" s="29"/>
    </row>
    <row r="1362" spans="4:48">
      <c r="D1362" s="12"/>
      <c r="E1362" s="12"/>
      <c r="F1362" s="12"/>
      <c r="G1362" s="12"/>
      <c r="H1362" s="38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8"/>
      <c r="AS1362" s="28"/>
      <c r="AT1362" s="28"/>
      <c r="AU1362" s="12"/>
      <c r="AV1362" s="29"/>
    </row>
    <row r="1363" spans="4:48">
      <c r="D1363" s="12"/>
      <c r="E1363" s="12"/>
      <c r="F1363" s="12"/>
      <c r="G1363" s="12"/>
      <c r="H1363" s="38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8"/>
      <c r="AS1363" s="28"/>
      <c r="AT1363" s="28"/>
      <c r="AU1363" s="12"/>
      <c r="AV1363" s="29"/>
    </row>
    <row r="1364" spans="4:48">
      <c r="D1364" s="12"/>
      <c r="E1364" s="12"/>
      <c r="F1364" s="12"/>
      <c r="G1364" s="12"/>
      <c r="H1364" s="38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8"/>
      <c r="AS1364" s="28"/>
      <c r="AT1364" s="28"/>
      <c r="AU1364" s="12"/>
      <c r="AV1364" s="29"/>
    </row>
    <row r="1365" spans="4:48">
      <c r="D1365" s="12"/>
      <c r="E1365" s="12"/>
      <c r="F1365" s="12"/>
      <c r="G1365" s="12"/>
      <c r="H1365" s="38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8"/>
      <c r="AS1365" s="28"/>
      <c r="AT1365" s="28"/>
      <c r="AU1365" s="12"/>
      <c r="AV1365" s="29"/>
    </row>
    <row r="1366" spans="4:48">
      <c r="D1366" s="12"/>
      <c r="E1366" s="12"/>
      <c r="F1366" s="12"/>
      <c r="G1366" s="12"/>
      <c r="H1366" s="38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8"/>
      <c r="AS1366" s="28"/>
      <c r="AT1366" s="28"/>
      <c r="AU1366" s="12"/>
      <c r="AV1366" s="29"/>
    </row>
    <row r="1367" spans="4:48">
      <c r="D1367" s="12"/>
      <c r="E1367" s="12"/>
      <c r="F1367" s="12"/>
      <c r="G1367" s="12"/>
      <c r="H1367" s="38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8"/>
      <c r="AS1367" s="28"/>
      <c r="AT1367" s="28"/>
      <c r="AU1367" s="12"/>
      <c r="AV1367" s="29"/>
    </row>
    <row r="1368" spans="4:48">
      <c r="D1368" s="12"/>
      <c r="E1368" s="12"/>
      <c r="F1368" s="12"/>
      <c r="G1368" s="12"/>
      <c r="H1368" s="38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8"/>
      <c r="AS1368" s="28"/>
      <c r="AT1368" s="28"/>
      <c r="AU1368" s="12"/>
      <c r="AV1368" s="29"/>
    </row>
    <row r="1369" spans="4:48">
      <c r="D1369" s="12"/>
      <c r="E1369" s="12"/>
      <c r="F1369" s="12"/>
      <c r="G1369" s="12"/>
      <c r="H1369" s="38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8"/>
      <c r="AS1369" s="28"/>
      <c r="AT1369" s="28"/>
      <c r="AU1369" s="12"/>
      <c r="AV1369" s="29"/>
    </row>
    <row r="1370" spans="4:48">
      <c r="D1370" s="12"/>
      <c r="E1370" s="12"/>
      <c r="F1370" s="12"/>
      <c r="G1370" s="12"/>
      <c r="H1370" s="38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8"/>
      <c r="AS1370" s="28"/>
      <c r="AT1370" s="28"/>
      <c r="AU1370" s="12"/>
      <c r="AV1370" s="29"/>
    </row>
    <row r="1371" spans="4:48">
      <c r="D1371" s="12"/>
      <c r="E1371" s="12"/>
      <c r="F1371" s="12"/>
      <c r="G1371" s="12"/>
      <c r="H1371" s="38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8"/>
      <c r="AS1371" s="28"/>
      <c r="AT1371" s="28"/>
      <c r="AU1371" s="12"/>
      <c r="AV1371" s="29"/>
    </row>
    <row r="1372" spans="4:48">
      <c r="D1372" s="12"/>
      <c r="E1372" s="12"/>
      <c r="F1372" s="12"/>
      <c r="G1372" s="12"/>
      <c r="H1372" s="38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8"/>
      <c r="AS1372" s="28"/>
      <c r="AT1372" s="28"/>
      <c r="AU1372" s="12"/>
      <c r="AV1372" s="29"/>
    </row>
    <row r="1373" spans="4:48">
      <c r="D1373" s="12"/>
      <c r="E1373" s="12"/>
      <c r="F1373" s="12"/>
      <c r="G1373" s="12"/>
      <c r="H1373" s="38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8"/>
      <c r="AS1373" s="28"/>
      <c r="AT1373" s="28"/>
      <c r="AU1373" s="12"/>
      <c r="AV1373" s="29"/>
    </row>
    <row r="1374" spans="4:48">
      <c r="D1374" s="12"/>
      <c r="E1374" s="12"/>
      <c r="F1374" s="12"/>
      <c r="G1374" s="12"/>
      <c r="H1374" s="38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8"/>
      <c r="AS1374" s="28"/>
      <c r="AT1374" s="28"/>
      <c r="AU1374" s="12"/>
      <c r="AV1374" s="29"/>
    </row>
    <row r="1375" spans="4:48">
      <c r="D1375" s="12"/>
      <c r="E1375" s="12"/>
      <c r="F1375" s="12"/>
      <c r="G1375" s="12"/>
      <c r="H1375" s="38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8"/>
      <c r="AS1375" s="28"/>
      <c r="AT1375" s="28"/>
      <c r="AU1375" s="12"/>
      <c r="AV1375" s="29"/>
    </row>
    <row r="1376" spans="4:48">
      <c r="D1376" s="12"/>
      <c r="E1376" s="12"/>
      <c r="F1376" s="12"/>
      <c r="G1376" s="12"/>
      <c r="H1376" s="38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8"/>
      <c r="AS1376" s="28"/>
      <c r="AT1376" s="28"/>
      <c r="AU1376" s="12"/>
      <c r="AV1376" s="29"/>
    </row>
    <row r="1377" spans="4:48">
      <c r="D1377" s="12"/>
      <c r="E1377" s="12"/>
      <c r="F1377" s="12"/>
      <c r="G1377" s="12"/>
      <c r="H1377" s="38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8"/>
      <c r="AS1377" s="28"/>
      <c r="AT1377" s="28"/>
      <c r="AU1377" s="12"/>
      <c r="AV1377" s="29"/>
    </row>
    <row r="1378" spans="4:48">
      <c r="D1378" s="12"/>
      <c r="E1378" s="12"/>
      <c r="F1378" s="12"/>
      <c r="G1378" s="12"/>
      <c r="H1378" s="38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8"/>
      <c r="AS1378" s="28"/>
      <c r="AT1378" s="28"/>
      <c r="AU1378" s="12"/>
      <c r="AV1378" s="29"/>
    </row>
    <row r="1379" spans="4:48">
      <c r="D1379" s="12"/>
      <c r="E1379" s="12"/>
      <c r="F1379" s="12"/>
      <c r="G1379" s="12"/>
      <c r="H1379" s="38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8"/>
      <c r="AS1379" s="28"/>
      <c r="AT1379" s="28"/>
      <c r="AU1379" s="12"/>
      <c r="AV1379" s="29"/>
    </row>
    <row r="1380" spans="4:48">
      <c r="D1380" s="12"/>
      <c r="E1380" s="12"/>
      <c r="F1380" s="12"/>
      <c r="G1380" s="12"/>
      <c r="H1380" s="38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8"/>
      <c r="AS1380" s="28"/>
      <c r="AT1380" s="28"/>
      <c r="AU1380" s="12"/>
      <c r="AV1380" s="29"/>
    </row>
    <row r="1381" spans="4:48">
      <c r="D1381" s="12"/>
      <c r="E1381" s="12"/>
      <c r="F1381" s="12"/>
      <c r="G1381" s="12"/>
      <c r="H1381" s="38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8"/>
      <c r="AS1381" s="28"/>
      <c r="AT1381" s="28"/>
      <c r="AU1381" s="12"/>
      <c r="AV1381" s="29"/>
    </row>
    <row r="1382" spans="4:48">
      <c r="D1382" s="12"/>
      <c r="E1382" s="12"/>
      <c r="F1382" s="12"/>
      <c r="G1382" s="12"/>
      <c r="H1382" s="38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8"/>
      <c r="AS1382" s="28"/>
      <c r="AT1382" s="28"/>
      <c r="AU1382" s="12"/>
      <c r="AV1382" s="29"/>
    </row>
    <row r="1383" spans="4:48">
      <c r="D1383" s="12"/>
      <c r="E1383" s="12"/>
      <c r="F1383" s="12"/>
      <c r="G1383" s="12"/>
      <c r="H1383" s="38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8"/>
      <c r="AS1383" s="28"/>
      <c r="AT1383" s="28"/>
      <c r="AU1383" s="12"/>
      <c r="AV1383" s="29"/>
    </row>
    <row r="1384" spans="4:48">
      <c r="D1384" s="12"/>
      <c r="E1384" s="12"/>
      <c r="F1384" s="12"/>
      <c r="G1384" s="12"/>
      <c r="H1384" s="38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8"/>
      <c r="AS1384" s="28"/>
      <c r="AT1384" s="28"/>
      <c r="AU1384" s="12"/>
      <c r="AV1384" s="29"/>
    </row>
    <row r="1385" spans="4:48">
      <c r="D1385" s="12"/>
      <c r="E1385" s="12"/>
      <c r="F1385" s="12"/>
      <c r="G1385" s="12"/>
      <c r="H1385" s="38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8"/>
      <c r="AS1385" s="28"/>
      <c r="AT1385" s="28"/>
      <c r="AU1385" s="12"/>
      <c r="AV1385" s="29"/>
    </row>
    <row r="1386" spans="4:48">
      <c r="D1386" s="12"/>
      <c r="E1386" s="12"/>
      <c r="F1386" s="12"/>
      <c r="G1386" s="12"/>
      <c r="H1386" s="38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8"/>
      <c r="AS1386" s="28"/>
      <c r="AT1386" s="28"/>
      <c r="AU1386" s="12"/>
      <c r="AV1386" s="29"/>
    </row>
    <row r="1387" spans="4:48">
      <c r="D1387" s="12"/>
      <c r="E1387" s="12"/>
      <c r="F1387" s="12"/>
      <c r="G1387" s="12"/>
      <c r="H1387" s="38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8"/>
      <c r="AS1387" s="28"/>
      <c r="AT1387" s="28"/>
      <c r="AU1387" s="12"/>
      <c r="AV1387" s="29"/>
    </row>
    <row r="1388" spans="4:48">
      <c r="D1388" s="12"/>
      <c r="E1388" s="12"/>
      <c r="F1388" s="12"/>
      <c r="G1388" s="12"/>
      <c r="H1388" s="38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8"/>
      <c r="AS1388" s="28"/>
      <c r="AT1388" s="28"/>
      <c r="AU1388" s="12"/>
      <c r="AV1388" s="29"/>
    </row>
    <row r="1389" spans="4:48">
      <c r="D1389" s="12"/>
      <c r="E1389" s="12"/>
      <c r="F1389" s="12"/>
      <c r="G1389" s="12"/>
      <c r="H1389" s="38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8"/>
      <c r="AS1389" s="28"/>
      <c r="AT1389" s="28"/>
      <c r="AU1389" s="12"/>
      <c r="AV1389" s="29"/>
    </row>
    <row r="1390" spans="4:48">
      <c r="D1390" s="12"/>
      <c r="E1390" s="12"/>
      <c r="F1390" s="12"/>
      <c r="G1390" s="12"/>
      <c r="H1390" s="38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8"/>
      <c r="AS1390" s="28"/>
      <c r="AT1390" s="28"/>
      <c r="AU1390" s="12"/>
      <c r="AV1390" s="29"/>
    </row>
    <row r="1391" spans="4:48">
      <c r="D1391" s="12"/>
      <c r="E1391" s="12"/>
      <c r="F1391" s="12"/>
      <c r="G1391" s="12"/>
      <c r="H1391" s="38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8"/>
      <c r="AS1391" s="28"/>
      <c r="AT1391" s="28"/>
      <c r="AU1391" s="12"/>
      <c r="AV1391" s="29"/>
    </row>
    <row r="1392" spans="4:48">
      <c r="D1392" s="12"/>
      <c r="E1392" s="12"/>
      <c r="F1392" s="12"/>
      <c r="G1392" s="12"/>
      <c r="H1392" s="38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8"/>
      <c r="AS1392" s="28"/>
      <c r="AT1392" s="28"/>
      <c r="AU1392" s="12"/>
      <c r="AV1392" s="29"/>
    </row>
    <row r="1393" spans="4:48">
      <c r="D1393" s="12"/>
      <c r="E1393" s="12"/>
      <c r="F1393" s="12"/>
      <c r="G1393" s="12"/>
      <c r="H1393" s="38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8"/>
      <c r="AS1393" s="28"/>
      <c r="AT1393" s="28"/>
      <c r="AU1393" s="12"/>
      <c r="AV1393" s="29"/>
    </row>
    <row r="1394" spans="4:48">
      <c r="D1394" s="12"/>
      <c r="E1394" s="12"/>
      <c r="F1394" s="12"/>
      <c r="G1394" s="12"/>
      <c r="H1394" s="38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8"/>
      <c r="AS1394" s="28"/>
      <c r="AT1394" s="28"/>
      <c r="AU1394" s="12"/>
      <c r="AV1394" s="29"/>
    </row>
    <row r="1395" spans="4:48">
      <c r="D1395" s="12"/>
      <c r="E1395" s="12"/>
      <c r="F1395" s="12"/>
      <c r="G1395" s="12"/>
      <c r="H1395" s="38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8"/>
      <c r="AS1395" s="28"/>
      <c r="AT1395" s="28"/>
      <c r="AU1395" s="12"/>
      <c r="AV1395" s="29"/>
    </row>
    <row r="1396" spans="4:48">
      <c r="D1396" s="12"/>
      <c r="E1396" s="12"/>
      <c r="F1396" s="12"/>
      <c r="G1396" s="12"/>
      <c r="H1396" s="38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8"/>
      <c r="AS1396" s="28"/>
      <c r="AT1396" s="28"/>
      <c r="AU1396" s="12"/>
      <c r="AV1396" s="29"/>
    </row>
    <row r="1397" spans="4:48">
      <c r="D1397" s="12"/>
      <c r="E1397" s="12"/>
      <c r="F1397" s="12"/>
      <c r="G1397" s="12"/>
      <c r="H1397" s="38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8"/>
      <c r="AS1397" s="28"/>
      <c r="AT1397" s="28"/>
      <c r="AU1397" s="12"/>
      <c r="AV1397" s="29"/>
    </row>
    <row r="1398" spans="4:48">
      <c r="D1398" s="12"/>
      <c r="E1398" s="12"/>
      <c r="F1398" s="12"/>
      <c r="G1398" s="12"/>
      <c r="H1398" s="38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8"/>
      <c r="AS1398" s="28"/>
      <c r="AT1398" s="28"/>
      <c r="AU1398" s="12"/>
      <c r="AV1398" s="29"/>
    </row>
    <row r="1399" spans="4:48">
      <c r="D1399" s="12"/>
      <c r="E1399" s="12"/>
      <c r="F1399" s="12"/>
      <c r="G1399" s="12"/>
      <c r="H1399" s="38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8"/>
      <c r="AS1399" s="28"/>
      <c r="AT1399" s="28"/>
      <c r="AU1399" s="12"/>
      <c r="AV1399" s="29"/>
    </row>
    <row r="1400" spans="4:48">
      <c r="D1400" s="12"/>
      <c r="E1400" s="12"/>
      <c r="F1400" s="12"/>
      <c r="G1400" s="12"/>
      <c r="H1400" s="38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8"/>
      <c r="AS1400" s="28"/>
      <c r="AT1400" s="28"/>
      <c r="AU1400" s="12"/>
      <c r="AV1400" s="29"/>
    </row>
    <row r="1401" spans="4:48">
      <c r="D1401" s="12"/>
      <c r="E1401" s="12"/>
      <c r="F1401" s="12"/>
      <c r="G1401" s="12"/>
      <c r="H1401" s="38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8"/>
      <c r="AS1401" s="28"/>
      <c r="AT1401" s="28"/>
      <c r="AU1401" s="12"/>
      <c r="AV1401" s="29"/>
    </row>
    <row r="1402" spans="4:48">
      <c r="D1402" s="12"/>
      <c r="E1402" s="12"/>
      <c r="F1402" s="12"/>
      <c r="G1402" s="12"/>
      <c r="H1402" s="38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8"/>
      <c r="AS1402" s="28"/>
      <c r="AT1402" s="28"/>
      <c r="AU1402" s="12"/>
      <c r="AV1402" s="29"/>
    </row>
    <row r="1403" spans="4:48">
      <c r="D1403" s="12"/>
      <c r="E1403" s="12"/>
      <c r="F1403" s="12"/>
      <c r="G1403" s="12"/>
      <c r="H1403" s="38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8"/>
      <c r="AS1403" s="28"/>
      <c r="AT1403" s="28"/>
      <c r="AU1403" s="12"/>
      <c r="AV1403" s="29"/>
    </row>
    <row r="1404" spans="4:48">
      <c r="D1404" s="12"/>
      <c r="E1404" s="12"/>
      <c r="F1404" s="12"/>
      <c r="G1404" s="12"/>
      <c r="H1404" s="38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8"/>
      <c r="AS1404" s="28"/>
      <c r="AT1404" s="28"/>
      <c r="AU1404" s="12"/>
      <c r="AV1404" s="29"/>
    </row>
    <row r="1405" spans="4:48">
      <c r="D1405" s="12"/>
      <c r="E1405" s="12"/>
      <c r="F1405" s="12"/>
      <c r="G1405" s="12"/>
      <c r="H1405" s="38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8"/>
      <c r="AS1405" s="28"/>
      <c r="AT1405" s="28"/>
      <c r="AU1405" s="12"/>
      <c r="AV1405" s="29"/>
    </row>
    <row r="1406" spans="4:48">
      <c r="D1406" s="12"/>
      <c r="E1406" s="12"/>
      <c r="F1406" s="12"/>
      <c r="G1406" s="12"/>
      <c r="H1406" s="38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8"/>
      <c r="AS1406" s="28"/>
      <c r="AT1406" s="28"/>
      <c r="AU1406" s="12"/>
      <c r="AV1406" s="29"/>
    </row>
    <row r="1407" spans="4:48">
      <c r="D1407" s="12"/>
      <c r="E1407" s="12"/>
      <c r="F1407" s="12"/>
      <c r="G1407" s="12"/>
      <c r="H1407" s="38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8"/>
      <c r="AS1407" s="28"/>
      <c r="AT1407" s="28"/>
      <c r="AU1407" s="12"/>
      <c r="AV1407" s="29"/>
    </row>
    <row r="1408" spans="4:48">
      <c r="D1408" s="12"/>
      <c r="E1408" s="12"/>
      <c r="F1408" s="12"/>
      <c r="G1408" s="12"/>
      <c r="H1408" s="38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8"/>
      <c r="AS1408" s="28"/>
      <c r="AT1408" s="28"/>
      <c r="AU1408" s="12"/>
      <c r="AV1408" s="29"/>
    </row>
    <row r="1409" spans="4:48">
      <c r="D1409" s="12"/>
      <c r="E1409" s="12"/>
      <c r="F1409" s="12"/>
      <c r="G1409" s="12"/>
      <c r="H1409" s="38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8"/>
      <c r="AS1409" s="28"/>
      <c r="AT1409" s="28"/>
      <c r="AU1409" s="12"/>
      <c r="AV1409" s="29"/>
    </row>
    <row r="1410" spans="4:48">
      <c r="D1410" s="12"/>
      <c r="E1410" s="12"/>
      <c r="F1410" s="12"/>
      <c r="G1410" s="12"/>
      <c r="H1410" s="38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8"/>
      <c r="AS1410" s="28"/>
      <c r="AT1410" s="28"/>
      <c r="AU1410" s="12"/>
      <c r="AV1410" s="29"/>
    </row>
    <row r="1411" spans="4:48">
      <c r="D1411" s="12"/>
      <c r="E1411" s="12"/>
      <c r="F1411" s="12"/>
      <c r="G1411" s="12"/>
      <c r="H1411" s="38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8"/>
      <c r="AS1411" s="28"/>
      <c r="AT1411" s="28"/>
      <c r="AU1411" s="12"/>
      <c r="AV1411" s="29"/>
    </row>
    <row r="1412" spans="4:48">
      <c r="D1412" s="12"/>
      <c r="E1412" s="12"/>
      <c r="F1412" s="12"/>
      <c r="G1412" s="12"/>
      <c r="H1412" s="38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8"/>
      <c r="AS1412" s="28"/>
      <c r="AT1412" s="28"/>
      <c r="AU1412" s="12"/>
      <c r="AV1412" s="29"/>
    </row>
    <row r="1413" spans="4:48">
      <c r="D1413" s="12"/>
      <c r="E1413" s="12"/>
      <c r="F1413" s="12"/>
      <c r="G1413" s="12"/>
      <c r="H1413" s="38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8"/>
      <c r="AS1413" s="28"/>
      <c r="AT1413" s="28"/>
      <c r="AU1413" s="12"/>
      <c r="AV1413" s="29"/>
    </row>
    <row r="1414" spans="4:48">
      <c r="D1414" s="12"/>
      <c r="E1414" s="12"/>
      <c r="F1414" s="12"/>
      <c r="G1414" s="12"/>
      <c r="H1414" s="38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8"/>
      <c r="AS1414" s="28"/>
      <c r="AT1414" s="28"/>
      <c r="AU1414" s="12"/>
      <c r="AV1414" s="29"/>
    </row>
    <row r="1415" spans="4:48">
      <c r="D1415" s="12"/>
      <c r="E1415" s="12"/>
      <c r="F1415" s="12"/>
      <c r="G1415" s="12"/>
      <c r="H1415" s="38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8"/>
      <c r="AS1415" s="28"/>
      <c r="AT1415" s="28"/>
      <c r="AU1415" s="12"/>
      <c r="AV1415" s="29"/>
    </row>
    <row r="1416" spans="4:48">
      <c r="D1416" s="12"/>
      <c r="E1416" s="12"/>
      <c r="F1416" s="12"/>
      <c r="G1416" s="12"/>
      <c r="H1416" s="38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8"/>
      <c r="AS1416" s="28"/>
      <c r="AT1416" s="28"/>
      <c r="AU1416" s="12"/>
      <c r="AV1416" s="29"/>
    </row>
    <row r="1417" spans="4:48">
      <c r="D1417" s="12"/>
      <c r="E1417" s="12"/>
      <c r="F1417" s="12"/>
      <c r="G1417" s="12"/>
      <c r="H1417" s="38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8"/>
      <c r="AS1417" s="28"/>
      <c r="AT1417" s="28"/>
      <c r="AU1417" s="12"/>
      <c r="AV1417" s="29"/>
    </row>
    <row r="1418" spans="4:48">
      <c r="D1418" s="12"/>
      <c r="E1418" s="12"/>
      <c r="F1418" s="12"/>
      <c r="G1418" s="12"/>
      <c r="H1418" s="38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8"/>
      <c r="AS1418" s="28"/>
      <c r="AT1418" s="28"/>
      <c r="AU1418" s="12"/>
      <c r="AV1418" s="29"/>
    </row>
    <row r="1419" spans="4:48">
      <c r="D1419" s="12"/>
      <c r="E1419" s="12"/>
      <c r="F1419" s="12"/>
      <c r="G1419" s="12"/>
      <c r="H1419" s="38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8"/>
      <c r="AS1419" s="28"/>
      <c r="AT1419" s="28"/>
      <c r="AU1419" s="12"/>
      <c r="AV1419" s="29"/>
    </row>
    <row r="1420" spans="4:48">
      <c r="D1420" s="12"/>
      <c r="E1420" s="12"/>
      <c r="F1420" s="12"/>
      <c r="G1420" s="12"/>
      <c r="H1420" s="38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8"/>
      <c r="AS1420" s="28"/>
      <c r="AT1420" s="28"/>
      <c r="AU1420" s="12"/>
      <c r="AV1420" s="29"/>
    </row>
    <row r="1421" spans="4:48">
      <c r="D1421" s="12"/>
      <c r="E1421" s="12"/>
      <c r="F1421" s="12"/>
      <c r="G1421" s="12"/>
      <c r="H1421" s="38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8"/>
      <c r="AS1421" s="28"/>
      <c r="AT1421" s="28"/>
      <c r="AU1421" s="12"/>
      <c r="AV1421" s="29"/>
    </row>
    <row r="1422" spans="4:48">
      <c r="D1422" s="12"/>
      <c r="E1422" s="12"/>
      <c r="F1422" s="12"/>
      <c r="G1422" s="12"/>
      <c r="H1422" s="38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8"/>
      <c r="AS1422" s="28"/>
      <c r="AT1422" s="28"/>
      <c r="AU1422" s="12"/>
      <c r="AV1422" s="29"/>
    </row>
    <row r="1423" spans="4:48">
      <c r="D1423" s="12"/>
      <c r="E1423" s="12"/>
      <c r="F1423" s="12"/>
      <c r="G1423" s="12"/>
      <c r="H1423" s="38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8"/>
      <c r="AS1423" s="28"/>
      <c r="AT1423" s="28"/>
      <c r="AU1423" s="12"/>
      <c r="AV1423" s="29"/>
    </row>
    <row r="1424" spans="4:48">
      <c r="D1424" s="12"/>
      <c r="E1424" s="12"/>
      <c r="F1424" s="12"/>
      <c r="G1424" s="12"/>
      <c r="H1424" s="38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8"/>
      <c r="AS1424" s="28"/>
      <c r="AT1424" s="28"/>
      <c r="AU1424" s="12"/>
      <c r="AV1424" s="29"/>
    </row>
    <row r="1425" spans="4:48">
      <c r="D1425" s="12"/>
      <c r="E1425" s="12"/>
      <c r="F1425" s="12"/>
      <c r="G1425" s="12"/>
      <c r="H1425" s="38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8"/>
      <c r="AS1425" s="28"/>
      <c r="AT1425" s="28"/>
      <c r="AU1425" s="12"/>
      <c r="AV1425" s="29"/>
    </row>
    <row r="1426" spans="4:48">
      <c r="D1426" s="12"/>
      <c r="E1426" s="12"/>
      <c r="F1426" s="12"/>
      <c r="G1426" s="12"/>
      <c r="H1426" s="38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8"/>
      <c r="AS1426" s="28"/>
      <c r="AT1426" s="28"/>
      <c r="AU1426" s="12"/>
      <c r="AV1426" s="29"/>
    </row>
    <row r="1427" spans="4:48">
      <c r="D1427" s="12"/>
      <c r="E1427" s="12"/>
      <c r="F1427" s="12"/>
      <c r="G1427" s="12"/>
      <c r="H1427" s="38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8"/>
      <c r="AS1427" s="28"/>
      <c r="AT1427" s="28"/>
      <c r="AU1427" s="12"/>
      <c r="AV1427" s="29"/>
    </row>
    <row r="1428" spans="4:48">
      <c r="D1428" s="12"/>
      <c r="E1428" s="12"/>
      <c r="F1428" s="12"/>
      <c r="G1428" s="12"/>
      <c r="H1428" s="38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8"/>
      <c r="AS1428" s="28"/>
      <c r="AT1428" s="28"/>
      <c r="AU1428" s="12"/>
      <c r="AV1428" s="29"/>
    </row>
    <row r="1429" spans="4:48">
      <c r="D1429" s="12"/>
      <c r="E1429" s="12"/>
      <c r="F1429" s="12"/>
      <c r="G1429" s="12"/>
      <c r="H1429" s="38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8"/>
      <c r="AS1429" s="28"/>
      <c r="AT1429" s="28"/>
      <c r="AU1429" s="12"/>
      <c r="AV1429" s="29"/>
    </row>
    <row r="1430" spans="4:48">
      <c r="D1430" s="12"/>
      <c r="E1430" s="12"/>
      <c r="F1430" s="12"/>
      <c r="G1430" s="12"/>
      <c r="H1430" s="38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8"/>
      <c r="AS1430" s="28"/>
      <c r="AT1430" s="28"/>
      <c r="AU1430" s="12"/>
      <c r="AV1430" s="29"/>
    </row>
    <row r="1431" spans="4:48">
      <c r="D1431" s="12"/>
      <c r="E1431" s="12"/>
      <c r="F1431" s="12"/>
      <c r="G1431" s="12"/>
      <c r="H1431" s="38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8"/>
      <c r="AS1431" s="28"/>
      <c r="AT1431" s="28"/>
      <c r="AU1431" s="12"/>
      <c r="AV1431" s="29"/>
    </row>
    <row r="1432" spans="4:48">
      <c r="D1432" s="12"/>
      <c r="E1432" s="12"/>
      <c r="F1432" s="12"/>
      <c r="G1432" s="12"/>
      <c r="H1432" s="38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8"/>
      <c r="AS1432" s="28"/>
      <c r="AT1432" s="28"/>
      <c r="AU1432" s="12"/>
      <c r="AV1432" s="29"/>
    </row>
    <row r="1433" spans="4:48">
      <c r="D1433" s="12"/>
      <c r="E1433" s="12"/>
      <c r="F1433" s="12"/>
      <c r="G1433" s="12"/>
      <c r="H1433" s="38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8"/>
      <c r="AS1433" s="28"/>
      <c r="AT1433" s="28"/>
      <c r="AU1433" s="12"/>
      <c r="AV1433" s="29"/>
    </row>
    <row r="1434" spans="4:48">
      <c r="D1434" s="12"/>
      <c r="E1434" s="12"/>
      <c r="F1434" s="12"/>
      <c r="G1434" s="12"/>
      <c r="H1434" s="38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8"/>
      <c r="AS1434" s="28"/>
      <c r="AT1434" s="28"/>
      <c r="AU1434" s="12"/>
      <c r="AV1434" s="29"/>
    </row>
    <row r="1435" spans="4:48">
      <c r="D1435" s="12"/>
      <c r="E1435" s="12"/>
      <c r="F1435" s="12"/>
      <c r="G1435" s="12"/>
      <c r="H1435" s="38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8"/>
      <c r="AS1435" s="28"/>
      <c r="AT1435" s="28"/>
      <c r="AU1435" s="12"/>
      <c r="AV1435" s="29"/>
    </row>
    <row r="1436" spans="4:48">
      <c r="D1436" s="12"/>
      <c r="E1436" s="12"/>
      <c r="F1436" s="12"/>
      <c r="G1436" s="12"/>
      <c r="H1436" s="38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8"/>
      <c r="AS1436" s="28"/>
      <c r="AT1436" s="28"/>
      <c r="AU1436" s="12"/>
      <c r="AV1436" s="29"/>
    </row>
    <row r="1437" spans="4:48">
      <c r="D1437" s="12"/>
      <c r="E1437" s="12"/>
      <c r="F1437" s="12"/>
      <c r="G1437" s="12"/>
      <c r="H1437" s="38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8"/>
      <c r="AS1437" s="28"/>
      <c r="AT1437" s="28"/>
      <c r="AU1437" s="12"/>
      <c r="AV1437" s="29"/>
    </row>
    <row r="1438" spans="4:48">
      <c r="D1438" s="12"/>
      <c r="E1438" s="12"/>
      <c r="F1438" s="12"/>
      <c r="G1438" s="12"/>
      <c r="H1438" s="38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8"/>
      <c r="AS1438" s="28"/>
      <c r="AT1438" s="28"/>
      <c r="AU1438" s="12"/>
      <c r="AV1438" s="29"/>
    </row>
    <row r="1439" spans="4:48">
      <c r="D1439" s="12"/>
      <c r="E1439" s="12"/>
      <c r="F1439" s="12"/>
      <c r="G1439" s="12"/>
      <c r="H1439" s="38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8"/>
      <c r="AS1439" s="28"/>
      <c r="AT1439" s="28"/>
      <c r="AU1439" s="12"/>
      <c r="AV1439" s="29"/>
    </row>
    <row r="1440" spans="4:48">
      <c r="D1440" s="12"/>
      <c r="E1440" s="12"/>
      <c r="F1440" s="12"/>
      <c r="G1440" s="12"/>
      <c r="H1440" s="38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8"/>
      <c r="AS1440" s="28"/>
      <c r="AT1440" s="28"/>
      <c r="AU1440" s="12"/>
      <c r="AV1440" s="29"/>
    </row>
    <row r="1441" spans="4:48">
      <c r="D1441" s="12"/>
      <c r="E1441" s="12"/>
      <c r="F1441" s="12"/>
      <c r="G1441" s="12"/>
      <c r="H1441" s="38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8"/>
      <c r="AS1441" s="28"/>
      <c r="AT1441" s="28"/>
      <c r="AU1441" s="12"/>
      <c r="AV1441" s="29"/>
    </row>
    <row r="1442" spans="4:48">
      <c r="D1442" s="12"/>
      <c r="E1442" s="12"/>
      <c r="F1442" s="12"/>
      <c r="G1442" s="12"/>
      <c r="H1442" s="38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8"/>
      <c r="AS1442" s="28"/>
      <c r="AT1442" s="28"/>
      <c r="AU1442" s="12"/>
      <c r="AV1442" s="29"/>
    </row>
    <row r="1443" spans="4:48">
      <c r="D1443" s="12"/>
      <c r="E1443" s="12"/>
      <c r="F1443" s="12"/>
      <c r="G1443" s="12"/>
      <c r="H1443" s="38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8"/>
      <c r="AS1443" s="28"/>
      <c r="AT1443" s="28"/>
      <c r="AU1443" s="12"/>
      <c r="AV1443" s="29"/>
    </row>
    <row r="1444" spans="4:48">
      <c r="D1444" s="12"/>
      <c r="E1444" s="12"/>
      <c r="F1444" s="12"/>
      <c r="G1444" s="12"/>
      <c r="H1444" s="38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8"/>
      <c r="AS1444" s="28"/>
      <c r="AT1444" s="28"/>
      <c r="AU1444" s="12"/>
      <c r="AV1444" s="29"/>
    </row>
    <row r="1445" spans="4:48">
      <c r="D1445" s="12"/>
      <c r="E1445" s="12"/>
      <c r="F1445" s="12"/>
      <c r="G1445" s="12"/>
      <c r="H1445" s="38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8"/>
      <c r="AS1445" s="28"/>
      <c r="AT1445" s="28"/>
      <c r="AU1445" s="12"/>
      <c r="AV1445" s="29"/>
    </row>
    <row r="1446" spans="4:48">
      <c r="D1446" s="12"/>
      <c r="E1446" s="12"/>
      <c r="F1446" s="12"/>
      <c r="G1446" s="12"/>
      <c r="H1446" s="38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8"/>
      <c r="AS1446" s="28"/>
      <c r="AT1446" s="28"/>
      <c r="AU1446" s="12"/>
      <c r="AV1446" s="29"/>
    </row>
    <row r="1447" spans="4:48">
      <c r="D1447" s="12"/>
      <c r="E1447" s="12"/>
      <c r="F1447" s="12"/>
      <c r="G1447" s="12"/>
      <c r="H1447" s="38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8"/>
      <c r="AS1447" s="28"/>
      <c r="AT1447" s="28"/>
      <c r="AU1447" s="12"/>
      <c r="AV1447" s="29"/>
    </row>
    <row r="1448" spans="4:48">
      <c r="D1448" s="12"/>
      <c r="E1448" s="12"/>
      <c r="F1448" s="12"/>
      <c r="G1448" s="12"/>
      <c r="H1448" s="38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8"/>
      <c r="AS1448" s="28"/>
      <c r="AT1448" s="28"/>
      <c r="AU1448" s="12"/>
      <c r="AV1448" s="29"/>
    </row>
    <row r="1449" spans="4:48">
      <c r="D1449" s="12"/>
      <c r="E1449" s="12"/>
      <c r="F1449" s="12"/>
      <c r="G1449" s="12"/>
      <c r="H1449" s="38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8"/>
      <c r="AS1449" s="28"/>
      <c r="AT1449" s="28"/>
      <c r="AU1449" s="12"/>
      <c r="AV1449" s="29"/>
    </row>
    <row r="1450" spans="4:48">
      <c r="D1450" s="12"/>
      <c r="E1450" s="12"/>
      <c r="F1450" s="12"/>
      <c r="G1450" s="12"/>
      <c r="H1450" s="38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8"/>
      <c r="AS1450" s="28"/>
      <c r="AT1450" s="28"/>
      <c r="AU1450" s="12"/>
      <c r="AV1450" s="29"/>
    </row>
    <row r="1451" spans="4:48">
      <c r="D1451" s="12"/>
      <c r="E1451" s="12"/>
      <c r="F1451" s="12"/>
      <c r="G1451" s="12"/>
      <c r="H1451" s="38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8"/>
      <c r="AS1451" s="28"/>
      <c r="AT1451" s="28"/>
      <c r="AU1451" s="12"/>
      <c r="AV1451" s="29"/>
    </row>
    <row r="1452" spans="4:48">
      <c r="D1452" s="12"/>
      <c r="E1452" s="12"/>
      <c r="F1452" s="12"/>
      <c r="G1452" s="12"/>
      <c r="H1452" s="38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8"/>
      <c r="AS1452" s="28"/>
      <c r="AT1452" s="28"/>
      <c r="AU1452" s="12"/>
      <c r="AV1452" s="29"/>
    </row>
    <row r="1453" spans="4:48">
      <c r="D1453" s="12"/>
      <c r="E1453" s="12"/>
      <c r="F1453" s="12"/>
      <c r="G1453" s="12"/>
      <c r="H1453" s="38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8"/>
      <c r="AS1453" s="28"/>
      <c r="AT1453" s="28"/>
      <c r="AU1453" s="12"/>
      <c r="AV1453" s="29"/>
    </row>
    <row r="1454" spans="4:48">
      <c r="D1454" s="12"/>
      <c r="E1454" s="12"/>
      <c r="F1454" s="12"/>
      <c r="G1454" s="12"/>
      <c r="H1454" s="38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8"/>
      <c r="AS1454" s="28"/>
      <c r="AT1454" s="28"/>
      <c r="AU1454" s="12"/>
      <c r="AV1454" s="29"/>
    </row>
    <row r="1455" spans="4:48">
      <c r="D1455" s="12"/>
      <c r="E1455" s="12"/>
      <c r="F1455" s="12"/>
      <c r="G1455" s="12"/>
      <c r="H1455" s="38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8"/>
      <c r="AS1455" s="28"/>
      <c r="AT1455" s="28"/>
      <c r="AU1455" s="12"/>
      <c r="AV1455" s="29"/>
    </row>
    <row r="1456" spans="4:48">
      <c r="D1456" s="12"/>
      <c r="E1456" s="12"/>
      <c r="F1456" s="12"/>
      <c r="G1456" s="12"/>
      <c r="H1456" s="38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8"/>
      <c r="AS1456" s="28"/>
      <c r="AT1456" s="28"/>
      <c r="AU1456" s="12"/>
      <c r="AV1456" s="29"/>
    </row>
    <row r="1457" spans="4:48">
      <c r="D1457" s="12"/>
      <c r="E1457" s="12"/>
      <c r="F1457" s="12"/>
      <c r="G1457" s="12"/>
      <c r="H1457" s="38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8"/>
      <c r="AS1457" s="28"/>
      <c r="AT1457" s="28"/>
      <c r="AU1457" s="12"/>
      <c r="AV1457" s="29"/>
    </row>
    <row r="1458" spans="4:48">
      <c r="D1458" s="12"/>
      <c r="E1458" s="12"/>
      <c r="F1458" s="12"/>
      <c r="G1458" s="12"/>
      <c r="H1458" s="38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8"/>
      <c r="AS1458" s="28"/>
      <c r="AT1458" s="28"/>
      <c r="AU1458" s="12"/>
      <c r="AV1458" s="29"/>
    </row>
    <row r="1459" spans="4:48">
      <c r="D1459" s="12"/>
      <c r="E1459" s="12"/>
      <c r="F1459" s="12"/>
      <c r="G1459" s="12"/>
      <c r="H1459" s="38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8"/>
      <c r="AS1459" s="28"/>
      <c r="AT1459" s="28"/>
      <c r="AU1459" s="12"/>
      <c r="AV1459" s="29"/>
    </row>
    <row r="1460" spans="4:48">
      <c r="D1460" s="12"/>
      <c r="E1460" s="12"/>
      <c r="F1460" s="12"/>
      <c r="G1460" s="12"/>
      <c r="H1460" s="38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8"/>
      <c r="AS1460" s="28"/>
      <c r="AT1460" s="28"/>
      <c r="AU1460" s="12"/>
      <c r="AV1460" s="29"/>
    </row>
    <row r="1461" spans="4:48">
      <c r="D1461" s="12"/>
      <c r="E1461" s="12"/>
      <c r="F1461" s="12"/>
      <c r="G1461" s="12"/>
      <c r="H1461" s="38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8"/>
      <c r="AS1461" s="28"/>
      <c r="AT1461" s="28"/>
      <c r="AU1461" s="12"/>
      <c r="AV1461" s="29"/>
    </row>
    <row r="1462" spans="4:48">
      <c r="D1462" s="12"/>
      <c r="E1462" s="12"/>
      <c r="F1462" s="12"/>
      <c r="G1462" s="12"/>
      <c r="H1462" s="38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8"/>
      <c r="AS1462" s="28"/>
      <c r="AT1462" s="28"/>
      <c r="AU1462" s="12"/>
      <c r="AV1462" s="29"/>
    </row>
    <row r="1463" spans="4:48">
      <c r="D1463" s="12"/>
      <c r="E1463" s="12"/>
      <c r="F1463" s="12"/>
      <c r="G1463" s="12"/>
      <c r="H1463" s="38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8"/>
      <c r="AS1463" s="28"/>
      <c r="AT1463" s="28"/>
      <c r="AU1463" s="12"/>
      <c r="AV1463" s="29"/>
    </row>
    <row r="1464" spans="4:48">
      <c r="D1464" s="12"/>
      <c r="E1464" s="12"/>
      <c r="F1464" s="12"/>
      <c r="G1464" s="12"/>
      <c r="H1464" s="38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8"/>
      <c r="AS1464" s="28"/>
      <c r="AT1464" s="28"/>
      <c r="AU1464" s="12"/>
      <c r="AV1464" s="29"/>
    </row>
    <row r="1465" spans="4:48">
      <c r="D1465" s="12"/>
      <c r="E1465" s="12"/>
      <c r="F1465" s="12"/>
      <c r="G1465" s="12"/>
      <c r="H1465" s="38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8"/>
      <c r="AS1465" s="28"/>
      <c r="AT1465" s="28"/>
      <c r="AU1465" s="12"/>
      <c r="AV1465" s="29"/>
    </row>
    <row r="1466" spans="4:48">
      <c r="D1466" s="12"/>
      <c r="E1466" s="12"/>
      <c r="F1466" s="12"/>
      <c r="G1466" s="12"/>
      <c r="H1466" s="38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8"/>
      <c r="AS1466" s="28"/>
      <c r="AT1466" s="28"/>
      <c r="AU1466" s="12"/>
      <c r="AV1466" s="29"/>
    </row>
    <row r="1467" spans="4:48">
      <c r="D1467" s="12"/>
      <c r="E1467" s="12"/>
      <c r="F1467" s="12"/>
      <c r="G1467" s="12"/>
      <c r="H1467" s="38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8"/>
      <c r="AS1467" s="28"/>
      <c r="AT1467" s="28"/>
      <c r="AU1467" s="12"/>
      <c r="AV1467" s="29"/>
    </row>
    <row r="1468" spans="4:48">
      <c r="D1468" s="12"/>
      <c r="E1468" s="12"/>
      <c r="F1468" s="12"/>
      <c r="G1468" s="12"/>
      <c r="H1468" s="38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8"/>
      <c r="AS1468" s="28"/>
      <c r="AT1468" s="28"/>
      <c r="AU1468" s="12"/>
      <c r="AV1468" s="29"/>
    </row>
    <row r="1469" spans="4:48">
      <c r="D1469" s="12"/>
      <c r="E1469" s="12"/>
      <c r="F1469" s="12"/>
      <c r="G1469" s="12"/>
      <c r="H1469" s="38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8"/>
      <c r="AS1469" s="28"/>
      <c r="AT1469" s="28"/>
      <c r="AU1469" s="12"/>
      <c r="AV1469" s="29"/>
    </row>
    <row r="1470" spans="4:48">
      <c r="D1470" s="12"/>
      <c r="E1470" s="12"/>
      <c r="F1470" s="12"/>
      <c r="G1470" s="12"/>
      <c r="H1470" s="38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8"/>
      <c r="AS1470" s="28"/>
      <c r="AT1470" s="28"/>
      <c r="AU1470" s="12"/>
      <c r="AV1470" s="29"/>
    </row>
    <row r="1471" spans="4:48">
      <c r="D1471" s="12"/>
      <c r="E1471" s="12"/>
      <c r="F1471" s="12"/>
      <c r="G1471" s="12"/>
      <c r="H1471" s="38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8"/>
      <c r="AS1471" s="28"/>
      <c r="AT1471" s="28"/>
      <c r="AU1471" s="12"/>
      <c r="AV1471" s="29"/>
    </row>
    <row r="1472" spans="4:48">
      <c r="D1472" s="12"/>
      <c r="E1472" s="12"/>
      <c r="F1472" s="12"/>
      <c r="G1472" s="12"/>
      <c r="H1472" s="38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8"/>
      <c r="AS1472" s="28"/>
      <c r="AT1472" s="28"/>
      <c r="AU1472" s="12"/>
      <c r="AV1472" s="29"/>
    </row>
    <row r="1473" spans="4:48">
      <c r="D1473" s="12"/>
      <c r="E1473" s="12"/>
      <c r="F1473" s="12"/>
      <c r="G1473" s="12"/>
      <c r="H1473" s="38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8"/>
      <c r="AS1473" s="28"/>
      <c r="AT1473" s="28"/>
      <c r="AU1473" s="12"/>
      <c r="AV1473" s="29"/>
    </row>
    <row r="1474" spans="4:48">
      <c r="D1474" s="12"/>
      <c r="E1474" s="12"/>
      <c r="F1474" s="12"/>
      <c r="G1474" s="12"/>
      <c r="H1474" s="38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8"/>
      <c r="AS1474" s="28"/>
      <c r="AT1474" s="28"/>
      <c r="AU1474" s="12"/>
      <c r="AV1474" s="29"/>
    </row>
    <row r="1475" spans="4:48">
      <c r="D1475" s="12"/>
      <c r="E1475" s="12"/>
      <c r="F1475" s="12"/>
      <c r="G1475" s="12"/>
      <c r="H1475" s="38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8"/>
      <c r="AS1475" s="28"/>
      <c r="AT1475" s="28"/>
      <c r="AU1475" s="12"/>
      <c r="AV1475" s="29"/>
    </row>
    <row r="1476" spans="4:48">
      <c r="D1476" s="12"/>
      <c r="E1476" s="12"/>
      <c r="F1476" s="12"/>
      <c r="G1476" s="12"/>
      <c r="H1476" s="38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8"/>
      <c r="AS1476" s="28"/>
      <c r="AT1476" s="28"/>
      <c r="AU1476" s="12"/>
      <c r="AV1476" s="29"/>
    </row>
    <row r="1477" spans="4:48">
      <c r="D1477" s="12"/>
      <c r="E1477" s="12"/>
      <c r="F1477" s="12"/>
      <c r="G1477" s="12"/>
      <c r="H1477" s="38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8"/>
      <c r="AS1477" s="28"/>
      <c r="AT1477" s="28"/>
      <c r="AU1477" s="12"/>
      <c r="AV1477" s="29"/>
    </row>
    <row r="1478" spans="4:48">
      <c r="D1478" s="12"/>
      <c r="E1478" s="12"/>
      <c r="F1478" s="12"/>
      <c r="G1478" s="12"/>
      <c r="H1478" s="38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8"/>
      <c r="AS1478" s="28"/>
      <c r="AT1478" s="28"/>
      <c r="AU1478" s="12"/>
      <c r="AV1478" s="29"/>
    </row>
    <row r="1479" spans="4:48">
      <c r="D1479" s="12"/>
      <c r="E1479" s="12"/>
      <c r="F1479" s="12"/>
      <c r="G1479" s="12"/>
      <c r="H1479" s="38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8"/>
      <c r="AS1479" s="28"/>
      <c r="AT1479" s="28"/>
      <c r="AU1479" s="12"/>
      <c r="AV1479" s="29"/>
    </row>
    <row r="1480" spans="4:48">
      <c r="D1480" s="12"/>
      <c r="E1480" s="12"/>
      <c r="F1480" s="12"/>
      <c r="G1480" s="12"/>
      <c r="H1480" s="38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8"/>
      <c r="AS1480" s="28"/>
      <c r="AT1480" s="28"/>
      <c r="AU1480" s="12"/>
      <c r="AV1480" s="29"/>
    </row>
    <row r="1481" spans="4:48">
      <c r="D1481" s="12"/>
      <c r="E1481" s="12"/>
      <c r="F1481" s="12"/>
      <c r="G1481" s="12"/>
      <c r="H1481" s="38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8"/>
      <c r="AS1481" s="28"/>
      <c r="AT1481" s="28"/>
      <c r="AU1481" s="12"/>
      <c r="AV1481" s="29"/>
    </row>
    <row r="1482" spans="4:48">
      <c r="D1482" s="12"/>
      <c r="E1482" s="12"/>
      <c r="F1482" s="12"/>
      <c r="G1482" s="12"/>
      <c r="H1482" s="38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8"/>
      <c r="AS1482" s="28"/>
      <c r="AT1482" s="28"/>
      <c r="AU1482" s="12"/>
      <c r="AV1482" s="29"/>
    </row>
    <row r="1483" spans="4:48">
      <c r="D1483" s="12"/>
      <c r="E1483" s="12"/>
      <c r="F1483" s="12"/>
      <c r="G1483" s="12"/>
      <c r="H1483" s="38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8"/>
      <c r="AS1483" s="28"/>
      <c r="AT1483" s="28"/>
      <c r="AU1483" s="12"/>
      <c r="AV1483" s="29"/>
    </row>
    <row r="1484" spans="4:48">
      <c r="D1484" s="12"/>
      <c r="E1484" s="12"/>
      <c r="F1484" s="12"/>
      <c r="G1484" s="12"/>
      <c r="H1484" s="38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8"/>
      <c r="AS1484" s="28"/>
      <c r="AT1484" s="28"/>
      <c r="AU1484" s="12"/>
      <c r="AV1484" s="29"/>
    </row>
    <row r="1485" spans="4:48">
      <c r="D1485" s="12"/>
      <c r="E1485" s="12"/>
      <c r="F1485" s="12"/>
      <c r="G1485" s="12"/>
      <c r="H1485" s="38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8"/>
      <c r="AS1485" s="28"/>
      <c r="AT1485" s="28"/>
      <c r="AU1485" s="12"/>
      <c r="AV1485" s="29"/>
    </row>
    <row r="1486" spans="4:48">
      <c r="D1486" s="12"/>
      <c r="E1486" s="12"/>
      <c r="F1486" s="12"/>
      <c r="G1486" s="12"/>
      <c r="H1486" s="38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8"/>
      <c r="AS1486" s="28"/>
      <c r="AT1486" s="28"/>
      <c r="AU1486" s="12"/>
      <c r="AV1486" s="29"/>
    </row>
    <row r="1487" spans="4:48">
      <c r="D1487" s="12"/>
      <c r="E1487" s="12"/>
      <c r="F1487" s="12"/>
      <c r="G1487" s="12"/>
      <c r="H1487" s="38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8"/>
      <c r="AS1487" s="28"/>
      <c r="AT1487" s="28"/>
      <c r="AU1487" s="12"/>
      <c r="AV1487" s="29"/>
    </row>
    <row r="1488" spans="4:48">
      <c r="D1488" s="12"/>
      <c r="E1488" s="12"/>
      <c r="F1488" s="12"/>
      <c r="G1488" s="12"/>
      <c r="H1488" s="38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8"/>
      <c r="AS1488" s="28"/>
      <c r="AT1488" s="28"/>
      <c r="AU1488" s="12"/>
      <c r="AV1488" s="29"/>
    </row>
    <row r="1489" spans="4:48">
      <c r="D1489" s="12"/>
      <c r="E1489" s="12"/>
      <c r="F1489" s="12"/>
      <c r="G1489" s="12"/>
      <c r="H1489" s="38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8"/>
      <c r="AS1489" s="28"/>
      <c r="AT1489" s="28"/>
      <c r="AU1489" s="12"/>
      <c r="AV1489" s="29"/>
    </row>
    <row r="1490" spans="4:48">
      <c r="D1490" s="12"/>
      <c r="E1490" s="12"/>
      <c r="F1490" s="12"/>
      <c r="G1490" s="12"/>
      <c r="H1490" s="38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8"/>
      <c r="AS1490" s="28"/>
      <c r="AT1490" s="28"/>
      <c r="AU1490" s="12"/>
      <c r="AV1490" s="29"/>
    </row>
    <row r="1491" spans="4:48">
      <c r="D1491" s="12"/>
      <c r="E1491" s="12"/>
      <c r="F1491" s="12"/>
      <c r="G1491" s="12"/>
      <c r="H1491" s="38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8"/>
      <c r="AS1491" s="28"/>
      <c r="AT1491" s="28"/>
      <c r="AU1491" s="12"/>
      <c r="AV1491" s="29"/>
    </row>
    <row r="1492" spans="4:48">
      <c r="D1492" s="12"/>
      <c r="E1492" s="12"/>
      <c r="F1492" s="12"/>
      <c r="G1492" s="12"/>
      <c r="H1492" s="38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8"/>
      <c r="AS1492" s="28"/>
      <c r="AT1492" s="28"/>
      <c r="AU1492" s="12"/>
      <c r="AV1492" s="29"/>
    </row>
    <row r="1493" spans="4:48">
      <c r="D1493" s="12"/>
      <c r="E1493" s="12"/>
      <c r="F1493" s="12"/>
      <c r="G1493" s="12"/>
      <c r="H1493" s="38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8"/>
      <c r="AS1493" s="28"/>
      <c r="AT1493" s="28"/>
      <c r="AU1493" s="12"/>
      <c r="AV1493" s="29"/>
    </row>
    <row r="1494" spans="4:48">
      <c r="D1494" s="12"/>
      <c r="E1494" s="12"/>
      <c r="F1494" s="12"/>
      <c r="G1494" s="12"/>
      <c r="H1494" s="38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8"/>
      <c r="AS1494" s="28"/>
      <c r="AT1494" s="28"/>
      <c r="AU1494" s="12"/>
      <c r="AV1494" s="29"/>
    </row>
    <row r="1495" spans="4:48">
      <c r="D1495" s="12"/>
      <c r="E1495" s="12"/>
      <c r="F1495" s="12"/>
      <c r="G1495" s="12"/>
      <c r="H1495" s="38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8"/>
      <c r="AS1495" s="28"/>
      <c r="AT1495" s="28"/>
      <c r="AU1495" s="12"/>
      <c r="AV1495" s="29"/>
    </row>
    <row r="1496" spans="4:48">
      <c r="D1496" s="12"/>
      <c r="E1496" s="12"/>
      <c r="F1496" s="12"/>
      <c r="G1496" s="12"/>
      <c r="H1496" s="38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8"/>
      <c r="AS1496" s="28"/>
      <c r="AT1496" s="28"/>
      <c r="AU1496" s="12"/>
      <c r="AV1496" s="29"/>
    </row>
    <row r="1497" spans="4:48">
      <c r="D1497" s="12"/>
      <c r="E1497" s="12"/>
      <c r="F1497" s="12"/>
      <c r="G1497" s="12"/>
      <c r="H1497" s="38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8"/>
      <c r="AS1497" s="28"/>
      <c r="AT1497" s="28"/>
      <c r="AU1497" s="12"/>
      <c r="AV1497" s="29"/>
    </row>
    <row r="1498" spans="4:48">
      <c r="D1498" s="12"/>
      <c r="E1498" s="12"/>
      <c r="F1498" s="12"/>
      <c r="G1498" s="12"/>
      <c r="H1498" s="38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8"/>
      <c r="AS1498" s="28"/>
      <c r="AT1498" s="28"/>
      <c r="AU1498" s="12"/>
      <c r="AV1498" s="29"/>
    </row>
    <row r="1499" spans="4:48">
      <c r="D1499" s="12"/>
      <c r="E1499" s="12"/>
      <c r="F1499" s="12"/>
      <c r="G1499" s="12"/>
      <c r="H1499" s="38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8"/>
      <c r="AS1499" s="28"/>
      <c r="AT1499" s="28"/>
      <c r="AU1499" s="12"/>
      <c r="AV1499" s="29"/>
    </row>
    <row r="1500" spans="4:48">
      <c r="D1500" s="12"/>
      <c r="E1500" s="12"/>
      <c r="F1500" s="12"/>
      <c r="G1500" s="12"/>
      <c r="H1500" s="38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8"/>
      <c r="AS1500" s="28"/>
      <c r="AT1500" s="28"/>
      <c r="AU1500" s="12"/>
      <c r="AV1500" s="29"/>
    </row>
    <row r="1501" spans="4:48">
      <c r="D1501" s="12"/>
      <c r="E1501" s="12"/>
      <c r="F1501" s="12"/>
      <c r="G1501" s="12"/>
      <c r="H1501" s="38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8"/>
      <c r="AS1501" s="28"/>
      <c r="AT1501" s="28"/>
      <c r="AU1501" s="12"/>
      <c r="AV1501" s="29"/>
    </row>
    <row r="1502" spans="4:48">
      <c r="D1502" s="12"/>
      <c r="E1502" s="12"/>
      <c r="F1502" s="12"/>
      <c r="G1502" s="12"/>
      <c r="H1502" s="38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8"/>
      <c r="AS1502" s="28"/>
      <c r="AT1502" s="28"/>
      <c r="AU1502" s="12"/>
      <c r="AV1502" s="29"/>
    </row>
    <row r="1503" spans="4:48">
      <c r="D1503" s="12"/>
      <c r="E1503" s="12"/>
      <c r="F1503" s="12"/>
      <c r="G1503" s="12"/>
      <c r="H1503" s="38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8"/>
      <c r="AS1503" s="28"/>
      <c r="AT1503" s="28"/>
      <c r="AU1503" s="12"/>
      <c r="AV1503" s="29"/>
    </row>
    <row r="1504" spans="4:48">
      <c r="D1504" s="12"/>
      <c r="E1504" s="12"/>
      <c r="F1504" s="12"/>
      <c r="G1504" s="12"/>
      <c r="H1504" s="38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8"/>
      <c r="AS1504" s="28"/>
      <c r="AT1504" s="28"/>
      <c r="AU1504" s="12"/>
      <c r="AV1504" s="29"/>
    </row>
    <row r="1505" spans="4:48">
      <c r="D1505" s="12"/>
      <c r="E1505" s="12"/>
      <c r="F1505" s="12"/>
      <c r="G1505" s="12"/>
      <c r="H1505" s="38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8"/>
      <c r="AS1505" s="28"/>
      <c r="AT1505" s="28"/>
      <c r="AU1505" s="12"/>
      <c r="AV1505" s="29"/>
    </row>
    <row r="1506" spans="4:48">
      <c r="D1506" s="12"/>
      <c r="E1506" s="12"/>
      <c r="F1506" s="12"/>
      <c r="G1506" s="12"/>
      <c r="H1506" s="38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8"/>
      <c r="AS1506" s="28"/>
      <c r="AT1506" s="28"/>
      <c r="AU1506" s="12"/>
      <c r="AV1506" s="29"/>
    </row>
    <row r="1507" spans="4:48">
      <c r="D1507" s="12"/>
      <c r="E1507" s="12"/>
      <c r="F1507" s="12"/>
      <c r="G1507" s="12"/>
      <c r="H1507" s="38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8"/>
      <c r="AS1507" s="28"/>
      <c r="AT1507" s="28"/>
      <c r="AU1507" s="12"/>
      <c r="AV1507" s="29"/>
    </row>
    <row r="1508" spans="4:48">
      <c r="D1508" s="12"/>
      <c r="E1508" s="12"/>
      <c r="F1508" s="12"/>
      <c r="G1508" s="12"/>
      <c r="H1508" s="38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8"/>
      <c r="AS1508" s="28"/>
      <c r="AT1508" s="28"/>
      <c r="AU1508" s="12"/>
      <c r="AV1508" s="29"/>
    </row>
    <row r="1509" spans="4:48">
      <c r="D1509" s="12"/>
      <c r="E1509" s="12"/>
      <c r="F1509" s="12"/>
      <c r="G1509" s="12"/>
      <c r="H1509" s="38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8"/>
      <c r="AS1509" s="28"/>
      <c r="AT1509" s="28"/>
      <c r="AU1509" s="12"/>
      <c r="AV1509" s="29"/>
    </row>
    <row r="1510" spans="4:48">
      <c r="D1510" s="12"/>
      <c r="E1510" s="12"/>
      <c r="F1510" s="12"/>
      <c r="G1510" s="12"/>
      <c r="H1510" s="38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8"/>
      <c r="AS1510" s="28"/>
      <c r="AT1510" s="28"/>
      <c r="AU1510" s="12"/>
      <c r="AV1510" s="29"/>
    </row>
    <row r="1511" spans="4:48">
      <c r="D1511" s="12"/>
      <c r="E1511" s="12"/>
      <c r="F1511" s="12"/>
      <c r="G1511" s="12"/>
      <c r="H1511" s="38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8"/>
      <c r="AS1511" s="28"/>
      <c r="AT1511" s="28"/>
      <c r="AU1511" s="12"/>
      <c r="AV1511" s="29"/>
    </row>
    <row r="1512" spans="4:48">
      <c r="D1512" s="12"/>
      <c r="E1512" s="12"/>
      <c r="F1512" s="12"/>
      <c r="G1512" s="12"/>
      <c r="H1512" s="38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8"/>
      <c r="AS1512" s="28"/>
      <c r="AT1512" s="28"/>
      <c r="AU1512" s="12"/>
      <c r="AV1512" s="29"/>
    </row>
    <row r="1513" spans="4:48">
      <c r="D1513" s="12"/>
      <c r="E1513" s="12"/>
      <c r="F1513" s="12"/>
      <c r="G1513" s="12"/>
      <c r="H1513" s="38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8"/>
      <c r="AS1513" s="28"/>
      <c r="AT1513" s="28"/>
      <c r="AU1513" s="12"/>
      <c r="AV1513" s="29"/>
    </row>
    <row r="1514" spans="4:48">
      <c r="D1514" s="12"/>
      <c r="E1514" s="12"/>
      <c r="F1514" s="12"/>
      <c r="G1514" s="12"/>
      <c r="H1514" s="38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8"/>
      <c r="AS1514" s="28"/>
      <c r="AT1514" s="28"/>
      <c r="AU1514" s="12"/>
      <c r="AV1514" s="29"/>
    </row>
    <row r="1515" spans="4:48">
      <c r="D1515" s="12"/>
      <c r="E1515" s="12"/>
      <c r="F1515" s="12"/>
      <c r="G1515" s="12"/>
      <c r="H1515" s="38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8"/>
      <c r="AS1515" s="28"/>
      <c r="AT1515" s="28"/>
      <c r="AU1515" s="12"/>
      <c r="AV1515" s="29"/>
    </row>
    <row r="1516" spans="4:48">
      <c r="D1516" s="12"/>
      <c r="E1516" s="12"/>
      <c r="F1516" s="12"/>
      <c r="G1516" s="12"/>
      <c r="H1516" s="38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8"/>
      <c r="AS1516" s="28"/>
      <c r="AT1516" s="28"/>
      <c r="AU1516" s="12"/>
      <c r="AV1516" s="29"/>
    </row>
    <row r="1517" spans="4:48">
      <c r="D1517" s="12"/>
      <c r="E1517" s="12"/>
      <c r="F1517" s="12"/>
      <c r="G1517" s="12"/>
      <c r="H1517" s="38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8"/>
      <c r="AS1517" s="28"/>
      <c r="AT1517" s="28"/>
      <c r="AU1517" s="12"/>
      <c r="AV1517" s="29"/>
    </row>
    <row r="1518" spans="4:48">
      <c r="D1518" s="12"/>
      <c r="E1518" s="12"/>
      <c r="F1518" s="12"/>
      <c r="G1518" s="12"/>
      <c r="H1518" s="38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8"/>
      <c r="AS1518" s="28"/>
      <c r="AT1518" s="28"/>
      <c r="AU1518" s="12"/>
      <c r="AV1518" s="29"/>
    </row>
    <row r="1519" spans="4:48">
      <c r="D1519" s="12"/>
      <c r="E1519" s="12"/>
      <c r="F1519" s="12"/>
      <c r="G1519" s="12"/>
      <c r="H1519" s="38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8"/>
      <c r="AS1519" s="28"/>
      <c r="AT1519" s="28"/>
      <c r="AU1519" s="12"/>
      <c r="AV1519" s="29"/>
    </row>
    <row r="1520" spans="4:48">
      <c r="D1520" s="12"/>
      <c r="E1520" s="12"/>
      <c r="F1520" s="12"/>
      <c r="G1520" s="12"/>
      <c r="H1520" s="38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8"/>
      <c r="AS1520" s="28"/>
      <c r="AT1520" s="28"/>
      <c r="AU1520" s="12"/>
      <c r="AV1520" s="29"/>
    </row>
    <row r="1521" spans="4:48">
      <c r="D1521" s="12"/>
      <c r="E1521" s="12"/>
      <c r="F1521" s="12"/>
      <c r="G1521" s="12"/>
      <c r="H1521" s="38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8"/>
      <c r="AS1521" s="28"/>
      <c r="AT1521" s="28"/>
      <c r="AU1521" s="12"/>
      <c r="AV1521" s="29"/>
    </row>
    <row r="1522" spans="4:48">
      <c r="D1522" s="12"/>
      <c r="E1522" s="12"/>
      <c r="F1522" s="12"/>
      <c r="G1522" s="12"/>
      <c r="H1522" s="38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8"/>
      <c r="AS1522" s="28"/>
      <c r="AT1522" s="28"/>
      <c r="AU1522" s="12"/>
      <c r="AV1522" s="29"/>
    </row>
    <row r="1523" spans="4:48">
      <c r="D1523" s="12"/>
      <c r="E1523" s="12"/>
      <c r="F1523" s="12"/>
      <c r="G1523" s="12"/>
      <c r="H1523" s="38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8"/>
      <c r="AS1523" s="28"/>
      <c r="AT1523" s="28"/>
      <c r="AU1523" s="12"/>
      <c r="AV1523" s="29"/>
    </row>
    <row r="1524" spans="4:48">
      <c r="D1524" s="12"/>
      <c r="E1524" s="12"/>
      <c r="F1524" s="12"/>
      <c r="G1524" s="12"/>
      <c r="H1524" s="38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8"/>
      <c r="AS1524" s="28"/>
      <c r="AT1524" s="28"/>
      <c r="AU1524" s="12"/>
      <c r="AV1524" s="29"/>
    </row>
    <row r="1525" spans="4:48">
      <c r="D1525" s="12"/>
      <c r="E1525" s="12"/>
      <c r="F1525" s="12"/>
      <c r="G1525" s="12"/>
      <c r="H1525" s="38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8"/>
      <c r="AS1525" s="28"/>
      <c r="AT1525" s="28"/>
      <c r="AU1525" s="12"/>
      <c r="AV1525" s="29"/>
    </row>
    <row r="1526" spans="4:48">
      <c r="D1526" s="12"/>
      <c r="E1526" s="12"/>
      <c r="F1526" s="12"/>
      <c r="G1526" s="12"/>
      <c r="H1526" s="38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8"/>
      <c r="AS1526" s="28"/>
      <c r="AT1526" s="28"/>
      <c r="AU1526" s="12"/>
      <c r="AV1526" s="29"/>
    </row>
    <row r="1527" spans="4:48">
      <c r="D1527" s="12"/>
      <c r="E1527" s="12"/>
      <c r="F1527" s="12"/>
      <c r="G1527" s="12"/>
      <c r="H1527" s="38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8"/>
      <c r="AS1527" s="28"/>
      <c r="AT1527" s="28"/>
      <c r="AU1527" s="12"/>
      <c r="AV1527" s="29"/>
    </row>
    <row r="1528" spans="4:48">
      <c r="D1528" s="12"/>
      <c r="E1528" s="12"/>
      <c r="F1528" s="12"/>
      <c r="G1528" s="12"/>
      <c r="H1528" s="38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8"/>
      <c r="AS1528" s="28"/>
      <c r="AT1528" s="28"/>
      <c r="AU1528" s="12"/>
      <c r="AV1528" s="29"/>
    </row>
    <row r="1529" spans="4:48">
      <c r="D1529" s="12"/>
      <c r="E1529" s="12"/>
      <c r="F1529" s="12"/>
      <c r="G1529" s="12"/>
      <c r="H1529" s="38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8"/>
      <c r="AS1529" s="28"/>
      <c r="AT1529" s="28"/>
      <c r="AU1529" s="12"/>
      <c r="AV1529" s="29"/>
    </row>
    <row r="1530" spans="4:48">
      <c r="D1530" s="12"/>
      <c r="E1530" s="12"/>
      <c r="F1530" s="12"/>
      <c r="G1530" s="12"/>
      <c r="H1530" s="38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8"/>
      <c r="AS1530" s="28"/>
      <c r="AT1530" s="28"/>
      <c r="AU1530" s="12"/>
      <c r="AV1530" s="29"/>
    </row>
    <row r="1531" spans="4:48">
      <c r="D1531" s="12"/>
      <c r="E1531" s="12"/>
      <c r="F1531" s="12"/>
      <c r="G1531" s="12"/>
      <c r="H1531" s="38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8"/>
      <c r="AS1531" s="28"/>
      <c r="AT1531" s="28"/>
      <c r="AU1531" s="12"/>
      <c r="AV1531" s="29"/>
    </row>
    <row r="1532" spans="4:48">
      <c r="D1532" s="12"/>
      <c r="E1532" s="12"/>
      <c r="F1532" s="12"/>
      <c r="G1532" s="12"/>
      <c r="H1532" s="38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8"/>
      <c r="AS1532" s="28"/>
      <c r="AT1532" s="28"/>
      <c r="AU1532" s="12"/>
      <c r="AV1532" s="29"/>
    </row>
    <row r="1533" spans="4:48">
      <c r="D1533" s="12"/>
      <c r="E1533" s="12"/>
      <c r="F1533" s="12"/>
      <c r="G1533" s="12"/>
      <c r="H1533" s="38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8"/>
      <c r="AS1533" s="28"/>
      <c r="AT1533" s="28"/>
      <c r="AU1533" s="12"/>
      <c r="AV1533" s="29"/>
    </row>
    <row r="1534" spans="4:48">
      <c r="D1534" s="12"/>
      <c r="E1534" s="12"/>
      <c r="F1534" s="12"/>
      <c r="G1534" s="12"/>
      <c r="H1534" s="38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8"/>
      <c r="AS1534" s="28"/>
      <c r="AT1534" s="28"/>
      <c r="AU1534" s="12"/>
      <c r="AV1534" s="29"/>
    </row>
    <row r="1535" spans="4:48">
      <c r="D1535" s="12"/>
      <c r="E1535" s="12"/>
      <c r="F1535" s="12"/>
      <c r="G1535" s="12"/>
      <c r="H1535" s="38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8"/>
      <c r="AS1535" s="28"/>
      <c r="AT1535" s="28"/>
      <c r="AU1535" s="12"/>
      <c r="AV1535" s="29"/>
    </row>
    <row r="1536" spans="4:48">
      <c r="D1536" s="12"/>
      <c r="E1536" s="12"/>
      <c r="F1536" s="12"/>
      <c r="G1536" s="12"/>
      <c r="H1536" s="38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8"/>
      <c r="AS1536" s="28"/>
      <c r="AT1536" s="28"/>
      <c r="AU1536" s="12"/>
      <c r="AV1536" s="29"/>
    </row>
    <row r="1537" spans="4:48">
      <c r="D1537" s="12"/>
      <c r="E1537" s="12"/>
      <c r="F1537" s="12"/>
      <c r="G1537" s="12"/>
      <c r="H1537" s="38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8"/>
      <c r="AS1537" s="28"/>
      <c r="AT1537" s="28"/>
      <c r="AU1537" s="12"/>
      <c r="AV1537" s="29"/>
    </row>
    <row r="1538" spans="4:48">
      <c r="D1538" s="12"/>
      <c r="E1538" s="12"/>
      <c r="F1538" s="12"/>
      <c r="G1538" s="12"/>
      <c r="H1538" s="38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8"/>
      <c r="AS1538" s="28"/>
      <c r="AT1538" s="28"/>
      <c r="AU1538" s="12"/>
      <c r="AV1538" s="29"/>
    </row>
    <row r="1539" spans="4:48">
      <c r="D1539" s="12"/>
      <c r="E1539" s="12"/>
      <c r="F1539" s="12"/>
      <c r="G1539" s="12"/>
      <c r="H1539" s="38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8"/>
      <c r="AS1539" s="28"/>
      <c r="AT1539" s="28"/>
      <c r="AU1539" s="12"/>
      <c r="AV1539" s="29"/>
    </row>
    <row r="1540" spans="4:48">
      <c r="D1540" s="12"/>
      <c r="E1540" s="12"/>
      <c r="F1540" s="12"/>
      <c r="G1540" s="12"/>
      <c r="H1540" s="38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8"/>
      <c r="AS1540" s="28"/>
      <c r="AT1540" s="28"/>
      <c r="AU1540" s="12"/>
      <c r="AV1540" s="29"/>
    </row>
    <row r="1541" spans="4:48">
      <c r="D1541" s="12"/>
      <c r="E1541" s="12"/>
      <c r="F1541" s="12"/>
      <c r="G1541" s="12"/>
      <c r="H1541" s="38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8"/>
      <c r="AS1541" s="28"/>
      <c r="AT1541" s="28"/>
      <c r="AU1541" s="12"/>
      <c r="AV1541" s="29"/>
    </row>
    <row r="1542" spans="4:48">
      <c r="D1542" s="12"/>
      <c r="E1542" s="12"/>
      <c r="F1542" s="12"/>
      <c r="G1542" s="12"/>
      <c r="H1542" s="38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8"/>
      <c r="AS1542" s="28"/>
      <c r="AT1542" s="28"/>
      <c r="AU1542" s="12"/>
      <c r="AV1542" s="29"/>
    </row>
    <row r="1543" spans="4:48">
      <c r="D1543" s="12"/>
      <c r="E1543" s="12"/>
      <c r="F1543" s="12"/>
      <c r="G1543" s="12"/>
      <c r="H1543" s="38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8"/>
      <c r="AS1543" s="28"/>
      <c r="AT1543" s="28"/>
      <c r="AU1543" s="12"/>
      <c r="AV1543" s="29"/>
    </row>
    <row r="1544" spans="4:48">
      <c r="D1544" s="12"/>
      <c r="E1544" s="12"/>
      <c r="F1544" s="12"/>
      <c r="G1544" s="12"/>
      <c r="H1544" s="38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8"/>
      <c r="AS1544" s="28"/>
      <c r="AT1544" s="28"/>
      <c r="AU1544" s="12"/>
      <c r="AV1544" s="29"/>
    </row>
    <row r="1545" spans="4:48">
      <c r="D1545" s="12"/>
      <c r="E1545" s="12"/>
      <c r="F1545" s="12"/>
      <c r="G1545" s="12"/>
      <c r="H1545" s="38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8"/>
      <c r="AS1545" s="28"/>
      <c r="AT1545" s="28"/>
      <c r="AU1545" s="12"/>
      <c r="AV1545" s="29"/>
    </row>
    <row r="1546" spans="4:48">
      <c r="D1546" s="12"/>
      <c r="E1546" s="12"/>
      <c r="F1546" s="12"/>
      <c r="G1546" s="12"/>
      <c r="H1546" s="38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8"/>
      <c r="AS1546" s="28"/>
      <c r="AT1546" s="28"/>
      <c r="AU1546" s="12"/>
      <c r="AV1546" s="29"/>
    </row>
    <row r="1547" spans="4:48">
      <c r="D1547" s="12"/>
      <c r="E1547" s="12"/>
      <c r="F1547" s="12"/>
      <c r="G1547" s="12"/>
      <c r="H1547" s="38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8"/>
      <c r="AS1547" s="28"/>
      <c r="AT1547" s="28"/>
      <c r="AU1547" s="12"/>
      <c r="AV1547" s="29"/>
    </row>
    <row r="1548" spans="4:48">
      <c r="D1548" s="12"/>
      <c r="E1548" s="12"/>
      <c r="F1548" s="12"/>
      <c r="G1548" s="12"/>
      <c r="H1548" s="38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8"/>
      <c r="AS1548" s="28"/>
      <c r="AT1548" s="28"/>
      <c r="AU1548" s="12"/>
      <c r="AV1548" s="29"/>
    </row>
    <row r="1549" spans="4:48">
      <c r="D1549" s="12"/>
      <c r="E1549" s="12"/>
      <c r="F1549" s="12"/>
      <c r="G1549" s="12"/>
      <c r="H1549" s="38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8"/>
      <c r="AS1549" s="28"/>
      <c r="AT1549" s="28"/>
      <c r="AU1549" s="12"/>
      <c r="AV1549" s="29"/>
    </row>
    <row r="1550" spans="4:48">
      <c r="D1550" s="12"/>
      <c r="E1550" s="12"/>
      <c r="F1550" s="12"/>
      <c r="G1550" s="12"/>
      <c r="H1550" s="38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8"/>
      <c r="AS1550" s="28"/>
      <c r="AT1550" s="28"/>
      <c r="AU1550" s="12"/>
      <c r="AV1550" s="29"/>
    </row>
    <row r="1551" spans="4:48">
      <c r="D1551" s="12"/>
      <c r="E1551" s="12"/>
      <c r="F1551" s="12"/>
      <c r="G1551" s="12"/>
      <c r="H1551" s="38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8"/>
      <c r="AS1551" s="28"/>
      <c r="AT1551" s="28"/>
      <c r="AU1551" s="12"/>
      <c r="AV1551" s="29"/>
    </row>
    <row r="1552" spans="4:48">
      <c r="D1552" s="12"/>
      <c r="E1552" s="12"/>
      <c r="F1552" s="12"/>
      <c r="G1552" s="12"/>
      <c r="H1552" s="38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8"/>
      <c r="AS1552" s="28"/>
      <c r="AT1552" s="28"/>
      <c r="AU1552" s="12"/>
      <c r="AV1552" s="29"/>
    </row>
    <row r="1553" spans="4:48">
      <c r="D1553" s="12"/>
      <c r="E1553" s="12"/>
      <c r="F1553" s="12"/>
      <c r="G1553" s="12"/>
      <c r="H1553" s="38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8"/>
      <c r="AS1553" s="28"/>
      <c r="AT1553" s="28"/>
      <c r="AU1553" s="12"/>
      <c r="AV1553" s="29"/>
    </row>
    <row r="1554" spans="4:48">
      <c r="D1554" s="12"/>
      <c r="E1554" s="12"/>
      <c r="F1554" s="12"/>
      <c r="G1554" s="12"/>
      <c r="H1554" s="38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8"/>
      <c r="AS1554" s="28"/>
      <c r="AT1554" s="28"/>
      <c r="AU1554" s="12"/>
      <c r="AV1554" s="29"/>
    </row>
    <row r="1555" spans="4:48">
      <c r="D1555" s="12"/>
      <c r="E1555" s="12"/>
      <c r="F1555" s="12"/>
      <c r="G1555" s="12"/>
      <c r="H1555" s="38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8"/>
      <c r="AS1555" s="28"/>
      <c r="AT1555" s="28"/>
      <c r="AU1555" s="12"/>
      <c r="AV1555" s="29"/>
    </row>
    <row r="1556" spans="4:48">
      <c r="D1556" s="12"/>
      <c r="E1556" s="12"/>
      <c r="F1556" s="12"/>
      <c r="G1556" s="12"/>
      <c r="H1556" s="38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8"/>
      <c r="AS1556" s="28"/>
      <c r="AT1556" s="28"/>
      <c r="AU1556" s="12"/>
      <c r="AV1556" s="29"/>
    </row>
    <row r="1557" spans="4:48">
      <c r="D1557" s="12"/>
      <c r="E1557" s="12"/>
      <c r="F1557" s="12"/>
      <c r="G1557" s="12"/>
      <c r="H1557" s="38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8"/>
      <c r="AS1557" s="28"/>
      <c r="AT1557" s="28"/>
      <c r="AU1557" s="12"/>
      <c r="AV1557" s="29"/>
    </row>
    <row r="1558" spans="4:48">
      <c r="D1558" s="12"/>
      <c r="E1558" s="12"/>
      <c r="F1558" s="12"/>
      <c r="G1558" s="12"/>
      <c r="H1558" s="38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8"/>
      <c r="AS1558" s="28"/>
      <c r="AT1558" s="28"/>
      <c r="AU1558" s="12"/>
      <c r="AV1558" s="29"/>
    </row>
    <row r="1559" spans="4:48">
      <c r="D1559" s="12"/>
      <c r="E1559" s="12"/>
      <c r="F1559" s="12"/>
      <c r="G1559" s="12"/>
      <c r="H1559" s="38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8"/>
      <c r="AS1559" s="28"/>
      <c r="AT1559" s="28"/>
      <c r="AU1559" s="12"/>
      <c r="AV1559" s="29"/>
    </row>
    <row r="1560" spans="4:48">
      <c r="D1560" s="12"/>
      <c r="E1560" s="12"/>
      <c r="F1560" s="12"/>
      <c r="G1560" s="12"/>
      <c r="H1560" s="38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8"/>
      <c r="AS1560" s="28"/>
      <c r="AT1560" s="28"/>
      <c r="AU1560" s="12"/>
      <c r="AV1560" s="29"/>
    </row>
    <row r="1561" spans="4:48">
      <c r="D1561" s="12"/>
      <c r="E1561" s="12"/>
      <c r="F1561" s="12"/>
      <c r="G1561" s="12"/>
      <c r="H1561" s="38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8"/>
      <c r="AS1561" s="28"/>
      <c r="AT1561" s="28"/>
      <c r="AU1561" s="12"/>
      <c r="AV1561" s="29"/>
    </row>
    <row r="1562" spans="4:48">
      <c r="D1562" s="12"/>
      <c r="E1562" s="12"/>
      <c r="F1562" s="12"/>
      <c r="G1562" s="12"/>
      <c r="H1562" s="38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8"/>
      <c r="AS1562" s="28"/>
      <c r="AT1562" s="28"/>
      <c r="AU1562" s="12"/>
      <c r="AV1562" s="29"/>
    </row>
    <row r="1563" spans="4:48">
      <c r="D1563" s="12"/>
      <c r="E1563" s="12"/>
      <c r="F1563" s="12"/>
      <c r="G1563" s="12"/>
      <c r="H1563" s="38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8"/>
      <c r="AS1563" s="28"/>
      <c r="AT1563" s="28"/>
      <c r="AU1563" s="12"/>
      <c r="AV1563" s="29"/>
    </row>
    <row r="1564" spans="4:48">
      <c r="D1564" s="12"/>
      <c r="E1564" s="12"/>
      <c r="F1564" s="12"/>
      <c r="G1564" s="12"/>
      <c r="H1564" s="38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8"/>
      <c r="AS1564" s="28"/>
      <c r="AT1564" s="28"/>
      <c r="AU1564" s="12"/>
      <c r="AV1564" s="29"/>
    </row>
    <row r="1565" spans="4:48">
      <c r="D1565" s="12"/>
      <c r="E1565" s="12"/>
      <c r="F1565" s="12"/>
      <c r="G1565" s="12"/>
      <c r="H1565" s="38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8"/>
      <c r="AS1565" s="28"/>
      <c r="AT1565" s="28"/>
      <c r="AU1565" s="12"/>
      <c r="AV1565" s="29"/>
    </row>
    <row r="1566" spans="4:48">
      <c r="D1566" s="12"/>
      <c r="E1566" s="12"/>
      <c r="F1566" s="12"/>
      <c r="G1566" s="12"/>
      <c r="H1566" s="38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8"/>
      <c r="AS1566" s="28"/>
      <c r="AT1566" s="28"/>
      <c r="AU1566" s="12"/>
      <c r="AV1566" s="29"/>
    </row>
    <row r="1567" spans="4:48">
      <c r="D1567" s="12"/>
      <c r="E1567" s="12"/>
      <c r="F1567" s="12"/>
      <c r="G1567" s="12"/>
      <c r="H1567" s="38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8"/>
      <c r="AS1567" s="28"/>
      <c r="AT1567" s="28"/>
      <c r="AU1567" s="12"/>
      <c r="AV1567" s="29"/>
    </row>
    <row r="1568" spans="4:48">
      <c r="D1568" s="12"/>
      <c r="E1568" s="12"/>
      <c r="F1568" s="12"/>
      <c r="G1568" s="12"/>
      <c r="H1568" s="38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8"/>
      <c r="AS1568" s="28"/>
      <c r="AT1568" s="28"/>
      <c r="AU1568" s="12"/>
      <c r="AV1568" s="29"/>
    </row>
    <row r="1569" spans="4:48">
      <c r="D1569" s="12"/>
      <c r="E1569" s="12"/>
      <c r="F1569" s="12"/>
      <c r="G1569" s="12"/>
      <c r="H1569" s="38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8"/>
      <c r="AS1569" s="28"/>
      <c r="AT1569" s="28"/>
      <c r="AU1569" s="12"/>
      <c r="AV1569" s="29"/>
    </row>
    <row r="1570" spans="4:48">
      <c r="D1570" s="12"/>
      <c r="E1570" s="12"/>
      <c r="F1570" s="12"/>
      <c r="G1570" s="12"/>
      <c r="H1570" s="38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8"/>
      <c r="AS1570" s="28"/>
      <c r="AT1570" s="28"/>
      <c r="AU1570" s="12"/>
      <c r="AV1570" s="29"/>
    </row>
    <row r="1571" spans="4:48">
      <c r="D1571" s="12"/>
      <c r="E1571" s="12"/>
      <c r="F1571" s="12"/>
      <c r="G1571" s="12"/>
      <c r="H1571" s="38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8"/>
      <c r="AS1571" s="28"/>
      <c r="AT1571" s="28"/>
      <c r="AU1571" s="12"/>
      <c r="AV1571" s="29"/>
    </row>
    <row r="1572" spans="4:48">
      <c r="D1572" s="12"/>
      <c r="E1572" s="12"/>
      <c r="F1572" s="12"/>
      <c r="G1572" s="12"/>
      <c r="H1572" s="38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8"/>
      <c r="AS1572" s="28"/>
      <c r="AT1572" s="28"/>
      <c r="AU1572" s="12"/>
      <c r="AV1572" s="29"/>
    </row>
    <row r="1573" spans="4:48">
      <c r="D1573" s="12"/>
      <c r="E1573" s="12"/>
      <c r="F1573" s="12"/>
      <c r="G1573" s="12"/>
      <c r="H1573" s="38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8"/>
      <c r="AS1573" s="28"/>
      <c r="AT1573" s="28"/>
      <c r="AU1573" s="12"/>
      <c r="AV1573" s="29"/>
    </row>
    <row r="1574" spans="4:48">
      <c r="D1574" s="12"/>
      <c r="E1574" s="12"/>
      <c r="F1574" s="12"/>
      <c r="G1574" s="12"/>
      <c r="H1574" s="38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8"/>
      <c r="AS1574" s="28"/>
      <c r="AT1574" s="28"/>
      <c r="AU1574" s="12"/>
      <c r="AV1574" s="29"/>
    </row>
    <row r="1575" spans="4:48">
      <c r="D1575" s="12"/>
      <c r="E1575" s="12"/>
      <c r="F1575" s="12"/>
      <c r="G1575" s="12"/>
      <c r="H1575" s="38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8"/>
      <c r="AS1575" s="28"/>
      <c r="AT1575" s="28"/>
      <c r="AU1575" s="12"/>
      <c r="AV1575" s="29"/>
    </row>
    <row r="1576" spans="4:48">
      <c r="D1576" s="12"/>
      <c r="E1576" s="12"/>
      <c r="F1576" s="12"/>
      <c r="G1576" s="12"/>
      <c r="H1576" s="38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8"/>
      <c r="AS1576" s="28"/>
      <c r="AT1576" s="28"/>
      <c r="AU1576" s="12"/>
      <c r="AV1576" s="29"/>
    </row>
    <row r="1577" spans="4:48">
      <c r="D1577" s="12"/>
      <c r="E1577" s="12"/>
      <c r="F1577" s="12"/>
      <c r="G1577" s="12"/>
      <c r="H1577" s="38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8"/>
      <c r="AS1577" s="28"/>
      <c r="AT1577" s="28"/>
      <c r="AU1577" s="12"/>
      <c r="AV1577" s="29"/>
    </row>
    <row r="1578" spans="4:48">
      <c r="D1578" s="12"/>
      <c r="E1578" s="12"/>
      <c r="F1578" s="12"/>
      <c r="G1578" s="12"/>
      <c r="H1578" s="38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8"/>
      <c r="AS1578" s="28"/>
      <c r="AT1578" s="28"/>
      <c r="AU1578" s="12"/>
      <c r="AV1578" s="29"/>
    </row>
    <row r="1579" spans="4:48">
      <c r="D1579" s="12"/>
      <c r="E1579" s="12"/>
      <c r="F1579" s="12"/>
      <c r="G1579" s="12"/>
      <c r="H1579" s="38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8"/>
      <c r="AS1579" s="28"/>
      <c r="AT1579" s="28"/>
      <c r="AU1579" s="12"/>
      <c r="AV1579" s="29"/>
    </row>
    <row r="1580" spans="4:48">
      <c r="D1580" s="12"/>
      <c r="E1580" s="12"/>
      <c r="F1580" s="12"/>
      <c r="G1580" s="12"/>
      <c r="H1580" s="38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8"/>
      <c r="AS1580" s="28"/>
      <c r="AT1580" s="28"/>
      <c r="AU1580" s="12"/>
      <c r="AV1580" s="29"/>
    </row>
    <row r="1581" spans="4:48">
      <c r="D1581" s="12"/>
      <c r="E1581" s="12"/>
      <c r="F1581" s="12"/>
      <c r="G1581" s="12"/>
      <c r="H1581" s="38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8"/>
      <c r="AS1581" s="28"/>
      <c r="AT1581" s="28"/>
      <c r="AU1581" s="12"/>
      <c r="AV1581" s="29"/>
    </row>
    <row r="1582" spans="4:48">
      <c r="D1582" s="12"/>
      <c r="E1582" s="12"/>
      <c r="F1582" s="12"/>
      <c r="G1582" s="12"/>
      <c r="H1582" s="38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8"/>
      <c r="AS1582" s="28"/>
      <c r="AT1582" s="28"/>
      <c r="AU1582" s="12"/>
      <c r="AV1582" s="29"/>
    </row>
    <row r="1583" spans="4:48">
      <c r="D1583" s="12"/>
      <c r="E1583" s="12"/>
      <c r="F1583" s="12"/>
      <c r="G1583" s="12"/>
      <c r="H1583" s="38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8"/>
      <c r="AS1583" s="28"/>
      <c r="AT1583" s="28"/>
      <c r="AU1583" s="12"/>
      <c r="AV1583" s="29"/>
    </row>
    <row r="1584" spans="4:48">
      <c r="D1584" s="12"/>
      <c r="E1584" s="12"/>
      <c r="F1584" s="12"/>
      <c r="G1584" s="12"/>
      <c r="H1584" s="38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8"/>
      <c r="AS1584" s="28"/>
      <c r="AT1584" s="28"/>
      <c r="AU1584" s="12"/>
      <c r="AV1584" s="29"/>
    </row>
    <row r="1585" spans="4:48">
      <c r="D1585" s="12"/>
      <c r="E1585" s="12"/>
      <c r="F1585" s="12"/>
      <c r="G1585" s="12"/>
      <c r="H1585" s="38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8"/>
      <c r="AS1585" s="28"/>
      <c r="AT1585" s="28"/>
      <c r="AU1585" s="12"/>
      <c r="AV1585" s="29"/>
    </row>
    <row r="1586" spans="4:48">
      <c r="D1586" s="12"/>
      <c r="E1586" s="12"/>
      <c r="F1586" s="12"/>
      <c r="G1586" s="12"/>
      <c r="H1586" s="38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8"/>
      <c r="AS1586" s="28"/>
      <c r="AT1586" s="28"/>
      <c r="AU1586" s="12"/>
      <c r="AV1586" s="29"/>
    </row>
    <row r="1587" spans="4:48">
      <c r="D1587" s="12"/>
      <c r="E1587" s="12"/>
      <c r="F1587" s="12"/>
      <c r="G1587" s="12"/>
      <c r="H1587" s="38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8"/>
      <c r="AS1587" s="28"/>
      <c r="AT1587" s="28"/>
      <c r="AU1587" s="12"/>
      <c r="AV1587" s="29"/>
    </row>
    <row r="1588" spans="4:48">
      <c r="D1588" s="12"/>
      <c r="E1588" s="12"/>
      <c r="F1588" s="12"/>
      <c r="G1588" s="12"/>
      <c r="H1588" s="38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8"/>
      <c r="AS1588" s="28"/>
      <c r="AT1588" s="28"/>
      <c r="AU1588" s="12"/>
      <c r="AV1588" s="29"/>
    </row>
    <row r="1589" spans="4:48">
      <c r="D1589" s="12"/>
      <c r="E1589" s="12"/>
      <c r="F1589" s="12"/>
      <c r="G1589" s="12"/>
      <c r="H1589" s="38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8"/>
      <c r="AS1589" s="28"/>
      <c r="AT1589" s="28"/>
      <c r="AU1589" s="12"/>
      <c r="AV1589" s="29"/>
    </row>
    <row r="1590" spans="4:48">
      <c r="D1590" s="12"/>
      <c r="E1590" s="12"/>
      <c r="F1590" s="12"/>
      <c r="G1590" s="12"/>
      <c r="H1590" s="38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8"/>
      <c r="AS1590" s="28"/>
      <c r="AT1590" s="28"/>
      <c r="AU1590" s="12"/>
      <c r="AV1590" s="29"/>
    </row>
    <row r="1591" spans="4:48">
      <c r="D1591" s="12"/>
      <c r="E1591" s="12"/>
      <c r="F1591" s="12"/>
      <c r="G1591" s="12"/>
      <c r="H1591" s="38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8"/>
      <c r="AS1591" s="28"/>
      <c r="AT1591" s="28"/>
      <c r="AU1591" s="12"/>
      <c r="AV1591" s="29"/>
    </row>
    <row r="1592" spans="4:48">
      <c r="D1592" s="12"/>
      <c r="E1592" s="12"/>
      <c r="F1592" s="12"/>
      <c r="G1592" s="12"/>
      <c r="H1592" s="38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8"/>
      <c r="AS1592" s="28"/>
      <c r="AT1592" s="28"/>
      <c r="AU1592" s="12"/>
      <c r="AV1592" s="29"/>
    </row>
    <row r="1593" spans="4:48">
      <c r="D1593" s="12"/>
      <c r="E1593" s="12"/>
      <c r="F1593" s="12"/>
      <c r="G1593" s="12"/>
      <c r="H1593" s="38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8"/>
      <c r="AS1593" s="28"/>
      <c r="AT1593" s="28"/>
      <c r="AU1593" s="12"/>
      <c r="AV1593" s="29"/>
    </row>
    <row r="1594" spans="4:48">
      <c r="D1594" s="12"/>
      <c r="E1594" s="12"/>
      <c r="F1594" s="12"/>
      <c r="G1594" s="12"/>
      <c r="H1594" s="38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8"/>
      <c r="AS1594" s="28"/>
      <c r="AT1594" s="28"/>
      <c r="AU1594" s="12"/>
      <c r="AV1594" s="29"/>
    </row>
    <row r="1595" spans="4:48">
      <c r="D1595" s="12"/>
      <c r="E1595" s="12"/>
      <c r="F1595" s="12"/>
      <c r="G1595" s="12"/>
      <c r="H1595" s="38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8"/>
      <c r="AS1595" s="28"/>
      <c r="AT1595" s="28"/>
      <c r="AU1595" s="12"/>
      <c r="AV1595" s="29"/>
    </row>
    <row r="1596" spans="4:48">
      <c r="D1596" s="12"/>
      <c r="E1596" s="12"/>
      <c r="F1596" s="12"/>
      <c r="G1596" s="12"/>
      <c r="H1596" s="38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8"/>
      <c r="AS1596" s="28"/>
      <c r="AT1596" s="28"/>
      <c r="AU1596" s="12"/>
      <c r="AV1596" s="29"/>
    </row>
    <row r="1597" spans="4:48">
      <c r="D1597" s="12"/>
      <c r="E1597" s="12"/>
      <c r="F1597" s="12"/>
      <c r="G1597" s="12"/>
      <c r="H1597" s="38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8"/>
      <c r="AS1597" s="28"/>
      <c r="AT1597" s="28"/>
      <c r="AU1597" s="12"/>
      <c r="AV1597" s="29"/>
    </row>
    <row r="1598" spans="4:48">
      <c r="D1598" s="12"/>
      <c r="E1598" s="12"/>
      <c r="F1598" s="12"/>
      <c r="G1598" s="12"/>
      <c r="H1598" s="38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8"/>
      <c r="AS1598" s="28"/>
      <c r="AT1598" s="28"/>
      <c r="AU1598" s="12"/>
      <c r="AV1598" s="29"/>
    </row>
    <row r="1599" spans="4:48">
      <c r="D1599" s="12"/>
      <c r="E1599" s="12"/>
      <c r="F1599" s="12"/>
      <c r="G1599" s="12"/>
      <c r="H1599" s="38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8"/>
      <c r="AS1599" s="28"/>
      <c r="AT1599" s="28"/>
      <c r="AU1599" s="12"/>
      <c r="AV1599" s="29"/>
    </row>
    <row r="1600" spans="4:48">
      <c r="D1600" s="12"/>
      <c r="E1600" s="12"/>
      <c r="F1600" s="12"/>
      <c r="G1600" s="12"/>
      <c r="H1600" s="38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8"/>
      <c r="AS1600" s="28"/>
      <c r="AT1600" s="28"/>
      <c r="AU1600" s="12"/>
      <c r="AV1600" s="29"/>
    </row>
    <row r="1601" spans="4:48">
      <c r="D1601" s="12"/>
      <c r="E1601" s="12"/>
      <c r="F1601" s="12"/>
      <c r="G1601" s="12"/>
      <c r="H1601" s="38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8"/>
      <c r="AS1601" s="28"/>
      <c r="AT1601" s="28"/>
      <c r="AU1601" s="12"/>
      <c r="AV1601" s="29"/>
    </row>
    <row r="1602" spans="4:48">
      <c r="D1602" s="12"/>
      <c r="E1602" s="12"/>
      <c r="F1602" s="12"/>
      <c r="G1602" s="12"/>
      <c r="H1602" s="38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8"/>
      <c r="AS1602" s="28"/>
      <c r="AT1602" s="28"/>
      <c r="AU1602" s="12"/>
      <c r="AV1602" s="29"/>
    </row>
    <row r="1603" spans="4:48">
      <c r="D1603" s="12"/>
      <c r="E1603" s="12"/>
      <c r="F1603" s="12"/>
      <c r="G1603" s="12"/>
      <c r="H1603" s="38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8"/>
      <c r="AS1603" s="28"/>
      <c r="AT1603" s="28"/>
      <c r="AU1603" s="12"/>
      <c r="AV1603" s="29"/>
    </row>
    <row r="1604" spans="4:48">
      <c r="D1604" s="12"/>
      <c r="E1604" s="12"/>
      <c r="F1604" s="12"/>
      <c r="G1604" s="12"/>
      <c r="H1604" s="38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8"/>
      <c r="AS1604" s="28"/>
      <c r="AT1604" s="28"/>
      <c r="AU1604" s="12"/>
      <c r="AV1604" s="29"/>
    </row>
    <row r="1605" spans="4:48">
      <c r="D1605" s="12"/>
      <c r="E1605" s="12"/>
      <c r="F1605" s="12"/>
      <c r="G1605" s="12"/>
      <c r="H1605" s="38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8"/>
      <c r="AS1605" s="28"/>
      <c r="AT1605" s="28"/>
      <c r="AU1605" s="12"/>
      <c r="AV1605" s="29"/>
    </row>
    <row r="1606" spans="4:48">
      <c r="D1606" s="12"/>
      <c r="E1606" s="12"/>
      <c r="F1606" s="12"/>
      <c r="G1606" s="12"/>
      <c r="H1606" s="38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8"/>
      <c r="AS1606" s="28"/>
      <c r="AT1606" s="28"/>
      <c r="AU1606" s="12"/>
      <c r="AV1606" s="29"/>
    </row>
    <row r="1607" spans="4:48">
      <c r="D1607" s="12"/>
      <c r="E1607" s="12"/>
      <c r="F1607" s="12"/>
      <c r="G1607" s="12"/>
      <c r="H1607" s="38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8"/>
      <c r="AS1607" s="28"/>
      <c r="AT1607" s="28"/>
      <c r="AU1607" s="12"/>
      <c r="AV1607" s="29"/>
    </row>
    <row r="1608" spans="4:48">
      <c r="D1608" s="12"/>
      <c r="E1608" s="12"/>
      <c r="F1608" s="12"/>
      <c r="G1608" s="12"/>
      <c r="H1608" s="38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8"/>
      <c r="AS1608" s="28"/>
      <c r="AT1608" s="28"/>
      <c r="AU1608" s="12"/>
      <c r="AV1608" s="29"/>
    </row>
    <row r="1609" spans="4:48">
      <c r="D1609" s="12"/>
      <c r="E1609" s="12"/>
      <c r="F1609" s="12"/>
      <c r="G1609" s="12"/>
      <c r="H1609" s="38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8"/>
      <c r="AS1609" s="28"/>
      <c r="AT1609" s="28"/>
      <c r="AU1609" s="12"/>
      <c r="AV1609" s="29"/>
    </row>
    <row r="1610" spans="4:48">
      <c r="D1610" s="12"/>
      <c r="E1610" s="12"/>
      <c r="F1610" s="12"/>
      <c r="G1610" s="12"/>
      <c r="H1610" s="38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8"/>
      <c r="AS1610" s="28"/>
      <c r="AT1610" s="28"/>
      <c r="AU1610" s="12"/>
      <c r="AV1610" s="29"/>
    </row>
    <row r="1611" spans="4:48">
      <c r="D1611" s="12"/>
      <c r="E1611" s="12"/>
      <c r="F1611" s="12"/>
      <c r="G1611" s="12"/>
      <c r="H1611" s="38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8"/>
      <c r="AS1611" s="28"/>
      <c r="AT1611" s="28"/>
      <c r="AU1611" s="12"/>
      <c r="AV1611" s="29"/>
    </row>
    <row r="1612" spans="4:48">
      <c r="D1612" s="12"/>
      <c r="E1612" s="12"/>
      <c r="F1612" s="12"/>
      <c r="G1612" s="12"/>
      <c r="H1612" s="38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8"/>
      <c r="AS1612" s="28"/>
      <c r="AT1612" s="28"/>
      <c r="AU1612" s="12"/>
      <c r="AV1612" s="29"/>
    </row>
    <row r="1613" spans="4:48">
      <c r="D1613" s="12"/>
      <c r="E1613" s="12"/>
      <c r="F1613" s="12"/>
      <c r="G1613" s="12"/>
      <c r="H1613" s="38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8"/>
      <c r="AS1613" s="28"/>
      <c r="AT1613" s="28"/>
      <c r="AU1613" s="12"/>
      <c r="AV1613" s="29"/>
    </row>
    <row r="1614" spans="4:48">
      <c r="D1614" s="12"/>
      <c r="E1614" s="12"/>
      <c r="F1614" s="12"/>
      <c r="G1614" s="12"/>
      <c r="H1614" s="38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8"/>
      <c r="AS1614" s="28"/>
      <c r="AT1614" s="28"/>
      <c r="AU1614" s="12"/>
      <c r="AV1614" s="29"/>
    </row>
    <row r="1615" spans="4:48">
      <c r="D1615" s="12"/>
      <c r="E1615" s="12"/>
      <c r="F1615" s="12"/>
      <c r="G1615" s="12"/>
      <c r="H1615" s="38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8"/>
      <c r="AS1615" s="28"/>
      <c r="AT1615" s="28"/>
      <c r="AU1615" s="12"/>
      <c r="AV1615" s="29"/>
    </row>
    <row r="1616" spans="4:48">
      <c r="D1616" s="12"/>
      <c r="E1616" s="12"/>
      <c r="F1616" s="12"/>
      <c r="G1616" s="12"/>
      <c r="H1616" s="38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8"/>
      <c r="AS1616" s="28"/>
      <c r="AT1616" s="28"/>
      <c r="AU1616" s="12"/>
      <c r="AV1616" s="29"/>
    </row>
    <row r="1617" spans="4:48">
      <c r="D1617" s="12"/>
      <c r="E1617" s="12"/>
      <c r="F1617" s="12"/>
      <c r="G1617" s="12"/>
      <c r="H1617" s="38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8"/>
      <c r="AS1617" s="28"/>
      <c r="AT1617" s="28"/>
      <c r="AU1617" s="12"/>
      <c r="AV1617" s="29"/>
    </row>
    <row r="1618" spans="4:48">
      <c r="D1618" s="12"/>
      <c r="E1618" s="12"/>
      <c r="F1618" s="12"/>
      <c r="G1618" s="12"/>
      <c r="H1618" s="38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8"/>
      <c r="AS1618" s="28"/>
      <c r="AT1618" s="28"/>
      <c r="AU1618" s="12"/>
      <c r="AV1618" s="29"/>
    </row>
    <row r="1619" spans="4:48">
      <c r="D1619" s="12"/>
      <c r="E1619" s="12"/>
      <c r="F1619" s="12"/>
      <c r="G1619" s="12"/>
      <c r="H1619" s="38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8"/>
      <c r="AS1619" s="28"/>
      <c r="AT1619" s="28"/>
      <c r="AU1619" s="12"/>
      <c r="AV1619" s="29"/>
    </row>
    <row r="1620" spans="4:48">
      <c r="D1620" s="12"/>
      <c r="E1620" s="12"/>
      <c r="F1620" s="12"/>
      <c r="G1620" s="12"/>
      <c r="H1620" s="38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8"/>
      <c r="AS1620" s="28"/>
      <c r="AT1620" s="28"/>
      <c r="AU1620" s="12"/>
      <c r="AV1620" s="29"/>
    </row>
    <row r="1621" spans="4:48">
      <c r="D1621" s="12"/>
      <c r="E1621" s="12"/>
      <c r="F1621" s="12"/>
      <c r="G1621" s="12"/>
      <c r="H1621" s="38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8"/>
      <c r="AS1621" s="28"/>
      <c r="AT1621" s="28"/>
      <c r="AU1621" s="12"/>
      <c r="AV1621" s="29"/>
    </row>
    <row r="1622" spans="4:48">
      <c r="D1622" s="12"/>
      <c r="E1622" s="12"/>
      <c r="F1622" s="12"/>
      <c r="G1622" s="12"/>
      <c r="H1622" s="38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8"/>
      <c r="AS1622" s="28"/>
      <c r="AT1622" s="28"/>
      <c r="AU1622" s="12"/>
      <c r="AV1622" s="29"/>
    </row>
    <row r="1623" spans="4:48">
      <c r="D1623" s="12"/>
      <c r="E1623" s="12"/>
      <c r="F1623" s="12"/>
      <c r="G1623" s="12"/>
      <c r="H1623" s="38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8"/>
      <c r="AS1623" s="28"/>
      <c r="AT1623" s="28"/>
      <c r="AU1623" s="12"/>
      <c r="AV1623" s="29"/>
    </row>
    <row r="1624" spans="4:48">
      <c r="D1624" s="12"/>
      <c r="E1624" s="12"/>
      <c r="F1624" s="12"/>
      <c r="G1624" s="12"/>
      <c r="H1624" s="38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8"/>
      <c r="AS1624" s="28"/>
      <c r="AT1624" s="28"/>
      <c r="AU1624" s="12"/>
      <c r="AV1624" s="29"/>
    </row>
    <row r="1625" spans="4:48">
      <c r="D1625" s="12"/>
      <c r="E1625" s="12"/>
      <c r="F1625" s="12"/>
      <c r="G1625" s="12"/>
      <c r="H1625" s="38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8"/>
      <c r="AS1625" s="28"/>
      <c r="AT1625" s="28"/>
      <c r="AU1625" s="12"/>
      <c r="AV1625" s="29"/>
    </row>
    <row r="1626" spans="4:48">
      <c r="D1626" s="12"/>
      <c r="E1626" s="12"/>
      <c r="F1626" s="12"/>
      <c r="G1626" s="12"/>
      <c r="H1626" s="38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8"/>
      <c r="AS1626" s="28"/>
      <c r="AT1626" s="28"/>
      <c r="AU1626" s="12"/>
      <c r="AV1626" s="29"/>
    </row>
    <row r="1627" spans="4:48">
      <c r="D1627" s="12"/>
      <c r="E1627" s="12"/>
      <c r="F1627" s="12"/>
      <c r="G1627" s="12"/>
      <c r="H1627" s="38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8"/>
      <c r="AS1627" s="28"/>
      <c r="AT1627" s="28"/>
      <c r="AU1627" s="12"/>
      <c r="AV1627" s="29"/>
    </row>
    <row r="1628" spans="4:48">
      <c r="D1628" s="12"/>
      <c r="E1628" s="12"/>
      <c r="F1628" s="12"/>
      <c r="G1628" s="12"/>
      <c r="H1628" s="38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8"/>
      <c r="AS1628" s="28"/>
      <c r="AT1628" s="28"/>
      <c r="AU1628" s="12"/>
      <c r="AV1628" s="29"/>
    </row>
    <row r="1629" spans="4:48">
      <c r="D1629" s="12"/>
      <c r="E1629" s="12"/>
      <c r="F1629" s="12"/>
      <c r="G1629" s="12"/>
      <c r="H1629" s="38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8"/>
      <c r="AS1629" s="28"/>
      <c r="AT1629" s="28"/>
      <c r="AU1629" s="12"/>
      <c r="AV1629" s="29"/>
    </row>
    <row r="1630" spans="4:48">
      <c r="D1630" s="12"/>
      <c r="E1630" s="12"/>
      <c r="F1630" s="12"/>
      <c r="G1630" s="12"/>
      <c r="H1630" s="38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8"/>
      <c r="AS1630" s="28"/>
      <c r="AT1630" s="28"/>
      <c r="AU1630" s="12"/>
      <c r="AV1630" s="29"/>
    </row>
    <row r="1631" spans="4:48">
      <c r="D1631" s="12"/>
      <c r="E1631" s="12"/>
      <c r="F1631" s="12"/>
      <c r="G1631" s="12"/>
      <c r="H1631" s="38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8"/>
      <c r="AS1631" s="28"/>
      <c r="AT1631" s="28"/>
      <c r="AU1631" s="12"/>
      <c r="AV1631" s="29"/>
    </row>
    <row r="1632" spans="4:48">
      <c r="D1632" s="12"/>
      <c r="E1632" s="12"/>
      <c r="F1632" s="12"/>
      <c r="G1632" s="12"/>
      <c r="H1632" s="38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8"/>
      <c r="AS1632" s="28"/>
      <c r="AT1632" s="28"/>
      <c r="AU1632" s="12"/>
      <c r="AV1632" s="29"/>
    </row>
    <row r="1633" spans="4:48">
      <c r="D1633" s="12"/>
      <c r="E1633" s="12"/>
      <c r="F1633" s="12"/>
      <c r="G1633" s="12"/>
      <c r="H1633" s="38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8"/>
      <c r="AS1633" s="28"/>
      <c r="AT1633" s="28"/>
      <c r="AU1633" s="12"/>
      <c r="AV1633" s="29"/>
    </row>
    <row r="1634" spans="4:48">
      <c r="D1634" s="12"/>
      <c r="E1634" s="12"/>
      <c r="F1634" s="12"/>
      <c r="G1634" s="12"/>
      <c r="H1634" s="38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8"/>
      <c r="AS1634" s="28"/>
      <c r="AT1634" s="28"/>
      <c r="AU1634" s="12"/>
      <c r="AV1634" s="29"/>
    </row>
    <row r="1635" spans="4:48">
      <c r="D1635" s="12"/>
      <c r="E1635" s="12"/>
      <c r="F1635" s="12"/>
      <c r="G1635" s="12"/>
      <c r="H1635" s="38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8"/>
      <c r="AS1635" s="28"/>
      <c r="AT1635" s="28"/>
      <c r="AU1635" s="12"/>
      <c r="AV1635" s="29"/>
    </row>
    <row r="1636" spans="4:48">
      <c r="D1636" s="12"/>
      <c r="E1636" s="12"/>
      <c r="F1636" s="12"/>
      <c r="G1636" s="12"/>
      <c r="H1636" s="38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8"/>
      <c r="AS1636" s="28"/>
      <c r="AT1636" s="28"/>
      <c r="AU1636" s="12"/>
      <c r="AV1636" s="29"/>
    </row>
    <row r="1637" spans="4:48">
      <c r="D1637" s="12"/>
      <c r="E1637" s="12"/>
      <c r="F1637" s="12"/>
      <c r="G1637" s="12"/>
      <c r="H1637" s="38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8"/>
      <c r="AS1637" s="28"/>
      <c r="AT1637" s="28"/>
      <c r="AU1637" s="12"/>
      <c r="AV1637" s="29"/>
    </row>
    <row r="1638" spans="4:48">
      <c r="D1638" s="12"/>
      <c r="E1638" s="12"/>
      <c r="F1638" s="12"/>
      <c r="G1638" s="12"/>
      <c r="H1638" s="38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8"/>
      <c r="AS1638" s="28"/>
      <c r="AT1638" s="28"/>
      <c r="AU1638" s="12"/>
      <c r="AV1638" s="29"/>
    </row>
    <row r="1639" spans="1:48">
      <c r="A1639" s="41"/>
      <c r="D1639" s="12"/>
      <c r="E1639" s="12"/>
      <c r="F1639" s="12"/>
      <c r="G1639" s="12"/>
      <c r="H1639" s="38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8"/>
      <c r="AS1639" s="28"/>
      <c r="AT1639" s="28"/>
      <c r="AU1639" s="12"/>
      <c r="AV1639" s="29"/>
    </row>
    <row r="1640" spans="1:48">
      <c r="A1640" s="41"/>
      <c r="D1640" s="12"/>
      <c r="E1640" s="12"/>
      <c r="F1640" s="12"/>
      <c r="G1640" s="12"/>
      <c r="H1640" s="38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8"/>
      <c r="AS1640" s="28"/>
      <c r="AT1640" s="28"/>
      <c r="AU1640" s="12"/>
      <c r="AV1640" s="29"/>
    </row>
    <row r="1641" spans="1:48">
      <c r="A1641" s="41"/>
      <c r="D1641" s="12"/>
      <c r="E1641" s="12"/>
      <c r="F1641" s="12"/>
      <c r="G1641" s="12"/>
      <c r="H1641" s="38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8"/>
      <c r="AS1641" s="28"/>
      <c r="AT1641" s="28"/>
      <c r="AU1641" s="12"/>
      <c r="AV1641" s="29"/>
    </row>
    <row r="1642" spans="1:48">
      <c r="A1642" s="41"/>
      <c r="D1642" s="12"/>
      <c r="E1642" s="12"/>
      <c r="F1642" s="12"/>
      <c r="G1642" s="12"/>
      <c r="H1642" s="38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8"/>
      <c r="AS1642" s="28"/>
      <c r="AT1642" s="28"/>
      <c r="AU1642" s="12"/>
      <c r="AV1642" s="29"/>
    </row>
    <row r="1643" spans="1:48">
      <c r="A1643" s="41"/>
      <c r="D1643" s="12"/>
      <c r="E1643" s="12"/>
      <c r="F1643" s="12"/>
      <c r="G1643" s="12"/>
      <c r="H1643" s="38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8"/>
      <c r="AS1643" s="28"/>
      <c r="AT1643" s="28"/>
      <c r="AU1643" s="12"/>
      <c r="AV1643" s="29"/>
    </row>
    <row r="1644" spans="1:48">
      <c r="A1644" s="41"/>
      <c r="D1644" s="12"/>
      <c r="E1644" s="12"/>
      <c r="F1644" s="12"/>
      <c r="G1644" s="12"/>
      <c r="H1644" s="38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8"/>
      <c r="AS1644" s="28"/>
      <c r="AT1644" s="28"/>
      <c r="AU1644" s="12"/>
      <c r="AV1644" s="29"/>
    </row>
    <row r="1645" spans="1:48">
      <c r="A1645" s="41"/>
      <c r="D1645" s="12"/>
      <c r="E1645" s="12"/>
      <c r="F1645" s="12"/>
      <c r="G1645" s="12"/>
      <c r="H1645" s="38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8"/>
      <c r="AS1645" s="28"/>
      <c r="AT1645" s="28"/>
      <c r="AU1645" s="12"/>
      <c r="AV1645" s="29"/>
    </row>
    <row r="1646" spans="1:48">
      <c r="A1646" s="41"/>
      <c r="D1646" s="12"/>
      <c r="E1646" s="12"/>
      <c r="F1646" s="12"/>
      <c r="G1646" s="12"/>
      <c r="H1646" s="38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8"/>
      <c r="AS1646" s="28"/>
      <c r="AT1646" s="28"/>
      <c r="AU1646" s="12"/>
      <c r="AV1646" s="29"/>
    </row>
    <row r="1647" spans="1:48">
      <c r="A1647" s="41"/>
      <c r="D1647" s="12"/>
      <c r="E1647" s="12"/>
      <c r="F1647" s="12"/>
      <c r="G1647" s="12"/>
      <c r="H1647" s="38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8"/>
      <c r="AS1647" s="28"/>
      <c r="AT1647" s="28"/>
      <c r="AU1647" s="12"/>
      <c r="AV1647" s="29"/>
    </row>
    <row r="1648" spans="1:48">
      <c r="A1648" s="41"/>
      <c r="D1648" s="12"/>
      <c r="E1648" s="12"/>
      <c r="F1648" s="12"/>
      <c r="G1648" s="12"/>
      <c r="H1648" s="38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8"/>
      <c r="AS1648" s="28"/>
      <c r="AT1648" s="28"/>
      <c r="AU1648" s="12"/>
      <c r="AV1648" s="29"/>
    </row>
    <row r="1649" spans="1:48">
      <c r="A1649" s="41"/>
      <c r="D1649" s="12"/>
      <c r="E1649" s="12"/>
      <c r="F1649" s="12"/>
      <c r="G1649" s="12"/>
      <c r="H1649" s="38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8"/>
      <c r="AS1649" s="28"/>
      <c r="AT1649" s="28"/>
      <c r="AU1649" s="12"/>
      <c r="AV1649" s="29"/>
    </row>
    <row r="1650" spans="1:48">
      <c r="A1650" s="21"/>
      <c r="D1650" s="12"/>
      <c r="E1650" s="12"/>
      <c r="F1650" s="12"/>
      <c r="G1650" s="12"/>
      <c r="H1650" s="38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8"/>
      <c r="AS1650" s="28"/>
      <c r="AT1650" s="28"/>
      <c r="AU1650" s="12"/>
      <c r="AV1650" s="29"/>
    </row>
    <row r="1651" spans="1:48">
      <c r="A1651" s="21"/>
      <c r="D1651" s="12"/>
      <c r="E1651" s="12"/>
      <c r="F1651" s="12"/>
      <c r="G1651" s="12"/>
      <c r="H1651" s="38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8"/>
      <c r="AS1651" s="28"/>
      <c r="AT1651" s="28"/>
      <c r="AU1651" s="12"/>
      <c r="AV1651" s="29"/>
    </row>
    <row r="1652" spans="1:48">
      <c r="A1652" s="21"/>
      <c r="D1652" s="12"/>
      <c r="E1652" s="12"/>
      <c r="F1652" s="12"/>
      <c r="G1652" s="12"/>
      <c r="H1652" s="38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8"/>
      <c r="AS1652" s="28"/>
      <c r="AT1652" s="28"/>
      <c r="AU1652" s="12"/>
      <c r="AV1652" s="29"/>
    </row>
    <row r="1653" spans="1:48">
      <c r="A1653" s="21"/>
      <c r="D1653" s="12"/>
      <c r="E1653" s="12"/>
      <c r="F1653" s="12"/>
      <c r="G1653" s="12"/>
      <c r="H1653" s="38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8"/>
      <c r="AS1653" s="28"/>
      <c r="AT1653" s="28"/>
      <c r="AU1653" s="12"/>
      <c r="AV1653" s="29"/>
    </row>
    <row r="1654" spans="1:48">
      <c r="A1654" s="21"/>
      <c r="D1654" s="12"/>
      <c r="E1654" s="12"/>
      <c r="F1654" s="12"/>
      <c r="G1654" s="12"/>
      <c r="H1654" s="38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8"/>
      <c r="AS1654" s="28"/>
      <c r="AT1654" s="28"/>
      <c r="AU1654" s="12"/>
      <c r="AV1654" s="29"/>
    </row>
    <row r="1655" spans="1:48">
      <c r="A1655" s="21"/>
      <c r="D1655" s="12"/>
      <c r="E1655" s="12"/>
      <c r="F1655" s="12"/>
      <c r="G1655" s="12"/>
      <c r="H1655" s="38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8"/>
      <c r="AS1655" s="28"/>
      <c r="AT1655" s="28"/>
      <c r="AU1655" s="12"/>
      <c r="AV1655" s="29"/>
    </row>
    <row r="1656" spans="1:48">
      <c r="A1656" s="21"/>
      <c r="D1656" s="12"/>
      <c r="E1656" s="12"/>
      <c r="F1656" s="12"/>
      <c r="G1656" s="12"/>
      <c r="H1656" s="38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8"/>
      <c r="AS1656" s="28"/>
      <c r="AT1656" s="28"/>
      <c r="AU1656" s="12"/>
      <c r="AV1656" s="29"/>
    </row>
    <row r="1657" spans="1:48">
      <c r="A1657" s="21"/>
      <c r="D1657" s="12"/>
      <c r="E1657" s="12"/>
      <c r="F1657" s="12"/>
      <c r="G1657" s="12"/>
      <c r="H1657" s="38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8"/>
      <c r="AS1657" s="28"/>
      <c r="AT1657" s="28"/>
      <c r="AU1657" s="12"/>
      <c r="AV1657" s="29"/>
    </row>
    <row r="1658" spans="1:48">
      <c r="A1658" s="21"/>
      <c r="D1658" s="12"/>
      <c r="E1658" s="12"/>
      <c r="F1658" s="12"/>
      <c r="G1658" s="12"/>
      <c r="H1658" s="38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8"/>
      <c r="AS1658" s="28"/>
      <c r="AT1658" s="28"/>
      <c r="AU1658" s="12"/>
      <c r="AV1658" s="29"/>
    </row>
    <row r="1659" spans="1:48">
      <c r="A1659" s="21"/>
      <c r="D1659" s="12"/>
      <c r="E1659" s="12"/>
      <c r="F1659" s="12"/>
      <c r="G1659" s="12"/>
      <c r="H1659" s="38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8"/>
      <c r="AS1659" s="28"/>
      <c r="AT1659" s="28"/>
      <c r="AU1659" s="12"/>
      <c r="AV1659" s="29"/>
    </row>
    <row r="1660" spans="5:49">
      <c r="E1660" s="12"/>
      <c r="F1660" s="12"/>
      <c r="G1660" s="12"/>
      <c r="H1660" s="12"/>
      <c r="I1660" s="38"/>
      <c r="L1660" s="19"/>
      <c r="M1660" s="19"/>
      <c r="AS1660" s="28"/>
      <c r="AT1660" s="28"/>
      <c r="AU1660" s="28"/>
      <c r="AV1660" s="12"/>
      <c r="AW1660" s="29"/>
    </row>
    <row r="1661" spans="5:49">
      <c r="E1661" s="12"/>
      <c r="F1661" s="12"/>
      <c r="G1661" s="12"/>
      <c r="H1661" s="12"/>
      <c r="I1661" s="38"/>
      <c r="L1661" s="19"/>
      <c r="M1661" s="19"/>
      <c r="AS1661" s="28"/>
      <c r="AT1661" s="28"/>
      <c r="AU1661" s="28"/>
      <c r="AV1661" s="12"/>
      <c r="AW1661" s="29"/>
    </row>
    <row r="1662" spans="5:49">
      <c r="E1662" s="12"/>
      <c r="F1662" s="12"/>
      <c r="G1662" s="12"/>
      <c r="H1662" s="12"/>
      <c r="I1662" s="38"/>
      <c r="L1662" s="19"/>
      <c r="M1662" s="19"/>
      <c r="AS1662" s="28"/>
      <c r="AT1662" s="28"/>
      <c r="AU1662" s="28"/>
      <c r="AV1662" s="12"/>
      <c r="AW1662" s="29"/>
    </row>
    <row r="1663" spans="5:49">
      <c r="E1663" s="12"/>
      <c r="F1663" s="12"/>
      <c r="G1663" s="12"/>
      <c r="H1663" s="12"/>
      <c r="I1663" s="38"/>
      <c r="L1663" s="19"/>
      <c r="M1663" s="19"/>
      <c r="AS1663" s="28"/>
      <c r="AT1663" s="28"/>
      <c r="AU1663" s="28"/>
      <c r="AV1663" s="12"/>
      <c r="AW1663" s="29"/>
    </row>
    <row r="1664" spans="5:49">
      <c r="E1664" s="12"/>
      <c r="F1664" s="12"/>
      <c r="G1664" s="12"/>
      <c r="H1664" s="12"/>
      <c r="I1664" s="38"/>
      <c r="L1664" s="19"/>
      <c r="M1664" s="19"/>
      <c r="AS1664" s="28"/>
      <c r="AT1664" s="28"/>
      <c r="AU1664" s="28"/>
      <c r="AV1664" s="12"/>
      <c r="AW1664" s="29"/>
    </row>
    <row r="1665" spans="5:49">
      <c r="E1665" s="12"/>
      <c r="F1665" s="12"/>
      <c r="G1665" s="12"/>
      <c r="H1665" s="12"/>
      <c r="I1665" s="38"/>
      <c r="L1665" s="19"/>
      <c r="M1665" s="19"/>
      <c r="AS1665" s="28"/>
      <c r="AT1665" s="28"/>
      <c r="AU1665" s="28"/>
      <c r="AV1665" s="12"/>
      <c r="AW1665" s="29"/>
    </row>
    <row r="1666" spans="5:49">
      <c r="E1666" s="12"/>
      <c r="F1666" s="12"/>
      <c r="G1666" s="12"/>
      <c r="H1666" s="12"/>
      <c r="I1666" s="38"/>
      <c r="L1666" s="19"/>
      <c r="M1666" s="19"/>
      <c r="AS1666" s="28"/>
      <c r="AT1666" s="28"/>
      <c r="AU1666" s="28"/>
      <c r="AV1666" s="12"/>
      <c r="AW1666" s="29"/>
    </row>
    <row r="1667" spans="5:49">
      <c r="E1667" s="12"/>
      <c r="F1667" s="12"/>
      <c r="G1667" s="12"/>
      <c r="H1667" s="12"/>
      <c r="I1667" s="38"/>
      <c r="L1667" s="19"/>
      <c r="M1667" s="19"/>
      <c r="AS1667" s="28"/>
      <c r="AT1667" s="28"/>
      <c r="AU1667" s="28"/>
      <c r="AV1667" s="12"/>
      <c r="AW1667" s="29"/>
    </row>
    <row r="1668" spans="5:49">
      <c r="E1668" s="12"/>
      <c r="F1668" s="12"/>
      <c r="G1668" s="12"/>
      <c r="H1668" s="12"/>
      <c r="I1668" s="38"/>
      <c r="L1668" s="19"/>
      <c r="M1668" s="19"/>
      <c r="AS1668" s="28"/>
      <c r="AT1668" s="28"/>
      <c r="AU1668" s="28"/>
      <c r="AV1668" s="12"/>
      <c r="AW1668" s="29"/>
    </row>
    <row r="1669" spans="5:49">
      <c r="E1669" s="12"/>
      <c r="F1669" s="12"/>
      <c r="G1669" s="12"/>
      <c r="H1669" s="12"/>
      <c r="I1669" s="38"/>
      <c r="L1669" s="19"/>
      <c r="M1669" s="19"/>
      <c r="AS1669" s="28"/>
      <c r="AT1669" s="28"/>
      <c r="AU1669" s="28"/>
      <c r="AV1669" s="12"/>
      <c r="AW1669" s="29"/>
    </row>
    <row r="1670" spans="5:49">
      <c r="E1670" s="12"/>
      <c r="F1670" s="12"/>
      <c r="G1670" s="12"/>
      <c r="H1670" s="12"/>
      <c r="I1670" s="38"/>
      <c r="L1670" s="19"/>
      <c r="M1670" s="19"/>
      <c r="AS1670" s="28"/>
      <c r="AT1670" s="28"/>
      <c r="AU1670" s="28"/>
      <c r="AV1670" s="12"/>
      <c r="AW1670" s="29"/>
    </row>
    <row r="1671" spans="5:49">
      <c r="E1671" s="12"/>
      <c r="F1671" s="12"/>
      <c r="G1671" s="12"/>
      <c r="H1671" s="12"/>
      <c r="I1671" s="38"/>
      <c r="L1671" s="19"/>
      <c r="M1671" s="19"/>
      <c r="AS1671" s="28"/>
      <c r="AT1671" s="28"/>
      <c r="AU1671" s="28"/>
      <c r="AV1671" s="12"/>
      <c r="AW1671" s="29"/>
    </row>
    <row r="1672" spans="5:49">
      <c r="E1672" s="12"/>
      <c r="F1672" s="12"/>
      <c r="G1672" s="12"/>
      <c r="H1672" s="12"/>
      <c r="I1672" s="38"/>
      <c r="L1672" s="19"/>
      <c r="M1672" s="19"/>
      <c r="AS1672" s="28"/>
      <c r="AT1672" s="28"/>
      <c r="AU1672" s="28"/>
      <c r="AV1672" s="12"/>
      <c r="AW1672" s="29"/>
    </row>
    <row r="1673" spans="5:49">
      <c r="E1673" s="12"/>
      <c r="F1673" s="12"/>
      <c r="G1673" s="12"/>
      <c r="H1673" s="12"/>
      <c r="I1673" s="38"/>
      <c r="L1673" s="19"/>
      <c r="M1673" s="19"/>
      <c r="AS1673" s="28"/>
      <c r="AT1673" s="28"/>
      <c r="AU1673" s="28"/>
      <c r="AV1673" s="12"/>
      <c r="AW1673" s="29"/>
    </row>
    <row r="1674" spans="5:49">
      <c r="E1674" s="12"/>
      <c r="F1674" s="12"/>
      <c r="G1674" s="12"/>
      <c r="H1674" s="12"/>
      <c r="I1674" s="38"/>
      <c r="L1674" s="19"/>
      <c r="M1674" s="19"/>
      <c r="AS1674" s="28"/>
      <c r="AT1674" s="28"/>
      <c r="AU1674" s="28"/>
      <c r="AV1674" s="12"/>
      <c r="AW1674" s="29"/>
    </row>
    <row r="1675" spans="5:49">
      <c r="E1675" s="12"/>
      <c r="F1675" s="12"/>
      <c r="G1675" s="12"/>
      <c r="H1675" s="12"/>
      <c r="I1675" s="38"/>
      <c r="L1675" s="19"/>
      <c r="M1675" s="19"/>
      <c r="AS1675" s="28"/>
      <c r="AT1675" s="28"/>
      <c r="AU1675" s="28"/>
      <c r="AV1675" s="12"/>
      <c r="AW1675" s="29"/>
    </row>
    <row r="1676" spans="5:49">
      <c r="E1676" s="12"/>
      <c r="F1676" s="12"/>
      <c r="G1676" s="12"/>
      <c r="H1676" s="12"/>
      <c r="I1676" s="38"/>
      <c r="L1676" s="19"/>
      <c r="M1676" s="19"/>
      <c r="AS1676" s="28"/>
      <c r="AT1676" s="28"/>
      <c r="AU1676" s="28"/>
      <c r="AV1676" s="12"/>
      <c r="AW1676" s="29"/>
    </row>
    <row r="1677" spans="5:49">
      <c r="E1677" s="12"/>
      <c r="F1677" s="12"/>
      <c r="G1677" s="12"/>
      <c r="H1677" s="12"/>
      <c r="I1677" s="38"/>
      <c r="L1677" s="19"/>
      <c r="M1677" s="19"/>
      <c r="AS1677" s="28"/>
      <c r="AT1677" s="28"/>
      <c r="AU1677" s="28"/>
      <c r="AV1677" s="12"/>
      <c r="AW1677" s="29"/>
    </row>
    <row r="1678" spans="5:49">
      <c r="E1678" s="12"/>
      <c r="F1678" s="12"/>
      <c r="G1678" s="12"/>
      <c r="H1678" s="12"/>
      <c r="I1678" s="38"/>
      <c r="L1678" s="19"/>
      <c r="M1678" s="19"/>
      <c r="AS1678" s="28"/>
      <c r="AT1678" s="28"/>
      <c r="AU1678" s="28"/>
      <c r="AV1678" s="12"/>
      <c r="AW1678" s="29"/>
    </row>
    <row r="1679" spans="5:49">
      <c r="E1679" s="12"/>
      <c r="F1679" s="12"/>
      <c r="G1679" s="12"/>
      <c r="H1679" s="12"/>
      <c r="I1679" s="38"/>
      <c r="L1679" s="19"/>
      <c r="M1679" s="19"/>
      <c r="AS1679" s="28"/>
      <c r="AT1679" s="28"/>
      <c r="AU1679" s="28"/>
      <c r="AV1679" s="12"/>
      <c r="AW1679" s="29"/>
    </row>
    <row r="1680" spans="5:49">
      <c r="E1680" s="12"/>
      <c r="F1680" s="12"/>
      <c r="G1680" s="12"/>
      <c r="H1680" s="12"/>
      <c r="I1680" s="38"/>
      <c r="L1680" s="19"/>
      <c r="M1680" s="19"/>
      <c r="AS1680" s="28"/>
      <c r="AT1680" s="28"/>
      <c r="AU1680" s="28"/>
      <c r="AV1680" s="12"/>
      <c r="AW1680" s="29"/>
    </row>
    <row r="1681" spans="5:49">
      <c r="E1681" s="12"/>
      <c r="F1681" s="12"/>
      <c r="G1681" s="12"/>
      <c r="H1681" s="12"/>
      <c r="I1681" s="38"/>
      <c r="L1681" s="19"/>
      <c r="M1681" s="19"/>
      <c r="AS1681" s="28"/>
      <c r="AT1681" s="28"/>
      <c r="AU1681" s="28"/>
      <c r="AV1681" s="12"/>
      <c r="AW1681" s="29"/>
    </row>
    <row r="1682" spans="5:49">
      <c r="E1682" s="12"/>
      <c r="F1682" s="12"/>
      <c r="G1682" s="12"/>
      <c r="H1682" s="12"/>
      <c r="I1682" s="38"/>
      <c r="L1682" s="19"/>
      <c r="M1682" s="19"/>
      <c r="AS1682" s="28"/>
      <c r="AT1682" s="28"/>
      <c r="AU1682" s="28"/>
      <c r="AV1682" s="12"/>
      <c r="AW1682" s="29"/>
    </row>
    <row r="1683" spans="5:49">
      <c r="E1683" s="12"/>
      <c r="F1683" s="12"/>
      <c r="G1683" s="12"/>
      <c r="H1683" s="12"/>
      <c r="I1683" s="38"/>
      <c r="L1683" s="19"/>
      <c r="M1683" s="19"/>
      <c r="AS1683" s="28"/>
      <c r="AT1683" s="28"/>
      <c r="AU1683" s="28"/>
      <c r="AV1683" s="12"/>
      <c r="AW1683" s="29"/>
    </row>
    <row r="1684" spans="5:49">
      <c r="E1684" s="12"/>
      <c r="F1684" s="12"/>
      <c r="G1684" s="12"/>
      <c r="H1684" s="12"/>
      <c r="I1684" s="38"/>
      <c r="L1684" s="19"/>
      <c r="M1684" s="19"/>
      <c r="AS1684" s="28"/>
      <c r="AT1684" s="28"/>
      <c r="AU1684" s="28"/>
      <c r="AV1684" s="12"/>
      <c r="AW1684" s="29"/>
    </row>
    <row r="1685" spans="5:49">
      <c r="E1685" s="12"/>
      <c r="F1685" s="12"/>
      <c r="G1685" s="12"/>
      <c r="H1685" s="12"/>
      <c r="I1685" s="38"/>
      <c r="L1685" s="19"/>
      <c r="M1685" s="19"/>
      <c r="AS1685" s="28"/>
      <c r="AT1685" s="28"/>
      <c r="AU1685" s="28"/>
      <c r="AV1685" s="12"/>
      <c r="AW1685" s="29"/>
    </row>
    <row r="1686" spans="5:49">
      <c r="E1686" s="12"/>
      <c r="F1686" s="12"/>
      <c r="G1686" s="12"/>
      <c r="H1686" s="12"/>
      <c r="I1686" s="38"/>
      <c r="L1686" s="19"/>
      <c r="M1686" s="19"/>
      <c r="AS1686" s="28"/>
      <c r="AT1686" s="28"/>
      <c r="AU1686" s="28"/>
      <c r="AV1686" s="12"/>
      <c r="AW1686" s="29"/>
    </row>
    <row r="1687" spans="5:49">
      <c r="E1687" s="12"/>
      <c r="F1687" s="12"/>
      <c r="G1687" s="12"/>
      <c r="H1687" s="12"/>
      <c r="I1687" s="38"/>
      <c r="L1687" s="19"/>
      <c r="M1687" s="19"/>
      <c r="AS1687" s="28"/>
      <c r="AT1687" s="28"/>
      <c r="AU1687" s="28"/>
      <c r="AV1687" s="12"/>
      <c r="AW1687" s="29"/>
    </row>
    <row r="1688" spans="5:49">
      <c r="E1688" s="12"/>
      <c r="F1688" s="12"/>
      <c r="G1688" s="12"/>
      <c r="H1688" s="12"/>
      <c r="I1688" s="38"/>
      <c r="L1688" s="19"/>
      <c r="M1688" s="19"/>
      <c r="AS1688" s="28"/>
      <c r="AT1688" s="28"/>
      <c r="AU1688" s="28"/>
      <c r="AV1688" s="12"/>
      <c r="AW1688" s="29"/>
    </row>
    <row r="1689" spans="5:49">
      <c r="E1689" s="12"/>
      <c r="F1689" s="12"/>
      <c r="G1689" s="12"/>
      <c r="H1689" s="12"/>
      <c r="I1689" s="38"/>
      <c r="L1689" s="19"/>
      <c r="M1689" s="19"/>
      <c r="AS1689" s="28"/>
      <c r="AT1689" s="28"/>
      <c r="AU1689" s="28"/>
      <c r="AV1689" s="12"/>
      <c r="AW1689" s="29"/>
    </row>
    <row r="1690" spans="5:49">
      <c r="E1690" s="12"/>
      <c r="F1690" s="12"/>
      <c r="G1690" s="12"/>
      <c r="H1690" s="12"/>
      <c r="I1690" s="38"/>
      <c r="L1690" s="19"/>
      <c r="M1690" s="19"/>
      <c r="AS1690" s="28"/>
      <c r="AT1690" s="28"/>
      <c r="AU1690" s="28"/>
      <c r="AV1690" s="12"/>
      <c r="AW1690" s="29"/>
    </row>
    <row r="1691" spans="5:49">
      <c r="E1691" s="12"/>
      <c r="F1691" s="12"/>
      <c r="G1691" s="12"/>
      <c r="H1691" s="12"/>
      <c r="I1691" s="38"/>
      <c r="L1691" s="19"/>
      <c r="M1691" s="19"/>
      <c r="AS1691" s="28"/>
      <c r="AT1691" s="28"/>
      <c r="AU1691" s="28"/>
      <c r="AV1691" s="12"/>
      <c r="AW1691" s="29"/>
    </row>
    <row r="1692" spans="5:49">
      <c r="E1692" s="12"/>
      <c r="F1692" s="12"/>
      <c r="G1692" s="12"/>
      <c r="H1692" s="12"/>
      <c r="I1692" s="38"/>
      <c r="L1692" s="19"/>
      <c r="M1692" s="19"/>
      <c r="AS1692" s="28"/>
      <c r="AT1692" s="28"/>
      <c r="AU1692" s="28"/>
      <c r="AV1692" s="12"/>
      <c r="AW1692" s="29"/>
    </row>
    <row r="1693" spans="5:49">
      <c r="E1693" s="12"/>
      <c r="F1693" s="12"/>
      <c r="G1693" s="12"/>
      <c r="H1693" s="12"/>
      <c r="I1693" s="38"/>
      <c r="L1693" s="19"/>
      <c r="M1693" s="19"/>
      <c r="AS1693" s="28"/>
      <c r="AT1693" s="28"/>
      <c r="AU1693" s="28"/>
      <c r="AV1693" s="12"/>
      <c r="AW1693" s="29"/>
    </row>
    <row r="1694" spans="5:49">
      <c r="E1694" s="12"/>
      <c r="F1694" s="12"/>
      <c r="G1694" s="12"/>
      <c r="H1694" s="12"/>
      <c r="I1694" s="38"/>
      <c r="L1694" s="19"/>
      <c r="M1694" s="19"/>
      <c r="AS1694" s="28"/>
      <c r="AT1694" s="28"/>
      <c r="AU1694" s="28"/>
      <c r="AV1694" s="12"/>
      <c r="AW1694" s="29"/>
    </row>
    <row r="1695" spans="5:49">
      <c r="E1695" s="12"/>
      <c r="F1695" s="12"/>
      <c r="G1695" s="12"/>
      <c r="H1695" s="12"/>
      <c r="I1695" s="38"/>
      <c r="L1695" s="19"/>
      <c r="M1695" s="19"/>
      <c r="AS1695" s="28"/>
      <c r="AT1695" s="28"/>
      <c r="AU1695" s="28"/>
      <c r="AV1695" s="12"/>
      <c r="AW1695" s="29"/>
    </row>
    <row r="1696" spans="5:49">
      <c r="E1696" s="12"/>
      <c r="F1696" s="12"/>
      <c r="G1696" s="12"/>
      <c r="H1696" s="12"/>
      <c r="I1696" s="38"/>
      <c r="L1696" s="19"/>
      <c r="M1696" s="19"/>
      <c r="AS1696" s="28"/>
      <c r="AT1696" s="28"/>
      <c r="AU1696" s="28"/>
      <c r="AV1696" s="12"/>
      <c r="AW1696" s="29"/>
    </row>
    <row r="1697" spans="5:49">
      <c r="E1697" s="12"/>
      <c r="F1697" s="12"/>
      <c r="G1697" s="12"/>
      <c r="H1697" s="12"/>
      <c r="I1697" s="38"/>
      <c r="L1697" s="19"/>
      <c r="M1697" s="19"/>
      <c r="AS1697" s="28"/>
      <c r="AT1697" s="28"/>
      <c r="AU1697" s="28"/>
      <c r="AV1697" s="12"/>
      <c r="AW1697" s="29"/>
    </row>
    <row r="1698" spans="5:49">
      <c r="E1698" s="12"/>
      <c r="F1698" s="12"/>
      <c r="G1698" s="12"/>
      <c r="H1698" s="12"/>
      <c r="I1698" s="38"/>
      <c r="L1698" s="19"/>
      <c r="M1698" s="19"/>
      <c r="AS1698" s="28"/>
      <c r="AT1698" s="28"/>
      <c r="AU1698" s="28"/>
      <c r="AV1698" s="12"/>
      <c r="AW1698" s="29"/>
    </row>
    <row r="1699" spans="5:49">
      <c r="E1699" s="12"/>
      <c r="F1699" s="12"/>
      <c r="G1699" s="12"/>
      <c r="H1699" s="12"/>
      <c r="I1699" s="38"/>
      <c r="L1699" s="19"/>
      <c r="M1699" s="19"/>
      <c r="AS1699" s="28"/>
      <c r="AT1699" s="28"/>
      <c r="AU1699" s="28"/>
      <c r="AV1699" s="12"/>
      <c r="AW1699" s="29"/>
    </row>
    <row r="1700" spans="5:49">
      <c r="E1700" s="12"/>
      <c r="F1700" s="12"/>
      <c r="G1700" s="12"/>
      <c r="H1700" s="12"/>
      <c r="I1700" s="38"/>
      <c r="L1700" s="19"/>
      <c r="M1700" s="19"/>
      <c r="AS1700" s="28"/>
      <c r="AT1700" s="28"/>
      <c r="AU1700" s="28"/>
      <c r="AV1700" s="12"/>
      <c r="AW1700" s="29"/>
    </row>
    <row r="1701" spans="5:49">
      <c r="E1701" s="12"/>
      <c r="F1701" s="12"/>
      <c r="G1701" s="12"/>
      <c r="H1701" s="12"/>
      <c r="I1701" s="38"/>
      <c r="L1701" s="19"/>
      <c r="M1701" s="19"/>
      <c r="AS1701" s="28"/>
      <c r="AT1701" s="28"/>
      <c r="AU1701" s="28"/>
      <c r="AV1701" s="12"/>
      <c r="AW1701" s="29"/>
    </row>
    <row r="1702" spans="5:49">
      <c r="E1702" s="12"/>
      <c r="F1702" s="12"/>
      <c r="G1702" s="12"/>
      <c r="H1702" s="12"/>
      <c r="I1702" s="38"/>
      <c r="L1702" s="19"/>
      <c r="M1702" s="19"/>
      <c r="AS1702" s="28"/>
      <c r="AT1702" s="28"/>
      <c r="AU1702" s="28"/>
      <c r="AV1702" s="12"/>
      <c r="AW1702" s="29"/>
    </row>
    <row r="1703" spans="5:49">
      <c r="E1703" s="12"/>
      <c r="F1703" s="12"/>
      <c r="G1703" s="12"/>
      <c r="H1703" s="12"/>
      <c r="I1703" s="38"/>
      <c r="L1703" s="19"/>
      <c r="M1703" s="19"/>
      <c r="AS1703" s="28"/>
      <c r="AT1703" s="28"/>
      <c r="AU1703" s="28"/>
      <c r="AV1703" s="12"/>
      <c r="AW1703" s="29"/>
    </row>
    <row r="1704" spans="5:49">
      <c r="E1704" s="12"/>
      <c r="F1704" s="12"/>
      <c r="G1704" s="12"/>
      <c r="H1704" s="12"/>
      <c r="I1704" s="38"/>
      <c r="L1704" s="19"/>
      <c r="M1704" s="19"/>
      <c r="AS1704" s="28"/>
      <c r="AT1704" s="28"/>
      <c r="AU1704" s="28"/>
      <c r="AV1704" s="12"/>
      <c r="AW1704" s="29"/>
    </row>
    <row r="1705" spans="5:49">
      <c r="E1705" s="12"/>
      <c r="F1705" s="12"/>
      <c r="G1705" s="12"/>
      <c r="H1705" s="12"/>
      <c r="I1705" s="38"/>
      <c r="L1705" s="19"/>
      <c r="M1705" s="19"/>
      <c r="AS1705" s="28"/>
      <c r="AT1705" s="28"/>
      <c r="AU1705" s="28"/>
      <c r="AV1705" s="12"/>
      <c r="AW1705" s="29"/>
    </row>
    <row r="1706" spans="5:49">
      <c r="E1706" s="12"/>
      <c r="F1706" s="12"/>
      <c r="G1706" s="12"/>
      <c r="H1706" s="12"/>
      <c r="I1706" s="38"/>
      <c r="L1706" s="19"/>
      <c r="M1706" s="19"/>
      <c r="AS1706" s="28"/>
      <c r="AT1706" s="28"/>
      <c r="AU1706" s="28"/>
      <c r="AV1706" s="12"/>
      <c r="AW1706" s="29"/>
    </row>
    <row r="1707" spans="5:49">
      <c r="E1707" s="12"/>
      <c r="F1707" s="12"/>
      <c r="G1707" s="12"/>
      <c r="H1707" s="12"/>
      <c r="I1707" s="38"/>
      <c r="L1707" s="19"/>
      <c r="M1707" s="19"/>
      <c r="AS1707" s="28"/>
      <c r="AT1707" s="28"/>
      <c r="AU1707" s="28"/>
      <c r="AV1707" s="12"/>
      <c r="AW1707" s="29"/>
    </row>
    <row r="1708" spans="5:49">
      <c r="E1708" s="12"/>
      <c r="F1708" s="12"/>
      <c r="G1708" s="12"/>
      <c r="H1708" s="12"/>
      <c r="I1708" s="38"/>
      <c r="L1708" s="19"/>
      <c r="M1708" s="19"/>
      <c r="AS1708" s="28"/>
      <c r="AT1708" s="28"/>
      <c r="AU1708" s="28"/>
      <c r="AV1708" s="12"/>
      <c r="AW1708" s="29"/>
    </row>
    <row r="1709" spans="5:49">
      <c r="E1709" s="12"/>
      <c r="F1709" s="12"/>
      <c r="G1709" s="12"/>
      <c r="H1709" s="12"/>
      <c r="I1709" s="38"/>
      <c r="L1709" s="19"/>
      <c r="M1709" s="19"/>
      <c r="AS1709" s="28"/>
      <c r="AT1709" s="28"/>
      <c r="AU1709" s="28"/>
      <c r="AV1709" s="12"/>
      <c r="AW1709" s="29"/>
    </row>
    <row r="1710" spans="5:49">
      <c r="E1710" s="12"/>
      <c r="F1710" s="12"/>
      <c r="G1710" s="12"/>
      <c r="H1710" s="12"/>
      <c r="I1710" s="38"/>
      <c r="L1710" s="19"/>
      <c r="M1710" s="19"/>
      <c r="AS1710" s="28"/>
      <c r="AT1710" s="28"/>
      <c r="AU1710" s="28"/>
      <c r="AV1710" s="12"/>
      <c r="AW1710" s="29"/>
    </row>
    <row r="1711" spans="5:49">
      <c r="E1711" s="12"/>
      <c r="F1711" s="12"/>
      <c r="G1711" s="12"/>
      <c r="H1711" s="12"/>
      <c r="I1711" s="38"/>
      <c r="L1711" s="19"/>
      <c r="M1711" s="19"/>
      <c r="AS1711" s="28"/>
      <c r="AT1711" s="28"/>
      <c r="AU1711" s="28"/>
      <c r="AV1711" s="12"/>
      <c r="AW1711" s="29"/>
    </row>
    <row r="1712" spans="5:49">
      <c r="E1712" s="12"/>
      <c r="F1712" s="12"/>
      <c r="G1712" s="12"/>
      <c r="H1712" s="12"/>
      <c r="I1712" s="38"/>
      <c r="L1712" s="19"/>
      <c r="M1712" s="19"/>
      <c r="AS1712" s="28"/>
      <c r="AT1712" s="28"/>
      <c r="AU1712" s="28"/>
      <c r="AV1712" s="12"/>
      <c r="AW1712" s="29"/>
    </row>
    <row r="1713" spans="5:49">
      <c r="E1713" s="12"/>
      <c r="F1713" s="12"/>
      <c r="G1713" s="12"/>
      <c r="H1713" s="12"/>
      <c r="I1713" s="38"/>
      <c r="L1713" s="19"/>
      <c r="M1713" s="19"/>
      <c r="AS1713" s="28"/>
      <c r="AT1713" s="28"/>
      <c r="AU1713" s="28"/>
      <c r="AV1713" s="12"/>
      <c r="AW1713" s="29"/>
    </row>
    <row r="1714" spans="5:49">
      <c r="E1714" s="12"/>
      <c r="F1714" s="12"/>
      <c r="G1714" s="12"/>
      <c r="H1714" s="12"/>
      <c r="I1714" s="38"/>
      <c r="L1714" s="19"/>
      <c r="M1714" s="19"/>
      <c r="AS1714" s="28"/>
      <c r="AT1714" s="28"/>
      <c r="AU1714" s="28"/>
      <c r="AV1714" s="12"/>
      <c r="AW1714" s="29"/>
    </row>
    <row r="1715" spans="5:49">
      <c r="E1715" s="12"/>
      <c r="F1715" s="12"/>
      <c r="G1715" s="12"/>
      <c r="H1715" s="12"/>
      <c r="I1715" s="38"/>
      <c r="L1715" s="19"/>
      <c r="M1715" s="19"/>
      <c r="AS1715" s="28"/>
      <c r="AT1715" s="28"/>
      <c r="AU1715" s="28"/>
      <c r="AV1715" s="12"/>
      <c r="AW1715" s="29"/>
    </row>
    <row r="1716" spans="5:49">
      <c r="E1716" s="12"/>
      <c r="F1716" s="12"/>
      <c r="G1716" s="12"/>
      <c r="H1716" s="12"/>
      <c r="I1716" s="38"/>
      <c r="L1716" s="19"/>
      <c r="M1716" s="19"/>
      <c r="AS1716" s="28"/>
      <c r="AT1716" s="28"/>
      <c r="AU1716" s="28"/>
      <c r="AV1716" s="12"/>
      <c r="AW1716" s="29"/>
    </row>
    <row r="1717" spans="5:49">
      <c r="E1717" s="12"/>
      <c r="F1717" s="12"/>
      <c r="G1717" s="12"/>
      <c r="H1717" s="12"/>
      <c r="I1717" s="38"/>
      <c r="L1717" s="19"/>
      <c r="M1717" s="19"/>
      <c r="AS1717" s="28"/>
      <c r="AT1717" s="28"/>
      <c r="AU1717" s="28"/>
      <c r="AV1717" s="12"/>
      <c r="AW1717" s="29"/>
    </row>
    <row r="1718" spans="5:49">
      <c r="E1718" s="12"/>
      <c r="F1718" s="12"/>
      <c r="G1718" s="12"/>
      <c r="H1718" s="12"/>
      <c r="I1718" s="38"/>
      <c r="L1718" s="19"/>
      <c r="M1718" s="19"/>
      <c r="AS1718" s="28"/>
      <c r="AT1718" s="28"/>
      <c r="AU1718" s="28"/>
      <c r="AV1718" s="12"/>
      <c r="AW1718" s="29"/>
    </row>
    <row r="1719" spans="5:49">
      <c r="E1719" s="12"/>
      <c r="F1719" s="12"/>
      <c r="G1719" s="12"/>
      <c r="H1719" s="12"/>
      <c r="I1719" s="38"/>
      <c r="L1719" s="19"/>
      <c r="M1719" s="19"/>
      <c r="AS1719" s="28"/>
      <c r="AT1719" s="28"/>
      <c r="AU1719" s="28"/>
      <c r="AV1719" s="12"/>
      <c r="AW1719" s="29"/>
    </row>
    <row r="1720" spans="5:49">
      <c r="E1720" s="12"/>
      <c r="F1720" s="12"/>
      <c r="G1720" s="12"/>
      <c r="H1720" s="12"/>
      <c r="I1720" s="38"/>
      <c r="L1720" s="19"/>
      <c r="M1720" s="19"/>
      <c r="AS1720" s="28"/>
      <c r="AT1720" s="28"/>
      <c r="AU1720" s="28"/>
      <c r="AV1720" s="12"/>
      <c r="AW1720" s="29"/>
    </row>
    <row r="1721" spans="5:49">
      <c r="E1721" s="12"/>
      <c r="F1721" s="12"/>
      <c r="G1721" s="12"/>
      <c r="H1721" s="12"/>
      <c r="I1721" s="38"/>
      <c r="L1721" s="19"/>
      <c r="M1721" s="19"/>
      <c r="AS1721" s="28"/>
      <c r="AT1721" s="28"/>
      <c r="AU1721" s="28"/>
      <c r="AV1721" s="12"/>
      <c r="AW1721" s="29"/>
    </row>
    <row r="1722" spans="5:49">
      <c r="E1722" s="12"/>
      <c r="F1722" s="12"/>
      <c r="G1722" s="12"/>
      <c r="H1722" s="12"/>
      <c r="I1722" s="38"/>
      <c r="L1722" s="19"/>
      <c r="M1722" s="19"/>
      <c r="AS1722" s="28"/>
      <c r="AT1722" s="28"/>
      <c r="AU1722" s="28"/>
      <c r="AV1722" s="12"/>
      <c r="AW1722" s="29"/>
    </row>
    <row r="1723" spans="5:49">
      <c r="E1723" s="12"/>
      <c r="F1723" s="12"/>
      <c r="G1723" s="12"/>
      <c r="H1723" s="12"/>
      <c r="I1723" s="38"/>
      <c r="L1723" s="19"/>
      <c r="M1723" s="19"/>
      <c r="AS1723" s="28"/>
      <c r="AT1723" s="28"/>
      <c r="AU1723" s="28"/>
      <c r="AV1723" s="12"/>
      <c r="AW1723" s="29"/>
    </row>
    <row r="1724" spans="5:49">
      <c r="E1724" s="12"/>
      <c r="F1724" s="12"/>
      <c r="G1724" s="12"/>
      <c r="H1724" s="12"/>
      <c r="I1724" s="38"/>
      <c r="L1724" s="19"/>
      <c r="M1724" s="19"/>
      <c r="AS1724" s="28"/>
      <c r="AT1724" s="28"/>
      <c r="AU1724" s="28"/>
      <c r="AV1724" s="12"/>
      <c r="AW1724" s="29"/>
    </row>
    <row r="1725" spans="5:49">
      <c r="E1725" s="12"/>
      <c r="F1725" s="12"/>
      <c r="G1725" s="12"/>
      <c r="H1725" s="12"/>
      <c r="I1725" s="38"/>
      <c r="L1725" s="19"/>
      <c r="M1725" s="19"/>
      <c r="AS1725" s="28"/>
      <c r="AT1725" s="28"/>
      <c r="AU1725" s="28"/>
      <c r="AV1725" s="12"/>
      <c r="AW1725" s="29"/>
    </row>
    <row r="1726" spans="5:49">
      <c r="E1726" s="12"/>
      <c r="F1726" s="12"/>
      <c r="G1726" s="12"/>
      <c r="H1726" s="12"/>
      <c r="I1726" s="38"/>
      <c r="L1726" s="19"/>
      <c r="M1726" s="19"/>
      <c r="AS1726" s="28"/>
      <c r="AT1726" s="28"/>
      <c r="AU1726" s="28"/>
      <c r="AV1726" s="12"/>
      <c r="AW1726" s="29"/>
    </row>
    <row r="1727" spans="5:49">
      <c r="E1727" s="12"/>
      <c r="F1727" s="12"/>
      <c r="G1727" s="12"/>
      <c r="H1727" s="12"/>
      <c r="I1727" s="38"/>
      <c r="L1727" s="19"/>
      <c r="M1727" s="19"/>
      <c r="AS1727" s="28"/>
      <c r="AT1727" s="28"/>
      <c r="AU1727" s="28"/>
      <c r="AV1727" s="12"/>
      <c r="AW1727" s="29"/>
    </row>
    <row r="1728" spans="5:49">
      <c r="E1728" s="12"/>
      <c r="F1728" s="12"/>
      <c r="G1728" s="12"/>
      <c r="H1728" s="12"/>
      <c r="I1728" s="38"/>
      <c r="L1728" s="19"/>
      <c r="M1728" s="19"/>
      <c r="AS1728" s="28"/>
      <c r="AT1728" s="28"/>
      <c r="AU1728" s="28"/>
      <c r="AV1728" s="12"/>
      <c r="AW1728" s="29"/>
    </row>
    <row r="1729" spans="5:49">
      <c r="E1729" s="12"/>
      <c r="F1729" s="12"/>
      <c r="G1729" s="12"/>
      <c r="H1729" s="12"/>
      <c r="I1729" s="38"/>
      <c r="L1729" s="19"/>
      <c r="M1729" s="19"/>
      <c r="AS1729" s="28"/>
      <c r="AT1729" s="28"/>
      <c r="AU1729" s="28"/>
      <c r="AV1729" s="12"/>
      <c r="AW1729" s="29"/>
    </row>
    <row r="1730" spans="5:49">
      <c r="E1730" s="12"/>
      <c r="F1730" s="12"/>
      <c r="G1730" s="12"/>
      <c r="H1730" s="12"/>
      <c r="I1730" s="38"/>
      <c r="L1730" s="19"/>
      <c r="M1730" s="19"/>
      <c r="AS1730" s="28"/>
      <c r="AT1730" s="28"/>
      <c r="AU1730" s="28"/>
      <c r="AV1730" s="12"/>
      <c r="AW1730" s="29"/>
    </row>
    <row r="1731" spans="5:49">
      <c r="E1731" s="12"/>
      <c r="F1731" s="12"/>
      <c r="G1731" s="12"/>
      <c r="H1731" s="12"/>
      <c r="I1731" s="38"/>
      <c r="L1731" s="19"/>
      <c r="M1731" s="19"/>
      <c r="AS1731" s="28"/>
      <c r="AT1731" s="28"/>
      <c r="AU1731" s="28"/>
      <c r="AV1731" s="12"/>
      <c r="AW1731" s="29"/>
    </row>
    <row r="1732" spans="5:49">
      <c r="E1732" s="12"/>
      <c r="F1732" s="12"/>
      <c r="G1732" s="12"/>
      <c r="H1732" s="12"/>
      <c r="I1732" s="38"/>
      <c r="L1732" s="19"/>
      <c r="M1732" s="19"/>
      <c r="AS1732" s="28"/>
      <c r="AT1732" s="28"/>
      <c r="AU1732" s="28"/>
      <c r="AV1732" s="12"/>
      <c r="AW1732" s="29"/>
    </row>
    <row r="1733" spans="5:49">
      <c r="E1733" s="12"/>
      <c r="F1733" s="12"/>
      <c r="G1733" s="12"/>
      <c r="H1733" s="12"/>
      <c r="I1733" s="38"/>
      <c r="L1733" s="19"/>
      <c r="M1733" s="19"/>
      <c r="AS1733" s="28"/>
      <c r="AT1733" s="28"/>
      <c r="AU1733" s="28"/>
      <c r="AV1733" s="12"/>
      <c r="AW1733" s="29"/>
    </row>
    <row r="1734" spans="5:49">
      <c r="E1734" s="12"/>
      <c r="F1734" s="12"/>
      <c r="G1734" s="12"/>
      <c r="H1734" s="12"/>
      <c r="I1734" s="38"/>
      <c r="L1734" s="19"/>
      <c r="M1734" s="19"/>
      <c r="AS1734" s="28"/>
      <c r="AT1734" s="28"/>
      <c r="AU1734" s="28"/>
      <c r="AV1734" s="12"/>
      <c r="AW1734" s="29"/>
    </row>
    <row r="1735" spans="5:49">
      <c r="E1735" s="12"/>
      <c r="F1735" s="12"/>
      <c r="G1735" s="12"/>
      <c r="H1735" s="12"/>
      <c r="I1735" s="38"/>
      <c r="L1735" s="19"/>
      <c r="M1735" s="19"/>
      <c r="AS1735" s="28"/>
      <c r="AT1735" s="28"/>
      <c r="AU1735" s="28"/>
      <c r="AV1735" s="12"/>
      <c r="AW1735" s="29"/>
    </row>
    <row r="1736" spans="5:49">
      <c r="E1736" s="12"/>
      <c r="F1736" s="12"/>
      <c r="G1736" s="12"/>
      <c r="H1736" s="12"/>
      <c r="I1736" s="38"/>
      <c r="L1736" s="19"/>
      <c r="M1736" s="19"/>
      <c r="AS1736" s="28"/>
      <c r="AT1736" s="28"/>
      <c r="AU1736" s="28"/>
      <c r="AV1736" s="12"/>
      <c r="AW1736" s="29"/>
    </row>
    <row r="1737" spans="5:49">
      <c r="E1737" s="12"/>
      <c r="F1737" s="12"/>
      <c r="G1737" s="12"/>
      <c r="H1737" s="12"/>
      <c r="I1737" s="38"/>
      <c r="L1737" s="19"/>
      <c r="M1737" s="19"/>
      <c r="AS1737" s="28"/>
      <c r="AT1737" s="28"/>
      <c r="AU1737" s="28"/>
      <c r="AV1737" s="12"/>
      <c r="AW1737" s="29"/>
    </row>
    <row r="1738" spans="5:49">
      <c r="E1738" s="12"/>
      <c r="F1738" s="12"/>
      <c r="G1738" s="12"/>
      <c r="H1738" s="12"/>
      <c r="I1738" s="38"/>
      <c r="L1738" s="19"/>
      <c r="M1738" s="19"/>
      <c r="AS1738" s="28"/>
      <c r="AT1738" s="28"/>
      <c r="AU1738" s="28"/>
      <c r="AV1738" s="12"/>
      <c r="AW1738" s="29"/>
    </row>
    <row r="1739" spans="5:49">
      <c r="E1739" s="12"/>
      <c r="F1739" s="12"/>
      <c r="G1739" s="12"/>
      <c r="H1739" s="12"/>
      <c r="I1739" s="38"/>
      <c r="L1739" s="19"/>
      <c r="M1739" s="19"/>
      <c r="AS1739" s="28"/>
      <c r="AT1739" s="28"/>
      <c r="AU1739" s="28"/>
      <c r="AV1739" s="12"/>
      <c r="AW1739" s="29"/>
    </row>
    <row r="1740" spans="5:49">
      <c r="E1740" s="12"/>
      <c r="F1740" s="12"/>
      <c r="G1740" s="12"/>
      <c r="H1740" s="12"/>
      <c r="I1740" s="38"/>
      <c r="L1740" s="19"/>
      <c r="M1740" s="19"/>
      <c r="AS1740" s="28"/>
      <c r="AT1740" s="28"/>
      <c r="AU1740" s="28"/>
      <c r="AV1740" s="12"/>
      <c r="AW1740" s="29"/>
    </row>
    <row r="1741" spans="5:49">
      <c r="E1741" s="12"/>
      <c r="F1741" s="12"/>
      <c r="G1741" s="12"/>
      <c r="H1741" s="12"/>
      <c r="I1741" s="38"/>
      <c r="L1741" s="19"/>
      <c r="M1741" s="19"/>
      <c r="AS1741" s="28"/>
      <c r="AT1741" s="28"/>
      <c r="AU1741" s="28"/>
      <c r="AV1741" s="12"/>
      <c r="AW1741" s="29"/>
    </row>
    <row r="1742" spans="5:49">
      <c r="E1742" s="12"/>
      <c r="F1742" s="12"/>
      <c r="G1742" s="12"/>
      <c r="H1742" s="12"/>
      <c r="I1742" s="38"/>
      <c r="L1742" s="19"/>
      <c r="M1742" s="19"/>
      <c r="AS1742" s="28"/>
      <c r="AT1742" s="28"/>
      <c r="AU1742" s="28"/>
      <c r="AV1742" s="12"/>
      <c r="AW1742" s="29"/>
    </row>
    <row r="1743" spans="5:49">
      <c r="E1743" s="12"/>
      <c r="F1743" s="12"/>
      <c r="G1743" s="12"/>
      <c r="H1743" s="12"/>
      <c r="I1743" s="38"/>
      <c r="L1743" s="19"/>
      <c r="M1743" s="19"/>
      <c r="AS1743" s="28"/>
      <c r="AT1743" s="28"/>
      <c r="AU1743" s="28"/>
      <c r="AV1743" s="12"/>
      <c r="AW1743" s="29"/>
    </row>
    <row r="1744" spans="5:49">
      <c r="E1744" s="12"/>
      <c r="F1744" s="12"/>
      <c r="G1744" s="12"/>
      <c r="H1744" s="12"/>
      <c r="I1744" s="38"/>
      <c r="L1744" s="19"/>
      <c r="M1744" s="19"/>
      <c r="AS1744" s="28"/>
      <c r="AT1744" s="28"/>
      <c r="AU1744" s="28"/>
      <c r="AV1744" s="12"/>
      <c r="AW1744" s="29"/>
    </row>
    <row r="1745" spans="5:49">
      <c r="E1745" s="12"/>
      <c r="F1745" s="12"/>
      <c r="G1745" s="12"/>
      <c r="H1745" s="12"/>
      <c r="I1745" s="38"/>
      <c r="L1745" s="19"/>
      <c r="M1745" s="19"/>
      <c r="AS1745" s="28"/>
      <c r="AT1745" s="28"/>
      <c r="AU1745" s="28"/>
      <c r="AV1745" s="12"/>
      <c r="AW1745" s="29"/>
    </row>
    <row r="1746" spans="5:49">
      <c r="E1746" s="12"/>
      <c r="F1746" s="12"/>
      <c r="G1746" s="12"/>
      <c r="H1746" s="12"/>
      <c r="I1746" s="38"/>
      <c r="L1746" s="19"/>
      <c r="M1746" s="19"/>
      <c r="AS1746" s="28"/>
      <c r="AT1746" s="28"/>
      <c r="AU1746" s="28"/>
      <c r="AV1746" s="12"/>
      <c r="AW1746" s="29"/>
    </row>
    <row r="1747" spans="5:49">
      <c r="E1747" s="12"/>
      <c r="F1747" s="12"/>
      <c r="G1747" s="12"/>
      <c r="H1747" s="12"/>
      <c r="I1747" s="38"/>
      <c r="L1747" s="19"/>
      <c r="M1747" s="19"/>
      <c r="AS1747" s="28"/>
      <c r="AT1747" s="28"/>
      <c r="AU1747" s="28"/>
      <c r="AV1747" s="12"/>
      <c r="AW1747" s="29"/>
    </row>
    <row r="1748" spans="5:49">
      <c r="E1748" s="12"/>
      <c r="F1748" s="12"/>
      <c r="G1748" s="12"/>
      <c r="H1748" s="12"/>
      <c r="I1748" s="38"/>
      <c r="L1748" s="19"/>
      <c r="M1748" s="19"/>
      <c r="AS1748" s="28"/>
      <c r="AT1748" s="28"/>
      <c r="AU1748" s="28"/>
      <c r="AV1748" s="12"/>
      <c r="AW1748" s="29"/>
    </row>
    <row r="1749" spans="5:49">
      <c r="E1749" s="12"/>
      <c r="F1749" s="12"/>
      <c r="G1749" s="12"/>
      <c r="H1749" s="12"/>
      <c r="I1749" s="38"/>
      <c r="L1749" s="19"/>
      <c r="M1749" s="19"/>
      <c r="AS1749" s="28"/>
      <c r="AT1749" s="28"/>
      <c r="AU1749" s="28"/>
      <c r="AV1749" s="12"/>
      <c r="AW1749" s="29"/>
    </row>
    <row r="1750" spans="5:49">
      <c r="E1750" s="12"/>
      <c r="F1750" s="12"/>
      <c r="G1750" s="12"/>
      <c r="H1750" s="12"/>
      <c r="I1750" s="38"/>
      <c r="L1750" s="19"/>
      <c r="M1750" s="19"/>
      <c r="AS1750" s="28"/>
      <c r="AT1750" s="28"/>
      <c r="AU1750" s="28"/>
      <c r="AV1750" s="12"/>
      <c r="AW1750" s="29"/>
    </row>
    <row r="1751" spans="5:49">
      <c r="E1751" s="12"/>
      <c r="F1751" s="12"/>
      <c r="G1751" s="12"/>
      <c r="H1751" s="12"/>
      <c r="I1751" s="38"/>
      <c r="L1751" s="19"/>
      <c r="M1751" s="19"/>
      <c r="AS1751" s="28"/>
      <c r="AT1751" s="28"/>
      <c r="AU1751" s="28"/>
      <c r="AV1751" s="12"/>
      <c r="AW1751" s="29"/>
    </row>
    <row r="1752" spans="5:49">
      <c r="E1752" s="12"/>
      <c r="F1752" s="12"/>
      <c r="G1752" s="12"/>
      <c r="H1752" s="12"/>
      <c r="I1752" s="38"/>
      <c r="L1752" s="19"/>
      <c r="M1752" s="19"/>
      <c r="AS1752" s="28"/>
      <c r="AT1752" s="28"/>
      <c r="AU1752" s="28"/>
      <c r="AV1752" s="12"/>
      <c r="AW1752" s="29"/>
    </row>
    <row r="1753" spans="5:49">
      <c r="E1753" s="12"/>
      <c r="F1753" s="12"/>
      <c r="G1753" s="12"/>
      <c r="H1753" s="12"/>
      <c r="I1753" s="38"/>
      <c r="L1753" s="19"/>
      <c r="M1753" s="19"/>
      <c r="AS1753" s="28"/>
      <c r="AT1753" s="28"/>
      <c r="AU1753" s="28"/>
      <c r="AV1753" s="12"/>
      <c r="AW1753" s="29"/>
    </row>
    <row r="1754" spans="5:49">
      <c r="E1754" s="12"/>
      <c r="F1754" s="12"/>
      <c r="G1754" s="12"/>
      <c r="H1754" s="12"/>
      <c r="I1754" s="38"/>
      <c r="L1754" s="19"/>
      <c r="M1754" s="19"/>
      <c r="AS1754" s="28"/>
      <c r="AT1754" s="28"/>
      <c r="AU1754" s="28"/>
      <c r="AV1754" s="12"/>
      <c r="AW1754" s="29"/>
    </row>
    <row r="1755" spans="5:49">
      <c r="E1755" s="12"/>
      <c r="F1755" s="12"/>
      <c r="G1755" s="12"/>
      <c r="H1755" s="12"/>
      <c r="I1755" s="38"/>
      <c r="L1755" s="19"/>
      <c r="M1755" s="19"/>
      <c r="AS1755" s="28"/>
      <c r="AT1755" s="28"/>
      <c r="AU1755" s="28"/>
      <c r="AV1755" s="12"/>
      <c r="AW1755" s="29"/>
    </row>
    <row r="1756" spans="5:49">
      <c r="E1756" s="12"/>
      <c r="F1756" s="12"/>
      <c r="G1756" s="12"/>
      <c r="H1756" s="12"/>
      <c r="I1756" s="38"/>
      <c r="L1756" s="19"/>
      <c r="M1756" s="19"/>
      <c r="AS1756" s="28"/>
      <c r="AT1756" s="28"/>
      <c r="AU1756" s="28"/>
      <c r="AV1756" s="12"/>
      <c r="AW1756" s="29"/>
    </row>
    <row r="1757" spans="5:49">
      <c r="E1757" s="12"/>
      <c r="F1757" s="12"/>
      <c r="G1757" s="12"/>
      <c r="H1757" s="12"/>
      <c r="I1757" s="38"/>
      <c r="L1757" s="19"/>
      <c r="M1757" s="19"/>
      <c r="AS1757" s="28"/>
      <c r="AT1757" s="28"/>
      <c r="AU1757" s="28"/>
      <c r="AV1757" s="12"/>
      <c r="AW1757" s="29"/>
    </row>
    <row r="1758" spans="5:49">
      <c r="E1758" s="12"/>
      <c r="F1758" s="12"/>
      <c r="G1758" s="12"/>
      <c r="H1758" s="12"/>
      <c r="I1758" s="38"/>
      <c r="L1758" s="19"/>
      <c r="M1758" s="19"/>
      <c r="AS1758" s="28"/>
      <c r="AT1758" s="28"/>
      <c r="AU1758" s="28"/>
      <c r="AV1758" s="12"/>
      <c r="AW1758" s="29"/>
    </row>
    <row r="1759" spans="5:49">
      <c r="E1759" s="12"/>
      <c r="F1759" s="12"/>
      <c r="G1759" s="12"/>
      <c r="H1759" s="12"/>
      <c r="I1759" s="38"/>
      <c r="L1759" s="19"/>
      <c r="M1759" s="19"/>
      <c r="AS1759" s="28"/>
      <c r="AT1759" s="28"/>
      <c r="AU1759" s="28"/>
      <c r="AV1759" s="12"/>
      <c r="AW1759" s="29"/>
    </row>
    <row r="1760" spans="5:49">
      <c r="E1760" s="12"/>
      <c r="F1760" s="12"/>
      <c r="G1760" s="12"/>
      <c r="H1760" s="12"/>
      <c r="I1760" s="38"/>
      <c r="L1760" s="19"/>
      <c r="M1760" s="19"/>
      <c r="AS1760" s="28"/>
      <c r="AT1760" s="28"/>
      <c r="AU1760" s="28"/>
      <c r="AV1760" s="12"/>
      <c r="AW1760" s="29"/>
    </row>
    <row r="1761" spans="5:49">
      <c r="E1761" s="12"/>
      <c r="F1761" s="12"/>
      <c r="G1761" s="12"/>
      <c r="H1761" s="12"/>
      <c r="I1761" s="38"/>
      <c r="L1761" s="19"/>
      <c r="M1761" s="19"/>
      <c r="AS1761" s="28"/>
      <c r="AT1761" s="28"/>
      <c r="AU1761" s="28"/>
      <c r="AV1761" s="12"/>
      <c r="AW1761" s="29"/>
    </row>
    <row r="1762" spans="5:49">
      <c r="E1762" s="12"/>
      <c r="F1762" s="12"/>
      <c r="G1762" s="12"/>
      <c r="H1762" s="12"/>
      <c r="I1762" s="38"/>
      <c r="L1762" s="19"/>
      <c r="M1762" s="19"/>
      <c r="AS1762" s="28"/>
      <c r="AT1762" s="28"/>
      <c r="AU1762" s="28"/>
      <c r="AV1762" s="12"/>
      <c r="AW1762" s="29"/>
    </row>
    <row r="1763" spans="5:49">
      <c r="E1763" s="12"/>
      <c r="F1763" s="12"/>
      <c r="G1763" s="12"/>
      <c r="H1763" s="12"/>
      <c r="I1763" s="38"/>
      <c r="L1763" s="19"/>
      <c r="M1763" s="19"/>
      <c r="AS1763" s="28"/>
      <c r="AT1763" s="28"/>
      <c r="AU1763" s="28"/>
      <c r="AV1763" s="12"/>
      <c r="AW1763" s="29"/>
    </row>
    <row r="1764" spans="5:49">
      <c r="E1764" s="12"/>
      <c r="F1764" s="12"/>
      <c r="G1764" s="12"/>
      <c r="H1764" s="12"/>
      <c r="I1764" s="38"/>
      <c r="L1764" s="19"/>
      <c r="M1764" s="19"/>
      <c r="AS1764" s="28"/>
      <c r="AT1764" s="28"/>
      <c r="AU1764" s="28"/>
      <c r="AV1764" s="12"/>
      <c r="AW1764" s="29"/>
    </row>
    <row r="1765" spans="5:49">
      <c r="E1765" s="12"/>
      <c r="F1765" s="12"/>
      <c r="G1765" s="12"/>
      <c r="H1765" s="12"/>
      <c r="I1765" s="38"/>
      <c r="L1765" s="19"/>
      <c r="M1765" s="19"/>
      <c r="AS1765" s="28"/>
      <c r="AT1765" s="28"/>
      <c r="AU1765" s="28"/>
      <c r="AV1765" s="12"/>
      <c r="AW1765" s="29"/>
    </row>
    <row r="1766" spans="5:49">
      <c r="E1766" s="12"/>
      <c r="F1766" s="12"/>
      <c r="G1766" s="12"/>
      <c r="H1766" s="12"/>
      <c r="I1766" s="38"/>
      <c r="L1766" s="19"/>
      <c r="M1766" s="19"/>
      <c r="AS1766" s="28"/>
      <c r="AT1766" s="28"/>
      <c r="AU1766" s="28"/>
      <c r="AV1766" s="12"/>
      <c r="AW1766" s="29"/>
    </row>
    <row r="1767" spans="5:49">
      <c r="E1767" s="12"/>
      <c r="F1767" s="12"/>
      <c r="G1767" s="12"/>
      <c r="H1767" s="12"/>
      <c r="I1767" s="38"/>
      <c r="L1767" s="19"/>
      <c r="M1767" s="19"/>
      <c r="AS1767" s="28"/>
      <c r="AT1767" s="28"/>
      <c r="AU1767" s="28"/>
      <c r="AV1767" s="12"/>
      <c r="AW1767" s="29"/>
    </row>
    <row r="1768" spans="5:49">
      <c r="E1768" s="12"/>
      <c r="F1768" s="12"/>
      <c r="G1768" s="12"/>
      <c r="H1768" s="12"/>
      <c r="I1768" s="38"/>
      <c r="L1768" s="19"/>
      <c r="M1768" s="19"/>
      <c r="AS1768" s="28"/>
      <c r="AT1768" s="28"/>
      <c r="AU1768" s="28"/>
      <c r="AV1768" s="12"/>
      <c r="AW1768" s="29"/>
    </row>
    <row r="1769" spans="5:49">
      <c r="E1769" s="12"/>
      <c r="F1769" s="12"/>
      <c r="G1769" s="12"/>
      <c r="H1769" s="12"/>
      <c r="I1769" s="38"/>
      <c r="L1769" s="19"/>
      <c r="M1769" s="19"/>
      <c r="AS1769" s="28"/>
      <c r="AT1769" s="28"/>
      <c r="AU1769" s="28"/>
      <c r="AV1769" s="12"/>
      <c r="AW1769" s="29"/>
    </row>
    <row r="1770" spans="5:49">
      <c r="E1770" s="12"/>
      <c r="F1770" s="12"/>
      <c r="G1770" s="12"/>
      <c r="H1770" s="12"/>
      <c r="I1770" s="38"/>
      <c r="L1770" s="19"/>
      <c r="M1770" s="19"/>
      <c r="AS1770" s="28"/>
      <c r="AT1770" s="28"/>
      <c r="AU1770" s="28"/>
      <c r="AV1770" s="12"/>
      <c r="AW1770" s="29"/>
    </row>
    <row r="1771" spans="5:49">
      <c r="E1771" s="12"/>
      <c r="F1771" s="12"/>
      <c r="G1771" s="12"/>
      <c r="H1771" s="12"/>
      <c r="I1771" s="38"/>
      <c r="L1771" s="19"/>
      <c r="M1771" s="19"/>
      <c r="AS1771" s="28"/>
      <c r="AT1771" s="28"/>
      <c r="AU1771" s="28"/>
      <c r="AV1771" s="12"/>
      <c r="AW1771" s="29"/>
    </row>
    <row r="1772" spans="5:49">
      <c r="E1772" s="12"/>
      <c r="F1772" s="12"/>
      <c r="G1772" s="12"/>
      <c r="H1772" s="12"/>
      <c r="I1772" s="38"/>
      <c r="L1772" s="19"/>
      <c r="M1772" s="19"/>
      <c r="AS1772" s="28"/>
      <c r="AT1772" s="28"/>
      <c r="AU1772" s="28"/>
      <c r="AV1772" s="12"/>
      <c r="AW1772" s="29"/>
    </row>
    <row r="1773" spans="5:49">
      <c r="E1773" s="12"/>
      <c r="F1773" s="12"/>
      <c r="G1773" s="12"/>
      <c r="H1773" s="12"/>
      <c r="I1773" s="38"/>
      <c r="L1773" s="19"/>
      <c r="M1773" s="19"/>
      <c r="AS1773" s="28"/>
      <c r="AT1773" s="28"/>
      <c r="AU1773" s="28"/>
      <c r="AV1773" s="12"/>
      <c r="AW1773" s="29"/>
    </row>
    <row r="1774" spans="5:49">
      <c r="E1774" s="12"/>
      <c r="F1774" s="12"/>
      <c r="G1774" s="12"/>
      <c r="H1774" s="12"/>
      <c r="I1774" s="38"/>
      <c r="L1774" s="19"/>
      <c r="M1774" s="19"/>
      <c r="AS1774" s="28"/>
      <c r="AT1774" s="28"/>
      <c r="AU1774" s="28"/>
      <c r="AV1774" s="12"/>
      <c r="AW1774" s="29"/>
    </row>
    <row r="1775" spans="5:49">
      <c r="E1775" s="12"/>
      <c r="F1775" s="12"/>
      <c r="G1775" s="12"/>
      <c r="H1775" s="12"/>
      <c r="I1775" s="38"/>
      <c r="L1775" s="19"/>
      <c r="M1775" s="19"/>
      <c r="AS1775" s="28"/>
      <c r="AT1775" s="28"/>
      <c r="AU1775" s="28"/>
      <c r="AV1775" s="12"/>
      <c r="AW1775" s="29"/>
    </row>
    <row r="1776" spans="5:49">
      <c r="E1776" s="12"/>
      <c r="F1776" s="12"/>
      <c r="G1776" s="12"/>
      <c r="H1776" s="12"/>
      <c r="I1776" s="38"/>
      <c r="L1776" s="19"/>
      <c r="M1776" s="19"/>
      <c r="AS1776" s="28"/>
      <c r="AT1776" s="28"/>
      <c r="AU1776" s="28"/>
      <c r="AV1776" s="12"/>
      <c r="AW1776" s="29"/>
    </row>
    <row r="1777" spans="5:49">
      <c r="E1777" s="12"/>
      <c r="F1777" s="12"/>
      <c r="G1777" s="12"/>
      <c r="H1777" s="12"/>
      <c r="I1777" s="38"/>
      <c r="L1777" s="19"/>
      <c r="M1777" s="19"/>
      <c r="AS1777" s="28"/>
      <c r="AT1777" s="28"/>
      <c r="AU1777" s="28"/>
      <c r="AV1777" s="12"/>
      <c r="AW1777" s="29"/>
    </row>
    <row r="1778" spans="5:49">
      <c r="E1778" s="12"/>
      <c r="F1778" s="12"/>
      <c r="G1778" s="12"/>
      <c r="H1778" s="12"/>
      <c r="I1778" s="38"/>
      <c r="L1778" s="19"/>
      <c r="M1778" s="19"/>
      <c r="AS1778" s="28"/>
      <c r="AT1778" s="28"/>
      <c r="AU1778" s="28"/>
      <c r="AV1778" s="12"/>
      <c r="AW1778" s="29"/>
    </row>
    <row r="1779" spans="5:49">
      <c r="E1779" s="12"/>
      <c r="F1779" s="12"/>
      <c r="G1779" s="12"/>
      <c r="H1779" s="12"/>
      <c r="I1779" s="38"/>
      <c r="L1779" s="19"/>
      <c r="M1779" s="19"/>
      <c r="AS1779" s="28"/>
      <c r="AT1779" s="28"/>
      <c r="AU1779" s="28"/>
      <c r="AV1779" s="12"/>
      <c r="AW1779" s="29"/>
    </row>
    <row r="1780" spans="5:49">
      <c r="E1780" s="12"/>
      <c r="F1780" s="12"/>
      <c r="G1780" s="12"/>
      <c r="H1780" s="12"/>
      <c r="I1780" s="38"/>
      <c r="L1780" s="19"/>
      <c r="M1780" s="19"/>
      <c r="AS1780" s="28"/>
      <c r="AT1780" s="28"/>
      <c r="AU1780" s="28"/>
      <c r="AV1780" s="12"/>
      <c r="AW1780" s="29"/>
    </row>
    <row r="1781" spans="5:49">
      <c r="E1781" s="12"/>
      <c r="F1781" s="12"/>
      <c r="G1781" s="12"/>
      <c r="H1781" s="12"/>
      <c r="I1781" s="38"/>
      <c r="L1781" s="19"/>
      <c r="M1781" s="19"/>
      <c r="AS1781" s="28"/>
      <c r="AT1781" s="28"/>
      <c r="AU1781" s="28"/>
      <c r="AV1781" s="12"/>
      <c r="AW1781" s="29"/>
    </row>
    <row r="1782" spans="5:49">
      <c r="E1782" s="12"/>
      <c r="F1782" s="12"/>
      <c r="G1782" s="12"/>
      <c r="H1782" s="12"/>
      <c r="I1782" s="38"/>
      <c r="L1782" s="19"/>
      <c r="M1782" s="19"/>
      <c r="AS1782" s="28"/>
      <c r="AT1782" s="28"/>
      <c r="AU1782" s="28"/>
      <c r="AV1782" s="12"/>
      <c r="AW1782" s="29"/>
    </row>
    <row r="1783" spans="5:49">
      <c r="E1783" s="12"/>
      <c r="F1783" s="12"/>
      <c r="G1783" s="12"/>
      <c r="H1783" s="12"/>
      <c r="I1783" s="38"/>
      <c r="L1783" s="19"/>
      <c r="M1783" s="19"/>
      <c r="AS1783" s="28"/>
      <c r="AT1783" s="28"/>
      <c r="AU1783" s="28"/>
      <c r="AV1783" s="12"/>
      <c r="AW1783" s="29"/>
    </row>
    <row r="1784" spans="5:49">
      <c r="E1784" s="12"/>
      <c r="F1784" s="12"/>
      <c r="G1784" s="12"/>
      <c r="H1784" s="12"/>
      <c r="I1784" s="38"/>
      <c r="L1784" s="19"/>
      <c r="M1784" s="19"/>
      <c r="AS1784" s="28"/>
      <c r="AT1784" s="28"/>
      <c r="AU1784" s="28"/>
      <c r="AV1784" s="12"/>
      <c r="AW1784" s="29"/>
    </row>
    <row r="1785" spans="5:49">
      <c r="E1785" s="12"/>
      <c r="F1785" s="12"/>
      <c r="G1785" s="12"/>
      <c r="H1785" s="12"/>
      <c r="I1785" s="38"/>
      <c r="L1785" s="19"/>
      <c r="M1785" s="19"/>
      <c r="AS1785" s="28"/>
      <c r="AT1785" s="28"/>
      <c r="AU1785" s="28"/>
      <c r="AV1785" s="12"/>
      <c r="AW1785" s="29"/>
    </row>
    <row r="1786" spans="5:49">
      <c r="E1786" s="12"/>
      <c r="F1786" s="12"/>
      <c r="G1786" s="12"/>
      <c r="H1786" s="12"/>
      <c r="I1786" s="38"/>
      <c r="L1786" s="19"/>
      <c r="M1786" s="19"/>
      <c r="AS1786" s="28"/>
      <c r="AT1786" s="28"/>
      <c r="AU1786" s="28"/>
      <c r="AV1786" s="12"/>
      <c r="AW1786" s="29"/>
    </row>
    <row r="1787" spans="5:49">
      <c r="E1787" s="12"/>
      <c r="F1787" s="12"/>
      <c r="G1787" s="12"/>
      <c r="H1787" s="12"/>
      <c r="I1787" s="38"/>
      <c r="L1787" s="19"/>
      <c r="M1787" s="19"/>
      <c r="AS1787" s="28"/>
      <c r="AT1787" s="28"/>
      <c r="AU1787" s="28"/>
      <c r="AV1787" s="12"/>
      <c r="AW1787" s="29"/>
    </row>
    <row r="1788" spans="5:49">
      <c r="E1788" s="12"/>
      <c r="F1788" s="12"/>
      <c r="G1788" s="12"/>
      <c r="H1788" s="12"/>
      <c r="I1788" s="38"/>
      <c r="L1788" s="19"/>
      <c r="M1788" s="19"/>
      <c r="AS1788" s="28"/>
      <c r="AT1788" s="28"/>
      <c r="AU1788" s="28"/>
      <c r="AV1788" s="12"/>
      <c r="AW1788" s="29"/>
    </row>
    <row r="1789" spans="5:49">
      <c r="E1789" s="12"/>
      <c r="F1789" s="12"/>
      <c r="G1789" s="12"/>
      <c r="H1789" s="12"/>
      <c r="I1789" s="38"/>
      <c r="L1789" s="19"/>
      <c r="M1789" s="19"/>
      <c r="AS1789" s="28"/>
      <c r="AT1789" s="28"/>
      <c r="AU1789" s="28"/>
      <c r="AV1789" s="12"/>
      <c r="AW1789" s="29"/>
    </row>
    <row r="1790" spans="5:49">
      <c r="E1790" s="12"/>
      <c r="F1790" s="12"/>
      <c r="G1790" s="12"/>
      <c r="H1790" s="12"/>
      <c r="I1790" s="38"/>
      <c r="L1790" s="19"/>
      <c r="M1790" s="19"/>
      <c r="AS1790" s="28"/>
      <c r="AT1790" s="28"/>
      <c r="AU1790" s="28"/>
      <c r="AV1790" s="12"/>
      <c r="AW1790" s="29"/>
    </row>
    <row r="1791" spans="5:49">
      <c r="E1791" s="12"/>
      <c r="F1791" s="12"/>
      <c r="G1791" s="12"/>
      <c r="H1791" s="12"/>
      <c r="I1791" s="38"/>
      <c r="L1791" s="19"/>
      <c r="M1791" s="19"/>
      <c r="AS1791" s="28"/>
      <c r="AT1791" s="28"/>
      <c r="AU1791" s="28"/>
      <c r="AV1791" s="12"/>
      <c r="AW1791" s="29"/>
    </row>
    <row r="1792" spans="5:49">
      <c r="E1792" s="12"/>
      <c r="F1792" s="12"/>
      <c r="G1792" s="12"/>
      <c r="H1792" s="12"/>
      <c r="I1792" s="38"/>
      <c r="L1792" s="19"/>
      <c r="M1792" s="19"/>
      <c r="AS1792" s="28"/>
      <c r="AT1792" s="28"/>
      <c r="AU1792" s="28"/>
      <c r="AV1792" s="12"/>
      <c r="AW1792" s="29"/>
    </row>
    <row r="1793" spans="5:49">
      <c r="E1793" s="12"/>
      <c r="F1793" s="12"/>
      <c r="G1793" s="12"/>
      <c r="H1793" s="12"/>
      <c r="I1793" s="38"/>
      <c r="L1793" s="19"/>
      <c r="M1793" s="19"/>
      <c r="AS1793" s="28"/>
      <c r="AT1793" s="28"/>
      <c r="AU1793" s="28"/>
      <c r="AV1793" s="12"/>
      <c r="AW1793" s="29"/>
    </row>
    <row r="1794" spans="5:49">
      <c r="E1794" s="12"/>
      <c r="F1794" s="12"/>
      <c r="G1794" s="12"/>
      <c r="H1794" s="12"/>
      <c r="I1794" s="38"/>
      <c r="L1794" s="19"/>
      <c r="M1794" s="19"/>
      <c r="AS1794" s="28"/>
      <c r="AT1794" s="28"/>
      <c r="AU1794" s="28"/>
      <c r="AV1794" s="12"/>
      <c r="AW1794" s="29"/>
    </row>
    <row r="1795" spans="5:49">
      <c r="E1795" s="12"/>
      <c r="F1795" s="12"/>
      <c r="G1795" s="12"/>
      <c r="H1795" s="12"/>
      <c r="I1795" s="38"/>
      <c r="L1795" s="19"/>
      <c r="M1795" s="19"/>
      <c r="AS1795" s="28"/>
      <c r="AT1795" s="28"/>
      <c r="AU1795" s="28"/>
      <c r="AV1795" s="12"/>
      <c r="AW1795" s="29"/>
    </row>
    <row r="1796" spans="5:49">
      <c r="E1796" s="12"/>
      <c r="F1796" s="12"/>
      <c r="G1796" s="12"/>
      <c r="H1796" s="12"/>
      <c r="I1796" s="38"/>
      <c r="L1796" s="19"/>
      <c r="M1796" s="19"/>
      <c r="AS1796" s="28"/>
      <c r="AT1796" s="28"/>
      <c r="AU1796" s="28"/>
      <c r="AV1796" s="12"/>
      <c r="AW1796" s="29"/>
    </row>
    <row r="1797" spans="5:49">
      <c r="E1797" s="12"/>
      <c r="F1797" s="12"/>
      <c r="G1797" s="12"/>
      <c r="H1797" s="12"/>
      <c r="I1797" s="38"/>
      <c r="L1797" s="19"/>
      <c r="M1797" s="19"/>
      <c r="AS1797" s="28"/>
      <c r="AT1797" s="28"/>
      <c r="AU1797" s="28"/>
      <c r="AV1797" s="12"/>
      <c r="AW1797" s="29"/>
    </row>
    <row r="1798" spans="5:49">
      <c r="E1798" s="12"/>
      <c r="F1798" s="12"/>
      <c r="G1798" s="12"/>
      <c r="H1798" s="12"/>
      <c r="I1798" s="38"/>
      <c r="L1798" s="19"/>
      <c r="M1798" s="19"/>
      <c r="AS1798" s="28"/>
      <c r="AT1798" s="28"/>
      <c r="AU1798" s="28"/>
      <c r="AV1798" s="12"/>
      <c r="AW1798" s="29"/>
    </row>
    <row r="1799" spans="5:49">
      <c r="E1799" s="12"/>
      <c r="F1799" s="12"/>
      <c r="G1799" s="12"/>
      <c r="H1799" s="12"/>
      <c r="I1799" s="38"/>
      <c r="L1799" s="19"/>
      <c r="M1799" s="19"/>
      <c r="AS1799" s="28"/>
      <c r="AT1799" s="28"/>
      <c r="AU1799" s="28"/>
      <c r="AV1799" s="12"/>
      <c r="AW1799" s="29"/>
    </row>
    <row r="1800" spans="5:49">
      <c r="E1800" s="12"/>
      <c r="F1800" s="12"/>
      <c r="G1800" s="12"/>
      <c r="H1800" s="12"/>
      <c r="I1800" s="38"/>
      <c r="L1800" s="19"/>
      <c r="M1800" s="19"/>
      <c r="AS1800" s="28"/>
      <c r="AT1800" s="28"/>
      <c r="AU1800" s="28"/>
      <c r="AV1800" s="12"/>
      <c r="AW1800" s="29"/>
    </row>
    <row r="1801" spans="5:49">
      <c r="E1801" s="12"/>
      <c r="F1801" s="12"/>
      <c r="G1801" s="12"/>
      <c r="H1801" s="12"/>
      <c r="I1801" s="38"/>
      <c r="L1801" s="19"/>
      <c r="M1801" s="19"/>
      <c r="AS1801" s="28"/>
      <c r="AT1801" s="28"/>
      <c r="AU1801" s="28"/>
      <c r="AV1801" s="12"/>
      <c r="AW1801" s="29"/>
    </row>
    <row r="1802" spans="5:49">
      <c r="E1802" s="12"/>
      <c r="F1802" s="12"/>
      <c r="G1802" s="12"/>
      <c r="H1802" s="12"/>
      <c r="I1802" s="38"/>
      <c r="L1802" s="19"/>
      <c r="M1802" s="19"/>
      <c r="AS1802" s="28"/>
      <c r="AT1802" s="28"/>
      <c r="AU1802" s="28"/>
      <c r="AV1802" s="12"/>
      <c r="AW1802" s="29"/>
    </row>
    <row r="1803" spans="5:49">
      <c r="E1803" s="12"/>
      <c r="F1803" s="12"/>
      <c r="G1803" s="12"/>
      <c r="H1803" s="12"/>
      <c r="I1803" s="38"/>
      <c r="L1803" s="19"/>
      <c r="M1803" s="19"/>
      <c r="AS1803" s="28"/>
      <c r="AT1803" s="28"/>
      <c r="AU1803" s="28"/>
      <c r="AV1803" s="12"/>
      <c r="AW1803" s="29"/>
    </row>
    <row r="1804" spans="5:49">
      <c r="E1804" s="12"/>
      <c r="F1804" s="12"/>
      <c r="G1804" s="12"/>
      <c r="H1804" s="12"/>
      <c r="I1804" s="38"/>
      <c r="L1804" s="19"/>
      <c r="M1804" s="19"/>
      <c r="AS1804" s="28"/>
      <c r="AT1804" s="28"/>
      <c r="AU1804" s="28"/>
      <c r="AV1804" s="12"/>
      <c r="AW1804" s="29"/>
    </row>
    <row r="1805" spans="5:49">
      <c r="E1805" s="12"/>
      <c r="F1805" s="12"/>
      <c r="G1805" s="12"/>
      <c r="H1805" s="12"/>
      <c r="I1805" s="38"/>
      <c r="L1805" s="19"/>
      <c r="M1805" s="19"/>
      <c r="AS1805" s="28"/>
      <c r="AT1805" s="28"/>
      <c r="AU1805" s="28"/>
      <c r="AV1805" s="12"/>
      <c r="AW1805" s="29"/>
    </row>
    <row r="1806" spans="5:49">
      <c r="E1806" s="12"/>
      <c r="F1806" s="12"/>
      <c r="G1806" s="12"/>
      <c r="H1806" s="12"/>
      <c r="I1806" s="38"/>
      <c r="L1806" s="19"/>
      <c r="M1806" s="19"/>
      <c r="AS1806" s="28"/>
      <c r="AT1806" s="28"/>
      <c r="AU1806" s="28"/>
      <c r="AV1806" s="12"/>
      <c r="AW1806" s="29"/>
    </row>
    <row r="1807" spans="5:49">
      <c r="E1807" s="12"/>
      <c r="F1807" s="12"/>
      <c r="G1807" s="12"/>
      <c r="H1807" s="12"/>
      <c r="I1807" s="38"/>
      <c r="L1807" s="19"/>
      <c r="M1807" s="19"/>
      <c r="AS1807" s="28"/>
      <c r="AT1807" s="28"/>
      <c r="AU1807" s="28"/>
      <c r="AV1807" s="12"/>
      <c r="AW1807" s="29"/>
    </row>
    <row r="1808" spans="5:49">
      <c r="E1808" s="12"/>
      <c r="F1808" s="12"/>
      <c r="G1808" s="12"/>
      <c r="H1808" s="12"/>
      <c r="I1808" s="38"/>
      <c r="L1808" s="19"/>
      <c r="M1808" s="19"/>
      <c r="AS1808" s="28"/>
      <c r="AT1808" s="28"/>
      <c r="AU1808" s="28"/>
      <c r="AV1808" s="12"/>
      <c r="AW1808" s="29"/>
    </row>
    <row r="1809" spans="5:49">
      <c r="E1809" s="12"/>
      <c r="F1809" s="12"/>
      <c r="G1809" s="12"/>
      <c r="H1809" s="12"/>
      <c r="I1809" s="38"/>
      <c r="L1809" s="19"/>
      <c r="M1809" s="19"/>
      <c r="AS1809" s="28"/>
      <c r="AT1809" s="28"/>
      <c r="AU1809" s="28"/>
      <c r="AV1809" s="12"/>
      <c r="AW1809" s="29"/>
    </row>
    <row r="1810" spans="5:49">
      <c r="E1810" s="12"/>
      <c r="F1810" s="12"/>
      <c r="G1810" s="12"/>
      <c r="H1810" s="12"/>
      <c r="I1810" s="38"/>
      <c r="L1810" s="19"/>
      <c r="M1810" s="19"/>
      <c r="AS1810" s="28"/>
      <c r="AT1810" s="28"/>
      <c r="AU1810" s="28"/>
      <c r="AV1810" s="12"/>
      <c r="AW1810" s="29"/>
    </row>
    <row r="1811" spans="5:49">
      <c r="E1811" s="12"/>
      <c r="F1811" s="12"/>
      <c r="G1811" s="12"/>
      <c r="H1811" s="12"/>
      <c r="I1811" s="38"/>
      <c r="L1811" s="19"/>
      <c r="M1811" s="19"/>
      <c r="AS1811" s="28"/>
      <c r="AT1811" s="28"/>
      <c r="AU1811" s="28"/>
      <c r="AV1811" s="12"/>
      <c r="AW1811" s="29"/>
    </row>
    <row r="1812" spans="5:49">
      <c r="E1812" s="12"/>
      <c r="F1812" s="12"/>
      <c r="G1812" s="12"/>
      <c r="H1812" s="12"/>
      <c r="I1812" s="38"/>
      <c r="L1812" s="19"/>
      <c r="M1812" s="19"/>
      <c r="AS1812" s="28"/>
      <c r="AT1812" s="28"/>
      <c r="AU1812" s="28"/>
      <c r="AV1812" s="12"/>
      <c r="AW1812" s="29"/>
    </row>
    <row r="1813" spans="5:49">
      <c r="E1813" s="12"/>
      <c r="F1813" s="12"/>
      <c r="G1813" s="12"/>
      <c r="H1813" s="12"/>
      <c r="I1813" s="38"/>
      <c r="L1813" s="19"/>
      <c r="M1813" s="19"/>
      <c r="AS1813" s="28"/>
      <c r="AT1813" s="28"/>
      <c r="AU1813" s="28"/>
      <c r="AV1813" s="12"/>
      <c r="AW1813" s="29"/>
    </row>
    <row r="1814" spans="5:49">
      <c r="E1814" s="12"/>
      <c r="F1814" s="12"/>
      <c r="G1814" s="12"/>
      <c r="H1814" s="12"/>
      <c r="I1814" s="38"/>
      <c r="L1814" s="19"/>
      <c r="M1814" s="19"/>
      <c r="AS1814" s="28"/>
      <c r="AT1814" s="28"/>
      <c r="AU1814" s="28"/>
      <c r="AV1814" s="12"/>
      <c r="AW1814" s="29"/>
    </row>
    <row r="1815" spans="5:49">
      <c r="E1815" s="12"/>
      <c r="F1815" s="12"/>
      <c r="G1815" s="12"/>
      <c r="H1815" s="12"/>
      <c r="I1815" s="38"/>
      <c r="L1815" s="19"/>
      <c r="M1815" s="19"/>
      <c r="AS1815" s="28"/>
      <c r="AT1815" s="28"/>
      <c r="AU1815" s="28"/>
      <c r="AV1815" s="12"/>
      <c r="AW1815" s="29"/>
    </row>
    <row r="1816" spans="5:49">
      <c r="E1816" s="12"/>
      <c r="F1816" s="12"/>
      <c r="G1816" s="12"/>
      <c r="H1816" s="12"/>
      <c r="I1816" s="38"/>
      <c r="L1816" s="19"/>
      <c r="M1816" s="19"/>
      <c r="AS1816" s="28"/>
      <c r="AT1816" s="28"/>
      <c r="AU1816" s="28"/>
      <c r="AV1816" s="12"/>
      <c r="AW1816" s="29"/>
    </row>
    <row r="1817" spans="5:49">
      <c r="E1817" s="12"/>
      <c r="F1817" s="12"/>
      <c r="G1817" s="12"/>
      <c r="H1817" s="12"/>
      <c r="I1817" s="38"/>
      <c r="L1817" s="19"/>
      <c r="M1817" s="19"/>
      <c r="AS1817" s="28"/>
      <c r="AT1817" s="28"/>
      <c r="AU1817" s="28"/>
      <c r="AV1817" s="12"/>
      <c r="AW1817" s="29"/>
    </row>
    <row r="1818" spans="5:49">
      <c r="E1818" s="12"/>
      <c r="F1818" s="12"/>
      <c r="G1818" s="12"/>
      <c r="H1818" s="12"/>
      <c r="I1818" s="38"/>
      <c r="L1818" s="19"/>
      <c r="M1818" s="19"/>
      <c r="AS1818" s="28"/>
      <c r="AT1818" s="28"/>
      <c r="AU1818" s="28"/>
      <c r="AV1818" s="12"/>
      <c r="AW1818" s="29"/>
    </row>
    <row r="1819" spans="5:49">
      <c r="E1819" s="12"/>
      <c r="F1819" s="12"/>
      <c r="G1819" s="12"/>
      <c r="H1819" s="12"/>
      <c r="I1819" s="38"/>
      <c r="L1819" s="19"/>
      <c r="M1819" s="19"/>
      <c r="AS1819" s="28"/>
      <c r="AT1819" s="28"/>
      <c r="AU1819" s="28"/>
      <c r="AV1819" s="12"/>
      <c r="AW1819" s="29"/>
    </row>
    <row r="1820" spans="5:49">
      <c r="E1820" s="12"/>
      <c r="F1820" s="12"/>
      <c r="G1820" s="12"/>
      <c r="H1820" s="12"/>
      <c r="I1820" s="38"/>
      <c r="L1820" s="19"/>
      <c r="M1820" s="19"/>
      <c r="AS1820" s="28"/>
      <c r="AT1820" s="28"/>
      <c r="AU1820" s="28"/>
      <c r="AV1820" s="12"/>
      <c r="AW1820" s="29"/>
    </row>
    <row r="1821" spans="5:49">
      <c r="E1821" s="12"/>
      <c r="F1821" s="12"/>
      <c r="G1821" s="12"/>
      <c r="H1821" s="12"/>
      <c r="I1821" s="38"/>
      <c r="L1821" s="19"/>
      <c r="M1821" s="19"/>
      <c r="AS1821" s="28"/>
      <c r="AT1821" s="28"/>
      <c r="AU1821" s="28"/>
      <c r="AV1821" s="12"/>
      <c r="AW1821" s="29"/>
    </row>
    <row r="1822" spans="5:49">
      <c r="E1822" s="12"/>
      <c r="F1822" s="12"/>
      <c r="G1822" s="12"/>
      <c r="H1822" s="12"/>
      <c r="I1822" s="38"/>
      <c r="L1822" s="19"/>
      <c r="M1822" s="19"/>
      <c r="AS1822" s="28"/>
      <c r="AT1822" s="28"/>
      <c r="AU1822" s="28"/>
      <c r="AV1822" s="12"/>
      <c r="AW1822" s="29"/>
    </row>
    <row r="1823" spans="5:49">
      <c r="E1823" s="12"/>
      <c r="F1823" s="12"/>
      <c r="G1823" s="12"/>
      <c r="H1823" s="12"/>
      <c r="I1823" s="38"/>
      <c r="L1823" s="19"/>
      <c r="M1823" s="19"/>
      <c r="AS1823" s="28"/>
      <c r="AT1823" s="28"/>
      <c r="AU1823" s="28"/>
      <c r="AV1823" s="12"/>
      <c r="AW1823" s="29"/>
    </row>
    <row r="1824" spans="5:49">
      <c r="E1824" s="12"/>
      <c r="F1824" s="12"/>
      <c r="G1824" s="12"/>
      <c r="H1824" s="12"/>
      <c r="I1824" s="38"/>
      <c r="L1824" s="19"/>
      <c r="M1824" s="19"/>
      <c r="AS1824" s="28"/>
      <c r="AT1824" s="28"/>
      <c r="AU1824" s="28"/>
      <c r="AV1824" s="12"/>
      <c r="AW1824" s="29"/>
    </row>
    <row r="1825" spans="5:49">
      <c r="E1825" s="12"/>
      <c r="F1825" s="12"/>
      <c r="G1825" s="12"/>
      <c r="H1825" s="12"/>
      <c r="I1825" s="38"/>
      <c r="L1825" s="19"/>
      <c r="M1825" s="19"/>
      <c r="AS1825" s="28"/>
      <c r="AT1825" s="28"/>
      <c r="AU1825" s="28"/>
      <c r="AV1825" s="12"/>
      <c r="AW1825" s="29"/>
    </row>
    <row r="1826" spans="5:49">
      <c r="E1826" s="12"/>
      <c r="F1826" s="12"/>
      <c r="G1826" s="12"/>
      <c r="H1826" s="12"/>
      <c r="I1826" s="38"/>
      <c r="L1826" s="19"/>
      <c r="M1826" s="19"/>
      <c r="AS1826" s="28"/>
      <c r="AT1826" s="28"/>
      <c r="AU1826" s="28"/>
      <c r="AV1826" s="12"/>
      <c r="AW1826" s="29"/>
    </row>
    <row r="1827" spans="5:49">
      <c r="E1827" s="12"/>
      <c r="F1827" s="12"/>
      <c r="G1827" s="12"/>
      <c r="H1827" s="12"/>
      <c r="I1827" s="38"/>
      <c r="L1827" s="19"/>
      <c r="M1827" s="19"/>
      <c r="AS1827" s="28"/>
      <c r="AT1827" s="28"/>
      <c r="AU1827" s="28"/>
      <c r="AV1827" s="12"/>
      <c r="AW1827" s="29"/>
    </row>
    <row r="1828" spans="5:49">
      <c r="E1828" s="12"/>
      <c r="F1828" s="12"/>
      <c r="G1828" s="12"/>
      <c r="H1828" s="12"/>
      <c r="I1828" s="38"/>
      <c r="L1828" s="19"/>
      <c r="M1828" s="19"/>
      <c r="AS1828" s="28"/>
      <c r="AT1828" s="28"/>
      <c r="AU1828" s="28"/>
      <c r="AV1828" s="12"/>
      <c r="AW1828" s="29"/>
    </row>
    <row r="1829" spans="5:49">
      <c r="E1829" s="12"/>
      <c r="F1829" s="12"/>
      <c r="G1829" s="12"/>
      <c r="H1829" s="12"/>
      <c r="I1829" s="38"/>
      <c r="L1829" s="19"/>
      <c r="M1829" s="19"/>
      <c r="AS1829" s="28"/>
      <c r="AT1829" s="28"/>
      <c r="AU1829" s="28"/>
      <c r="AV1829" s="12"/>
      <c r="AW1829" s="29"/>
    </row>
    <row r="1830" spans="5:49">
      <c r="E1830" s="12"/>
      <c r="F1830" s="12"/>
      <c r="G1830" s="12"/>
      <c r="H1830" s="12"/>
      <c r="I1830" s="38"/>
      <c r="L1830" s="19"/>
      <c r="M1830" s="19"/>
      <c r="AS1830" s="28"/>
      <c r="AT1830" s="28"/>
      <c r="AU1830" s="28"/>
      <c r="AV1830" s="12"/>
      <c r="AW1830" s="29"/>
    </row>
    <row r="1831" spans="5:49">
      <c r="E1831" s="12"/>
      <c r="F1831" s="12"/>
      <c r="G1831" s="12"/>
      <c r="H1831" s="12"/>
      <c r="I1831" s="38"/>
      <c r="L1831" s="19"/>
      <c r="M1831" s="19"/>
      <c r="AS1831" s="28"/>
      <c r="AT1831" s="28"/>
      <c r="AU1831" s="28"/>
      <c r="AV1831" s="12"/>
      <c r="AW1831" s="29"/>
    </row>
    <row r="1832" spans="5:49">
      <c r="E1832" s="12"/>
      <c r="F1832" s="12"/>
      <c r="G1832" s="12"/>
      <c r="H1832" s="12"/>
      <c r="I1832" s="38"/>
      <c r="L1832" s="19"/>
      <c r="M1832" s="19"/>
      <c r="AS1832" s="28"/>
      <c r="AT1832" s="28"/>
      <c r="AU1832" s="28"/>
      <c r="AV1832" s="12"/>
      <c r="AW1832" s="29"/>
    </row>
    <row r="1833" spans="5:49">
      <c r="E1833" s="12"/>
      <c r="F1833" s="12"/>
      <c r="G1833" s="12"/>
      <c r="H1833" s="12"/>
      <c r="I1833" s="38"/>
      <c r="L1833" s="19"/>
      <c r="M1833" s="19"/>
      <c r="AS1833" s="28"/>
      <c r="AT1833" s="28"/>
      <c r="AU1833" s="28"/>
      <c r="AV1833" s="12"/>
      <c r="AW1833" s="29"/>
    </row>
    <row r="1834" spans="5:49">
      <c r="E1834" s="12"/>
      <c r="F1834" s="12"/>
      <c r="G1834" s="12"/>
      <c r="H1834" s="12"/>
      <c r="I1834" s="38"/>
      <c r="L1834" s="19"/>
      <c r="M1834" s="19"/>
      <c r="AS1834" s="28"/>
      <c r="AT1834" s="28"/>
      <c r="AU1834" s="28"/>
      <c r="AV1834" s="12"/>
      <c r="AW1834" s="29"/>
    </row>
    <row r="1835" spans="5:49">
      <c r="E1835" s="12"/>
      <c r="F1835" s="12"/>
      <c r="G1835" s="12"/>
      <c r="H1835" s="12"/>
      <c r="I1835" s="38"/>
      <c r="L1835" s="19"/>
      <c r="M1835" s="19"/>
      <c r="AS1835" s="28"/>
      <c r="AT1835" s="28"/>
      <c r="AU1835" s="28"/>
      <c r="AV1835" s="12"/>
      <c r="AW1835" s="29"/>
    </row>
    <row r="1836" spans="5:49">
      <c r="E1836" s="12"/>
      <c r="F1836" s="12"/>
      <c r="G1836" s="12"/>
      <c r="H1836" s="12"/>
      <c r="I1836" s="38"/>
      <c r="L1836" s="19"/>
      <c r="M1836" s="19"/>
      <c r="AS1836" s="28"/>
      <c r="AT1836" s="28"/>
      <c r="AU1836" s="28"/>
      <c r="AV1836" s="12"/>
      <c r="AW1836" s="29"/>
    </row>
    <row r="1837" spans="5:49">
      <c r="E1837" s="12"/>
      <c r="F1837" s="12"/>
      <c r="G1837" s="12"/>
      <c r="H1837" s="12"/>
      <c r="I1837" s="38"/>
      <c r="L1837" s="19"/>
      <c r="M1837" s="19"/>
      <c r="AS1837" s="28"/>
      <c r="AT1837" s="28"/>
      <c r="AU1837" s="28"/>
      <c r="AV1837" s="12"/>
      <c r="AW1837" s="29"/>
    </row>
    <row r="1838" spans="5:49">
      <c r="E1838" s="12"/>
      <c r="F1838" s="12"/>
      <c r="G1838" s="12"/>
      <c r="H1838" s="12"/>
      <c r="I1838" s="38"/>
      <c r="L1838" s="19"/>
      <c r="M1838" s="19"/>
      <c r="AS1838" s="28"/>
      <c r="AT1838" s="28"/>
      <c r="AU1838" s="28"/>
      <c r="AV1838" s="12"/>
      <c r="AW1838" s="29"/>
    </row>
    <row r="1839" spans="5:49">
      <c r="E1839" s="12"/>
      <c r="F1839" s="12"/>
      <c r="G1839" s="12"/>
      <c r="H1839" s="12"/>
      <c r="I1839" s="38"/>
      <c r="L1839" s="19"/>
      <c r="M1839" s="19"/>
      <c r="AS1839" s="28"/>
      <c r="AT1839" s="28"/>
      <c r="AU1839" s="28"/>
      <c r="AV1839" s="12"/>
      <c r="AW1839" s="29"/>
    </row>
    <row r="1840" spans="5:49">
      <c r="E1840" s="12"/>
      <c r="F1840" s="12"/>
      <c r="G1840" s="12"/>
      <c r="H1840" s="12"/>
      <c r="I1840" s="38"/>
      <c r="L1840" s="19"/>
      <c r="M1840" s="19"/>
      <c r="AS1840" s="28"/>
      <c r="AT1840" s="28"/>
      <c r="AU1840" s="28"/>
      <c r="AV1840" s="12"/>
      <c r="AW1840" s="29"/>
    </row>
    <row r="1841" spans="5:49">
      <c r="E1841" s="12"/>
      <c r="F1841" s="12"/>
      <c r="G1841" s="12"/>
      <c r="H1841" s="12"/>
      <c r="I1841" s="38"/>
      <c r="L1841" s="19"/>
      <c r="M1841" s="19"/>
      <c r="AS1841" s="28"/>
      <c r="AT1841" s="28"/>
      <c r="AU1841" s="28"/>
      <c r="AV1841" s="12"/>
      <c r="AW1841" s="29"/>
    </row>
    <row r="1842" spans="5:49">
      <c r="E1842" s="12"/>
      <c r="F1842" s="12"/>
      <c r="G1842" s="12"/>
      <c r="H1842" s="12"/>
      <c r="I1842" s="38"/>
      <c r="L1842" s="19"/>
      <c r="M1842" s="19"/>
      <c r="AS1842" s="28"/>
      <c r="AT1842" s="28"/>
      <c r="AU1842" s="28"/>
      <c r="AV1842" s="12"/>
      <c r="AW1842" s="29"/>
    </row>
    <row r="1843" spans="5:49">
      <c r="E1843" s="12"/>
      <c r="F1843" s="12"/>
      <c r="G1843" s="12"/>
      <c r="H1843" s="12"/>
      <c r="I1843" s="38"/>
      <c r="L1843" s="19"/>
      <c r="M1843" s="19"/>
      <c r="AS1843" s="28"/>
      <c r="AT1843" s="28"/>
      <c r="AU1843" s="28"/>
      <c r="AV1843" s="12"/>
      <c r="AW1843" s="29"/>
    </row>
    <row r="1844" spans="5:49">
      <c r="E1844" s="12"/>
      <c r="F1844" s="12"/>
      <c r="G1844" s="12"/>
      <c r="H1844" s="12"/>
      <c r="I1844" s="38"/>
      <c r="L1844" s="19"/>
      <c r="M1844" s="19"/>
      <c r="AS1844" s="28"/>
      <c r="AT1844" s="28"/>
      <c r="AU1844" s="28"/>
      <c r="AV1844" s="12"/>
      <c r="AW1844" s="29"/>
    </row>
    <row r="1845" spans="5:49">
      <c r="E1845" s="12"/>
      <c r="F1845" s="12"/>
      <c r="G1845" s="12"/>
      <c r="H1845" s="12"/>
      <c r="I1845" s="38"/>
      <c r="L1845" s="19"/>
      <c r="M1845" s="19"/>
      <c r="AS1845" s="28"/>
      <c r="AT1845" s="28"/>
      <c r="AU1845" s="28"/>
      <c r="AV1845" s="12"/>
      <c r="AW1845" s="29"/>
    </row>
    <row r="1846" spans="5:49">
      <c r="E1846" s="12"/>
      <c r="F1846" s="12"/>
      <c r="G1846" s="12"/>
      <c r="H1846" s="12"/>
      <c r="I1846" s="38"/>
      <c r="L1846" s="19"/>
      <c r="M1846" s="19"/>
      <c r="AS1846" s="28"/>
      <c r="AT1846" s="28"/>
      <c r="AU1846" s="28"/>
      <c r="AV1846" s="12"/>
      <c r="AW1846" s="29"/>
    </row>
    <row r="1847" spans="5:49">
      <c r="E1847" s="12"/>
      <c r="F1847" s="12"/>
      <c r="G1847" s="12"/>
      <c r="H1847" s="12"/>
      <c r="I1847" s="38"/>
      <c r="L1847" s="19"/>
      <c r="M1847" s="19"/>
      <c r="AS1847" s="28"/>
      <c r="AT1847" s="28"/>
      <c r="AU1847" s="28"/>
      <c r="AV1847" s="12"/>
      <c r="AW1847" s="29"/>
    </row>
    <row r="1848" spans="5:49">
      <c r="E1848" s="12"/>
      <c r="F1848" s="12"/>
      <c r="G1848" s="12"/>
      <c r="H1848" s="12"/>
      <c r="I1848" s="38"/>
      <c r="L1848" s="19"/>
      <c r="M1848" s="19"/>
      <c r="AS1848" s="28"/>
      <c r="AT1848" s="28"/>
      <c r="AU1848" s="28"/>
      <c r="AV1848" s="12"/>
      <c r="AW1848" s="29"/>
    </row>
    <row r="1849" spans="5:49">
      <c r="E1849" s="12"/>
      <c r="F1849" s="12"/>
      <c r="G1849" s="12"/>
      <c r="H1849" s="12"/>
      <c r="I1849" s="38"/>
      <c r="L1849" s="19"/>
      <c r="M1849" s="19"/>
      <c r="AS1849" s="28"/>
      <c r="AT1849" s="28"/>
      <c r="AU1849" s="28"/>
      <c r="AV1849" s="12"/>
      <c r="AW1849" s="29"/>
    </row>
    <row r="1850" spans="5:49">
      <c r="E1850" s="12"/>
      <c r="F1850" s="12"/>
      <c r="G1850" s="12"/>
      <c r="H1850" s="12"/>
      <c r="I1850" s="38"/>
      <c r="L1850" s="19"/>
      <c r="M1850" s="19"/>
      <c r="AS1850" s="28"/>
      <c r="AT1850" s="28"/>
      <c r="AU1850" s="28"/>
      <c r="AV1850" s="12"/>
      <c r="AW1850" s="29"/>
    </row>
    <row r="1851" spans="5:49">
      <c r="E1851" s="12"/>
      <c r="F1851" s="12"/>
      <c r="G1851" s="12"/>
      <c r="H1851" s="12"/>
      <c r="I1851" s="38"/>
      <c r="L1851" s="19"/>
      <c r="M1851" s="19"/>
      <c r="AS1851" s="28"/>
      <c r="AT1851" s="28"/>
      <c r="AU1851" s="28"/>
      <c r="AV1851" s="12"/>
      <c r="AW1851" s="29"/>
    </row>
    <row r="1852" spans="5:49">
      <c r="E1852" s="12"/>
      <c r="F1852" s="12"/>
      <c r="G1852" s="12"/>
      <c r="H1852" s="12"/>
      <c r="I1852" s="38"/>
      <c r="L1852" s="19"/>
      <c r="M1852" s="19"/>
      <c r="AS1852" s="28"/>
      <c r="AT1852" s="28"/>
      <c r="AU1852" s="28"/>
      <c r="AV1852" s="12"/>
      <c r="AW1852" s="29"/>
    </row>
    <row r="1853" spans="5:49">
      <c r="E1853" s="12"/>
      <c r="F1853" s="12"/>
      <c r="G1853" s="12"/>
      <c r="H1853" s="12"/>
      <c r="I1853" s="38"/>
      <c r="L1853" s="19"/>
      <c r="M1853" s="19"/>
      <c r="AS1853" s="28"/>
      <c r="AT1853" s="28"/>
      <c r="AU1853" s="28"/>
      <c r="AV1853" s="12"/>
      <c r="AW1853" s="29"/>
    </row>
    <row r="1854" spans="5:49">
      <c r="E1854" s="12"/>
      <c r="F1854" s="12"/>
      <c r="G1854" s="12"/>
      <c r="H1854" s="12"/>
      <c r="I1854" s="38"/>
      <c r="L1854" s="19"/>
      <c r="M1854" s="19"/>
      <c r="AS1854" s="28"/>
      <c r="AT1854" s="28"/>
      <c r="AU1854" s="28"/>
      <c r="AV1854" s="12"/>
      <c r="AW1854" s="29"/>
    </row>
    <row r="1855" spans="5:49">
      <c r="E1855" s="12"/>
      <c r="F1855" s="12"/>
      <c r="G1855" s="12"/>
      <c r="H1855" s="12"/>
      <c r="I1855" s="38"/>
      <c r="L1855" s="19"/>
      <c r="M1855" s="19"/>
      <c r="AS1855" s="28"/>
      <c r="AT1855" s="28"/>
      <c r="AU1855" s="28"/>
      <c r="AV1855" s="12"/>
      <c r="AW1855" s="29"/>
    </row>
    <row r="1856" spans="5:49">
      <c r="E1856" s="12"/>
      <c r="F1856" s="12"/>
      <c r="G1856" s="12"/>
      <c r="H1856" s="12"/>
      <c r="I1856" s="38"/>
      <c r="L1856" s="19"/>
      <c r="M1856" s="19"/>
      <c r="AS1856" s="28"/>
      <c r="AT1856" s="28"/>
      <c r="AU1856" s="28"/>
      <c r="AV1856" s="12"/>
      <c r="AW1856" s="29"/>
    </row>
    <row r="1857" spans="5:49">
      <c r="E1857" s="12"/>
      <c r="F1857" s="12"/>
      <c r="G1857" s="12"/>
      <c r="H1857" s="12"/>
      <c r="I1857" s="38"/>
      <c r="L1857" s="19"/>
      <c r="M1857" s="19"/>
      <c r="AS1857" s="28"/>
      <c r="AT1857" s="28"/>
      <c r="AU1857" s="28"/>
      <c r="AV1857" s="12"/>
      <c r="AW1857" s="29"/>
    </row>
    <row r="1858" spans="5:49">
      <c r="E1858" s="12"/>
      <c r="F1858" s="12"/>
      <c r="G1858" s="12"/>
      <c r="H1858" s="12"/>
      <c r="I1858" s="38"/>
      <c r="L1858" s="19"/>
      <c r="M1858" s="19"/>
      <c r="AS1858" s="28"/>
      <c r="AT1858" s="28"/>
      <c r="AU1858" s="28"/>
      <c r="AV1858" s="12"/>
      <c r="AW1858" s="29"/>
    </row>
    <row r="1859" spans="5:49">
      <c r="E1859" s="12"/>
      <c r="F1859" s="12"/>
      <c r="G1859" s="12"/>
      <c r="H1859" s="12"/>
      <c r="I1859" s="38"/>
      <c r="L1859" s="19"/>
      <c r="M1859" s="19"/>
      <c r="AS1859" s="28"/>
      <c r="AT1859" s="28"/>
      <c r="AU1859" s="28"/>
      <c r="AV1859" s="12"/>
      <c r="AW1859" s="29"/>
    </row>
    <row r="1860" spans="5:49">
      <c r="E1860" s="12"/>
      <c r="F1860" s="12"/>
      <c r="G1860" s="12"/>
      <c r="H1860" s="12"/>
      <c r="I1860" s="38"/>
      <c r="L1860" s="19"/>
      <c r="M1860" s="19"/>
      <c r="AS1860" s="28"/>
      <c r="AT1860" s="28"/>
      <c r="AU1860" s="28"/>
      <c r="AV1860" s="12"/>
      <c r="AW1860" s="29"/>
    </row>
    <row r="1861" spans="5:49">
      <c r="E1861" s="12"/>
      <c r="F1861" s="12"/>
      <c r="G1861" s="12"/>
      <c r="H1861" s="12"/>
      <c r="I1861" s="38"/>
      <c r="L1861" s="19"/>
      <c r="M1861" s="19"/>
      <c r="AS1861" s="28"/>
      <c r="AT1861" s="28"/>
      <c r="AU1861" s="28"/>
      <c r="AV1861" s="12"/>
      <c r="AW1861" s="29"/>
    </row>
    <row r="1862" spans="5:49">
      <c r="E1862" s="12"/>
      <c r="F1862" s="12"/>
      <c r="G1862" s="12"/>
      <c r="H1862" s="12"/>
      <c r="I1862" s="38"/>
      <c r="L1862" s="19"/>
      <c r="M1862" s="19"/>
      <c r="AS1862" s="28"/>
      <c r="AT1862" s="28"/>
      <c r="AU1862" s="28"/>
      <c r="AV1862" s="12"/>
      <c r="AW1862" s="29"/>
    </row>
    <row r="1863" spans="5:49">
      <c r="E1863" s="12"/>
      <c r="F1863" s="12"/>
      <c r="G1863" s="12"/>
      <c r="H1863" s="12"/>
      <c r="I1863" s="38"/>
      <c r="L1863" s="19"/>
      <c r="M1863" s="19"/>
      <c r="AS1863" s="28"/>
      <c r="AT1863" s="28"/>
      <c r="AU1863" s="28"/>
      <c r="AV1863" s="12"/>
      <c r="AW1863" s="29"/>
    </row>
    <row r="1864" spans="5:49">
      <c r="E1864" s="12"/>
      <c r="F1864" s="12"/>
      <c r="G1864" s="12"/>
      <c r="H1864" s="12"/>
      <c r="I1864" s="38"/>
      <c r="L1864" s="19"/>
      <c r="M1864" s="19"/>
      <c r="AS1864" s="28"/>
      <c r="AT1864" s="28"/>
      <c r="AU1864" s="28"/>
      <c r="AV1864" s="12"/>
      <c r="AW1864" s="29"/>
    </row>
    <row r="1865" spans="5:49">
      <c r="E1865" s="12"/>
      <c r="F1865" s="12"/>
      <c r="G1865" s="12"/>
      <c r="H1865" s="12"/>
      <c r="I1865" s="38"/>
      <c r="L1865" s="19"/>
      <c r="M1865" s="19"/>
      <c r="AS1865" s="28"/>
      <c r="AT1865" s="28"/>
      <c r="AU1865" s="28"/>
      <c r="AV1865" s="12"/>
      <c r="AW1865" s="29"/>
    </row>
    <row r="1866" spans="5:49">
      <c r="E1866" s="12"/>
      <c r="F1866" s="12"/>
      <c r="G1866" s="12"/>
      <c r="H1866" s="12"/>
      <c r="I1866" s="38"/>
      <c r="L1866" s="19"/>
      <c r="M1866" s="19"/>
      <c r="AS1866" s="28"/>
      <c r="AT1866" s="28"/>
      <c r="AU1866" s="28"/>
      <c r="AV1866" s="12"/>
      <c r="AW1866" s="29"/>
    </row>
    <row r="1867" spans="5:49">
      <c r="E1867" s="12"/>
      <c r="F1867" s="12"/>
      <c r="G1867" s="12"/>
      <c r="H1867" s="12"/>
      <c r="I1867" s="38"/>
      <c r="L1867" s="19"/>
      <c r="M1867" s="19"/>
      <c r="AS1867" s="28"/>
      <c r="AT1867" s="28"/>
      <c r="AU1867" s="28"/>
      <c r="AV1867" s="12"/>
      <c r="AW1867" s="29"/>
    </row>
    <row r="1868" spans="5:49">
      <c r="E1868" s="12"/>
      <c r="F1868" s="12"/>
      <c r="G1868" s="12"/>
      <c r="H1868" s="12"/>
      <c r="I1868" s="38"/>
      <c r="L1868" s="19"/>
      <c r="M1868" s="19"/>
      <c r="AS1868" s="28"/>
      <c r="AT1868" s="28"/>
      <c r="AU1868" s="28"/>
      <c r="AV1868" s="12"/>
      <c r="AW1868" s="29"/>
    </row>
    <row r="1869" spans="5:49">
      <c r="E1869" s="12"/>
      <c r="F1869" s="12"/>
      <c r="G1869" s="12"/>
      <c r="H1869" s="12"/>
      <c r="I1869" s="38"/>
      <c r="L1869" s="19"/>
      <c r="M1869" s="19"/>
      <c r="AS1869" s="28"/>
      <c r="AT1869" s="28"/>
      <c r="AU1869" s="28"/>
      <c r="AV1869" s="12"/>
      <c r="AW1869" s="29"/>
    </row>
    <row r="1870" spans="5:49">
      <c r="E1870" s="12"/>
      <c r="F1870" s="12"/>
      <c r="G1870" s="12"/>
      <c r="H1870" s="12"/>
      <c r="I1870" s="38"/>
      <c r="L1870" s="19"/>
      <c r="M1870" s="19"/>
      <c r="AS1870" s="28"/>
      <c r="AT1870" s="28"/>
      <c r="AU1870" s="28"/>
      <c r="AV1870" s="12"/>
      <c r="AW1870" s="29"/>
    </row>
    <row r="1871" spans="5:49">
      <c r="E1871" s="12"/>
      <c r="F1871" s="12"/>
      <c r="G1871" s="12"/>
      <c r="H1871" s="12"/>
      <c r="I1871" s="38"/>
      <c r="L1871" s="19"/>
      <c r="M1871" s="19"/>
      <c r="AS1871" s="28"/>
      <c r="AT1871" s="28"/>
      <c r="AU1871" s="28"/>
      <c r="AV1871" s="12"/>
      <c r="AW1871" s="29"/>
    </row>
    <row r="1872" spans="5:49">
      <c r="E1872" s="12"/>
      <c r="F1872" s="12"/>
      <c r="G1872" s="12"/>
      <c r="H1872" s="12"/>
      <c r="I1872" s="38"/>
      <c r="L1872" s="19"/>
      <c r="M1872" s="19"/>
      <c r="AS1872" s="28"/>
      <c r="AT1872" s="28"/>
      <c r="AU1872" s="28"/>
      <c r="AV1872" s="12"/>
      <c r="AW1872" s="29"/>
    </row>
    <row r="1873" spans="5:49">
      <c r="E1873" s="12"/>
      <c r="F1873" s="12"/>
      <c r="G1873" s="12"/>
      <c r="H1873" s="12"/>
      <c r="I1873" s="38"/>
      <c r="L1873" s="19"/>
      <c r="M1873" s="19"/>
      <c r="AS1873" s="28"/>
      <c r="AT1873" s="28"/>
      <c r="AU1873" s="28"/>
      <c r="AV1873" s="12"/>
      <c r="AW1873" s="29"/>
    </row>
    <row r="1874" spans="5:49">
      <c r="E1874" s="12"/>
      <c r="F1874" s="12"/>
      <c r="G1874" s="12"/>
      <c r="H1874" s="12"/>
      <c r="I1874" s="38"/>
      <c r="L1874" s="19"/>
      <c r="M1874" s="19"/>
      <c r="AS1874" s="28"/>
      <c r="AT1874" s="28"/>
      <c r="AU1874" s="28"/>
      <c r="AV1874" s="12"/>
      <c r="AW1874" s="29"/>
    </row>
    <row r="1875" spans="5:49">
      <c r="E1875" s="12"/>
      <c r="F1875" s="12"/>
      <c r="G1875" s="12"/>
      <c r="H1875" s="12"/>
      <c r="I1875" s="38"/>
      <c r="L1875" s="19"/>
      <c r="M1875" s="19"/>
      <c r="AS1875" s="28"/>
      <c r="AT1875" s="28"/>
      <c r="AU1875" s="28"/>
      <c r="AV1875" s="12"/>
      <c r="AW1875" s="29"/>
    </row>
    <row r="1876" spans="5:49">
      <c r="E1876" s="12"/>
      <c r="F1876" s="12"/>
      <c r="G1876" s="12"/>
      <c r="H1876" s="12"/>
      <c r="I1876" s="38"/>
      <c r="L1876" s="19"/>
      <c r="M1876" s="19"/>
      <c r="AS1876" s="28"/>
      <c r="AT1876" s="28"/>
      <c r="AU1876" s="28"/>
      <c r="AV1876" s="12"/>
      <c r="AW1876" s="29"/>
    </row>
    <row r="1877" spans="5:49">
      <c r="E1877" s="12"/>
      <c r="F1877" s="12"/>
      <c r="G1877" s="12"/>
      <c r="H1877" s="12"/>
      <c r="I1877" s="38"/>
      <c r="L1877" s="19"/>
      <c r="M1877" s="19"/>
      <c r="AS1877" s="28"/>
      <c r="AT1877" s="28"/>
      <c r="AU1877" s="28"/>
      <c r="AV1877" s="12"/>
      <c r="AW1877" s="29"/>
    </row>
    <row r="1878" spans="5:49">
      <c r="E1878" s="12"/>
      <c r="F1878" s="12"/>
      <c r="G1878" s="12"/>
      <c r="H1878" s="12"/>
      <c r="I1878" s="38"/>
      <c r="L1878" s="19"/>
      <c r="M1878" s="19"/>
      <c r="AS1878" s="28"/>
      <c r="AT1878" s="28"/>
      <c r="AU1878" s="28"/>
      <c r="AV1878" s="12"/>
      <c r="AW1878" s="29"/>
    </row>
    <row r="1879" spans="5:49">
      <c r="E1879" s="12"/>
      <c r="F1879" s="12"/>
      <c r="G1879" s="12"/>
      <c r="H1879" s="12"/>
      <c r="I1879" s="38"/>
      <c r="L1879" s="19"/>
      <c r="M1879" s="19"/>
      <c r="AS1879" s="28"/>
      <c r="AT1879" s="28"/>
      <c r="AU1879" s="28"/>
      <c r="AV1879" s="12"/>
      <c r="AW1879" s="29"/>
    </row>
    <row r="1880" spans="5:49">
      <c r="E1880" s="12"/>
      <c r="F1880" s="12"/>
      <c r="G1880" s="12"/>
      <c r="H1880" s="12"/>
      <c r="I1880" s="38"/>
      <c r="L1880" s="19"/>
      <c r="M1880" s="19"/>
      <c r="AS1880" s="28"/>
      <c r="AT1880" s="28"/>
      <c r="AU1880" s="28"/>
      <c r="AV1880" s="12"/>
      <c r="AW1880" s="29"/>
    </row>
    <row r="1881" spans="5:49">
      <c r="E1881" s="12"/>
      <c r="F1881" s="12"/>
      <c r="G1881" s="12"/>
      <c r="H1881" s="12"/>
      <c r="I1881" s="38"/>
      <c r="L1881" s="19"/>
      <c r="M1881" s="19"/>
      <c r="AS1881" s="28"/>
      <c r="AT1881" s="28"/>
      <c r="AU1881" s="28"/>
      <c r="AV1881" s="12"/>
      <c r="AW1881" s="29"/>
    </row>
    <row r="1882" spans="5:49">
      <c r="E1882" s="12"/>
      <c r="F1882" s="12"/>
      <c r="G1882" s="12"/>
      <c r="H1882" s="12"/>
      <c r="I1882" s="38"/>
      <c r="L1882" s="19"/>
      <c r="M1882" s="19"/>
      <c r="AS1882" s="28"/>
      <c r="AT1882" s="28"/>
      <c r="AU1882" s="28"/>
      <c r="AV1882" s="12"/>
      <c r="AW1882" s="29"/>
    </row>
    <row r="1883" spans="5:49">
      <c r="E1883" s="12"/>
      <c r="F1883" s="12"/>
      <c r="G1883" s="12"/>
      <c r="H1883" s="12"/>
      <c r="I1883" s="38"/>
      <c r="L1883" s="19"/>
      <c r="M1883" s="19"/>
      <c r="AS1883" s="28"/>
      <c r="AT1883" s="28"/>
      <c r="AU1883" s="28"/>
      <c r="AV1883" s="12"/>
      <c r="AW1883" s="29"/>
    </row>
    <row r="1884" spans="5:49">
      <c r="E1884" s="12"/>
      <c r="F1884" s="12"/>
      <c r="G1884" s="12"/>
      <c r="H1884" s="12"/>
      <c r="I1884" s="38"/>
      <c r="L1884" s="19"/>
      <c r="M1884" s="19"/>
      <c r="AS1884" s="28"/>
      <c r="AT1884" s="28"/>
      <c r="AU1884" s="28"/>
      <c r="AV1884" s="12"/>
      <c r="AW1884" s="29"/>
    </row>
    <row r="1885" spans="5:49">
      <c r="E1885" s="12"/>
      <c r="F1885" s="12"/>
      <c r="G1885" s="12"/>
      <c r="H1885" s="12"/>
      <c r="I1885" s="38"/>
      <c r="L1885" s="19"/>
      <c r="M1885" s="19"/>
      <c r="AS1885" s="28"/>
      <c r="AT1885" s="28"/>
      <c r="AU1885" s="28"/>
      <c r="AV1885" s="12"/>
      <c r="AW1885" s="29"/>
    </row>
    <row r="1886" spans="5:49">
      <c r="E1886" s="12"/>
      <c r="F1886" s="12"/>
      <c r="G1886" s="12"/>
      <c r="H1886" s="12"/>
      <c r="I1886" s="38"/>
      <c r="L1886" s="19"/>
      <c r="M1886" s="19"/>
      <c r="AS1886" s="28"/>
      <c r="AT1886" s="28"/>
      <c r="AU1886" s="28"/>
      <c r="AV1886" s="12"/>
      <c r="AW1886" s="29"/>
    </row>
    <row r="1887" spans="5:49">
      <c r="E1887" s="12"/>
      <c r="F1887" s="12"/>
      <c r="G1887" s="12"/>
      <c r="H1887" s="12"/>
      <c r="I1887" s="38"/>
      <c r="L1887" s="19"/>
      <c r="M1887" s="19"/>
      <c r="AS1887" s="28"/>
      <c r="AT1887" s="28"/>
      <c r="AU1887" s="28"/>
      <c r="AV1887" s="12"/>
      <c r="AW1887" s="29"/>
    </row>
    <row r="1888" spans="5:49">
      <c r="E1888" s="12"/>
      <c r="F1888" s="12"/>
      <c r="G1888" s="12"/>
      <c r="H1888" s="12"/>
      <c r="I1888" s="38"/>
      <c r="L1888" s="19"/>
      <c r="M1888" s="19"/>
      <c r="AS1888" s="28"/>
      <c r="AT1888" s="28"/>
      <c r="AU1888" s="28"/>
      <c r="AV1888" s="12"/>
      <c r="AW1888" s="29"/>
    </row>
    <row r="1889" spans="5:49">
      <c r="E1889" s="12"/>
      <c r="F1889" s="12"/>
      <c r="G1889" s="12"/>
      <c r="H1889" s="12"/>
      <c r="I1889" s="38"/>
      <c r="L1889" s="19"/>
      <c r="M1889" s="19"/>
      <c r="AS1889" s="28"/>
      <c r="AT1889" s="28"/>
      <c r="AU1889" s="28"/>
      <c r="AV1889" s="12"/>
      <c r="AW1889" s="29"/>
    </row>
    <row r="1890" spans="5:49">
      <c r="E1890" s="12"/>
      <c r="F1890" s="12"/>
      <c r="G1890" s="12"/>
      <c r="H1890" s="12"/>
      <c r="I1890" s="38"/>
      <c r="L1890" s="19"/>
      <c r="M1890" s="19"/>
      <c r="AS1890" s="28"/>
      <c r="AT1890" s="28"/>
      <c r="AU1890" s="28"/>
      <c r="AV1890" s="12"/>
      <c r="AW1890" s="29"/>
    </row>
    <row r="1891" spans="5:49">
      <c r="E1891" s="12"/>
      <c r="F1891" s="12"/>
      <c r="G1891" s="12"/>
      <c r="H1891" s="12"/>
      <c r="I1891" s="38"/>
      <c r="L1891" s="19"/>
      <c r="M1891" s="19"/>
      <c r="AS1891" s="28"/>
      <c r="AT1891" s="28"/>
      <c r="AU1891" s="28"/>
      <c r="AV1891" s="12"/>
      <c r="AW1891" s="29"/>
    </row>
    <row r="1892" spans="5:49">
      <c r="E1892" s="12"/>
      <c r="F1892" s="12"/>
      <c r="G1892" s="12"/>
      <c r="H1892" s="12"/>
      <c r="I1892" s="38"/>
      <c r="L1892" s="19"/>
      <c r="M1892" s="19"/>
      <c r="AS1892" s="28"/>
      <c r="AT1892" s="28"/>
      <c r="AU1892" s="28"/>
      <c r="AV1892" s="12"/>
      <c r="AW1892" s="29"/>
    </row>
    <row r="1893" spans="5:49">
      <c r="E1893" s="12"/>
      <c r="F1893" s="12"/>
      <c r="G1893" s="12"/>
      <c r="H1893" s="12"/>
      <c r="I1893" s="38"/>
      <c r="L1893" s="19"/>
      <c r="M1893" s="19"/>
      <c r="AS1893" s="28"/>
      <c r="AT1893" s="28"/>
      <c r="AU1893" s="28"/>
      <c r="AV1893" s="12"/>
      <c r="AW1893" s="29"/>
    </row>
    <row r="1894" spans="5:49">
      <c r="E1894" s="12"/>
      <c r="F1894" s="12"/>
      <c r="G1894" s="12"/>
      <c r="H1894" s="12"/>
      <c r="I1894" s="38"/>
      <c r="L1894" s="19"/>
      <c r="M1894" s="19"/>
      <c r="AS1894" s="28"/>
      <c r="AT1894" s="28"/>
      <c r="AU1894" s="28"/>
      <c r="AV1894" s="12"/>
      <c r="AW1894" s="29"/>
    </row>
    <row r="1895" spans="5:49">
      <c r="E1895" s="12"/>
      <c r="F1895" s="12"/>
      <c r="G1895" s="12"/>
      <c r="H1895" s="12"/>
      <c r="I1895" s="38"/>
      <c r="L1895" s="19"/>
      <c r="M1895" s="19"/>
      <c r="AS1895" s="28"/>
      <c r="AT1895" s="28"/>
      <c r="AU1895" s="28"/>
      <c r="AV1895" s="12"/>
      <c r="AW1895" s="29"/>
    </row>
    <row r="1896" spans="5:49">
      <c r="E1896" s="12"/>
      <c r="F1896" s="12"/>
      <c r="G1896" s="12"/>
      <c r="H1896" s="12"/>
      <c r="I1896" s="38"/>
      <c r="L1896" s="19"/>
      <c r="M1896" s="19"/>
      <c r="AS1896" s="28"/>
      <c r="AT1896" s="28"/>
      <c r="AU1896" s="28"/>
      <c r="AV1896" s="12"/>
      <c r="AW1896" s="29"/>
    </row>
    <row r="1897" spans="5:49">
      <c r="E1897" s="12"/>
      <c r="F1897" s="12"/>
      <c r="G1897" s="12"/>
      <c r="H1897" s="12"/>
      <c r="I1897" s="38"/>
      <c r="L1897" s="19"/>
      <c r="M1897" s="19"/>
      <c r="AS1897" s="28"/>
      <c r="AT1897" s="28"/>
      <c r="AU1897" s="28"/>
      <c r="AV1897" s="12"/>
      <c r="AW1897" s="29"/>
    </row>
    <row r="1898" spans="5:49">
      <c r="E1898" s="12"/>
      <c r="F1898" s="12"/>
      <c r="G1898" s="12"/>
      <c r="H1898" s="12"/>
      <c r="I1898" s="38"/>
      <c r="L1898" s="19"/>
      <c r="M1898" s="19"/>
      <c r="AS1898" s="28"/>
      <c r="AT1898" s="28"/>
      <c r="AU1898" s="28"/>
      <c r="AV1898" s="12"/>
      <c r="AW1898" s="29"/>
    </row>
    <row r="1899" spans="5:49">
      <c r="E1899" s="12"/>
      <c r="F1899" s="12"/>
      <c r="G1899" s="12"/>
      <c r="H1899" s="12"/>
      <c r="I1899" s="38"/>
      <c r="L1899" s="19"/>
      <c r="M1899" s="19"/>
      <c r="AS1899" s="28"/>
      <c r="AT1899" s="28"/>
      <c r="AU1899" s="28"/>
      <c r="AV1899" s="12"/>
      <c r="AW1899" s="29"/>
    </row>
    <row r="1900" spans="5:49">
      <c r="E1900" s="12"/>
      <c r="F1900" s="12"/>
      <c r="G1900" s="12"/>
      <c r="H1900" s="12"/>
      <c r="I1900" s="38"/>
      <c r="L1900" s="19"/>
      <c r="M1900" s="19"/>
      <c r="AS1900" s="28"/>
      <c r="AT1900" s="28"/>
      <c r="AU1900" s="28"/>
      <c r="AV1900" s="12"/>
      <c r="AW1900" s="29"/>
    </row>
    <row r="1901" spans="5:49">
      <c r="E1901" s="12"/>
      <c r="F1901" s="12"/>
      <c r="G1901" s="12"/>
      <c r="H1901" s="12"/>
      <c r="I1901" s="38"/>
      <c r="L1901" s="19"/>
      <c r="M1901" s="19"/>
      <c r="AS1901" s="28"/>
      <c r="AT1901" s="28"/>
      <c r="AU1901" s="28"/>
      <c r="AV1901" s="12"/>
      <c r="AW1901" s="29"/>
    </row>
    <row r="1902" spans="5:49">
      <c r="E1902" s="12"/>
      <c r="F1902" s="12"/>
      <c r="G1902" s="12"/>
      <c r="H1902" s="12"/>
      <c r="I1902" s="38"/>
      <c r="L1902" s="19"/>
      <c r="M1902" s="19"/>
      <c r="AS1902" s="28"/>
      <c r="AT1902" s="28"/>
      <c r="AU1902" s="28"/>
      <c r="AV1902" s="12"/>
      <c r="AW1902" s="29"/>
    </row>
    <row r="1903" spans="5:49">
      <c r="E1903" s="12"/>
      <c r="F1903" s="12"/>
      <c r="G1903" s="12"/>
      <c r="H1903" s="12"/>
      <c r="I1903" s="38"/>
      <c r="L1903" s="19"/>
      <c r="M1903" s="19"/>
      <c r="AS1903" s="28"/>
      <c r="AT1903" s="28"/>
      <c r="AU1903" s="28"/>
      <c r="AV1903" s="12"/>
      <c r="AW1903" s="29"/>
    </row>
    <row r="1904" spans="5:49">
      <c r="E1904" s="12"/>
      <c r="F1904" s="12"/>
      <c r="G1904" s="12"/>
      <c r="H1904" s="12"/>
      <c r="I1904" s="38"/>
      <c r="L1904" s="19"/>
      <c r="M1904" s="19"/>
      <c r="AS1904" s="28"/>
      <c r="AT1904" s="28"/>
      <c r="AU1904" s="28"/>
      <c r="AV1904" s="12"/>
      <c r="AW1904" s="29"/>
    </row>
    <row r="1905" spans="5:49">
      <c r="E1905" s="12"/>
      <c r="F1905" s="12"/>
      <c r="G1905" s="12"/>
      <c r="H1905" s="12"/>
      <c r="I1905" s="38"/>
      <c r="L1905" s="19"/>
      <c r="M1905" s="19"/>
      <c r="AS1905" s="28"/>
      <c r="AT1905" s="28"/>
      <c r="AU1905" s="28"/>
      <c r="AV1905" s="12"/>
      <c r="AW1905" s="29"/>
    </row>
    <row r="1906" spans="5:49">
      <c r="E1906" s="12"/>
      <c r="F1906" s="12"/>
      <c r="G1906" s="12"/>
      <c r="H1906" s="12"/>
      <c r="I1906" s="38"/>
      <c r="L1906" s="19"/>
      <c r="M1906" s="19"/>
      <c r="AS1906" s="28"/>
      <c r="AT1906" s="28"/>
      <c r="AU1906" s="28"/>
      <c r="AV1906" s="12"/>
      <c r="AW1906" s="29"/>
    </row>
    <row r="1907" spans="5:49">
      <c r="E1907" s="12"/>
      <c r="F1907" s="12"/>
      <c r="G1907" s="12"/>
      <c r="H1907" s="12"/>
      <c r="I1907" s="38"/>
      <c r="L1907" s="19"/>
      <c r="M1907" s="19"/>
      <c r="AS1907" s="28"/>
      <c r="AT1907" s="28"/>
      <c r="AU1907" s="28"/>
      <c r="AV1907" s="12"/>
      <c r="AW1907" s="29"/>
    </row>
    <row r="1908" spans="5:49">
      <c r="E1908" s="12"/>
      <c r="F1908" s="12"/>
      <c r="G1908" s="12"/>
      <c r="H1908" s="12"/>
      <c r="I1908" s="38"/>
      <c r="L1908" s="19"/>
      <c r="M1908" s="19"/>
      <c r="AS1908" s="28"/>
      <c r="AT1908" s="28"/>
      <c r="AU1908" s="28"/>
      <c r="AV1908" s="12"/>
      <c r="AW1908" s="29"/>
    </row>
    <row r="1909" spans="5:49">
      <c r="E1909" s="12"/>
      <c r="F1909" s="12"/>
      <c r="G1909" s="12"/>
      <c r="H1909" s="12"/>
      <c r="I1909" s="38"/>
      <c r="L1909" s="19"/>
      <c r="M1909" s="19"/>
      <c r="AS1909" s="28"/>
      <c r="AT1909" s="28"/>
      <c r="AU1909" s="28"/>
      <c r="AV1909" s="12"/>
      <c r="AW1909" s="29"/>
    </row>
    <row r="1910" spans="5:49">
      <c r="E1910" s="12"/>
      <c r="F1910" s="12"/>
      <c r="G1910" s="12"/>
      <c r="H1910" s="12"/>
      <c r="I1910" s="38"/>
      <c r="L1910" s="19"/>
      <c r="M1910" s="19"/>
      <c r="AS1910" s="28"/>
      <c r="AT1910" s="28"/>
      <c r="AU1910" s="28"/>
      <c r="AV1910" s="12"/>
      <c r="AW1910" s="29"/>
    </row>
    <row r="1911" spans="5:49">
      <c r="E1911" s="12"/>
      <c r="F1911" s="12"/>
      <c r="G1911" s="12"/>
      <c r="H1911" s="12"/>
      <c r="I1911" s="38"/>
      <c r="L1911" s="19"/>
      <c r="M1911" s="19"/>
      <c r="AS1911" s="28"/>
      <c r="AT1911" s="28"/>
      <c r="AU1911" s="28"/>
      <c r="AV1911" s="12"/>
      <c r="AW1911" s="29"/>
    </row>
    <row r="1912" spans="5:49">
      <c r="E1912" s="12"/>
      <c r="F1912" s="12"/>
      <c r="G1912" s="12"/>
      <c r="H1912" s="12"/>
      <c r="I1912" s="38"/>
      <c r="L1912" s="19"/>
      <c r="M1912" s="19"/>
      <c r="AS1912" s="28"/>
      <c r="AT1912" s="28"/>
      <c r="AU1912" s="28"/>
      <c r="AV1912" s="12"/>
      <c r="AW1912" s="29"/>
    </row>
    <row r="1913" spans="5:49">
      <c r="E1913" s="12"/>
      <c r="F1913" s="12"/>
      <c r="G1913" s="12"/>
      <c r="H1913" s="12"/>
      <c r="I1913" s="38"/>
      <c r="L1913" s="19"/>
      <c r="M1913" s="19"/>
      <c r="AS1913" s="28"/>
      <c r="AT1913" s="28"/>
      <c r="AU1913" s="28"/>
      <c r="AV1913" s="12"/>
      <c r="AW1913" s="29"/>
    </row>
    <row r="1914" spans="5:49">
      <c r="E1914" s="12"/>
      <c r="F1914" s="12"/>
      <c r="G1914" s="12"/>
      <c r="H1914" s="12"/>
      <c r="I1914" s="38"/>
      <c r="L1914" s="19"/>
      <c r="M1914" s="19"/>
      <c r="AS1914" s="28"/>
      <c r="AT1914" s="28"/>
      <c r="AU1914" s="28"/>
      <c r="AV1914" s="12"/>
      <c r="AW1914" s="29"/>
    </row>
    <row r="1915" spans="5:49">
      <c r="E1915" s="12"/>
      <c r="F1915" s="12"/>
      <c r="G1915" s="12"/>
      <c r="H1915" s="12"/>
      <c r="I1915" s="38"/>
      <c r="L1915" s="19"/>
      <c r="M1915" s="19"/>
      <c r="AS1915" s="28"/>
      <c r="AT1915" s="28"/>
      <c r="AU1915" s="28"/>
      <c r="AV1915" s="12"/>
      <c r="AW1915" s="29"/>
    </row>
    <row r="1916" spans="5:49">
      <c r="E1916" s="12"/>
      <c r="F1916" s="12"/>
      <c r="G1916" s="12"/>
      <c r="H1916" s="12"/>
      <c r="I1916" s="38"/>
      <c r="L1916" s="19"/>
      <c r="M1916" s="19"/>
      <c r="AS1916" s="28"/>
      <c r="AT1916" s="28"/>
      <c r="AU1916" s="28"/>
      <c r="AV1916" s="12"/>
      <c r="AW1916" s="29"/>
    </row>
    <row r="1917" spans="5:49">
      <c r="E1917" s="12"/>
      <c r="F1917" s="12"/>
      <c r="G1917" s="12"/>
      <c r="H1917" s="12"/>
      <c r="I1917" s="38"/>
      <c r="L1917" s="19"/>
      <c r="M1917" s="19"/>
      <c r="AS1917" s="28"/>
      <c r="AT1917" s="28"/>
      <c r="AU1917" s="28"/>
      <c r="AV1917" s="12"/>
      <c r="AW1917" s="29"/>
    </row>
    <row r="1918" spans="5:49">
      <c r="E1918" s="12"/>
      <c r="F1918" s="12"/>
      <c r="G1918" s="12"/>
      <c r="H1918" s="12"/>
      <c r="I1918" s="38"/>
      <c r="L1918" s="19"/>
      <c r="M1918" s="19"/>
      <c r="AS1918" s="28"/>
      <c r="AT1918" s="28"/>
      <c r="AU1918" s="28"/>
      <c r="AV1918" s="12"/>
      <c r="AW1918" s="29"/>
    </row>
    <row r="1919" spans="5:49">
      <c r="E1919" s="12"/>
      <c r="F1919" s="12"/>
      <c r="G1919" s="12"/>
      <c r="H1919" s="12"/>
      <c r="I1919" s="38"/>
      <c r="L1919" s="19"/>
      <c r="M1919" s="19"/>
      <c r="AS1919" s="28"/>
      <c r="AT1919" s="28"/>
      <c r="AU1919" s="28"/>
      <c r="AV1919" s="12"/>
      <c r="AW1919" s="29"/>
    </row>
    <row r="1920" spans="5:49">
      <c r="E1920" s="12"/>
      <c r="F1920" s="12"/>
      <c r="G1920" s="12"/>
      <c r="H1920" s="12"/>
      <c r="I1920" s="38"/>
      <c r="L1920" s="19"/>
      <c r="M1920" s="19"/>
      <c r="AS1920" s="28"/>
      <c r="AT1920" s="28"/>
      <c r="AU1920" s="28"/>
      <c r="AV1920" s="12"/>
      <c r="AW1920" s="29"/>
    </row>
    <row r="1921" spans="5:49">
      <c r="E1921" s="12"/>
      <c r="F1921" s="12"/>
      <c r="G1921" s="12"/>
      <c r="H1921" s="12"/>
      <c r="I1921" s="38"/>
      <c r="L1921" s="19"/>
      <c r="M1921" s="19"/>
      <c r="AS1921" s="28"/>
      <c r="AT1921" s="28"/>
      <c r="AU1921" s="28"/>
      <c r="AV1921" s="12"/>
      <c r="AW1921" s="29"/>
    </row>
    <row r="1922" spans="5:49">
      <c r="E1922" s="12"/>
      <c r="F1922" s="12"/>
      <c r="G1922" s="12"/>
      <c r="H1922" s="12"/>
      <c r="I1922" s="38"/>
      <c r="L1922" s="19"/>
      <c r="M1922" s="19"/>
      <c r="AS1922" s="28"/>
      <c r="AT1922" s="28"/>
      <c r="AU1922" s="28"/>
      <c r="AV1922" s="12"/>
      <c r="AW1922" s="29"/>
    </row>
    <row r="1923" spans="5:49">
      <c r="E1923" s="12"/>
      <c r="F1923" s="12"/>
      <c r="G1923" s="12"/>
      <c r="H1923" s="12"/>
      <c r="I1923" s="38"/>
      <c r="L1923" s="19"/>
      <c r="M1923" s="19"/>
      <c r="AS1923" s="28"/>
      <c r="AT1923" s="28"/>
      <c r="AU1923" s="28"/>
      <c r="AV1923" s="12"/>
      <c r="AW1923" s="29"/>
    </row>
    <row r="1924" spans="5:49">
      <c r="E1924" s="12"/>
      <c r="F1924" s="12"/>
      <c r="G1924" s="12"/>
      <c r="H1924" s="12"/>
      <c r="I1924" s="38"/>
      <c r="L1924" s="19"/>
      <c r="M1924" s="19"/>
      <c r="AS1924" s="28"/>
      <c r="AT1924" s="28"/>
      <c r="AU1924" s="28"/>
      <c r="AV1924" s="12"/>
      <c r="AW1924" s="29"/>
    </row>
    <row r="1925" spans="5:49">
      <c r="E1925" s="12"/>
      <c r="F1925" s="12"/>
      <c r="G1925" s="12"/>
      <c r="H1925" s="12"/>
      <c r="I1925" s="38"/>
      <c r="L1925" s="19"/>
      <c r="M1925" s="19"/>
      <c r="AS1925" s="28"/>
      <c r="AT1925" s="28"/>
      <c r="AU1925" s="28"/>
      <c r="AV1925" s="12"/>
      <c r="AW1925" s="29"/>
    </row>
    <row r="1926" spans="5:49">
      <c r="E1926" s="12"/>
      <c r="F1926" s="12"/>
      <c r="G1926" s="12"/>
      <c r="H1926" s="12"/>
      <c r="I1926" s="38"/>
      <c r="L1926" s="19"/>
      <c r="M1926" s="19"/>
      <c r="AS1926" s="28"/>
      <c r="AT1926" s="28"/>
      <c r="AU1926" s="28"/>
      <c r="AV1926" s="12"/>
      <c r="AW1926" s="29"/>
    </row>
    <row r="1927" spans="5:49">
      <c r="E1927" s="12"/>
      <c r="F1927" s="12"/>
      <c r="G1927" s="12"/>
      <c r="H1927" s="12"/>
      <c r="I1927" s="38"/>
      <c r="L1927" s="19"/>
      <c r="M1927" s="19"/>
      <c r="AS1927" s="28"/>
      <c r="AT1927" s="28"/>
      <c r="AU1927" s="28"/>
      <c r="AV1927" s="12"/>
      <c r="AW1927" s="29"/>
    </row>
    <row r="1928" spans="5:49">
      <c r="E1928" s="12"/>
      <c r="F1928" s="12"/>
      <c r="G1928" s="12"/>
      <c r="H1928" s="12"/>
      <c r="I1928" s="38"/>
      <c r="L1928" s="19"/>
      <c r="M1928" s="19"/>
      <c r="AS1928" s="28"/>
      <c r="AT1928" s="28"/>
      <c r="AU1928" s="28"/>
      <c r="AV1928" s="12"/>
      <c r="AW1928" s="29"/>
    </row>
    <row r="1929" spans="5:49">
      <c r="E1929" s="12"/>
      <c r="F1929" s="12"/>
      <c r="G1929" s="12"/>
      <c r="H1929" s="12"/>
      <c r="I1929" s="38"/>
      <c r="L1929" s="19"/>
      <c r="M1929" s="19"/>
      <c r="AS1929" s="28"/>
      <c r="AT1929" s="28"/>
      <c r="AU1929" s="28"/>
      <c r="AV1929" s="12"/>
      <c r="AW1929" s="29"/>
    </row>
    <row r="1930" spans="5:49">
      <c r="E1930" s="12"/>
      <c r="F1930" s="12"/>
      <c r="G1930" s="12"/>
      <c r="H1930" s="12"/>
      <c r="I1930" s="38"/>
      <c r="L1930" s="19"/>
      <c r="M1930" s="19"/>
      <c r="AS1930" s="28"/>
      <c r="AT1930" s="28"/>
      <c r="AU1930" s="28"/>
      <c r="AV1930" s="12"/>
      <c r="AW1930" s="29"/>
    </row>
    <row r="1931" spans="5:49">
      <c r="E1931" s="12"/>
      <c r="F1931" s="12"/>
      <c r="G1931" s="12"/>
      <c r="H1931" s="12"/>
      <c r="I1931" s="38"/>
      <c r="L1931" s="19"/>
      <c r="M1931" s="19"/>
      <c r="AS1931" s="28"/>
      <c r="AT1931" s="28"/>
      <c r="AU1931" s="28"/>
      <c r="AV1931" s="12"/>
      <c r="AW1931" s="29"/>
    </row>
    <row r="1932" spans="5:49">
      <c r="E1932" s="12"/>
      <c r="F1932" s="12"/>
      <c r="G1932" s="12"/>
      <c r="H1932" s="12"/>
      <c r="I1932" s="38"/>
      <c r="L1932" s="19"/>
      <c r="M1932" s="19"/>
      <c r="AS1932" s="28"/>
      <c r="AT1932" s="28"/>
      <c r="AU1932" s="28"/>
      <c r="AV1932" s="12"/>
      <c r="AW1932" s="29"/>
    </row>
    <row r="1933" spans="5:49">
      <c r="E1933" s="12"/>
      <c r="F1933" s="12"/>
      <c r="G1933" s="12"/>
      <c r="H1933" s="12"/>
      <c r="I1933" s="38"/>
      <c r="L1933" s="19"/>
      <c r="M1933" s="19"/>
      <c r="AS1933" s="28"/>
      <c r="AT1933" s="28"/>
      <c r="AU1933" s="28"/>
      <c r="AV1933" s="12"/>
      <c r="AW1933" s="29"/>
    </row>
    <row r="1934" spans="5:49">
      <c r="E1934" s="12"/>
      <c r="F1934" s="12"/>
      <c r="G1934" s="12"/>
      <c r="H1934" s="12"/>
      <c r="I1934" s="38"/>
      <c r="L1934" s="19"/>
      <c r="M1934" s="19"/>
      <c r="AS1934" s="28"/>
      <c r="AT1934" s="28"/>
      <c r="AU1934" s="28"/>
      <c r="AV1934" s="12"/>
      <c r="AW1934" s="29"/>
    </row>
    <row r="1935" spans="5:49">
      <c r="E1935" s="12"/>
      <c r="F1935" s="12"/>
      <c r="G1935" s="12"/>
      <c r="H1935" s="12"/>
      <c r="I1935" s="38"/>
      <c r="L1935" s="19"/>
      <c r="M1935" s="19"/>
      <c r="AS1935" s="28"/>
      <c r="AT1935" s="28"/>
      <c r="AU1935" s="28"/>
      <c r="AV1935" s="12"/>
      <c r="AW1935" s="29"/>
    </row>
    <row r="1936" spans="5:49">
      <c r="E1936" s="12"/>
      <c r="F1936" s="12"/>
      <c r="G1936" s="12"/>
      <c r="H1936" s="12"/>
      <c r="I1936" s="38"/>
      <c r="L1936" s="19"/>
      <c r="M1936" s="19"/>
      <c r="AS1936" s="28"/>
      <c r="AT1936" s="28"/>
      <c r="AU1936" s="28"/>
      <c r="AV1936" s="12"/>
      <c r="AW1936" s="29"/>
    </row>
    <row r="1937" spans="5:49">
      <c r="E1937" s="12"/>
      <c r="F1937" s="12"/>
      <c r="G1937" s="12"/>
      <c r="H1937" s="12"/>
      <c r="I1937" s="38"/>
      <c r="L1937" s="19"/>
      <c r="M1937" s="19"/>
      <c r="AS1937" s="28"/>
      <c r="AT1937" s="28"/>
      <c r="AU1937" s="28"/>
      <c r="AV1937" s="12"/>
      <c r="AW1937" s="29"/>
    </row>
    <row r="1938" spans="5:49">
      <c r="E1938" s="12"/>
      <c r="F1938" s="12"/>
      <c r="G1938" s="12"/>
      <c r="H1938" s="12"/>
      <c r="I1938" s="38"/>
      <c r="L1938" s="19"/>
      <c r="M1938" s="19"/>
      <c r="AS1938" s="28"/>
      <c r="AT1938" s="28"/>
      <c r="AU1938" s="28"/>
      <c r="AV1938" s="12"/>
      <c r="AW1938" s="29"/>
    </row>
    <row r="1939" spans="5:49">
      <c r="E1939" s="12"/>
      <c r="F1939" s="12"/>
      <c r="G1939" s="12"/>
      <c r="H1939" s="12"/>
      <c r="I1939" s="38"/>
      <c r="L1939" s="19"/>
      <c r="M1939" s="19"/>
      <c r="AS1939" s="28"/>
      <c r="AT1939" s="28"/>
      <c r="AU1939" s="28"/>
      <c r="AV1939" s="12"/>
      <c r="AW1939" s="29"/>
    </row>
    <row r="1940" spans="5:49">
      <c r="E1940" s="12"/>
      <c r="F1940" s="12"/>
      <c r="G1940" s="12"/>
      <c r="H1940" s="12"/>
      <c r="I1940" s="38"/>
      <c r="L1940" s="19"/>
      <c r="M1940" s="19"/>
      <c r="AS1940" s="28"/>
      <c r="AT1940" s="28"/>
      <c r="AU1940" s="28"/>
      <c r="AV1940" s="12"/>
      <c r="AW1940" s="29"/>
    </row>
    <row r="1941" spans="5:49">
      <c r="E1941" s="12"/>
      <c r="F1941" s="12"/>
      <c r="G1941" s="12"/>
      <c r="H1941" s="12"/>
      <c r="I1941" s="38"/>
      <c r="L1941" s="19"/>
      <c r="M1941" s="19"/>
      <c r="AS1941" s="28"/>
      <c r="AT1941" s="28"/>
      <c r="AU1941" s="28"/>
      <c r="AV1941" s="12"/>
      <c r="AW1941" s="29"/>
    </row>
    <row r="1942" spans="5:49">
      <c r="E1942" s="12"/>
      <c r="F1942" s="12"/>
      <c r="G1942" s="12"/>
      <c r="H1942" s="12"/>
      <c r="I1942" s="38"/>
      <c r="L1942" s="19"/>
      <c r="M1942" s="19"/>
      <c r="AS1942" s="28"/>
      <c r="AT1942" s="28"/>
      <c r="AU1942" s="28"/>
      <c r="AV1942" s="12"/>
      <c r="AW1942" s="29"/>
    </row>
    <row r="1943" spans="5:49">
      <c r="E1943" s="12"/>
      <c r="F1943" s="12"/>
      <c r="G1943" s="12"/>
      <c r="H1943" s="12"/>
      <c r="I1943" s="38"/>
      <c r="L1943" s="19"/>
      <c r="M1943" s="19"/>
      <c r="AS1943" s="28"/>
      <c r="AT1943" s="28"/>
      <c r="AU1943" s="28"/>
      <c r="AV1943" s="12"/>
      <c r="AW1943" s="29"/>
    </row>
    <row r="1944" spans="5:49">
      <c r="E1944" s="12"/>
      <c r="F1944" s="12"/>
      <c r="G1944" s="12"/>
      <c r="H1944" s="12"/>
      <c r="I1944" s="38"/>
      <c r="L1944" s="19"/>
      <c r="M1944" s="19"/>
      <c r="AS1944" s="28"/>
      <c r="AT1944" s="28"/>
      <c r="AU1944" s="28"/>
      <c r="AV1944" s="12"/>
      <c r="AW1944" s="29"/>
    </row>
    <row r="1945" spans="5:49">
      <c r="E1945" s="12"/>
      <c r="F1945" s="12"/>
      <c r="G1945" s="12"/>
      <c r="H1945" s="12"/>
      <c r="I1945" s="38"/>
      <c r="L1945" s="19"/>
      <c r="M1945" s="19"/>
      <c r="AS1945" s="28"/>
      <c r="AT1945" s="28"/>
      <c r="AU1945" s="28"/>
      <c r="AV1945" s="12"/>
      <c r="AW1945" s="29"/>
    </row>
    <row r="1946" spans="5:49">
      <c r="E1946" s="12"/>
      <c r="F1946" s="12"/>
      <c r="G1946" s="12"/>
      <c r="H1946" s="12"/>
      <c r="I1946" s="38"/>
      <c r="L1946" s="19"/>
      <c r="M1946" s="19"/>
      <c r="AS1946" s="28"/>
      <c r="AT1946" s="28"/>
      <c r="AU1946" s="28"/>
      <c r="AV1946" s="12"/>
      <c r="AW1946" s="29"/>
    </row>
    <row r="1947" spans="5:49">
      <c r="E1947" s="12"/>
      <c r="F1947" s="12"/>
      <c r="G1947" s="12"/>
      <c r="H1947" s="12"/>
      <c r="I1947" s="38"/>
      <c r="L1947" s="19"/>
      <c r="M1947" s="19"/>
      <c r="AS1947" s="28"/>
      <c r="AT1947" s="28"/>
      <c r="AU1947" s="28"/>
      <c r="AV1947" s="12"/>
      <c r="AW1947" s="29"/>
    </row>
    <row r="1948" spans="5:49">
      <c r="E1948" s="12"/>
      <c r="F1948" s="12"/>
      <c r="G1948" s="12"/>
      <c r="H1948" s="12"/>
      <c r="I1948" s="38"/>
      <c r="L1948" s="19"/>
      <c r="M1948" s="19"/>
      <c r="AS1948" s="28"/>
      <c r="AT1948" s="28"/>
      <c r="AU1948" s="28"/>
      <c r="AV1948" s="12"/>
      <c r="AW1948" s="29"/>
    </row>
    <row r="1949" spans="5:49">
      <c r="E1949" s="12"/>
      <c r="F1949" s="12"/>
      <c r="G1949" s="12"/>
      <c r="H1949" s="12"/>
      <c r="I1949" s="38"/>
      <c r="L1949" s="19"/>
      <c r="M1949" s="19"/>
      <c r="AS1949" s="28"/>
      <c r="AT1949" s="28"/>
      <c r="AU1949" s="28"/>
      <c r="AV1949" s="12"/>
      <c r="AW1949" s="29"/>
    </row>
    <row r="1950" spans="5:49">
      <c r="E1950" s="12"/>
      <c r="F1950" s="12"/>
      <c r="G1950" s="12"/>
      <c r="H1950" s="12"/>
      <c r="I1950" s="38"/>
      <c r="L1950" s="19"/>
      <c r="M1950" s="19"/>
      <c r="AS1950" s="28"/>
      <c r="AT1950" s="28"/>
      <c r="AU1950" s="28"/>
      <c r="AV1950" s="12"/>
      <c r="AW1950" s="29"/>
    </row>
    <row r="1951" spans="5:49">
      <c r="E1951" s="12"/>
      <c r="F1951" s="12"/>
      <c r="G1951" s="12"/>
      <c r="H1951" s="12"/>
      <c r="I1951" s="38"/>
      <c r="L1951" s="19"/>
      <c r="M1951" s="19"/>
      <c r="AS1951" s="28"/>
      <c r="AT1951" s="28"/>
      <c r="AU1951" s="28"/>
      <c r="AV1951" s="12"/>
      <c r="AW1951" s="29"/>
    </row>
    <row r="1952" spans="5:49">
      <c r="E1952" s="12"/>
      <c r="F1952" s="12"/>
      <c r="G1952" s="12"/>
      <c r="H1952" s="12"/>
      <c r="I1952" s="38"/>
      <c r="L1952" s="19"/>
      <c r="M1952" s="19"/>
      <c r="AS1952" s="28"/>
      <c r="AT1952" s="28"/>
      <c r="AU1952" s="28"/>
      <c r="AV1952" s="12"/>
      <c r="AW1952" s="29"/>
    </row>
    <row r="1953" spans="5:49">
      <c r="E1953" s="12"/>
      <c r="F1953" s="12"/>
      <c r="G1953" s="12"/>
      <c r="H1953" s="12"/>
      <c r="I1953" s="38"/>
      <c r="L1953" s="19"/>
      <c r="M1953" s="19"/>
      <c r="AS1953" s="28"/>
      <c r="AT1953" s="28"/>
      <c r="AU1953" s="28"/>
      <c r="AV1953" s="12"/>
      <c r="AW1953" s="29"/>
    </row>
    <row r="1954" spans="5:49">
      <c r="E1954" s="12"/>
      <c r="F1954" s="12"/>
      <c r="G1954" s="12"/>
      <c r="H1954" s="12"/>
      <c r="I1954" s="38"/>
      <c r="L1954" s="19"/>
      <c r="M1954" s="19"/>
      <c r="AS1954" s="28"/>
      <c r="AT1954" s="28"/>
      <c r="AU1954" s="28"/>
      <c r="AV1954" s="12"/>
      <c r="AW1954" s="29"/>
    </row>
    <row r="1955" spans="5:49">
      <c r="E1955" s="12"/>
      <c r="F1955" s="12"/>
      <c r="G1955" s="12"/>
      <c r="H1955" s="12"/>
      <c r="I1955" s="38"/>
      <c r="L1955" s="19"/>
      <c r="M1955" s="19"/>
      <c r="AS1955" s="28"/>
      <c r="AT1955" s="28"/>
      <c r="AU1955" s="28"/>
      <c r="AV1955" s="12"/>
      <c r="AW1955" s="29"/>
    </row>
    <row r="1956" spans="5:49">
      <c r="E1956" s="12"/>
      <c r="F1956" s="12"/>
      <c r="G1956" s="12"/>
      <c r="H1956" s="12"/>
      <c r="I1956" s="38"/>
      <c r="L1956" s="19"/>
      <c r="M1956" s="19"/>
      <c r="AS1956" s="28"/>
      <c r="AT1956" s="28"/>
      <c r="AU1956" s="28"/>
      <c r="AV1956" s="12"/>
      <c r="AW1956" s="29"/>
    </row>
    <row r="1957" spans="5:49">
      <c r="E1957" s="12"/>
      <c r="F1957" s="12"/>
      <c r="G1957" s="12"/>
      <c r="H1957" s="12"/>
      <c r="I1957" s="38"/>
      <c r="L1957" s="19"/>
      <c r="M1957" s="19"/>
      <c r="AS1957" s="28"/>
      <c r="AT1957" s="28"/>
      <c r="AU1957" s="28"/>
      <c r="AV1957" s="12"/>
      <c r="AW1957" s="29"/>
    </row>
    <row r="1958" spans="5:49">
      <c r="E1958" s="12"/>
      <c r="F1958" s="12"/>
      <c r="G1958" s="12"/>
      <c r="H1958" s="12"/>
      <c r="I1958" s="38"/>
      <c r="L1958" s="19"/>
      <c r="M1958" s="19"/>
      <c r="AS1958" s="28"/>
      <c r="AT1958" s="28"/>
      <c r="AU1958" s="28"/>
      <c r="AV1958" s="12"/>
      <c r="AW1958" s="29"/>
    </row>
    <row r="1959" spans="5:49">
      <c r="E1959" s="12"/>
      <c r="F1959" s="12"/>
      <c r="G1959" s="12"/>
      <c r="H1959" s="12"/>
      <c r="I1959" s="38"/>
      <c r="L1959" s="19"/>
      <c r="M1959" s="19"/>
      <c r="AS1959" s="28"/>
      <c r="AT1959" s="28"/>
      <c r="AU1959" s="28"/>
      <c r="AV1959" s="12"/>
      <c r="AW1959" s="29"/>
    </row>
    <row r="1960" spans="5:49">
      <c r="E1960" s="12"/>
      <c r="F1960" s="12"/>
      <c r="G1960" s="12"/>
      <c r="H1960" s="12"/>
      <c r="I1960" s="38"/>
      <c r="L1960" s="19"/>
      <c r="M1960" s="19"/>
      <c r="AS1960" s="28"/>
      <c r="AT1960" s="28"/>
      <c r="AU1960" s="28"/>
      <c r="AV1960" s="12"/>
      <c r="AW1960" s="29"/>
    </row>
    <row r="1961" spans="5:49">
      <c r="E1961" s="12"/>
      <c r="F1961" s="12"/>
      <c r="G1961" s="12"/>
      <c r="H1961" s="12"/>
      <c r="I1961" s="38"/>
      <c r="L1961" s="19"/>
      <c r="M1961" s="19"/>
      <c r="AS1961" s="28"/>
      <c r="AT1961" s="28"/>
      <c r="AU1961" s="28"/>
      <c r="AV1961" s="12"/>
      <c r="AW1961" s="29"/>
    </row>
    <row r="1962" spans="5:49">
      <c r="E1962" s="12"/>
      <c r="F1962" s="12"/>
      <c r="G1962" s="12"/>
      <c r="H1962" s="12"/>
      <c r="I1962" s="38"/>
      <c r="L1962" s="19"/>
      <c r="M1962" s="19"/>
      <c r="AS1962" s="28"/>
      <c r="AT1962" s="28"/>
      <c r="AU1962" s="28"/>
      <c r="AV1962" s="12"/>
      <c r="AW1962" s="29"/>
    </row>
    <row r="1963" spans="5:49">
      <c r="E1963" s="12"/>
      <c r="F1963" s="12"/>
      <c r="G1963" s="12"/>
      <c r="H1963" s="12"/>
      <c r="I1963" s="38"/>
      <c r="L1963" s="19"/>
      <c r="M1963" s="19"/>
      <c r="AS1963" s="28"/>
      <c r="AT1963" s="28"/>
      <c r="AU1963" s="28"/>
      <c r="AV1963" s="12"/>
      <c r="AW1963" s="29"/>
    </row>
    <row r="1964" spans="5:49">
      <c r="E1964" s="12"/>
      <c r="F1964" s="12"/>
      <c r="G1964" s="12"/>
      <c r="H1964" s="12"/>
      <c r="I1964" s="38"/>
      <c r="L1964" s="19"/>
      <c r="M1964" s="19"/>
      <c r="AS1964" s="28"/>
      <c r="AT1964" s="28"/>
      <c r="AU1964" s="28"/>
      <c r="AV1964" s="12"/>
      <c r="AW1964" s="29"/>
    </row>
    <row r="1965" spans="5:49">
      <c r="E1965" s="12"/>
      <c r="F1965" s="12"/>
      <c r="G1965" s="12"/>
      <c r="H1965" s="12"/>
      <c r="I1965" s="38"/>
      <c r="L1965" s="19"/>
      <c r="M1965" s="19"/>
      <c r="AS1965" s="28"/>
      <c r="AT1965" s="28"/>
      <c r="AU1965" s="28"/>
      <c r="AV1965" s="12"/>
      <c r="AW1965" s="29"/>
    </row>
    <row r="1966" spans="5:49">
      <c r="E1966" s="12"/>
      <c r="F1966" s="12"/>
      <c r="G1966" s="12"/>
      <c r="H1966" s="12"/>
      <c r="I1966" s="38"/>
      <c r="L1966" s="19"/>
      <c r="M1966" s="19"/>
      <c r="AS1966" s="28"/>
      <c r="AT1966" s="28"/>
      <c r="AU1966" s="28"/>
      <c r="AV1966" s="12"/>
      <c r="AW1966" s="29"/>
    </row>
    <row r="1967" spans="5:49">
      <c r="E1967" s="12"/>
      <c r="F1967" s="12"/>
      <c r="G1967" s="12"/>
      <c r="H1967" s="12"/>
      <c r="I1967" s="38"/>
      <c r="L1967" s="19"/>
      <c r="M1967" s="19"/>
      <c r="AS1967" s="28"/>
      <c r="AT1967" s="28"/>
      <c r="AU1967" s="28"/>
      <c r="AV1967" s="12"/>
      <c r="AW1967" s="29"/>
    </row>
    <row r="1968" spans="5:49">
      <c r="E1968" s="12"/>
      <c r="F1968" s="12"/>
      <c r="G1968" s="12"/>
      <c r="H1968" s="12"/>
      <c r="I1968" s="38"/>
      <c r="L1968" s="19"/>
      <c r="M1968" s="19"/>
      <c r="AS1968" s="28"/>
      <c r="AT1968" s="28"/>
      <c r="AU1968" s="28"/>
      <c r="AV1968" s="12"/>
      <c r="AW1968" s="29"/>
    </row>
    <row r="1969" spans="5:49">
      <c r="E1969" s="12"/>
      <c r="F1969" s="12"/>
      <c r="G1969" s="12"/>
      <c r="H1969" s="12"/>
      <c r="I1969" s="38"/>
      <c r="L1969" s="19"/>
      <c r="M1969" s="19"/>
      <c r="AS1969" s="28"/>
      <c r="AT1969" s="28"/>
      <c r="AU1969" s="28"/>
      <c r="AV1969" s="12"/>
      <c r="AW1969" s="29"/>
    </row>
    <row r="1970" spans="5:49">
      <c r="E1970" s="12"/>
      <c r="F1970" s="12"/>
      <c r="G1970" s="12"/>
      <c r="H1970" s="12"/>
      <c r="I1970" s="38"/>
      <c r="L1970" s="19"/>
      <c r="M1970" s="19"/>
      <c r="AS1970" s="28"/>
      <c r="AT1970" s="28"/>
      <c r="AU1970" s="28"/>
      <c r="AV1970" s="12"/>
      <c r="AW1970" s="29"/>
    </row>
    <row r="1971" spans="5:49">
      <c r="E1971" s="12"/>
      <c r="F1971" s="12"/>
      <c r="G1971" s="12"/>
      <c r="H1971" s="12"/>
      <c r="I1971" s="38"/>
      <c r="L1971" s="19"/>
      <c r="M1971" s="19"/>
      <c r="AS1971" s="28"/>
      <c r="AT1971" s="28"/>
      <c r="AU1971" s="28"/>
      <c r="AV1971" s="12"/>
      <c r="AW1971" s="29"/>
    </row>
    <row r="1972" spans="5:49">
      <c r="E1972" s="12"/>
      <c r="F1972" s="12"/>
      <c r="G1972" s="12"/>
      <c r="H1972" s="12"/>
      <c r="I1972" s="38"/>
      <c r="L1972" s="19"/>
      <c r="M1972" s="19"/>
      <c r="AS1972" s="28"/>
      <c r="AT1972" s="28"/>
      <c r="AU1972" s="28"/>
      <c r="AV1972" s="12"/>
      <c r="AW1972" s="29"/>
    </row>
    <row r="1973" spans="5:49">
      <c r="E1973" s="12"/>
      <c r="F1973" s="12"/>
      <c r="G1973" s="12"/>
      <c r="H1973" s="12"/>
      <c r="I1973" s="38"/>
      <c r="L1973" s="19"/>
      <c r="M1973" s="19"/>
      <c r="AS1973" s="28"/>
      <c r="AT1973" s="28"/>
      <c r="AU1973" s="28"/>
      <c r="AV1973" s="12"/>
      <c r="AW1973" s="29"/>
    </row>
    <row r="1974" spans="5:49">
      <c r="E1974" s="12"/>
      <c r="F1974" s="12"/>
      <c r="G1974" s="12"/>
      <c r="H1974" s="12"/>
      <c r="I1974" s="38"/>
      <c r="L1974" s="19"/>
      <c r="M1974" s="19"/>
      <c r="AS1974" s="28"/>
      <c r="AT1974" s="28"/>
      <c r="AU1974" s="28"/>
      <c r="AV1974" s="12"/>
      <c r="AW1974" s="29"/>
    </row>
    <row r="1975" spans="5:49">
      <c r="E1975" s="12"/>
      <c r="F1975" s="12"/>
      <c r="G1975" s="12"/>
      <c r="H1975" s="12"/>
      <c r="I1975" s="38"/>
      <c r="L1975" s="19"/>
      <c r="M1975" s="19"/>
      <c r="AS1975" s="28"/>
      <c r="AT1975" s="28"/>
      <c r="AU1975" s="28"/>
      <c r="AV1975" s="12"/>
      <c r="AW1975" s="29"/>
    </row>
    <row r="1976" spans="5:49">
      <c r="E1976" s="12"/>
      <c r="F1976" s="12"/>
      <c r="G1976" s="12"/>
      <c r="H1976" s="12"/>
      <c r="I1976" s="38"/>
      <c r="L1976" s="19"/>
      <c r="M1976" s="19"/>
      <c r="AS1976" s="28"/>
      <c r="AT1976" s="28"/>
      <c r="AU1976" s="28"/>
      <c r="AV1976" s="12"/>
      <c r="AW1976" s="29"/>
    </row>
    <row r="1977" spans="5:49">
      <c r="E1977" s="12"/>
      <c r="F1977" s="12"/>
      <c r="G1977" s="12"/>
      <c r="H1977" s="12"/>
      <c r="I1977" s="38"/>
      <c r="L1977" s="19"/>
      <c r="M1977" s="19"/>
      <c r="AS1977" s="28"/>
      <c r="AT1977" s="28"/>
      <c r="AU1977" s="28"/>
      <c r="AV1977" s="12"/>
      <c r="AW1977" s="29"/>
    </row>
    <row r="1978" spans="5:49">
      <c r="E1978" s="12"/>
      <c r="F1978" s="12"/>
      <c r="G1978" s="12"/>
      <c r="H1978" s="12"/>
      <c r="I1978" s="38"/>
      <c r="L1978" s="19"/>
      <c r="M1978" s="19"/>
      <c r="AS1978" s="28"/>
      <c r="AT1978" s="28"/>
      <c r="AU1978" s="28"/>
      <c r="AV1978" s="12"/>
      <c r="AW1978" s="29"/>
    </row>
    <row r="1979" spans="5:49">
      <c r="E1979" s="12"/>
      <c r="F1979" s="12"/>
      <c r="G1979" s="12"/>
      <c r="H1979" s="12"/>
      <c r="I1979" s="38"/>
      <c r="L1979" s="19"/>
      <c r="M1979" s="19"/>
      <c r="AS1979" s="28"/>
      <c r="AT1979" s="28"/>
      <c r="AU1979" s="28"/>
      <c r="AV1979" s="12"/>
      <c r="AW1979" s="29"/>
    </row>
    <row r="1980" spans="5:49">
      <c r="E1980" s="12"/>
      <c r="F1980" s="12"/>
      <c r="G1980" s="12"/>
      <c r="H1980" s="12"/>
      <c r="I1980" s="38"/>
      <c r="L1980" s="19"/>
      <c r="M1980" s="19"/>
      <c r="AS1980" s="28"/>
      <c r="AT1980" s="28"/>
      <c r="AU1980" s="28"/>
      <c r="AV1980" s="12"/>
      <c r="AW1980" s="29"/>
    </row>
    <row r="1981" spans="5:49">
      <c r="E1981" s="12"/>
      <c r="F1981" s="12"/>
      <c r="G1981" s="12"/>
      <c r="H1981" s="12"/>
      <c r="I1981" s="38"/>
      <c r="L1981" s="19"/>
      <c r="M1981" s="19"/>
      <c r="AS1981" s="28"/>
      <c r="AT1981" s="28"/>
      <c r="AU1981" s="28"/>
      <c r="AV1981" s="12"/>
      <c r="AW1981" s="29"/>
    </row>
    <row r="1982" spans="5:49">
      <c r="E1982" s="12"/>
      <c r="F1982" s="12"/>
      <c r="G1982" s="12"/>
      <c r="H1982" s="12"/>
      <c r="I1982" s="38"/>
      <c r="L1982" s="19"/>
      <c r="M1982" s="19"/>
      <c r="AS1982" s="28"/>
      <c r="AT1982" s="28"/>
      <c r="AU1982" s="28"/>
      <c r="AV1982" s="12"/>
      <c r="AW1982" s="29"/>
    </row>
    <row r="1983" spans="5:49">
      <c r="E1983" s="12"/>
      <c r="F1983" s="12"/>
      <c r="G1983" s="12"/>
      <c r="H1983" s="12"/>
      <c r="I1983" s="38"/>
      <c r="L1983" s="19"/>
      <c r="M1983" s="19"/>
      <c r="AS1983" s="28"/>
      <c r="AT1983" s="28"/>
      <c r="AU1983" s="28"/>
      <c r="AV1983" s="12"/>
      <c r="AW1983" s="29"/>
    </row>
    <row r="1984" spans="5:49">
      <c r="E1984" s="12"/>
      <c r="F1984" s="12"/>
      <c r="G1984" s="12"/>
      <c r="H1984" s="12"/>
      <c r="I1984" s="38"/>
      <c r="L1984" s="19"/>
      <c r="M1984" s="19"/>
      <c r="AS1984" s="28"/>
      <c r="AT1984" s="28"/>
      <c r="AU1984" s="28"/>
      <c r="AV1984" s="12"/>
      <c r="AW1984" s="29"/>
    </row>
    <row r="1985" spans="5:49">
      <c r="E1985" s="12"/>
      <c r="F1985" s="12"/>
      <c r="G1985" s="12"/>
      <c r="H1985" s="12"/>
      <c r="I1985" s="38"/>
      <c r="L1985" s="19"/>
      <c r="M1985" s="19"/>
      <c r="AS1985" s="28"/>
      <c r="AT1985" s="28"/>
      <c r="AU1985" s="28"/>
      <c r="AV1985" s="12"/>
      <c r="AW1985" s="29"/>
    </row>
    <row r="1986" spans="5:49">
      <c r="E1986" s="12"/>
      <c r="F1986" s="12"/>
      <c r="G1986" s="12"/>
      <c r="H1986" s="12"/>
      <c r="I1986" s="38"/>
      <c r="L1986" s="19"/>
      <c r="M1986" s="19"/>
      <c r="AS1986" s="28"/>
      <c r="AT1986" s="28"/>
      <c r="AU1986" s="28"/>
      <c r="AV1986" s="12"/>
      <c r="AW1986" s="29"/>
    </row>
    <row r="1987" spans="5:49">
      <c r="E1987" s="12"/>
      <c r="F1987" s="12"/>
      <c r="G1987" s="12"/>
      <c r="H1987" s="12"/>
      <c r="I1987" s="38"/>
      <c r="L1987" s="19"/>
      <c r="M1987" s="19"/>
      <c r="AS1987" s="28"/>
      <c r="AT1987" s="28"/>
      <c r="AU1987" s="28"/>
      <c r="AV1987" s="12"/>
      <c r="AW1987" s="29"/>
    </row>
    <row r="1988" spans="5:49">
      <c r="E1988" s="12"/>
      <c r="F1988" s="12"/>
      <c r="G1988" s="12"/>
      <c r="H1988" s="12"/>
      <c r="I1988" s="38"/>
      <c r="L1988" s="19"/>
      <c r="M1988" s="19"/>
      <c r="AS1988" s="28"/>
      <c r="AT1988" s="28"/>
      <c r="AU1988" s="28"/>
      <c r="AV1988" s="12"/>
      <c r="AW1988" s="29"/>
    </row>
    <row r="1989" spans="5:49">
      <c r="E1989" s="12"/>
      <c r="F1989" s="12"/>
      <c r="G1989" s="12"/>
      <c r="H1989" s="12"/>
      <c r="I1989" s="38"/>
      <c r="L1989" s="19"/>
      <c r="M1989" s="19"/>
      <c r="AS1989" s="28"/>
      <c r="AT1989" s="28"/>
      <c r="AU1989" s="28"/>
      <c r="AV1989" s="12"/>
      <c r="AW1989" s="29"/>
    </row>
    <row r="1990" spans="5:49">
      <c r="E1990" s="12"/>
      <c r="F1990" s="12"/>
      <c r="G1990" s="12"/>
      <c r="H1990" s="12"/>
      <c r="I1990" s="38"/>
      <c r="L1990" s="19"/>
      <c r="M1990" s="19"/>
      <c r="AS1990" s="28"/>
      <c r="AT1990" s="28"/>
      <c r="AU1990" s="28"/>
      <c r="AV1990" s="12"/>
      <c r="AW1990" s="29"/>
    </row>
    <row r="1991" spans="5:49">
      <c r="E1991" s="12"/>
      <c r="F1991" s="12"/>
      <c r="G1991" s="12"/>
      <c r="H1991" s="12"/>
      <c r="I1991" s="38"/>
      <c r="L1991" s="19"/>
      <c r="M1991" s="19"/>
      <c r="AS1991" s="28"/>
      <c r="AT1991" s="28"/>
      <c r="AU1991" s="28"/>
      <c r="AV1991" s="12"/>
      <c r="AW1991" s="29"/>
    </row>
    <row r="1992" spans="5:49">
      <c r="E1992" s="12"/>
      <c r="F1992" s="12"/>
      <c r="G1992" s="12"/>
      <c r="H1992" s="12"/>
      <c r="I1992" s="38"/>
      <c r="L1992" s="19"/>
      <c r="M1992" s="19"/>
      <c r="AS1992" s="28"/>
      <c r="AT1992" s="28"/>
      <c r="AU1992" s="28"/>
      <c r="AV1992" s="12"/>
      <c r="AW1992" s="29"/>
    </row>
    <row r="1993" spans="5:49">
      <c r="E1993" s="12"/>
      <c r="F1993" s="12"/>
      <c r="G1993" s="12"/>
      <c r="H1993" s="12"/>
      <c r="I1993" s="38"/>
      <c r="L1993" s="19"/>
      <c r="M1993" s="19"/>
      <c r="AS1993" s="28"/>
      <c r="AT1993" s="28"/>
      <c r="AU1993" s="28"/>
      <c r="AV1993" s="12"/>
      <c r="AW1993" s="29"/>
    </row>
    <row r="1994" spans="5:49">
      <c r="E1994" s="12"/>
      <c r="F1994" s="12"/>
      <c r="G1994" s="12"/>
      <c r="H1994" s="12"/>
      <c r="I1994" s="38"/>
      <c r="L1994" s="19"/>
      <c r="M1994" s="19"/>
      <c r="AS1994" s="28"/>
      <c r="AT1994" s="28"/>
      <c r="AU1994" s="28"/>
      <c r="AV1994" s="12"/>
      <c r="AW1994" s="29"/>
    </row>
    <row r="1995" spans="5:49">
      <c r="E1995" s="12"/>
      <c r="F1995" s="12"/>
      <c r="G1995" s="12"/>
      <c r="H1995" s="12"/>
      <c r="I1995" s="38"/>
      <c r="L1995" s="19"/>
      <c r="M1995" s="19"/>
      <c r="AS1995" s="28"/>
      <c r="AT1995" s="28"/>
      <c r="AU1995" s="28"/>
      <c r="AV1995" s="12"/>
      <c r="AW1995" s="29"/>
    </row>
    <row r="1996" spans="5:49">
      <c r="E1996" s="12"/>
      <c r="F1996" s="12"/>
      <c r="G1996" s="12"/>
      <c r="H1996" s="12"/>
      <c r="I1996" s="38"/>
      <c r="L1996" s="19"/>
      <c r="M1996" s="19"/>
      <c r="AS1996" s="28"/>
      <c r="AT1996" s="28"/>
      <c r="AU1996" s="28"/>
      <c r="AV1996" s="12"/>
      <c r="AW1996" s="29"/>
    </row>
    <row r="1997" spans="5:49">
      <c r="E1997" s="12"/>
      <c r="F1997" s="12"/>
      <c r="G1997" s="12"/>
      <c r="H1997" s="12"/>
      <c r="I1997" s="38"/>
      <c r="L1997" s="19"/>
      <c r="M1997" s="19"/>
      <c r="AS1997" s="28"/>
      <c r="AT1997" s="28"/>
      <c r="AU1997" s="28"/>
      <c r="AV1997" s="12"/>
      <c r="AW1997" s="29"/>
    </row>
    <row r="1998" spans="5:49">
      <c r="E1998" s="12"/>
      <c r="F1998" s="12"/>
      <c r="G1998" s="12"/>
      <c r="H1998" s="12"/>
      <c r="I1998" s="38"/>
      <c r="L1998" s="19"/>
      <c r="M1998" s="19"/>
      <c r="AS1998" s="28"/>
      <c r="AT1998" s="28"/>
      <c r="AU1998" s="28"/>
      <c r="AV1998" s="12"/>
      <c r="AW1998" s="29"/>
    </row>
    <row r="1999" spans="5:49">
      <c r="E1999" s="12"/>
      <c r="F1999" s="12"/>
      <c r="G1999" s="12"/>
      <c r="H1999" s="12"/>
      <c r="I1999" s="38"/>
      <c r="L1999" s="19"/>
      <c r="M1999" s="19"/>
      <c r="AS1999" s="28"/>
      <c r="AT1999" s="28"/>
      <c r="AU1999" s="28"/>
      <c r="AV1999" s="12"/>
      <c r="AW1999" s="29"/>
    </row>
    <row r="2000" spans="5:49">
      <c r="E2000" s="12"/>
      <c r="F2000" s="12"/>
      <c r="G2000" s="12"/>
      <c r="H2000" s="12"/>
      <c r="I2000" s="38"/>
      <c r="L2000" s="19"/>
      <c r="M2000" s="19"/>
      <c r="AS2000" s="28"/>
      <c r="AT2000" s="28"/>
      <c r="AU2000" s="28"/>
      <c r="AV2000" s="12"/>
      <c r="AW2000" s="29"/>
    </row>
    <row r="2001" spans="5:49">
      <c r="E2001" s="12"/>
      <c r="F2001" s="12"/>
      <c r="G2001" s="12"/>
      <c r="H2001" s="12"/>
      <c r="I2001" s="38"/>
      <c r="L2001" s="19"/>
      <c r="M2001" s="19"/>
      <c r="AS2001" s="28"/>
      <c r="AT2001" s="28"/>
      <c r="AU2001" s="28"/>
      <c r="AV2001" s="12"/>
      <c r="AW2001" s="29"/>
    </row>
    <row r="2002" spans="5:49">
      <c r="E2002" s="12"/>
      <c r="F2002" s="12"/>
      <c r="G2002" s="12"/>
      <c r="H2002" s="12"/>
      <c r="I2002" s="38"/>
      <c r="L2002" s="19"/>
      <c r="M2002" s="19"/>
      <c r="AS2002" s="28"/>
      <c r="AT2002" s="28"/>
      <c r="AU2002" s="28"/>
      <c r="AV2002" s="12"/>
      <c r="AW2002" s="29"/>
    </row>
    <row r="2003" spans="5:49">
      <c r="E2003" s="12"/>
      <c r="F2003" s="12"/>
      <c r="G2003" s="12"/>
      <c r="H2003" s="12"/>
      <c r="I2003" s="38"/>
      <c r="L2003" s="19"/>
      <c r="M2003" s="19"/>
      <c r="AS2003" s="28"/>
      <c r="AT2003" s="28"/>
      <c r="AU2003" s="28"/>
      <c r="AV2003" s="12"/>
      <c r="AW2003" s="29"/>
    </row>
    <row r="2004" spans="5:49">
      <c r="E2004" s="12"/>
      <c r="F2004" s="12"/>
      <c r="G2004" s="12"/>
      <c r="H2004" s="12"/>
      <c r="I2004" s="38"/>
      <c r="L2004" s="19"/>
      <c r="M2004" s="19"/>
      <c r="AS2004" s="28"/>
      <c r="AT2004" s="28"/>
      <c r="AU2004" s="28"/>
      <c r="AV2004" s="12"/>
      <c r="AW2004" s="29"/>
    </row>
    <row r="2005" spans="5:49">
      <c r="E2005" s="12"/>
      <c r="F2005" s="12"/>
      <c r="G2005" s="12"/>
      <c r="H2005" s="12"/>
      <c r="I2005" s="38"/>
      <c r="L2005" s="19"/>
      <c r="M2005" s="19"/>
      <c r="AS2005" s="28"/>
      <c r="AT2005" s="28"/>
      <c r="AU2005" s="28"/>
      <c r="AV2005" s="12"/>
      <c r="AW2005" s="29"/>
    </row>
    <row r="2006" spans="5:49">
      <c r="E2006" s="12"/>
      <c r="F2006" s="12"/>
      <c r="G2006" s="12"/>
      <c r="H2006" s="12"/>
      <c r="I2006" s="38"/>
      <c r="L2006" s="19"/>
      <c r="M2006" s="19"/>
      <c r="AS2006" s="28"/>
      <c r="AT2006" s="28"/>
      <c r="AU2006" s="28"/>
      <c r="AV2006" s="12"/>
      <c r="AW2006" s="29"/>
    </row>
    <row r="2007" spans="5:49">
      <c r="E2007" s="12"/>
      <c r="F2007" s="12"/>
      <c r="G2007" s="12"/>
      <c r="H2007" s="12"/>
      <c r="I2007" s="38"/>
      <c r="L2007" s="19"/>
      <c r="M2007" s="19"/>
      <c r="AS2007" s="28"/>
      <c r="AT2007" s="28"/>
      <c r="AU2007" s="28"/>
      <c r="AV2007" s="12"/>
      <c r="AW2007" s="29"/>
    </row>
    <row r="2008" spans="5:49">
      <c r="E2008" s="12"/>
      <c r="F2008" s="12"/>
      <c r="G2008" s="12"/>
      <c r="H2008" s="12"/>
      <c r="I2008" s="38"/>
      <c r="L2008" s="19"/>
      <c r="M2008" s="19"/>
      <c r="AS2008" s="28"/>
      <c r="AT2008" s="28"/>
      <c r="AU2008" s="28"/>
      <c r="AV2008" s="12"/>
      <c r="AW2008" s="29"/>
    </row>
    <row r="2009" spans="5:49">
      <c r="E2009" s="12"/>
      <c r="F2009" s="12"/>
      <c r="G2009" s="12"/>
      <c r="H2009" s="12"/>
      <c r="I2009" s="38"/>
      <c r="L2009" s="19"/>
      <c r="M2009" s="19"/>
      <c r="AS2009" s="28"/>
      <c r="AT2009" s="28"/>
      <c r="AU2009" s="28"/>
      <c r="AV2009" s="12"/>
      <c r="AW2009" s="29"/>
    </row>
    <row r="2010" spans="5:49">
      <c r="E2010" s="12"/>
      <c r="F2010" s="12"/>
      <c r="G2010" s="12"/>
      <c r="H2010" s="12"/>
      <c r="I2010" s="38"/>
      <c r="L2010" s="19"/>
      <c r="M2010" s="19"/>
      <c r="AS2010" s="28"/>
      <c r="AT2010" s="28"/>
      <c r="AU2010" s="28"/>
      <c r="AV2010" s="12"/>
      <c r="AW2010" s="29"/>
    </row>
    <row r="2011" spans="5:49">
      <c r="E2011" s="12"/>
      <c r="F2011" s="12"/>
      <c r="G2011" s="12"/>
      <c r="H2011" s="12"/>
      <c r="I2011" s="38"/>
      <c r="L2011" s="19"/>
      <c r="M2011" s="19"/>
      <c r="AS2011" s="28"/>
      <c r="AT2011" s="28"/>
      <c r="AU2011" s="28"/>
      <c r="AV2011" s="12"/>
      <c r="AW2011" s="29"/>
    </row>
    <row r="2012" spans="5:49">
      <c r="E2012" s="12"/>
      <c r="F2012" s="12"/>
      <c r="G2012" s="12"/>
      <c r="H2012" s="12"/>
      <c r="I2012" s="38"/>
      <c r="L2012" s="19"/>
      <c r="M2012" s="19"/>
      <c r="AS2012" s="28"/>
      <c r="AT2012" s="28"/>
      <c r="AU2012" s="28"/>
      <c r="AV2012" s="12"/>
      <c r="AW2012" s="29"/>
    </row>
    <row r="2013" spans="5:49">
      <c r="E2013" s="12"/>
      <c r="F2013" s="12"/>
      <c r="G2013" s="12"/>
      <c r="H2013" s="12"/>
      <c r="I2013" s="38"/>
      <c r="L2013" s="19"/>
      <c r="M2013" s="19"/>
      <c r="AS2013" s="28"/>
      <c r="AT2013" s="28"/>
      <c r="AU2013" s="28"/>
      <c r="AV2013" s="12"/>
      <c r="AW2013" s="29"/>
    </row>
    <row r="2014" spans="5:49">
      <c r="E2014" s="12"/>
      <c r="F2014" s="12"/>
      <c r="G2014" s="12"/>
      <c r="H2014" s="12"/>
      <c r="I2014" s="38"/>
      <c r="L2014" s="19"/>
      <c r="M2014" s="19"/>
      <c r="AS2014" s="28"/>
      <c r="AT2014" s="28"/>
      <c r="AU2014" s="28"/>
      <c r="AV2014" s="12"/>
      <c r="AW2014" s="29"/>
    </row>
    <row r="2015" spans="5:49">
      <c r="E2015" s="12"/>
      <c r="F2015" s="12"/>
      <c r="G2015" s="12"/>
      <c r="H2015" s="12"/>
      <c r="I2015" s="38"/>
      <c r="L2015" s="19"/>
      <c r="M2015" s="19"/>
      <c r="AS2015" s="28"/>
      <c r="AT2015" s="28"/>
      <c r="AU2015" s="28"/>
      <c r="AV2015" s="12"/>
      <c r="AW2015" s="29"/>
    </row>
    <row r="2016" spans="5:49">
      <c r="E2016" s="12"/>
      <c r="F2016" s="12"/>
      <c r="G2016" s="12"/>
      <c r="H2016" s="12"/>
      <c r="I2016" s="38"/>
      <c r="L2016" s="19"/>
      <c r="M2016" s="19"/>
      <c r="AS2016" s="28"/>
      <c r="AT2016" s="28"/>
      <c r="AU2016" s="28"/>
      <c r="AV2016" s="12"/>
      <c r="AW2016" s="29"/>
    </row>
    <row r="2017" spans="5:49">
      <c r="E2017" s="12"/>
      <c r="F2017" s="12"/>
      <c r="G2017" s="12"/>
      <c r="H2017" s="12"/>
      <c r="I2017" s="38"/>
      <c r="L2017" s="19"/>
      <c r="M2017" s="19"/>
      <c r="AS2017" s="28"/>
      <c r="AT2017" s="28"/>
      <c r="AU2017" s="28"/>
      <c r="AV2017" s="12"/>
      <c r="AW2017" s="29"/>
    </row>
    <row r="2018" spans="5:49">
      <c r="E2018" s="12"/>
      <c r="F2018" s="12"/>
      <c r="G2018" s="12"/>
      <c r="H2018" s="12"/>
      <c r="I2018" s="38"/>
      <c r="L2018" s="19"/>
      <c r="M2018" s="19"/>
      <c r="AS2018" s="28"/>
      <c r="AT2018" s="28"/>
      <c r="AU2018" s="28"/>
      <c r="AV2018" s="12"/>
      <c r="AW2018" s="29"/>
    </row>
    <row r="2019" spans="5:49">
      <c r="E2019" s="12"/>
      <c r="F2019" s="12"/>
      <c r="G2019" s="12"/>
      <c r="H2019" s="12"/>
      <c r="I2019" s="38"/>
      <c r="L2019" s="19"/>
      <c r="M2019" s="19"/>
      <c r="AS2019" s="28"/>
      <c r="AT2019" s="28"/>
      <c r="AU2019" s="28"/>
      <c r="AV2019" s="12"/>
      <c r="AW2019" s="29"/>
    </row>
    <row r="2020" spans="5:49">
      <c r="E2020" s="12"/>
      <c r="F2020" s="12"/>
      <c r="G2020" s="12"/>
      <c r="H2020" s="12"/>
      <c r="I2020" s="38"/>
      <c r="L2020" s="19"/>
      <c r="M2020" s="19"/>
      <c r="AS2020" s="28"/>
      <c r="AT2020" s="28"/>
      <c r="AU2020" s="28"/>
      <c r="AV2020" s="12"/>
      <c r="AW2020" s="29"/>
    </row>
    <row r="2021" spans="5:49">
      <c r="E2021" s="12"/>
      <c r="F2021" s="12"/>
      <c r="G2021" s="12"/>
      <c r="H2021" s="12"/>
      <c r="I2021" s="38"/>
      <c r="L2021" s="19"/>
      <c r="M2021" s="19"/>
      <c r="AS2021" s="28"/>
      <c r="AT2021" s="28"/>
      <c r="AU2021" s="28"/>
      <c r="AV2021" s="12"/>
      <c r="AW2021" s="29"/>
    </row>
    <row r="2022" spans="5:49">
      <c r="E2022" s="12"/>
      <c r="F2022" s="12"/>
      <c r="G2022" s="12"/>
      <c r="H2022" s="12"/>
      <c r="I2022" s="38"/>
      <c r="L2022" s="19"/>
      <c r="M2022" s="19"/>
      <c r="AS2022" s="28"/>
      <c r="AT2022" s="28"/>
      <c r="AU2022" s="28"/>
      <c r="AV2022" s="12"/>
      <c r="AW2022" s="29"/>
    </row>
    <row r="2023" spans="5:49">
      <c r="E2023" s="12"/>
      <c r="F2023" s="12"/>
      <c r="G2023" s="12"/>
      <c r="H2023" s="12"/>
      <c r="I2023" s="38"/>
      <c r="L2023" s="19"/>
      <c r="M2023" s="19"/>
      <c r="AS2023" s="28"/>
      <c r="AT2023" s="28"/>
      <c r="AU2023" s="28"/>
      <c r="AV2023" s="12"/>
      <c r="AW2023" s="29"/>
    </row>
    <row r="2024" spans="5:49">
      <c r="E2024" s="12"/>
      <c r="F2024" s="12"/>
      <c r="G2024" s="12"/>
      <c r="H2024" s="12"/>
      <c r="I2024" s="38"/>
      <c r="L2024" s="19"/>
      <c r="M2024" s="19"/>
      <c r="AS2024" s="28"/>
      <c r="AT2024" s="28"/>
      <c r="AU2024" s="28"/>
      <c r="AV2024" s="12"/>
      <c r="AW2024" s="29"/>
    </row>
    <row r="2025" spans="5:49">
      <c r="E2025" s="12"/>
      <c r="F2025" s="12"/>
      <c r="G2025" s="12"/>
      <c r="H2025" s="12"/>
      <c r="I2025" s="38"/>
      <c r="L2025" s="19"/>
      <c r="M2025" s="19"/>
      <c r="AS2025" s="28"/>
      <c r="AT2025" s="28"/>
      <c r="AU2025" s="28"/>
      <c r="AV2025" s="12"/>
      <c r="AW2025" s="29"/>
    </row>
    <row r="2026" spans="5:49">
      <c r="E2026" s="12"/>
      <c r="F2026" s="12"/>
      <c r="G2026" s="12"/>
      <c r="H2026" s="12"/>
      <c r="I2026" s="38"/>
      <c r="L2026" s="19"/>
      <c r="M2026" s="19"/>
      <c r="AS2026" s="28"/>
      <c r="AT2026" s="28"/>
      <c r="AU2026" s="28"/>
      <c r="AV2026" s="12"/>
      <c r="AW2026" s="29"/>
    </row>
    <row r="2027" spans="5:49">
      <c r="E2027" s="12"/>
      <c r="F2027" s="12"/>
      <c r="G2027" s="12"/>
      <c r="H2027" s="12"/>
      <c r="I2027" s="38"/>
      <c r="L2027" s="19"/>
      <c r="M2027" s="19"/>
      <c r="AS2027" s="28"/>
      <c r="AT2027" s="28"/>
      <c r="AU2027" s="28"/>
      <c r="AV2027" s="12"/>
      <c r="AW2027" s="29"/>
    </row>
    <row r="2028" spans="5:49">
      <c r="E2028" s="12"/>
      <c r="F2028" s="12"/>
      <c r="G2028" s="12"/>
      <c r="H2028" s="12"/>
      <c r="I2028" s="38"/>
      <c r="L2028" s="19"/>
      <c r="M2028" s="19"/>
      <c r="AS2028" s="28"/>
      <c r="AT2028" s="28"/>
      <c r="AU2028" s="28"/>
      <c r="AV2028" s="12"/>
      <c r="AW2028" s="29"/>
    </row>
    <row r="2029" spans="5:49">
      <c r="E2029" s="12"/>
      <c r="F2029" s="12"/>
      <c r="G2029" s="12"/>
      <c r="H2029" s="12"/>
      <c r="I2029" s="38"/>
      <c r="L2029" s="19"/>
      <c r="M2029" s="19"/>
      <c r="AS2029" s="28"/>
      <c r="AT2029" s="28"/>
      <c r="AU2029" s="28"/>
      <c r="AV2029" s="12"/>
      <c r="AW2029" s="29"/>
    </row>
    <row r="2030" spans="5:49">
      <c r="E2030" s="12"/>
      <c r="F2030" s="12"/>
      <c r="G2030" s="12"/>
      <c r="H2030" s="12"/>
      <c r="I2030" s="38"/>
      <c r="L2030" s="19"/>
      <c r="M2030" s="19"/>
      <c r="AS2030" s="28"/>
      <c r="AT2030" s="28"/>
      <c r="AU2030" s="28"/>
      <c r="AV2030" s="12"/>
      <c r="AW2030" s="29"/>
    </row>
    <row r="2031" spans="5:49">
      <c r="E2031" s="12"/>
      <c r="F2031" s="12"/>
      <c r="G2031" s="12"/>
      <c r="H2031" s="12"/>
      <c r="I2031" s="38"/>
      <c r="L2031" s="19"/>
      <c r="M2031" s="19"/>
      <c r="AS2031" s="28"/>
      <c r="AT2031" s="28"/>
      <c r="AU2031" s="28"/>
      <c r="AV2031" s="12"/>
      <c r="AW2031" s="29"/>
    </row>
    <row r="2032" spans="5:49">
      <c r="E2032" s="12"/>
      <c r="F2032" s="12"/>
      <c r="G2032" s="12"/>
      <c r="H2032" s="12"/>
      <c r="I2032" s="38"/>
      <c r="L2032" s="19"/>
      <c r="M2032" s="19"/>
      <c r="AS2032" s="28"/>
      <c r="AT2032" s="28"/>
      <c r="AU2032" s="28"/>
      <c r="AV2032" s="12"/>
      <c r="AW2032" s="29"/>
    </row>
    <row r="2033" spans="5:49">
      <c r="E2033" s="12"/>
      <c r="F2033" s="12"/>
      <c r="G2033" s="12"/>
      <c r="H2033" s="12"/>
      <c r="I2033" s="38"/>
      <c r="L2033" s="19"/>
      <c r="M2033" s="19"/>
      <c r="AS2033" s="28"/>
      <c r="AT2033" s="28"/>
      <c r="AU2033" s="28"/>
      <c r="AV2033" s="12"/>
      <c r="AW2033" s="29"/>
    </row>
    <row r="2034" spans="5:49">
      <c r="E2034" s="12"/>
      <c r="F2034" s="12"/>
      <c r="G2034" s="12"/>
      <c r="H2034" s="12"/>
      <c r="I2034" s="38"/>
      <c r="L2034" s="19"/>
      <c r="M2034" s="19"/>
      <c r="AS2034" s="28"/>
      <c r="AT2034" s="28"/>
      <c r="AU2034" s="28"/>
      <c r="AV2034" s="12"/>
      <c r="AW2034" s="29"/>
    </row>
    <row r="2035" spans="5:49">
      <c r="E2035" s="12"/>
      <c r="F2035" s="12"/>
      <c r="G2035" s="12"/>
      <c r="H2035" s="12"/>
      <c r="I2035" s="38"/>
      <c r="L2035" s="19"/>
      <c r="M2035" s="19"/>
      <c r="AS2035" s="28"/>
      <c r="AT2035" s="28"/>
      <c r="AU2035" s="28"/>
      <c r="AV2035" s="12"/>
      <c r="AW2035" s="29"/>
    </row>
    <row r="2036" spans="5:49">
      <c r="E2036" s="12"/>
      <c r="F2036" s="12"/>
      <c r="G2036" s="12"/>
      <c r="H2036" s="12"/>
      <c r="I2036" s="38"/>
      <c r="L2036" s="19"/>
      <c r="M2036" s="19"/>
      <c r="AS2036" s="28"/>
      <c r="AT2036" s="28"/>
      <c r="AU2036" s="28"/>
      <c r="AV2036" s="12"/>
      <c r="AW2036" s="29"/>
    </row>
    <row r="2037" spans="5:49">
      <c r="E2037" s="12"/>
      <c r="F2037" s="12"/>
      <c r="G2037" s="12"/>
      <c r="H2037" s="12"/>
      <c r="I2037" s="38"/>
      <c r="L2037" s="19"/>
      <c r="M2037" s="19"/>
      <c r="AS2037" s="28"/>
      <c r="AT2037" s="28"/>
      <c r="AU2037" s="28"/>
      <c r="AV2037" s="12"/>
      <c r="AW2037" s="29"/>
    </row>
    <row r="2038" spans="5:49">
      <c r="E2038" s="12"/>
      <c r="F2038" s="12"/>
      <c r="G2038" s="12"/>
      <c r="H2038" s="12"/>
      <c r="I2038" s="38"/>
      <c r="L2038" s="19"/>
      <c r="M2038" s="19"/>
      <c r="AS2038" s="28"/>
      <c r="AT2038" s="28"/>
      <c r="AU2038" s="28"/>
      <c r="AV2038" s="12"/>
      <c r="AW2038" s="29"/>
    </row>
    <row r="2039" spans="5:49">
      <c r="E2039" s="12"/>
      <c r="F2039" s="12"/>
      <c r="G2039" s="12"/>
      <c r="H2039" s="12"/>
      <c r="I2039" s="38"/>
      <c r="L2039" s="19"/>
      <c r="M2039" s="19"/>
      <c r="AS2039" s="28"/>
      <c r="AT2039" s="28"/>
      <c r="AU2039" s="28"/>
      <c r="AV2039" s="12"/>
      <c r="AW2039" s="29"/>
    </row>
    <row r="2040" spans="5:49">
      <c r="E2040" s="12"/>
      <c r="F2040" s="12"/>
      <c r="G2040" s="12"/>
      <c r="H2040" s="12"/>
      <c r="I2040" s="38"/>
      <c r="L2040" s="19"/>
      <c r="M2040" s="19"/>
      <c r="AS2040" s="28"/>
      <c r="AT2040" s="28"/>
      <c r="AU2040" s="28"/>
      <c r="AV2040" s="12"/>
      <c r="AW2040" s="29"/>
    </row>
    <row r="2041" spans="5:49">
      <c r="E2041" s="12"/>
      <c r="F2041" s="12"/>
      <c r="G2041" s="12"/>
      <c r="H2041" s="12"/>
      <c r="I2041" s="38"/>
      <c r="L2041" s="19"/>
      <c r="M2041" s="19"/>
      <c r="AS2041" s="28"/>
      <c r="AT2041" s="28"/>
      <c r="AU2041" s="28"/>
      <c r="AV2041" s="12"/>
      <c r="AW2041" s="29"/>
    </row>
    <row r="2042" spans="5:49">
      <c r="E2042" s="12"/>
      <c r="F2042" s="12"/>
      <c r="G2042" s="12"/>
      <c r="H2042" s="12"/>
      <c r="I2042" s="38"/>
      <c r="L2042" s="19"/>
      <c r="M2042" s="19"/>
      <c r="AS2042" s="28"/>
      <c r="AT2042" s="28"/>
      <c r="AU2042" s="28"/>
      <c r="AV2042" s="12"/>
      <c r="AW2042" s="29"/>
    </row>
    <row r="2043" spans="5:49">
      <c r="E2043" s="12"/>
      <c r="F2043" s="12"/>
      <c r="G2043" s="12"/>
      <c r="H2043" s="12"/>
      <c r="I2043" s="38"/>
      <c r="L2043" s="19"/>
      <c r="M2043" s="19"/>
      <c r="AS2043" s="28"/>
      <c r="AT2043" s="28"/>
      <c r="AU2043" s="28"/>
      <c r="AV2043" s="12"/>
      <c r="AW2043" s="29"/>
    </row>
    <row r="2044" spans="5:49">
      <c r="E2044" s="12"/>
      <c r="F2044" s="12"/>
      <c r="G2044" s="12"/>
      <c r="H2044" s="12"/>
      <c r="I2044" s="38"/>
      <c r="L2044" s="19"/>
      <c r="M2044" s="19"/>
      <c r="AS2044" s="28"/>
      <c r="AT2044" s="28"/>
      <c r="AU2044" s="28"/>
      <c r="AV2044" s="12"/>
      <c r="AW2044" s="29"/>
    </row>
    <row r="2045" spans="5:49">
      <c r="E2045" s="12"/>
      <c r="F2045" s="12"/>
      <c r="G2045" s="12"/>
      <c r="H2045" s="12"/>
      <c r="I2045" s="38"/>
      <c r="L2045" s="19"/>
      <c r="M2045" s="19"/>
      <c r="AS2045" s="28"/>
      <c r="AT2045" s="28"/>
      <c r="AU2045" s="28"/>
      <c r="AV2045" s="12"/>
      <c r="AW2045" s="29"/>
    </row>
    <row r="2046" spans="5:49">
      <c r="E2046" s="12"/>
      <c r="F2046" s="12"/>
      <c r="G2046" s="12"/>
      <c r="H2046" s="12"/>
      <c r="I2046" s="38"/>
      <c r="L2046" s="19"/>
      <c r="M2046" s="19"/>
      <c r="AS2046" s="28"/>
      <c r="AT2046" s="28"/>
      <c r="AU2046" s="28"/>
      <c r="AV2046" s="12"/>
      <c r="AW2046" s="29"/>
    </row>
    <row r="2047" spans="5:49">
      <c r="E2047" s="12"/>
      <c r="F2047" s="12"/>
      <c r="G2047" s="12"/>
      <c r="H2047" s="12"/>
      <c r="I2047" s="38"/>
      <c r="L2047" s="19"/>
      <c r="M2047" s="19"/>
      <c r="AS2047" s="28"/>
      <c r="AT2047" s="28"/>
      <c r="AU2047" s="28"/>
      <c r="AV2047" s="12"/>
      <c r="AW2047" s="29"/>
    </row>
    <row r="2048" spans="5:49">
      <c r="E2048" s="12"/>
      <c r="F2048" s="12"/>
      <c r="G2048" s="12"/>
      <c r="H2048" s="12"/>
      <c r="I2048" s="38"/>
      <c r="L2048" s="19"/>
      <c r="M2048" s="19"/>
      <c r="AS2048" s="28"/>
      <c r="AT2048" s="28"/>
      <c r="AU2048" s="28"/>
      <c r="AV2048" s="12"/>
      <c r="AW2048" s="29"/>
    </row>
    <row r="2049" spans="5:49">
      <c r="E2049" s="12"/>
      <c r="F2049" s="12"/>
      <c r="G2049" s="12"/>
      <c r="H2049" s="12"/>
      <c r="I2049" s="38"/>
      <c r="L2049" s="19"/>
      <c r="M2049" s="19"/>
      <c r="AS2049" s="28"/>
      <c r="AT2049" s="28"/>
      <c r="AU2049" s="28"/>
      <c r="AV2049" s="12"/>
      <c r="AW2049" s="29"/>
    </row>
    <row r="2050" spans="5:49">
      <c r="E2050" s="12"/>
      <c r="F2050" s="12"/>
      <c r="G2050" s="12"/>
      <c r="H2050" s="12"/>
      <c r="I2050" s="38"/>
      <c r="L2050" s="19"/>
      <c r="M2050" s="19"/>
      <c r="AS2050" s="28"/>
      <c r="AT2050" s="28"/>
      <c r="AU2050" s="28"/>
      <c r="AV2050" s="12"/>
      <c r="AW2050" s="29"/>
    </row>
    <row r="2051" spans="5:49">
      <c r="E2051" s="12"/>
      <c r="F2051" s="12"/>
      <c r="G2051" s="12"/>
      <c r="H2051" s="12"/>
      <c r="I2051" s="38"/>
      <c r="L2051" s="19"/>
      <c r="M2051" s="19"/>
      <c r="AS2051" s="28"/>
      <c r="AT2051" s="28"/>
      <c r="AU2051" s="28"/>
      <c r="AV2051" s="12"/>
      <c r="AW2051" s="29"/>
    </row>
    <row r="2052" spans="5:49">
      <c r="E2052" s="12"/>
      <c r="F2052" s="12"/>
      <c r="G2052" s="12"/>
      <c r="H2052" s="12"/>
      <c r="I2052" s="38"/>
      <c r="L2052" s="19"/>
      <c r="M2052" s="19"/>
      <c r="AS2052" s="28"/>
      <c r="AT2052" s="28"/>
      <c r="AU2052" s="28"/>
      <c r="AV2052" s="12"/>
      <c r="AW2052" s="29"/>
    </row>
    <row r="2053" spans="5:49">
      <c r="E2053" s="12"/>
      <c r="F2053" s="12"/>
      <c r="G2053" s="12"/>
      <c r="H2053" s="12"/>
      <c r="I2053" s="38"/>
      <c r="L2053" s="19"/>
      <c r="M2053" s="19"/>
      <c r="AS2053" s="28"/>
      <c r="AT2053" s="28"/>
      <c r="AU2053" s="28"/>
      <c r="AV2053" s="12"/>
      <c r="AW2053" s="29"/>
    </row>
    <row r="2054" spans="5:49">
      <c r="E2054" s="12"/>
      <c r="F2054" s="12"/>
      <c r="G2054" s="12"/>
      <c r="H2054" s="12"/>
      <c r="I2054" s="38"/>
      <c r="L2054" s="19"/>
      <c r="M2054" s="19"/>
      <c r="AS2054" s="28"/>
      <c r="AT2054" s="28"/>
      <c r="AU2054" s="28"/>
      <c r="AV2054" s="12"/>
      <c r="AW2054" s="29"/>
    </row>
    <row r="2055" spans="5:49">
      <c r="E2055" s="12"/>
      <c r="F2055" s="12"/>
      <c r="G2055" s="12"/>
      <c r="H2055" s="12"/>
      <c r="I2055" s="38"/>
      <c r="L2055" s="19"/>
      <c r="M2055" s="19"/>
      <c r="AS2055" s="28"/>
      <c r="AT2055" s="28"/>
      <c r="AU2055" s="28"/>
      <c r="AV2055" s="12"/>
      <c r="AW2055" s="29"/>
    </row>
    <row r="2056" spans="5:49">
      <c r="E2056" s="12"/>
      <c r="F2056" s="12"/>
      <c r="G2056" s="12"/>
      <c r="H2056" s="12"/>
      <c r="I2056" s="38"/>
      <c r="L2056" s="19"/>
      <c r="M2056" s="19"/>
      <c r="AS2056" s="28"/>
      <c r="AT2056" s="28"/>
      <c r="AU2056" s="28"/>
      <c r="AV2056" s="12"/>
      <c r="AW2056" s="29"/>
    </row>
    <row r="2057" spans="5:49">
      <c r="E2057" s="12"/>
      <c r="F2057" s="12"/>
      <c r="G2057" s="12"/>
      <c r="H2057" s="12"/>
      <c r="I2057" s="38"/>
      <c r="L2057" s="19"/>
      <c r="M2057" s="19"/>
      <c r="AS2057" s="28"/>
      <c r="AT2057" s="28"/>
      <c r="AU2057" s="28"/>
      <c r="AV2057" s="12"/>
      <c r="AW2057" s="29"/>
    </row>
    <row r="2058" spans="5:49">
      <c r="E2058" s="12"/>
      <c r="F2058" s="12"/>
      <c r="G2058" s="12"/>
      <c r="H2058" s="12"/>
      <c r="I2058" s="38"/>
      <c r="L2058" s="19"/>
      <c r="M2058" s="19"/>
      <c r="AS2058" s="28"/>
      <c r="AT2058" s="28"/>
      <c r="AU2058" s="28"/>
      <c r="AV2058" s="12"/>
      <c r="AW2058" s="29"/>
    </row>
    <row r="2059" spans="5:49">
      <c r="E2059" s="12"/>
      <c r="F2059" s="12"/>
      <c r="G2059" s="12"/>
      <c r="H2059" s="12"/>
      <c r="I2059" s="38"/>
      <c r="L2059" s="19"/>
      <c r="M2059" s="19"/>
      <c r="AS2059" s="28"/>
      <c r="AT2059" s="28"/>
      <c r="AU2059" s="28"/>
      <c r="AV2059" s="12"/>
      <c r="AW2059" s="29"/>
    </row>
    <row r="2060" spans="5:49">
      <c r="E2060" s="12"/>
      <c r="F2060" s="12"/>
      <c r="G2060" s="12"/>
      <c r="H2060" s="12"/>
      <c r="I2060" s="38"/>
      <c r="L2060" s="19"/>
      <c r="M2060" s="19"/>
      <c r="AS2060" s="28"/>
      <c r="AT2060" s="28"/>
      <c r="AU2060" s="28"/>
      <c r="AV2060" s="12"/>
      <c r="AW2060" s="29"/>
    </row>
    <row r="2061" spans="5:49">
      <c r="E2061" s="12"/>
      <c r="F2061" s="12"/>
      <c r="G2061" s="12"/>
      <c r="H2061" s="12"/>
      <c r="I2061" s="38"/>
      <c r="L2061" s="19"/>
      <c r="M2061" s="19"/>
      <c r="AS2061" s="28"/>
      <c r="AT2061" s="28"/>
      <c r="AU2061" s="28"/>
      <c r="AV2061" s="12"/>
      <c r="AW2061" s="29"/>
    </row>
    <row r="2062" spans="5:49">
      <c r="E2062" s="12"/>
      <c r="F2062" s="12"/>
      <c r="G2062" s="12"/>
      <c r="H2062" s="12"/>
      <c r="I2062" s="38"/>
      <c r="L2062" s="19"/>
      <c r="M2062" s="19"/>
      <c r="AS2062" s="28"/>
      <c r="AT2062" s="28"/>
      <c r="AU2062" s="28"/>
      <c r="AV2062" s="12"/>
      <c r="AW2062" s="29"/>
    </row>
    <row r="2063" spans="5:49">
      <c r="E2063" s="12"/>
      <c r="F2063" s="12"/>
      <c r="G2063" s="12"/>
      <c r="H2063" s="12"/>
      <c r="I2063" s="38"/>
      <c r="L2063" s="19"/>
      <c r="M2063" s="19"/>
      <c r="AS2063" s="28"/>
      <c r="AT2063" s="28"/>
      <c r="AU2063" s="28"/>
      <c r="AV2063" s="12"/>
      <c r="AW2063" s="29"/>
    </row>
    <row r="2064" spans="5:49">
      <c r="E2064" s="12"/>
      <c r="F2064" s="12"/>
      <c r="G2064" s="12"/>
      <c r="H2064" s="12"/>
      <c r="I2064" s="38"/>
      <c r="L2064" s="19"/>
      <c r="M2064" s="19"/>
      <c r="AS2064" s="28"/>
      <c r="AT2064" s="28"/>
      <c r="AU2064" s="28"/>
      <c r="AV2064" s="12"/>
      <c r="AW2064" s="29"/>
    </row>
    <row r="2065" spans="5:49">
      <c r="E2065" s="12"/>
      <c r="F2065" s="12"/>
      <c r="G2065" s="12"/>
      <c r="H2065" s="12"/>
      <c r="I2065" s="38"/>
      <c r="L2065" s="19"/>
      <c r="M2065" s="19"/>
      <c r="AS2065" s="28"/>
      <c r="AT2065" s="28"/>
      <c r="AU2065" s="28"/>
      <c r="AV2065" s="12"/>
      <c r="AW2065" s="29"/>
    </row>
    <row r="2066" spans="5:49">
      <c r="E2066" s="12"/>
      <c r="F2066" s="12"/>
      <c r="G2066" s="12"/>
      <c r="H2066" s="12"/>
      <c r="I2066" s="38"/>
      <c r="L2066" s="19"/>
      <c r="M2066" s="19"/>
      <c r="AS2066" s="28"/>
      <c r="AT2066" s="28"/>
      <c r="AU2066" s="28"/>
      <c r="AV2066" s="12"/>
      <c r="AW2066" s="29"/>
    </row>
    <row r="2067" spans="5:49">
      <c r="E2067" s="12"/>
      <c r="F2067" s="12"/>
      <c r="G2067" s="12"/>
      <c r="H2067" s="12"/>
      <c r="I2067" s="38"/>
      <c r="L2067" s="19"/>
      <c r="M2067" s="19"/>
      <c r="AS2067" s="28"/>
      <c r="AT2067" s="28"/>
      <c r="AU2067" s="28"/>
      <c r="AV2067" s="12"/>
      <c r="AW2067" s="29"/>
    </row>
    <row r="2068" spans="5:49">
      <c r="E2068" s="12"/>
      <c r="F2068" s="12"/>
      <c r="G2068" s="12"/>
      <c r="H2068" s="12"/>
      <c r="I2068" s="38"/>
      <c r="L2068" s="19"/>
      <c r="M2068" s="19"/>
      <c r="AS2068" s="28"/>
      <c r="AT2068" s="28"/>
      <c r="AU2068" s="28"/>
      <c r="AV2068" s="12"/>
      <c r="AW2068" s="29"/>
    </row>
    <row r="2069" spans="5:49">
      <c r="E2069" s="12"/>
      <c r="F2069" s="12"/>
      <c r="G2069" s="12"/>
      <c r="H2069" s="12"/>
      <c r="I2069" s="38"/>
      <c r="L2069" s="19"/>
      <c r="M2069" s="19"/>
      <c r="AS2069" s="28"/>
      <c r="AT2069" s="28"/>
      <c r="AU2069" s="28"/>
      <c r="AV2069" s="12"/>
      <c r="AW2069" s="29"/>
    </row>
    <row r="2070" spans="5:49">
      <c r="E2070" s="12"/>
      <c r="F2070" s="12"/>
      <c r="G2070" s="12"/>
      <c r="H2070" s="12"/>
      <c r="I2070" s="38"/>
      <c r="L2070" s="19"/>
      <c r="M2070" s="19"/>
      <c r="AS2070" s="28"/>
      <c r="AT2070" s="28"/>
      <c r="AU2070" s="28"/>
      <c r="AV2070" s="12"/>
      <c r="AW2070" s="29"/>
    </row>
    <row r="2071" spans="5:49">
      <c r="E2071" s="12"/>
      <c r="F2071" s="12"/>
      <c r="G2071" s="12"/>
      <c r="H2071" s="12"/>
      <c r="I2071" s="38"/>
      <c r="L2071" s="19"/>
      <c r="M2071" s="19"/>
      <c r="AS2071" s="28"/>
      <c r="AT2071" s="28"/>
      <c r="AU2071" s="28"/>
      <c r="AV2071" s="12"/>
      <c r="AW2071" s="29"/>
    </row>
    <row r="2072" spans="5:49">
      <c r="E2072" s="12"/>
      <c r="F2072" s="12"/>
      <c r="G2072" s="12"/>
      <c r="H2072" s="12"/>
      <c r="I2072" s="38"/>
      <c r="L2072" s="19"/>
      <c r="M2072" s="19"/>
      <c r="AS2072" s="28"/>
      <c r="AT2072" s="28"/>
      <c r="AU2072" s="28"/>
      <c r="AV2072" s="12"/>
      <c r="AW2072" s="29"/>
    </row>
    <row r="2073" spans="5:49">
      <c r="E2073" s="12"/>
      <c r="F2073" s="12"/>
      <c r="G2073" s="12"/>
      <c r="H2073" s="12"/>
      <c r="I2073" s="38"/>
      <c r="L2073" s="19"/>
      <c r="M2073" s="19"/>
      <c r="AS2073" s="28"/>
      <c r="AT2073" s="28"/>
      <c r="AU2073" s="28"/>
      <c r="AV2073" s="12"/>
      <c r="AW2073" s="29"/>
    </row>
    <row r="2074" spans="5:49">
      <c r="E2074" s="12"/>
      <c r="F2074" s="12"/>
      <c r="G2074" s="12"/>
      <c r="H2074" s="12"/>
      <c r="I2074" s="38"/>
      <c r="L2074" s="19"/>
      <c r="M2074" s="19"/>
      <c r="AS2074" s="28"/>
      <c r="AT2074" s="28"/>
      <c r="AU2074" s="28"/>
      <c r="AV2074" s="12"/>
      <c r="AW2074" s="29"/>
    </row>
    <row r="2075" spans="5:49">
      <c r="E2075" s="12"/>
      <c r="F2075" s="12"/>
      <c r="G2075" s="12"/>
      <c r="H2075" s="12"/>
      <c r="I2075" s="38"/>
      <c r="L2075" s="19"/>
      <c r="M2075" s="19"/>
      <c r="AS2075" s="28"/>
      <c r="AT2075" s="28"/>
      <c r="AU2075" s="28"/>
      <c r="AV2075" s="12"/>
      <c r="AW2075" s="29"/>
    </row>
    <row r="2076" spans="5:49">
      <c r="E2076" s="12"/>
      <c r="F2076" s="12"/>
      <c r="G2076" s="12"/>
      <c r="H2076" s="12"/>
      <c r="I2076" s="38"/>
      <c r="L2076" s="19"/>
      <c r="M2076" s="19"/>
      <c r="AS2076" s="28"/>
      <c r="AT2076" s="28"/>
      <c r="AU2076" s="28"/>
      <c r="AV2076" s="12"/>
      <c r="AW2076" s="29"/>
    </row>
    <row r="2077" spans="5:49">
      <c r="E2077" s="12"/>
      <c r="F2077" s="12"/>
      <c r="G2077" s="12"/>
      <c r="H2077" s="12"/>
      <c r="I2077" s="38"/>
      <c r="L2077" s="19"/>
      <c r="M2077" s="19"/>
      <c r="AS2077" s="28"/>
      <c r="AT2077" s="28"/>
      <c r="AU2077" s="28"/>
      <c r="AV2077" s="12"/>
      <c r="AW2077" s="29"/>
    </row>
    <row r="2078" spans="5:49">
      <c r="E2078" s="12"/>
      <c r="F2078" s="12"/>
      <c r="G2078" s="12"/>
      <c r="H2078" s="12"/>
      <c r="I2078" s="38"/>
      <c r="L2078" s="19"/>
      <c r="M2078" s="19"/>
      <c r="AS2078" s="28"/>
      <c r="AT2078" s="28"/>
      <c r="AU2078" s="28"/>
      <c r="AV2078" s="12"/>
      <c r="AW2078" s="29"/>
    </row>
    <row r="2079" spans="5:49">
      <c r="E2079" s="12"/>
      <c r="F2079" s="12"/>
      <c r="G2079" s="12"/>
      <c r="H2079" s="12"/>
      <c r="I2079" s="38"/>
      <c r="L2079" s="19"/>
      <c r="M2079" s="19"/>
      <c r="AS2079" s="28"/>
      <c r="AT2079" s="28"/>
      <c r="AU2079" s="28"/>
      <c r="AV2079" s="12"/>
      <c r="AW2079" s="29"/>
    </row>
    <row r="2080" spans="5:49">
      <c r="E2080" s="12"/>
      <c r="F2080" s="12"/>
      <c r="G2080" s="12"/>
      <c r="H2080" s="12"/>
      <c r="I2080" s="38"/>
      <c r="L2080" s="19"/>
      <c r="M2080" s="19"/>
      <c r="AS2080" s="28"/>
      <c r="AT2080" s="28"/>
      <c r="AU2080" s="28"/>
      <c r="AV2080" s="12"/>
      <c r="AW2080" s="29"/>
    </row>
    <row r="2081" spans="5:49">
      <c r="E2081" s="12"/>
      <c r="F2081" s="12"/>
      <c r="G2081" s="12"/>
      <c r="H2081" s="12"/>
      <c r="I2081" s="38"/>
      <c r="L2081" s="19"/>
      <c r="M2081" s="19"/>
      <c r="AS2081" s="28"/>
      <c r="AT2081" s="28"/>
      <c r="AU2081" s="28"/>
      <c r="AV2081" s="12"/>
      <c r="AW2081" s="29"/>
    </row>
    <row r="2082" spans="5:49">
      <c r="E2082" s="12"/>
      <c r="F2082" s="12"/>
      <c r="G2082" s="12"/>
      <c r="H2082" s="12"/>
      <c r="I2082" s="38"/>
      <c r="L2082" s="19"/>
      <c r="M2082" s="19"/>
      <c r="AS2082" s="28"/>
      <c r="AT2082" s="28"/>
      <c r="AU2082" s="28"/>
      <c r="AV2082" s="12"/>
      <c r="AW2082" s="29"/>
    </row>
    <row r="2083" spans="5:49">
      <c r="E2083" s="12"/>
      <c r="F2083" s="12"/>
      <c r="G2083" s="12"/>
      <c r="H2083" s="12"/>
      <c r="I2083" s="38"/>
      <c r="L2083" s="19"/>
      <c r="M2083" s="19"/>
      <c r="AS2083" s="28"/>
      <c r="AT2083" s="28"/>
      <c r="AU2083" s="28"/>
      <c r="AV2083" s="12"/>
      <c r="AW2083" s="29"/>
    </row>
    <row r="2084" spans="5:49">
      <c r="E2084" s="12"/>
      <c r="F2084" s="12"/>
      <c r="G2084" s="12"/>
      <c r="H2084" s="12"/>
      <c r="I2084" s="38"/>
      <c r="L2084" s="19"/>
      <c r="M2084" s="19"/>
      <c r="AS2084" s="28"/>
      <c r="AT2084" s="28"/>
      <c r="AU2084" s="28"/>
      <c r="AV2084" s="12"/>
      <c r="AW2084" s="29"/>
    </row>
    <row r="2085" spans="5:49">
      <c r="E2085" s="12"/>
      <c r="F2085" s="12"/>
      <c r="G2085" s="12"/>
      <c r="H2085" s="12"/>
      <c r="I2085" s="38"/>
      <c r="L2085" s="19"/>
      <c r="M2085" s="19"/>
      <c r="AS2085" s="28"/>
      <c r="AT2085" s="28"/>
      <c r="AU2085" s="28"/>
      <c r="AV2085" s="12"/>
      <c r="AW2085" s="29"/>
    </row>
    <row r="2086" spans="5:49">
      <c r="E2086" s="12"/>
      <c r="F2086" s="12"/>
      <c r="G2086" s="12"/>
      <c r="H2086" s="12"/>
      <c r="I2086" s="38"/>
      <c r="L2086" s="19"/>
      <c r="M2086" s="19"/>
      <c r="AS2086" s="28"/>
      <c r="AT2086" s="28"/>
      <c r="AU2086" s="28"/>
      <c r="AV2086" s="12"/>
      <c r="AW2086" s="29"/>
    </row>
    <row r="2087" spans="5:49">
      <c r="E2087" s="12"/>
      <c r="F2087" s="12"/>
      <c r="G2087" s="12"/>
      <c r="H2087" s="12"/>
      <c r="I2087" s="38"/>
      <c r="L2087" s="19"/>
      <c r="M2087" s="19"/>
      <c r="AS2087" s="28"/>
      <c r="AT2087" s="28"/>
      <c r="AU2087" s="28"/>
      <c r="AV2087" s="12"/>
      <c r="AW2087" s="29"/>
    </row>
    <row r="2088" spans="5:49">
      <c r="E2088" s="12"/>
      <c r="F2088" s="12"/>
      <c r="G2088" s="12"/>
      <c r="H2088" s="12"/>
      <c r="I2088" s="38"/>
      <c r="L2088" s="19"/>
      <c r="M2088" s="19"/>
      <c r="AS2088" s="28"/>
      <c r="AT2088" s="28"/>
      <c r="AU2088" s="28"/>
      <c r="AV2088" s="12"/>
      <c r="AW2088" s="29"/>
    </row>
    <row r="2089" spans="5:49">
      <c r="E2089" s="12"/>
      <c r="F2089" s="12"/>
      <c r="G2089" s="12"/>
      <c r="H2089" s="12"/>
      <c r="I2089" s="38"/>
      <c r="L2089" s="19"/>
      <c r="M2089" s="19"/>
      <c r="AS2089" s="28"/>
      <c r="AT2089" s="28"/>
      <c r="AU2089" s="28"/>
      <c r="AV2089" s="12"/>
      <c r="AW2089" s="29"/>
    </row>
    <row r="2090" spans="5:49">
      <c r="E2090" s="12"/>
      <c r="F2090" s="12"/>
      <c r="G2090" s="12"/>
      <c r="H2090" s="12"/>
      <c r="I2090" s="38"/>
      <c r="L2090" s="19"/>
      <c r="M2090" s="19"/>
      <c r="AS2090" s="28"/>
      <c r="AT2090" s="28"/>
      <c r="AU2090" s="28"/>
      <c r="AV2090" s="12"/>
      <c r="AW2090" s="29"/>
    </row>
    <row r="2091" spans="5:49">
      <c r="E2091" s="12"/>
      <c r="F2091" s="12"/>
      <c r="G2091" s="12"/>
      <c r="H2091" s="12"/>
      <c r="I2091" s="38"/>
      <c r="L2091" s="19"/>
      <c r="M2091" s="19"/>
      <c r="AS2091" s="28"/>
      <c r="AT2091" s="28"/>
      <c r="AU2091" s="28"/>
      <c r="AV2091" s="12"/>
      <c r="AW2091" s="29"/>
    </row>
    <row r="2092" spans="5:49">
      <c r="E2092" s="12"/>
      <c r="F2092" s="12"/>
      <c r="G2092" s="12"/>
      <c r="H2092" s="12"/>
      <c r="I2092" s="38"/>
      <c r="L2092" s="19"/>
      <c r="M2092" s="19"/>
      <c r="AS2092" s="28"/>
      <c r="AT2092" s="28"/>
      <c r="AU2092" s="28"/>
      <c r="AV2092" s="12"/>
      <c r="AW2092" s="29"/>
    </row>
    <row r="2093" spans="5:49">
      <c r="E2093" s="12"/>
      <c r="F2093" s="12"/>
      <c r="G2093" s="12"/>
      <c r="H2093" s="12"/>
      <c r="I2093" s="38"/>
      <c r="L2093" s="19"/>
      <c r="M2093" s="19"/>
      <c r="AS2093" s="28"/>
      <c r="AT2093" s="28"/>
      <c r="AU2093" s="28"/>
      <c r="AV2093" s="12"/>
      <c r="AW2093" s="29"/>
    </row>
    <row r="2094" spans="5:49">
      <c r="E2094" s="12"/>
      <c r="F2094" s="12"/>
      <c r="G2094" s="12"/>
      <c r="H2094" s="12"/>
      <c r="I2094" s="38"/>
      <c r="L2094" s="19"/>
      <c r="M2094" s="19"/>
      <c r="AS2094" s="28"/>
      <c r="AT2094" s="28"/>
      <c r="AU2094" s="28"/>
      <c r="AV2094" s="12"/>
      <c r="AW2094" s="29"/>
    </row>
    <row r="2095" spans="5:49">
      <c r="E2095" s="12"/>
      <c r="F2095" s="12"/>
      <c r="G2095" s="12"/>
      <c r="H2095" s="12"/>
      <c r="I2095" s="38"/>
      <c r="L2095" s="19"/>
      <c r="M2095" s="19"/>
      <c r="AS2095" s="28"/>
      <c r="AT2095" s="28"/>
      <c r="AU2095" s="28"/>
      <c r="AV2095" s="12"/>
      <c r="AW2095" s="29"/>
    </row>
    <row r="2096" spans="5:49">
      <c r="E2096" s="12"/>
      <c r="F2096" s="12"/>
      <c r="G2096" s="12"/>
      <c r="H2096" s="12"/>
      <c r="I2096" s="38"/>
      <c r="L2096" s="19"/>
      <c r="M2096" s="19"/>
      <c r="AS2096" s="28"/>
      <c r="AT2096" s="28"/>
      <c r="AU2096" s="28"/>
      <c r="AV2096" s="12"/>
      <c r="AW2096" s="29"/>
    </row>
    <row r="2097" spans="5:49">
      <c r="E2097" s="12"/>
      <c r="F2097" s="12"/>
      <c r="G2097" s="12"/>
      <c r="H2097" s="12"/>
      <c r="I2097" s="38"/>
      <c r="L2097" s="19"/>
      <c r="M2097" s="19"/>
      <c r="AS2097" s="28"/>
      <c r="AT2097" s="28"/>
      <c r="AU2097" s="28"/>
      <c r="AV2097" s="12"/>
      <c r="AW2097" s="29"/>
    </row>
    <row r="2098" spans="5:49">
      <c r="E2098" s="12"/>
      <c r="F2098" s="12"/>
      <c r="G2098" s="12"/>
      <c r="H2098" s="12"/>
      <c r="I2098" s="38"/>
      <c r="L2098" s="19"/>
      <c r="M2098" s="19"/>
      <c r="AS2098" s="28"/>
      <c r="AT2098" s="28"/>
      <c r="AU2098" s="28"/>
      <c r="AV2098" s="12"/>
      <c r="AW2098" s="29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E10" sqref="E9:E10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210</v>
      </c>
      <c r="B1" s="1">
        <f>B12</f>
        <v>43262</v>
      </c>
    </row>
    <row r="2" spans="1:2">
      <c r="A2" t="s">
        <v>211</v>
      </c>
      <c r="B2" s="1">
        <v>43289</v>
      </c>
    </row>
    <row r="4" spans="1:2">
      <c r="A4" t="s">
        <v>212</v>
      </c>
      <c r="B4" s="2">
        <f>B2+1</f>
        <v>43290</v>
      </c>
    </row>
    <row r="5" spans="1:2">
      <c r="A5" t="s">
        <v>213</v>
      </c>
      <c r="B5" s="3">
        <f>B2</f>
        <v>43289</v>
      </c>
    </row>
    <row r="6" spans="1:2">
      <c r="A6" t="s">
        <v>214</v>
      </c>
      <c r="B6" s="2">
        <f>B5-6</f>
        <v>43283</v>
      </c>
    </row>
    <row r="7" spans="1:2">
      <c r="A7" t="s">
        <v>215</v>
      </c>
      <c r="B7" s="2">
        <f>B5-7</f>
        <v>43282</v>
      </c>
    </row>
    <row r="8" spans="1:2">
      <c r="A8" t="s">
        <v>216</v>
      </c>
      <c r="B8" s="2">
        <f>B5-13</f>
        <v>43276</v>
      </c>
    </row>
    <row r="9" spans="1:2">
      <c r="A9" t="s">
        <v>217</v>
      </c>
      <c r="B9" s="2">
        <f>B5-14</f>
        <v>43275</v>
      </c>
    </row>
    <row r="10" spans="1:2">
      <c r="A10" t="s">
        <v>218</v>
      </c>
      <c r="B10" s="2">
        <f>B5-20</f>
        <v>43269</v>
      </c>
    </row>
    <row r="11" spans="1:2">
      <c r="A11" t="s">
        <v>219</v>
      </c>
      <c r="B11" s="2">
        <f>B5-21</f>
        <v>43268</v>
      </c>
    </row>
    <row r="12" spans="1:2">
      <c r="A12" t="s">
        <v>220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2018-07-10T02:46:00Z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