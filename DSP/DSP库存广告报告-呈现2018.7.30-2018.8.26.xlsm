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/>
  </bookViews>
  <sheets>
    <sheet name="库存（子SKU）" sheetId="8" r:id="rId1"/>
    <sheet name="时间" sheetId="10" r:id="rId2"/>
  </sheets>
  <externalReferences>
    <externalReference r:id="rId3"/>
    <externalReference r:id="rId4"/>
    <externalReference r:id="rId5"/>
    <externalReference r:id="rId6"/>
  </externalReferences>
  <definedNames>
    <definedName name="_xlnm._FilterDatabase" localSheetId="0" hidden="1">'库存（子SKU）'!$A$4:$AW$2098</definedName>
  </definedNames>
  <calcPr calcId="144525" concurrentCalc="0"/>
</workbook>
</file>

<file path=xl/sharedStrings.xml><?xml version="1.0" encoding="utf-8"?>
<sst xmlns="http://schemas.openxmlformats.org/spreadsheetml/2006/main" count="430">
  <si>
    <t>DSP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</si>
  <si>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</si>
  <si>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</si>
  <si>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</si>
  <si>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</si>
  <si>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</si>
  <si>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</si>
  <si>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</si>
  <si>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</si>
  <si>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</si>
  <si>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</si>
  <si>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3S-1QX9-6RRP</t>
  </si>
  <si>
    <t>时间</t>
  </si>
  <si>
    <t>库存报告下载时间6.19
亚马逊后台更新时间为6.136.</t>
  </si>
  <si>
    <t>子SKU</t>
  </si>
  <si>
    <t>子asin</t>
  </si>
  <si>
    <t>产品名称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</si>
  <si>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</si>
  <si>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</si>
  <si>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</si>
  <si>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</si>
  <si>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</si>
  <si>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</si>
  <si>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</si>
  <si>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</si>
  <si>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</si>
  <si>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</si>
  <si>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</si>
  <si>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</si>
  <si>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</si>
  <si>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</si>
  <si>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</si>
  <si>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</si>
  <si>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</si>
  <si>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</si>
  <si>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</si>
  <si>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</si>
  <si>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</si>
  <si>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</si>
  <si>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</si>
  <si>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</si>
  <si>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</si>
  <si>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</si>
  <si>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</si>
  <si>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</si>
  <si>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</si>
  <si>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</si>
  <si>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</si>
  <si>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</si>
  <si>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</si>
  <si>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</si>
  <si>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>06-LI7A-IZ44</t>
  </si>
  <si>
    <t>B0052K03KA</t>
  </si>
  <si>
    <t>Premier Dead Sea Essential Face Cleanser for Men</t>
  </si>
  <si>
    <t/>
  </si>
  <si>
    <t>0Z-KJNM-D56T</t>
  </si>
  <si>
    <t>B00157ZFC0</t>
  </si>
  <si>
    <t>Premier Dead Sea Body Butter Herbal Scent</t>
  </si>
  <si>
    <t>1M-3M12-58YS</t>
  </si>
  <si>
    <t>B002DYY35Y</t>
  </si>
  <si>
    <t>Premier Dead Sea Mineral Body Treatment - Salt Scrub - Lemon Aroma</t>
  </si>
  <si>
    <t>有广告无销售广告费为</t>
  </si>
  <si>
    <t>库存为0</t>
  </si>
  <si>
    <t>上周无销量</t>
  </si>
  <si>
    <t>2N-C2ZT-YSNI</t>
  </si>
  <si>
    <t>B0016VW618</t>
  </si>
  <si>
    <t>Premier Usa Dead Sea shaving Cream for Men All Skin</t>
  </si>
  <si>
    <t>库存为8</t>
  </si>
  <si>
    <t>3E-OBBY-DIEZ</t>
  </si>
  <si>
    <t>B00157XFNQ</t>
  </si>
  <si>
    <t>Premier Dead Sea Active Moisture Complex - Normal to Dry Skin</t>
  </si>
  <si>
    <t>B001DXOWA2</t>
  </si>
  <si>
    <t>Premier Dead Sea Ageless Future Cell Renewal Cream</t>
  </si>
  <si>
    <t>54-2HQR-70OB</t>
  </si>
  <si>
    <t>B00115TXRE</t>
  </si>
  <si>
    <t>58-6A0P-DRT9</t>
  </si>
  <si>
    <t>B001278VEW</t>
  </si>
  <si>
    <t>Premier Dead Sea Professional Peeling Mask</t>
  </si>
  <si>
    <t>库存为53</t>
  </si>
  <si>
    <t>5D-ZS9Q-CYOL</t>
  </si>
  <si>
    <t>B003Y7D0HQ</t>
  </si>
  <si>
    <t>Premier Dead Sea Pearl White Cream Complex, 2.04-Fluid Ounce</t>
  </si>
  <si>
    <t>5S-TEQM-ZWF1</t>
  </si>
  <si>
    <t>B000VEWF2Q</t>
  </si>
  <si>
    <t>5X-E8TX-UKIW</t>
  </si>
  <si>
    <t>6T-8V8W-3S67</t>
  </si>
  <si>
    <t>B000VF5WVG</t>
  </si>
  <si>
    <t>Premier by Dead Sea Premier Luxury Collection Milk Cleanser, 8.5 fl oz</t>
  </si>
  <si>
    <t>7K-XLQF-24PG</t>
  </si>
  <si>
    <t>8V-1JSS-5D7M</t>
  </si>
  <si>
    <t>B004H02GDI</t>
  </si>
  <si>
    <t>Dead Sea Premier Beautifying Nail Kit Milk and Honey - Body Lotion,Cuticle Oil,Nail File,Buffing Block</t>
  </si>
  <si>
    <t>97-6SJH-1LTA</t>
  </si>
  <si>
    <t>B001561M00</t>
  </si>
  <si>
    <t>Premier Dead Sea Intensive Biox Thermal Beauty Mask**NEW IN BOX**SAME IN MALL**</t>
  </si>
  <si>
    <t>库存为1</t>
  </si>
  <si>
    <t>A5-X9GB-M912</t>
  </si>
  <si>
    <t>B002DL9M2G</t>
  </si>
  <si>
    <t>Premier Dead Sea Luxurious Anti-aging Neck Cream, 2.04 oz</t>
  </si>
  <si>
    <t>BM-6KQ2-02X2</t>
  </si>
  <si>
    <t>B004HFNFU6</t>
  </si>
  <si>
    <t>C3-311K-550X</t>
  </si>
  <si>
    <t>CF-7C1X-596L</t>
  </si>
  <si>
    <t>B003Y7EU16</t>
  </si>
  <si>
    <t>Premier Dead Sea Day Cream Complex (for normal to dry skin)</t>
  </si>
  <si>
    <t>DA-BINR-0UIS</t>
  </si>
  <si>
    <t>B002KFR628</t>
  </si>
  <si>
    <t>DM-LSF9-NGGG</t>
  </si>
  <si>
    <t>B002QSD1YQ</t>
  </si>
  <si>
    <t>Dead Sea Premier Moisture Cream for Normal to Dry Skin</t>
  </si>
  <si>
    <t>DW-MG8E-BMQG</t>
  </si>
  <si>
    <t>E8-GWV1-AJMB</t>
  </si>
  <si>
    <t>B008YFY9TQ</t>
  </si>
  <si>
    <t>Premier Dead Sea Aromatic Body Butter- Milk and Honey, 175ml</t>
  </si>
  <si>
    <t>EW-ERSE-5U59</t>
  </si>
  <si>
    <t>B0012IVH2O</t>
  </si>
  <si>
    <t>premier dead sea body butter milk &amp; honey scent Plastic Jar</t>
  </si>
  <si>
    <t>GE-EMV6-4E4J</t>
  </si>
  <si>
    <t>B003CEA88U</t>
  </si>
  <si>
    <t>Gratiae Organics Facial Cleansing Lotion, 6.8 Ounce</t>
  </si>
  <si>
    <t>HF-I2e-AABS</t>
  </si>
  <si>
    <t>B000VER1RU</t>
  </si>
  <si>
    <t>Premier Dead Sea Biox Intensive Age Cream/Anti-age Complex, 2.0400-Fluid Ounce</t>
  </si>
  <si>
    <t>HF-T9QA-X3JZ</t>
  </si>
  <si>
    <t>HF-a10e-MINM</t>
  </si>
  <si>
    <t>B0010BBCFK</t>
  </si>
  <si>
    <t>Premier Dead Sea Classic Miracle Noir Mask</t>
  </si>
  <si>
    <t>HF-a136e-MHBB</t>
  </si>
  <si>
    <t>HF-a14e-NICC</t>
  </si>
  <si>
    <t>B00117D9MW</t>
  </si>
  <si>
    <t>Premier Dead Sea Night Cream Complex, 2.04 Fluid Ounce</t>
  </si>
  <si>
    <t>库存为48</t>
  </si>
  <si>
    <t>HF-a18e-IADC</t>
  </si>
  <si>
    <t>B00022AUVA</t>
  </si>
  <si>
    <t>Premier Dead Sea Age Defying/Anti Age Cream</t>
  </si>
  <si>
    <t>HF-a1e-LCMC</t>
  </si>
  <si>
    <t>HF-a21e-SCFM</t>
  </si>
  <si>
    <t>B0010OMN4G</t>
  </si>
  <si>
    <t>Premier Dead Sea Shaving Cream for Men, Tube, 4.2268-Fluid Ounce</t>
  </si>
  <si>
    <t>HF-a33e-LUHC</t>
  </si>
  <si>
    <t>B004HTXUNE</t>
  </si>
  <si>
    <t>Premier Dead Sea Luxury Hand Cream 125ml/4.25fl.oz</t>
  </si>
  <si>
    <t>库存为57</t>
  </si>
  <si>
    <t>HF-a37e-FCMG</t>
  </si>
  <si>
    <t>B004H09KEQ</t>
  </si>
  <si>
    <t>Premier Dead Sea Luxury Facial Cleanser with Micro Grains, 4.25-Fluid Ounce</t>
  </si>
  <si>
    <t>HF-a56e-EYES</t>
  </si>
  <si>
    <t>Dead Sea Premier Eye Serum.</t>
  </si>
  <si>
    <t>HF-a5e-NCFM</t>
  </si>
  <si>
    <t>B003NQ7P0Q</t>
  </si>
  <si>
    <t>Premier Dead Sea Nourishing Cream for Men (tube)</t>
  </si>
  <si>
    <t>HF-a69e-PEFG</t>
  </si>
  <si>
    <t>B00BD3OU72</t>
  </si>
  <si>
    <t>Premier Dead Sea Para-pharmaceutical Exfoliating Facial Gel, Brown, 4.3958-Fluid Ounce</t>
  </si>
  <si>
    <t>HF-a69e-PEFGX</t>
  </si>
  <si>
    <t>B0016Q1RI6</t>
  </si>
  <si>
    <t>Premier Dead Sea Para-pharmaceutical Exfoliating Facial Gel, Brown, 4.25-Fluid Ounce</t>
  </si>
  <si>
    <t>HF-a6e-LASS</t>
  </si>
  <si>
    <t>HF-a76e-GCSS</t>
  </si>
  <si>
    <t>B004H02HA0</t>
  </si>
  <si>
    <t>Premier Dead Sea Aromatherapy Mineral Body Treatment, Gold Cap, Salt Scrub, 425-Grams</t>
  </si>
  <si>
    <t>HF-a77e-TSSS</t>
  </si>
  <si>
    <t>B004H07J80</t>
  </si>
  <si>
    <t>Premier Dead Sea Aromatherapy Mineral Body Treatment, Silver, Salt Scrub, 425-Grams</t>
  </si>
  <si>
    <t>HF-a80e-BTBM</t>
  </si>
  <si>
    <t>HF-a81e-MHBB</t>
  </si>
  <si>
    <t>B07F1BV5CC</t>
  </si>
  <si>
    <t>库存为24</t>
  </si>
  <si>
    <t>HF-a82e-RPBB</t>
  </si>
  <si>
    <t>B00158196K</t>
  </si>
  <si>
    <t>Premier Dead Sea Body Butter Passion Fruit Scent</t>
  </si>
  <si>
    <t>库存为72</t>
  </si>
  <si>
    <t>HF-a85e-RFPM</t>
  </si>
  <si>
    <t>B00G71LV3Q</t>
  </si>
  <si>
    <t>Premier By Dead Sea Premier Refining Facial Peeling Mask 2.04oz, 60ml</t>
  </si>
  <si>
    <t>HF-b3e-PWCC</t>
  </si>
  <si>
    <t>HF-c1e-MCND</t>
  </si>
  <si>
    <t>B00384AO7O</t>
  </si>
  <si>
    <t>Dead Sea Premier Moisture Cream (for very dry &amp; sensitive skin)</t>
  </si>
  <si>
    <t>HF-c7e-LANC</t>
  </si>
  <si>
    <t>HF-f12-FACL</t>
  </si>
  <si>
    <t>HF-f24-ACPF</t>
  </si>
  <si>
    <t>B004X9BRU6</t>
  </si>
  <si>
    <t>Gratiae Organics Aha Cleansing and Peeling Foam, 5.1 Ounce</t>
  </si>
  <si>
    <t>HF-f9a-GSBB</t>
  </si>
  <si>
    <t>B004OF47N8</t>
  </si>
  <si>
    <t>Silky Body Butter (Apple, Green Tea, and Ginger)5.95 ounces</t>
  </si>
  <si>
    <t>HF-g104e-PCFS</t>
  </si>
  <si>
    <t>B00117F5PG</t>
  </si>
  <si>
    <t>Premier Dead Sea Vitamin Concentrated Facial Serum, Vitamin E and C, 1.7-Fluid Ounce</t>
  </si>
  <si>
    <t>HF-g2e-ACRC</t>
  </si>
  <si>
    <t>HF-l3e-TEYG</t>
  </si>
  <si>
    <t>B00383XLTS</t>
  </si>
  <si>
    <t>Premier Dead Sea Biox Intensive Age Treatment Eye Cream Gel</t>
  </si>
  <si>
    <t>HF-n2ae-NBNK</t>
  </si>
  <si>
    <t>IM-YEIX-VVX8</t>
  </si>
  <si>
    <t>JQ-N6LK-OQ03</t>
  </si>
  <si>
    <t>B01JSONMH6</t>
  </si>
  <si>
    <t>Gratiae Organic Beauty Renewing Peeling Gel</t>
  </si>
  <si>
    <t>KN-2B5X-YB0L</t>
  </si>
  <si>
    <t>KN-QWP1-D5XB</t>
  </si>
  <si>
    <t>B004OF9EPO</t>
  </si>
  <si>
    <t>Gratiae AHA Cleansing and Peeling Foam</t>
  </si>
  <si>
    <t>KP-1178-XPKV</t>
  </si>
  <si>
    <t>L1-BT23-OVPU</t>
  </si>
  <si>
    <t>B002DV0KDQ</t>
  </si>
  <si>
    <t>Premier Dead Sea Luxury Moisture Cream for Multi-Use</t>
  </si>
  <si>
    <t>L7-N9M4-0P6X</t>
  </si>
  <si>
    <t>LH-V26Y-FVKV</t>
  </si>
  <si>
    <t>LY-0LSI-94LS</t>
  </si>
  <si>
    <t>M5-BNRC-2A6O</t>
  </si>
  <si>
    <t>B004X9BRRO</t>
  </si>
  <si>
    <t>MY-16055K0-L</t>
  </si>
  <si>
    <t>B0761V7L2R</t>
  </si>
  <si>
    <t>ZAIAI Womens Hooded Warm Winter Faux Fur Lined Parkas Anoraks Long Coats Black L</t>
  </si>
  <si>
    <t>库存为11</t>
  </si>
  <si>
    <t>MY-16055K0-M</t>
  </si>
  <si>
    <t>B0761QBHM9</t>
  </si>
  <si>
    <t>ZAIAI Womens Hooded Warm Winter Faux Fur Lined Parkas Anoraks Long Coats Black M</t>
  </si>
  <si>
    <t>库存为7</t>
  </si>
  <si>
    <t>MY-16055K0-S</t>
  </si>
  <si>
    <t>B0761S8TXR</t>
  </si>
  <si>
    <t>ZAIAI Womens Hooded Warm Winter Faux Fur Lined Parkas Anoraks Long Coats Black S</t>
  </si>
  <si>
    <t>库存为14</t>
  </si>
  <si>
    <t>MY-16055K0-XL</t>
  </si>
  <si>
    <t>B0761N3HJ3</t>
  </si>
  <si>
    <t>Womens Hooded Warm Winter Faux Fur Lined Parkas Anoraks Long Coats Black XL</t>
  </si>
  <si>
    <t>库存为10</t>
  </si>
  <si>
    <t>MY-16055K0-XXL</t>
  </si>
  <si>
    <t>B0761R93J2</t>
  </si>
  <si>
    <t>ZAIAI Womens Hooded Warm Winter Faux Fur Lined Parkas Anoraks Long Coats Black XXL</t>
  </si>
  <si>
    <t>库存为13</t>
  </si>
  <si>
    <t>MY-16055MS-L</t>
  </si>
  <si>
    <t>B0761S59N6</t>
  </si>
  <si>
    <t>ZAIAI Womens Wool Jacket Coat Outwear Parka Overcoat Beige L</t>
  </si>
  <si>
    <t>库存为6</t>
  </si>
  <si>
    <t>MY-16055MS-M</t>
  </si>
  <si>
    <t>B0761NM1NH</t>
  </si>
  <si>
    <t>ZAIAI Womens Wool Jacket Coat Outwear Parka Overcoat Beige M</t>
  </si>
  <si>
    <t>库存为2</t>
  </si>
  <si>
    <t>MY-16055MS-S</t>
  </si>
  <si>
    <t>B0761Q9VPH</t>
  </si>
  <si>
    <t>ZAIAI Womens Wool Jacket Coat Outwear Parka Overcoat Beige S</t>
  </si>
  <si>
    <t>MY-16055MS-XL</t>
  </si>
  <si>
    <t>B0761Q7KPX</t>
  </si>
  <si>
    <t>ZAIAI Womens Wool Jacket Coat Outwear Parka Overcoat Beige XL</t>
  </si>
  <si>
    <t>MY-16055MS-XXL</t>
  </si>
  <si>
    <t>B0761QW2JK</t>
  </si>
  <si>
    <t>ZAIAI Womens Wool Jacket Coat Outwear Parka Overcoat Beige XXL</t>
  </si>
  <si>
    <t>MY-16055ZQ-S</t>
  </si>
  <si>
    <t>B0761PL2N2</t>
  </si>
  <si>
    <t>Womens Hooded Warm Coats Parkas With Fax Fur Jackets Navy S</t>
  </si>
  <si>
    <t>库存为4</t>
  </si>
  <si>
    <t>MY-16055ZQ-XL</t>
  </si>
  <si>
    <t>B0761RRL7M</t>
  </si>
  <si>
    <t>ZAIAI Womens Hooded Warm Coats Parkas With Fax Fur Jackets Navy XL</t>
  </si>
  <si>
    <t>库存为5</t>
  </si>
  <si>
    <t>MY-16055ZQ-XXL</t>
  </si>
  <si>
    <t>B0761NGYTK</t>
  </si>
  <si>
    <t>Womens Hooded Warm Coats Parkas With Fax Fur Jackets Navy XXL</t>
  </si>
  <si>
    <t>MY-71107K0-L</t>
  </si>
  <si>
    <t>B0761PSPTJ</t>
  </si>
  <si>
    <t>ZAIAI Women's Parkas Anoraks Long Coats with Removable Faux Fur Trim Hood Black L</t>
  </si>
  <si>
    <t>库存为12</t>
  </si>
  <si>
    <t>MY-71107K0-M</t>
  </si>
  <si>
    <t>B0761PWSG1</t>
  </si>
  <si>
    <t>ZAIAI Women's Parkas Anoraks Long Coats with Removable Faux Fur Trim Hood Black M</t>
  </si>
  <si>
    <t>库存为9</t>
  </si>
  <si>
    <t>MY-71107K0-S</t>
  </si>
  <si>
    <t>B0761PDMGN</t>
  </si>
  <si>
    <t>ZAIAI Women's Parkas Anoraks Long Coats with Removable Faux Fur Trim Hood Black S</t>
  </si>
  <si>
    <t>MY-71107MS-L</t>
  </si>
  <si>
    <t>B0761P4LKC</t>
  </si>
  <si>
    <t>ZAIAI Women's Parka Winter Coat Overcoat Long Down Jacket Outwear Beige L</t>
  </si>
  <si>
    <t>MY-71107MS-M</t>
  </si>
  <si>
    <t>B0761NJPNM</t>
  </si>
  <si>
    <t>ZAIAI Women's Parka Winter Coat Overcoat Long Down Jacket Outwear Beige M</t>
  </si>
  <si>
    <t>MY-71107MS-S</t>
  </si>
  <si>
    <t>B0761NM3SZ</t>
  </si>
  <si>
    <t>ZAIAI Women's Parka Winter Coat Overcoat Long Down Jacket Outwear Beige S</t>
  </si>
  <si>
    <t>MY-71107MS-XL</t>
  </si>
  <si>
    <t>B0761NNM84</t>
  </si>
  <si>
    <t>ZAIAI Women's Parka Winter Coat Overcoat Long Down Jacket Outwear Beige XL</t>
  </si>
  <si>
    <t>MY-71107ZQ-M</t>
  </si>
  <si>
    <t>B0761P4LK2</t>
  </si>
  <si>
    <t>ZAIAI Women's Parka Winter Coat Overcoat Long Down Jacket Outwear Navy M</t>
  </si>
  <si>
    <t>MY-71107ZQ-S</t>
  </si>
  <si>
    <t>B0761N286T</t>
  </si>
  <si>
    <t>ZAIAI Women's Parka Winter Coat Overcoat Long Down Jacket Outwear Navy S</t>
  </si>
  <si>
    <t>MY-71115K0-L</t>
  </si>
  <si>
    <t>B0761NMRB4</t>
  </si>
  <si>
    <t>ZAIAI Women's Coat With Fur Hood With 90% Down Parka Puffer Jacket Black M</t>
  </si>
  <si>
    <t>MY-71115K0-M</t>
  </si>
  <si>
    <t>B0761NNDWM</t>
  </si>
  <si>
    <t>ZAIAI Women's Coat with Fur Hood with 90% Down Parka Puffer Jacket Black S</t>
  </si>
  <si>
    <t>MY-71115K0-S</t>
  </si>
  <si>
    <t>B0761PDHV5</t>
  </si>
  <si>
    <t>ZAIAI Women's Coat with Fur Hood with 90% Down Parka Puffer Jacket Black XS</t>
  </si>
  <si>
    <t>MY-71115K0-XL</t>
  </si>
  <si>
    <t>B0761NGWJD</t>
  </si>
  <si>
    <t>ZAIAI Women's Coat with Fur Hood with 90% Down Parka Puffer Jacket Black L</t>
  </si>
  <si>
    <t>MY-71115K0-XXL</t>
  </si>
  <si>
    <t>B0761SKR3P</t>
  </si>
  <si>
    <t>ZAIAI Women's Coat with Fur Hood with 90% Down Parka Puffer Jacket Black XL</t>
  </si>
  <si>
    <t>MY-71115MS-L</t>
  </si>
  <si>
    <t>B0761NFTQC</t>
  </si>
  <si>
    <t>ZAIAI Women's Coat with Fur Hood with 90% Down Parka Puffer Jacket Beige M</t>
  </si>
  <si>
    <t>MY-71115MS-M</t>
  </si>
  <si>
    <t>B0761PV952</t>
  </si>
  <si>
    <t>ZAIAI Women's Coat With Fur Hood With 90% Down Parka Puffer Jacket Beige M</t>
  </si>
  <si>
    <t>MY-71115MS-S</t>
  </si>
  <si>
    <t>B0761NHB1Y</t>
  </si>
  <si>
    <t>ZAIAI Women's Coat with Fur Hood with 90% Down Parka Puffer Jacket Beige XS</t>
  </si>
  <si>
    <t>库存为3</t>
  </si>
  <si>
    <t>MY-71115MS-XL</t>
  </si>
  <si>
    <t>B0761PWB12</t>
  </si>
  <si>
    <t>ZAIAI Women's Coat with Fur Hood with 90% Down Parka Puffer Jacket Beige L</t>
  </si>
  <si>
    <t>MY-71115MS-XXL</t>
  </si>
  <si>
    <t>B0761N46BN</t>
  </si>
  <si>
    <t>ZAIAI Women's Coat with Fur Hood with 90% Down Parka Puffer Jacket Beige XL</t>
  </si>
  <si>
    <t>MY-71115ZQ-L</t>
  </si>
  <si>
    <t>B0761S2M63</t>
  </si>
  <si>
    <t>ZAIAI Women's Quilted Puffer Jacket Coat with Faux Fur Trimmed Hood Navy M</t>
  </si>
  <si>
    <t>MY-71115ZQ-M</t>
  </si>
  <si>
    <t>B0761MXCJB</t>
  </si>
  <si>
    <t>ZAIAI Women's Quilted Puffer Jacket Coat with Faux Fur Trimmed Hood Navy S</t>
  </si>
  <si>
    <t>MY-71115ZQ-S</t>
  </si>
  <si>
    <t>B0761R6ZG2</t>
  </si>
  <si>
    <t>ZAIAI Women's Quilted Puffer Jacket Coat with Faux Fur Trimmed Hood Navy XS</t>
  </si>
  <si>
    <t>MY16055K0L</t>
  </si>
  <si>
    <t>MY16055K0M</t>
  </si>
  <si>
    <t>MY16055K0S</t>
  </si>
  <si>
    <t>MY16055K0XL</t>
  </si>
  <si>
    <t>MY16055K0XXL</t>
  </si>
  <si>
    <t>MY16055MSL</t>
  </si>
  <si>
    <t>MY16055MSM</t>
  </si>
  <si>
    <t>MY16055MSS</t>
  </si>
  <si>
    <t>MY16055MSXL</t>
  </si>
  <si>
    <t>MY16055MSXXL</t>
  </si>
  <si>
    <t>MY16055ZQL</t>
  </si>
  <si>
    <t>B0761PXTK8</t>
  </si>
  <si>
    <t>ZAIAI Womens Hooded Warm Coats Parkas With Fax Fur Jackets Navy L</t>
  </si>
  <si>
    <t>MY16055ZQM</t>
  </si>
  <si>
    <t>B0761Q4YF6</t>
  </si>
  <si>
    <t>Womens Hooded Warm Coats Parkas With Fax Fur Jackets Navy M</t>
  </si>
  <si>
    <t>MY16055ZQS</t>
  </si>
  <si>
    <t>MY16055ZQXL</t>
  </si>
  <si>
    <t>MY16055ZQXXL</t>
  </si>
  <si>
    <t>MY71107K0L</t>
  </si>
  <si>
    <t>MY71107K0M</t>
  </si>
  <si>
    <t>MY71107K0S</t>
  </si>
  <si>
    <t>MY71107K0XL</t>
  </si>
  <si>
    <t>B0761PVQYZ</t>
  </si>
  <si>
    <t>ZAIAI Women's Parkas Anoraks Long Coats with Removable Faux Fur Trim Hood Black XL</t>
  </si>
  <si>
    <t>MY71107K0XXL</t>
  </si>
  <si>
    <t>B0761NLN4R</t>
  </si>
  <si>
    <t>ZAIAI Women's Parkas Anoraks Long Coats with Removable Faux Fur Trim Hood Black XXL</t>
  </si>
  <si>
    <t>MY71107MSL</t>
  </si>
  <si>
    <t>MY71107MSM</t>
  </si>
  <si>
    <t>MY71107MSS</t>
  </si>
  <si>
    <t>MY71107MSXL</t>
  </si>
  <si>
    <t>MY71107MSXXL</t>
  </si>
  <si>
    <t>B0761PTZY2</t>
  </si>
  <si>
    <t>ZAIAI Women's Parka Winter Coat Overcoat Long Down Jacket Outwear Beige XXL</t>
  </si>
  <si>
    <t>MY71107ZQL</t>
  </si>
  <si>
    <t>B0761NJH9L</t>
  </si>
  <si>
    <t>ZAIAI Women's Parka Winter Coat Overcoat Long Down Jacket Outwear Navy L</t>
  </si>
  <si>
    <t>MY71107ZQM</t>
  </si>
  <si>
    <t>MY71107ZQS</t>
  </si>
  <si>
    <t>MY71107ZQXL</t>
  </si>
  <si>
    <t>B0761NG4W8</t>
  </si>
  <si>
    <t>ZAIAI Women's Parka Winter Coat Overcoat Long Down Jacket Outwear Navy XL</t>
  </si>
  <si>
    <t>MY71107ZQXXL</t>
  </si>
  <si>
    <t>B0761PV7ZS</t>
  </si>
  <si>
    <t>ZAIAI Women's Parka Winter Coat Overcoat Long Down Jacket Outwear Navy XXL</t>
  </si>
  <si>
    <t>有广告无销售广告费为14.28</t>
  </si>
  <si>
    <t>MY71115K0L</t>
  </si>
  <si>
    <t>MY71115K0M</t>
  </si>
  <si>
    <t>MY71115K0S</t>
  </si>
  <si>
    <t>MY71115K0XL</t>
  </si>
  <si>
    <t>MY71115K0XXL</t>
  </si>
  <si>
    <t>MY71115MSL</t>
  </si>
  <si>
    <t>MY71115MSM</t>
  </si>
  <si>
    <t>MY71115MSS</t>
  </si>
  <si>
    <t>MY71115MSXL</t>
  </si>
  <si>
    <t>MY71115MSXXL</t>
  </si>
  <si>
    <t>MY71115ZQL</t>
  </si>
  <si>
    <t>MY71115ZQM</t>
  </si>
  <si>
    <t>MY71115ZQS</t>
  </si>
  <si>
    <t>MY71115ZQXL</t>
  </si>
  <si>
    <t>B0761PBXCV</t>
  </si>
  <si>
    <t>ZAIAI Women's Quilted Puffer Jacket Coat with Faux Fur Trimmed Hood Navy L</t>
  </si>
  <si>
    <t>NL-JZZU-6KCF</t>
  </si>
  <si>
    <t>PG-UDJF-U1WZ</t>
  </si>
  <si>
    <t>PJ-CPH7-5MXE</t>
  </si>
  <si>
    <t>B01G3AIYJO</t>
  </si>
  <si>
    <t>Gratiae Organic Beauty By Nature Exfoliating Body Scrub, Apple/Green Tea and Ginger by Gratiae Organic Beauty By Nature</t>
  </si>
  <si>
    <t>PP-7C5M-OKFZ</t>
  </si>
  <si>
    <t>B00GU2QXVC</t>
  </si>
  <si>
    <t>Premier Dead Sea Refining Moisture Cream</t>
  </si>
  <si>
    <t>PV-OG2H-VHEI</t>
  </si>
  <si>
    <t>B004X9BTGI</t>
  </si>
  <si>
    <t>Gratiae Organicss Hand and Nail Care Treatment, 4.08 Ounce</t>
  </si>
  <si>
    <t>PW-89MW-RR8Y</t>
  </si>
  <si>
    <t>B004H07KKC</t>
  </si>
  <si>
    <t>Premier Dead Sea Skin Toner for Normal/Oily Skin, Pink, 8.4535-Fluid Ounce</t>
  </si>
  <si>
    <t>QW-6H25-PV48</t>
  </si>
  <si>
    <t>B003NJKS48</t>
  </si>
  <si>
    <t>Dead Sea Premier Luxury Milk Cleanser</t>
  </si>
  <si>
    <t>R0-9P3N-MM7G</t>
  </si>
  <si>
    <t>SM-LSLQ-C3QE</t>
  </si>
  <si>
    <t>B004X9BSG4</t>
  </si>
  <si>
    <t>Gratiae Organics Lifting Facial Mask, 1.7 Ounce</t>
  </si>
  <si>
    <t>U9-B86F-U3BU</t>
  </si>
  <si>
    <t>UH-SMM5-RLVI</t>
  </si>
  <si>
    <t>YI-LW70-5D1O</t>
  </si>
  <si>
    <t>B003Y7CMF2</t>
  </si>
  <si>
    <t>Premier Dead Sea Instant Stretching and Revitalizing Lifting Mask - 2.04 oz Ounce</t>
  </si>
  <si>
    <t>ZW-A85T-DGVQ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</si>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</sst>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7">
    <numFmt numFmtId="44" formatCode="_ &quot;￥&quot;* #,##0.00_ ;_ &quot;￥&quot;* \-#,##0.00_ ;_ &quot;￥&quot;* &quot;-&quot;??_ ;_ @_ "/>
    <numFmt numFmtId="176" formatCode="yyyy&quot;年&quot;m&quot;月&quot;d&quot;日&quot;;@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177" formatCode="0.00_ "/>
    <numFmt numFmtId="178" formatCode="yyyy/m/d;@"/>
  </numFmts>
  <fonts count="26">
    <font>
      <sz val="11"/>
      <color theme="1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0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indexed="8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3F3F76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"/>
        <bgColor theme="4" tint="0.79998168889431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4" tint="0.399975585192419"/>
      </top>
      <bottom style="thin">
        <color theme="4" tint="0.39997558519241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13" fillId="16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0" fillId="5" borderId="2" applyNumberFormat="0" applyFont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6" fillId="0" borderId="8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2" fillId="15" borderId="3" applyNumberFormat="0" applyAlignment="0" applyProtection="0">
      <alignment vertical="center"/>
    </xf>
    <xf numFmtId="0" fontId="24" fillId="15" borderId="4" applyNumberFormat="0" applyAlignment="0" applyProtection="0">
      <alignment vertical="center"/>
    </xf>
    <xf numFmtId="0" fontId="25" fillId="26" borderId="9" applyNumberFormat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</cellStyleXfs>
  <cellXfs count="39">
    <xf numFmtId="0" fontId="0" fillId="0" borderId="0" xfId="0"/>
    <xf numFmtId="176" fontId="0" fillId="0" borderId="0" xfId="0" applyNumberFormat="1" applyAlignment="1">
      <alignment horizontal="center"/>
    </xf>
    <xf numFmtId="176" fontId="0" fillId="0" borderId="0" xfId="0" applyNumberFormat="1"/>
    <xf numFmtId="176" fontId="0" fillId="0" borderId="0" xfId="0" applyNumberFormat="1" applyAlignment="1">
      <alignment horizontal="right"/>
    </xf>
    <xf numFmtId="0" fontId="0" fillId="2" borderId="0" xfId="0" applyFill="1"/>
    <xf numFmtId="0" fontId="0" fillId="0" borderId="0" xfId="0" applyFont="1"/>
    <xf numFmtId="10" fontId="0" fillId="0" borderId="0" xfId="0" applyNumberFormat="1"/>
    <xf numFmtId="177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 applyFill="1" applyAlignment="1">
      <alignment vertic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0" fontId="3" fillId="0" borderId="0" xfId="0" applyFont="1" applyAlignment="1">
      <alignment horizontal="center"/>
    </xf>
    <xf numFmtId="178" fontId="4" fillId="0" borderId="0" xfId="0" applyNumberFormat="1" applyFont="1" applyAlignment="1">
      <alignment horizontal="center"/>
    </xf>
    <xf numFmtId="0" fontId="5" fillId="0" borderId="0" xfId="0" applyFont="1" applyBorder="1"/>
    <xf numFmtId="0" fontId="0" fillId="0" borderId="0" xfId="0" applyFill="1" applyAlignment="1">
      <alignment vertical="center"/>
    </xf>
    <xf numFmtId="0" fontId="0" fillId="0" borderId="0" xfId="0" applyBorder="1"/>
    <xf numFmtId="0" fontId="0" fillId="3" borderId="0" xfId="0" applyFill="1" applyBorder="1" applyAlignment="1">
      <alignment horizontal="right"/>
    </xf>
    <xf numFmtId="0" fontId="0" fillId="3" borderId="0" xfId="0" applyFill="1"/>
    <xf numFmtId="0" fontId="4" fillId="0" borderId="0" xfId="0" applyFont="1" applyAlignment="1">
      <alignment horizontal="center" wrapText="1"/>
    </xf>
    <xf numFmtId="0" fontId="0" fillId="3" borderId="0" xfId="0" applyFill="1" applyBorder="1"/>
    <xf numFmtId="10" fontId="2" fillId="0" borderId="0" xfId="0" applyNumberFormat="1" applyFont="1" applyAlignment="1">
      <alignment horizontal="center"/>
    </xf>
    <xf numFmtId="0" fontId="3" fillId="0" borderId="0" xfId="0" applyFont="1" applyAlignment="1"/>
    <xf numFmtId="10" fontId="3" fillId="0" borderId="0" xfId="0" applyNumberFormat="1" applyFont="1" applyAlignment="1"/>
    <xf numFmtId="10" fontId="0" fillId="0" borderId="0" xfId="0" applyNumberFormat="1" applyFill="1" applyAlignment="1">
      <alignment vertical="center"/>
    </xf>
    <xf numFmtId="10" fontId="0" fillId="0" borderId="0" xfId="0" applyNumberFormat="1" applyBorder="1"/>
    <xf numFmtId="177" fontId="0" fillId="3" borderId="0" xfId="0" applyNumberFormat="1" applyFill="1"/>
    <xf numFmtId="176" fontId="0" fillId="3" borderId="0" xfId="0" applyNumberFormat="1" applyFill="1" applyAlignment="1">
      <alignment horizontal="right"/>
    </xf>
    <xf numFmtId="177" fontId="0" fillId="0" borderId="0" xfId="0" applyNumberFormat="1" applyBorder="1"/>
    <xf numFmtId="0" fontId="0" fillId="0" borderId="0" xfId="0" applyBorder="1" applyAlignment="1">
      <alignment horizontal="right"/>
    </xf>
    <xf numFmtId="177" fontId="0" fillId="3" borderId="0" xfId="0" applyNumberFormat="1" applyFill="1" applyBorder="1"/>
    <xf numFmtId="176" fontId="0" fillId="3" borderId="0" xfId="0" applyNumberFormat="1" applyFill="1" applyBorder="1" applyAlignment="1">
      <alignment horizontal="right"/>
    </xf>
    <xf numFmtId="0" fontId="6" fillId="0" borderId="0" xfId="0" applyFont="1" applyFill="1" applyAlignment="1"/>
    <xf numFmtId="0" fontId="6" fillId="0" borderId="0" xfId="0" applyFont="1" applyFill="1" applyBorder="1" applyAlignment="1"/>
    <xf numFmtId="0" fontId="0" fillId="0" borderId="1" xfId="0" applyFont="1" applyFill="1" applyBorder="1" applyAlignment="1">
      <alignment vertical="center"/>
    </xf>
    <xf numFmtId="177" fontId="0" fillId="3" borderId="0" xfId="0" applyNumberFormat="1" applyFill="1" applyAlignment="1"/>
    <xf numFmtId="0" fontId="0" fillId="4" borderId="1" xfId="0" applyFont="1" applyFill="1" applyBorder="1" applyAlignment="1">
      <alignment vertical="center"/>
    </xf>
    <xf numFmtId="0" fontId="0" fillId="0" borderId="0" xfId="0" applyFill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5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4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2</xdr:row>
          <xdr:rowOff>28575</xdr:rowOff>
        </xdr:from>
        <xdr:to>
          <xdr:col>4</xdr:col>
          <xdr:colOff>666750</xdr:colOff>
          <xdr:row>4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286125" y="390525"/>
              <a:ext cx="1371600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kc\&#24211;&#23384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liuliang\DSP&#23376;&#21830;&#21697;&#27969;&#37327;&#21608;&#25253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allorder\all%20orders(&#24211;&#23384;&#25253;&#21578;&#20351;&#29992;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ad\&#21830;&#21697;&#25512;&#24191;&#24191;&#21578;&#21830;&#21697;&#21608;&#25253;&#21578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  <cell r="N1" t="str">
            <v>库龄大于90天库存</v>
          </cell>
        </row>
        <row r="2">
          <cell r="A2" t="str">
            <v>合计</v>
          </cell>
          <cell r="B2">
            <v>1210</v>
          </cell>
          <cell r="C2">
            <v>37</v>
          </cell>
          <cell r="D2">
            <v>334</v>
          </cell>
          <cell r="E2">
            <v>154</v>
          </cell>
          <cell r="F2">
            <v>488</v>
          </cell>
          <cell r="G2">
            <v>19</v>
          </cell>
          <cell r="H2">
            <v>100</v>
          </cell>
          <cell r="I2">
            <v>17</v>
          </cell>
          <cell r="J2">
            <v>397</v>
          </cell>
          <cell r="K2">
            <v>155</v>
          </cell>
          <cell r="L2">
            <v>564</v>
          </cell>
          <cell r="M2">
            <v>32</v>
          </cell>
          <cell r="N2">
            <v>1148</v>
          </cell>
        </row>
        <row r="3">
          <cell r="A3" t="str">
            <v>54-2HQR-70OB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9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</row>
        <row r="4">
          <cell r="A4" t="str">
            <v>HF-I2e-AABS</v>
          </cell>
          <cell r="B4">
            <v>1</v>
          </cell>
          <cell r="C4">
            <v>1</v>
          </cell>
          <cell r="D4">
            <v>0</v>
          </cell>
          <cell r="E4">
            <v>0</v>
          </cell>
          <cell r="F4">
            <v>0</v>
          </cell>
          <cell r="G4">
            <v>2</v>
          </cell>
          <cell r="H4">
            <v>5</v>
          </cell>
          <cell r="I4">
            <v>3</v>
          </cell>
          <cell r="J4">
            <v>19</v>
          </cell>
          <cell r="K4">
            <v>0</v>
          </cell>
          <cell r="L4">
            <v>0</v>
          </cell>
          <cell r="M4">
            <v>0</v>
          </cell>
          <cell r="N4">
            <v>19</v>
          </cell>
        </row>
        <row r="5">
          <cell r="A5" t="str">
            <v>HF-T9QA-X3JZ</v>
          </cell>
          <cell r="B5">
            <v>8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2</v>
          </cell>
          <cell r="I5">
            <v>1</v>
          </cell>
          <cell r="J5">
            <v>2</v>
          </cell>
          <cell r="K5">
            <v>13</v>
          </cell>
          <cell r="L5">
            <v>0</v>
          </cell>
          <cell r="M5">
            <v>0</v>
          </cell>
          <cell r="N5">
            <v>15</v>
          </cell>
        </row>
        <row r="6">
          <cell r="A6" t="str">
            <v>3S-1QX9-6RRP</v>
          </cell>
          <cell r="B6">
            <v>22</v>
          </cell>
          <cell r="C6">
            <v>1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1</v>
          </cell>
          <cell r="I6">
            <v>0</v>
          </cell>
          <cell r="J6">
            <v>2</v>
          </cell>
          <cell r="K6">
            <v>2</v>
          </cell>
          <cell r="L6">
            <v>18</v>
          </cell>
          <cell r="M6">
            <v>0</v>
          </cell>
          <cell r="N6">
            <v>22</v>
          </cell>
        </row>
        <row r="7">
          <cell r="A7" t="str">
            <v>6T-8V8W-3S67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2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</row>
        <row r="8">
          <cell r="A8" t="str">
            <v>0Z-KJNM-D56T</v>
          </cell>
          <cell r="B8">
            <v>38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  <cell r="I8">
            <v>0</v>
          </cell>
          <cell r="J8">
            <v>0</v>
          </cell>
          <cell r="K8">
            <v>1</v>
          </cell>
          <cell r="L8">
            <v>29</v>
          </cell>
          <cell r="M8">
            <v>0</v>
          </cell>
          <cell r="N8">
            <v>30</v>
          </cell>
        </row>
        <row r="9">
          <cell r="A9" t="str">
            <v>3E-OBBY-DIEZ</v>
          </cell>
          <cell r="B9">
            <v>15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1</v>
          </cell>
          <cell r="H9">
            <v>2</v>
          </cell>
          <cell r="I9">
            <v>0</v>
          </cell>
          <cell r="J9">
            <v>1</v>
          </cell>
          <cell r="K9">
            <v>1</v>
          </cell>
          <cell r="L9">
            <v>17</v>
          </cell>
          <cell r="M9">
            <v>0</v>
          </cell>
          <cell r="N9">
            <v>19</v>
          </cell>
        </row>
        <row r="10">
          <cell r="A10" t="str">
            <v>CF-7C1X-596L</v>
          </cell>
          <cell r="B10">
            <v>76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1</v>
          </cell>
          <cell r="H10">
            <v>0</v>
          </cell>
          <cell r="I10">
            <v>1</v>
          </cell>
          <cell r="J10">
            <v>0</v>
          </cell>
          <cell r="K10">
            <v>0</v>
          </cell>
          <cell r="L10">
            <v>81</v>
          </cell>
          <cell r="M10">
            <v>0</v>
          </cell>
          <cell r="N10">
            <v>81</v>
          </cell>
        </row>
        <row r="11">
          <cell r="A11" t="str">
            <v>HF-l3e-TEYG</v>
          </cell>
          <cell r="B11">
            <v>42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1</v>
          </cell>
          <cell r="I11">
            <v>0</v>
          </cell>
          <cell r="J11">
            <v>42</v>
          </cell>
          <cell r="K11">
            <v>0</v>
          </cell>
          <cell r="L11">
            <v>0</v>
          </cell>
          <cell r="M11">
            <v>0</v>
          </cell>
          <cell r="N11">
            <v>42</v>
          </cell>
        </row>
        <row r="12">
          <cell r="A12" t="str">
            <v>HF-b3e-PWCC</v>
          </cell>
          <cell r="B12">
            <v>31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7</v>
          </cell>
          <cell r="H12">
            <v>2</v>
          </cell>
          <cell r="I12">
            <v>0</v>
          </cell>
          <cell r="J12">
            <v>40</v>
          </cell>
          <cell r="K12">
            <v>0</v>
          </cell>
          <cell r="L12">
            <v>0</v>
          </cell>
          <cell r="M12">
            <v>0</v>
          </cell>
          <cell r="N12">
            <v>40</v>
          </cell>
        </row>
        <row r="13">
          <cell r="A13" t="str">
            <v>HF-a69e-PEFG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5</v>
          </cell>
          <cell r="I13">
            <v>0</v>
          </cell>
          <cell r="J13">
            <v>10</v>
          </cell>
          <cell r="K13">
            <v>0</v>
          </cell>
          <cell r="L13">
            <v>0</v>
          </cell>
          <cell r="M13">
            <v>0</v>
          </cell>
          <cell r="N13">
            <v>10</v>
          </cell>
        </row>
        <row r="14">
          <cell r="A14" t="str">
            <v>JQ-N6LK-OQ03</v>
          </cell>
          <cell r="B14">
            <v>13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1</v>
          </cell>
          <cell r="H14">
            <v>0</v>
          </cell>
          <cell r="I14">
            <v>1</v>
          </cell>
          <cell r="J14">
            <v>1</v>
          </cell>
          <cell r="K14">
            <v>13</v>
          </cell>
          <cell r="L14">
            <v>0</v>
          </cell>
          <cell r="M14">
            <v>0</v>
          </cell>
          <cell r="N14">
            <v>14</v>
          </cell>
        </row>
        <row r="15">
          <cell r="A15" t="str">
            <v>HF-c7e-LANC</v>
          </cell>
          <cell r="B15">
            <v>38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2</v>
          </cell>
          <cell r="H15">
            <v>0</v>
          </cell>
          <cell r="I15">
            <v>2</v>
          </cell>
          <cell r="J15">
            <v>45</v>
          </cell>
          <cell r="K15">
            <v>0</v>
          </cell>
          <cell r="L15">
            <v>0</v>
          </cell>
          <cell r="M15">
            <v>0</v>
          </cell>
          <cell r="N15">
            <v>45</v>
          </cell>
        </row>
        <row r="16">
          <cell r="A16" t="str">
            <v>L1-BT23-OVPU</v>
          </cell>
          <cell r="B16">
            <v>36</v>
          </cell>
          <cell r="C16">
            <v>5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1</v>
          </cell>
          <cell r="I16">
            <v>1</v>
          </cell>
          <cell r="J16">
            <v>12</v>
          </cell>
          <cell r="K16">
            <v>2</v>
          </cell>
          <cell r="L16">
            <v>33</v>
          </cell>
          <cell r="M16">
            <v>0</v>
          </cell>
          <cell r="N16">
            <v>47</v>
          </cell>
        </row>
        <row r="17">
          <cell r="A17" t="str">
            <v>MY-16055ZQ-XXL</v>
          </cell>
          <cell r="B17">
            <v>0</v>
          </cell>
          <cell r="C17">
            <v>0</v>
          </cell>
          <cell r="D17">
            <v>4</v>
          </cell>
          <cell r="E17">
            <v>0</v>
          </cell>
          <cell r="F17">
            <v>4</v>
          </cell>
          <cell r="G17">
            <v>0</v>
          </cell>
          <cell r="H17">
            <v>1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</row>
        <row r="18">
          <cell r="A18" t="str">
            <v>HF-a80e-BTBM</v>
          </cell>
          <cell r="B18">
            <v>29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2</v>
          </cell>
          <cell r="I18">
            <v>0</v>
          </cell>
          <cell r="J18">
            <v>31</v>
          </cell>
          <cell r="K18">
            <v>0</v>
          </cell>
          <cell r="L18">
            <v>0</v>
          </cell>
          <cell r="M18">
            <v>0</v>
          </cell>
          <cell r="N18">
            <v>31</v>
          </cell>
        </row>
        <row r="19">
          <cell r="A19" t="str">
            <v>HF-a1e-LCMC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2</v>
          </cell>
          <cell r="H19">
            <v>3</v>
          </cell>
          <cell r="I19">
            <v>6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</row>
        <row r="20">
          <cell r="A20" t="str">
            <v>R0-9P3N-MM7G</v>
          </cell>
          <cell r="B20">
            <v>107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3</v>
          </cell>
          <cell r="H20">
            <v>0</v>
          </cell>
          <cell r="I20">
            <v>0</v>
          </cell>
          <cell r="J20">
            <v>0</v>
          </cell>
          <cell r="K20">
            <v>113</v>
          </cell>
          <cell r="L20">
            <v>0</v>
          </cell>
          <cell r="M20">
            <v>0</v>
          </cell>
          <cell r="N20">
            <v>113</v>
          </cell>
        </row>
        <row r="21">
          <cell r="A21" t="str">
            <v>SM-LSLQ-C3QE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2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</row>
        <row r="22">
          <cell r="A22" t="str">
            <v>PP-7C5M-OKFZ</v>
          </cell>
          <cell r="B22">
            <v>1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59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</row>
        <row r="23">
          <cell r="A23" t="str">
            <v>QW-6H25-PV48</v>
          </cell>
          <cell r="B23">
            <v>30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2</v>
          </cell>
          <cell r="J23">
            <v>1</v>
          </cell>
          <cell r="K23">
            <v>2</v>
          </cell>
          <cell r="L23">
            <v>2</v>
          </cell>
          <cell r="M23">
            <v>26</v>
          </cell>
          <cell r="N23">
            <v>31</v>
          </cell>
        </row>
        <row r="24">
          <cell r="A24" t="str">
            <v>MY16055ZQXXL</v>
          </cell>
          <cell r="B24">
            <v>0</v>
          </cell>
          <cell r="C24">
            <v>0</v>
          </cell>
          <cell r="D24">
            <v>4</v>
          </cell>
          <cell r="E24">
            <v>0</v>
          </cell>
          <cell r="F24">
            <v>4</v>
          </cell>
          <cell r="G24">
            <v>0</v>
          </cell>
          <cell r="H24">
            <v>1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</row>
        <row r="25">
          <cell r="A25" t="str">
            <v>PV-OG2H-VHEI</v>
          </cell>
          <cell r="B25">
            <v>6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1</v>
          </cell>
          <cell r="I25">
            <v>0</v>
          </cell>
          <cell r="J25">
            <v>3</v>
          </cell>
          <cell r="K25">
            <v>0</v>
          </cell>
          <cell r="L25">
            <v>3</v>
          </cell>
          <cell r="M25">
            <v>0</v>
          </cell>
          <cell r="N25">
            <v>6</v>
          </cell>
        </row>
        <row r="26">
          <cell r="A26" t="str">
            <v>97-6SJH-1LTA</v>
          </cell>
          <cell r="B26">
            <v>1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</row>
        <row r="27">
          <cell r="A27" t="str">
            <v>MY71107MSS</v>
          </cell>
          <cell r="B27">
            <v>7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1</v>
          </cell>
          <cell r="K27">
            <v>0</v>
          </cell>
          <cell r="L27">
            <v>0</v>
          </cell>
          <cell r="M27">
            <v>0</v>
          </cell>
          <cell r="N27">
            <v>1</v>
          </cell>
        </row>
        <row r="28">
          <cell r="A28" t="str">
            <v>MY16055K0M</v>
          </cell>
          <cell r="B28">
            <v>1</v>
          </cell>
          <cell r="C28">
            <v>0</v>
          </cell>
          <cell r="D28">
            <v>6</v>
          </cell>
          <cell r="E28">
            <v>0</v>
          </cell>
          <cell r="F28">
            <v>6</v>
          </cell>
          <cell r="G28">
            <v>0</v>
          </cell>
          <cell r="H28">
            <v>0</v>
          </cell>
          <cell r="I28">
            <v>0</v>
          </cell>
          <cell r="J28">
            <v>1</v>
          </cell>
          <cell r="K28">
            <v>0</v>
          </cell>
          <cell r="L28">
            <v>0</v>
          </cell>
          <cell r="M28">
            <v>0</v>
          </cell>
          <cell r="N28">
            <v>1</v>
          </cell>
        </row>
        <row r="29">
          <cell r="A29" t="str">
            <v>MY71115K0L</v>
          </cell>
          <cell r="B29">
            <v>2</v>
          </cell>
          <cell r="C29">
            <v>0</v>
          </cell>
          <cell r="D29">
            <v>9</v>
          </cell>
          <cell r="E29">
            <v>0</v>
          </cell>
          <cell r="F29">
            <v>9</v>
          </cell>
          <cell r="G29">
            <v>0</v>
          </cell>
          <cell r="H29">
            <v>0</v>
          </cell>
          <cell r="I29">
            <v>0</v>
          </cell>
          <cell r="J29">
            <v>2</v>
          </cell>
          <cell r="K29">
            <v>0</v>
          </cell>
          <cell r="L29">
            <v>0</v>
          </cell>
          <cell r="M29">
            <v>0</v>
          </cell>
          <cell r="N29">
            <v>2</v>
          </cell>
        </row>
        <row r="30">
          <cell r="A30" t="str">
            <v>PJ-CPH7-5MXE</v>
          </cell>
          <cell r="B30">
            <v>99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1</v>
          </cell>
          <cell r="K30">
            <v>3</v>
          </cell>
          <cell r="L30">
            <v>91</v>
          </cell>
          <cell r="M30">
            <v>0</v>
          </cell>
          <cell r="N30">
            <v>95</v>
          </cell>
        </row>
        <row r="31">
          <cell r="A31" t="str">
            <v>HF-a85e-RFPM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5</v>
          </cell>
          <cell r="K31">
            <v>0</v>
          </cell>
          <cell r="L31">
            <v>0</v>
          </cell>
          <cell r="M31">
            <v>0</v>
          </cell>
          <cell r="N31">
            <v>5</v>
          </cell>
        </row>
        <row r="32">
          <cell r="A32" t="str">
            <v>MY16055K0XL</v>
          </cell>
          <cell r="B32">
            <v>3</v>
          </cell>
          <cell r="C32">
            <v>0</v>
          </cell>
          <cell r="D32">
            <v>7</v>
          </cell>
          <cell r="E32">
            <v>0</v>
          </cell>
          <cell r="F32">
            <v>7</v>
          </cell>
          <cell r="G32">
            <v>0</v>
          </cell>
          <cell r="H32">
            <v>0</v>
          </cell>
          <cell r="I32">
            <v>0</v>
          </cell>
          <cell r="J32">
            <v>2</v>
          </cell>
          <cell r="K32">
            <v>0</v>
          </cell>
          <cell r="L32">
            <v>0</v>
          </cell>
          <cell r="M32">
            <v>0</v>
          </cell>
          <cell r="N32">
            <v>2</v>
          </cell>
        </row>
        <row r="33">
          <cell r="A33" t="str">
            <v>MY71107ZQM</v>
          </cell>
          <cell r="B33">
            <v>1</v>
          </cell>
          <cell r="C33">
            <v>0</v>
          </cell>
          <cell r="D33">
            <v>2</v>
          </cell>
          <cell r="E33">
            <v>1</v>
          </cell>
          <cell r="F33">
            <v>3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1</v>
          </cell>
          <cell r="L33">
            <v>0</v>
          </cell>
          <cell r="M33">
            <v>0</v>
          </cell>
          <cell r="N33">
            <v>1</v>
          </cell>
        </row>
        <row r="34">
          <cell r="A34" t="str">
            <v>HF-a33e-LUHC</v>
          </cell>
          <cell r="B34">
            <v>57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57</v>
          </cell>
          <cell r="K34">
            <v>0</v>
          </cell>
          <cell r="L34">
            <v>0</v>
          </cell>
          <cell r="M34">
            <v>0</v>
          </cell>
          <cell r="N34">
            <v>57</v>
          </cell>
        </row>
        <row r="35">
          <cell r="A35" t="str">
            <v>MY71107K0XL</v>
          </cell>
          <cell r="B35">
            <v>6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6</v>
          </cell>
          <cell r="K35">
            <v>0</v>
          </cell>
          <cell r="L35">
            <v>0</v>
          </cell>
          <cell r="M35">
            <v>0</v>
          </cell>
          <cell r="N35">
            <v>6</v>
          </cell>
        </row>
        <row r="36">
          <cell r="A36" t="str">
            <v>MY71107MSXL</v>
          </cell>
          <cell r="B36">
            <v>6</v>
          </cell>
          <cell r="C36">
            <v>0</v>
          </cell>
          <cell r="D36">
            <v>0</v>
          </cell>
          <cell r="E36">
            <v>2</v>
          </cell>
          <cell r="F36">
            <v>2</v>
          </cell>
          <cell r="G36">
            <v>0</v>
          </cell>
          <cell r="H36">
            <v>0</v>
          </cell>
          <cell r="I36">
            <v>0</v>
          </cell>
          <cell r="J36">
            <v>1</v>
          </cell>
          <cell r="K36">
            <v>0</v>
          </cell>
          <cell r="L36">
            <v>0</v>
          </cell>
          <cell r="M36">
            <v>0</v>
          </cell>
          <cell r="N36">
            <v>1</v>
          </cell>
        </row>
        <row r="37">
          <cell r="A37" t="str">
            <v>MY16055ZQM</v>
          </cell>
          <cell r="B37">
            <v>1</v>
          </cell>
          <cell r="C37">
            <v>1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</row>
        <row r="38">
          <cell r="A38" t="str">
            <v>MY-71107ZQ-M</v>
          </cell>
          <cell r="B38">
            <v>1</v>
          </cell>
          <cell r="C38">
            <v>0</v>
          </cell>
          <cell r="D38">
            <v>2</v>
          </cell>
          <cell r="E38">
            <v>1</v>
          </cell>
          <cell r="F38">
            <v>3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1</v>
          </cell>
          <cell r="L38">
            <v>0</v>
          </cell>
          <cell r="M38">
            <v>0</v>
          </cell>
          <cell r="N38">
            <v>1</v>
          </cell>
        </row>
        <row r="39">
          <cell r="A39" t="str">
            <v>2N-C2ZT-YSNI</v>
          </cell>
          <cell r="B39">
            <v>8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1</v>
          </cell>
          <cell r="K39">
            <v>0</v>
          </cell>
          <cell r="L39">
            <v>1</v>
          </cell>
          <cell r="M39">
            <v>6</v>
          </cell>
          <cell r="N39">
            <v>8</v>
          </cell>
        </row>
        <row r="40">
          <cell r="A40" t="str">
            <v>MY71107MSXXL</v>
          </cell>
          <cell r="B40">
            <v>1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</row>
        <row r="41">
          <cell r="A41" t="str">
            <v>MY71107ZQL</v>
          </cell>
          <cell r="B41">
            <v>1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</row>
        <row r="42">
          <cell r="A42" t="str">
            <v>MY-71115ZQ-L</v>
          </cell>
          <cell r="B42">
            <v>2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1</v>
          </cell>
          <cell r="K42">
            <v>1</v>
          </cell>
          <cell r="L42">
            <v>0</v>
          </cell>
          <cell r="M42">
            <v>0</v>
          </cell>
          <cell r="N42">
            <v>2</v>
          </cell>
        </row>
        <row r="43">
          <cell r="A43" t="str">
            <v>MY-16055K0-M</v>
          </cell>
          <cell r="B43">
            <v>1</v>
          </cell>
          <cell r="C43">
            <v>0</v>
          </cell>
          <cell r="D43">
            <v>6</v>
          </cell>
          <cell r="E43">
            <v>0</v>
          </cell>
          <cell r="F43">
            <v>6</v>
          </cell>
          <cell r="G43">
            <v>0</v>
          </cell>
          <cell r="H43">
            <v>0</v>
          </cell>
          <cell r="I43">
            <v>0</v>
          </cell>
          <cell r="J43">
            <v>1</v>
          </cell>
          <cell r="K43">
            <v>0</v>
          </cell>
          <cell r="L43">
            <v>0</v>
          </cell>
          <cell r="M43">
            <v>0</v>
          </cell>
          <cell r="N43">
            <v>1</v>
          </cell>
        </row>
        <row r="44">
          <cell r="A44" t="str">
            <v>MY71115K0XXL</v>
          </cell>
          <cell r="B44">
            <v>2</v>
          </cell>
          <cell r="C44">
            <v>0</v>
          </cell>
          <cell r="D44">
            <v>9</v>
          </cell>
          <cell r="E44">
            <v>0</v>
          </cell>
          <cell r="F44">
            <v>9</v>
          </cell>
          <cell r="G44">
            <v>0</v>
          </cell>
          <cell r="H44">
            <v>0</v>
          </cell>
          <cell r="I44">
            <v>0</v>
          </cell>
          <cell r="J44">
            <v>1</v>
          </cell>
          <cell r="K44">
            <v>0</v>
          </cell>
          <cell r="L44">
            <v>0</v>
          </cell>
          <cell r="M44">
            <v>0</v>
          </cell>
          <cell r="N44">
            <v>1</v>
          </cell>
        </row>
        <row r="45">
          <cell r="A45" t="str">
            <v>MY-16055K0-L</v>
          </cell>
          <cell r="B45">
            <v>1</v>
          </cell>
          <cell r="C45">
            <v>0</v>
          </cell>
          <cell r="D45">
            <v>10</v>
          </cell>
          <cell r="E45">
            <v>0</v>
          </cell>
          <cell r="F45">
            <v>10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</row>
        <row r="46">
          <cell r="A46" t="str">
            <v>MY-71107MS-S</v>
          </cell>
          <cell r="B46">
            <v>7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1</v>
          </cell>
          <cell r="K46">
            <v>0</v>
          </cell>
          <cell r="L46">
            <v>0</v>
          </cell>
          <cell r="M46">
            <v>0</v>
          </cell>
          <cell r="N46">
            <v>1</v>
          </cell>
        </row>
        <row r="47">
          <cell r="A47" t="str">
            <v>MY71115ZQXL</v>
          </cell>
          <cell r="B47">
            <v>1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</row>
        <row r="48">
          <cell r="A48" t="str">
            <v>PW-89MW-RR8Y</v>
          </cell>
          <cell r="B48">
            <v>108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108</v>
          </cell>
          <cell r="M48">
            <v>0</v>
          </cell>
          <cell r="N48">
            <v>108</v>
          </cell>
        </row>
        <row r="49">
          <cell r="A49" t="str">
            <v>HF-c1e-MCND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1</v>
          </cell>
          <cell r="K49">
            <v>0</v>
          </cell>
          <cell r="L49">
            <v>0</v>
          </cell>
          <cell r="M49">
            <v>0</v>
          </cell>
          <cell r="N49">
            <v>1</v>
          </cell>
        </row>
        <row r="50">
          <cell r="A50" t="str">
            <v>MY71107ZQXL</v>
          </cell>
          <cell r="B50">
            <v>1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</row>
        <row r="51">
          <cell r="A51" t="str">
            <v>MY-71115K0-XXL</v>
          </cell>
          <cell r="B51">
            <v>2</v>
          </cell>
          <cell r="C51">
            <v>0</v>
          </cell>
          <cell r="D51">
            <v>9</v>
          </cell>
          <cell r="E51">
            <v>0</v>
          </cell>
          <cell r="F51">
            <v>9</v>
          </cell>
          <cell r="G51">
            <v>0</v>
          </cell>
          <cell r="H51">
            <v>0</v>
          </cell>
          <cell r="I51">
            <v>0</v>
          </cell>
          <cell r="J51">
            <v>1</v>
          </cell>
          <cell r="K51">
            <v>0</v>
          </cell>
          <cell r="L51">
            <v>0</v>
          </cell>
          <cell r="M51">
            <v>0</v>
          </cell>
          <cell r="N51">
            <v>1</v>
          </cell>
        </row>
        <row r="52">
          <cell r="A52" t="str">
            <v>MY16055K0L</v>
          </cell>
          <cell r="B52">
            <v>1</v>
          </cell>
          <cell r="C52">
            <v>0</v>
          </cell>
          <cell r="D52">
            <v>10</v>
          </cell>
          <cell r="E52">
            <v>0</v>
          </cell>
          <cell r="F52">
            <v>10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</row>
        <row r="53">
          <cell r="A53" t="str">
            <v>MY71115K0M</v>
          </cell>
          <cell r="B53">
            <v>13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</row>
        <row r="54">
          <cell r="A54" t="str">
            <v>MY71107K0M</v>
          </cell>
          <cell r="B54">
            <v>2</v>
          </cell>
          <cell r="C54">
            <v>0</v>
          </cell>
          <cell r="D54">
            <v>6</v>
          </cell>
          <cell r="E54">
            <v>1</v>
          </cell>
          <cell r="F54">
            <v>7</v>
          </cell>
          <cell r="G54">
            <v>0</v>
          </cell>
          <cell r="H54">
            <v>0</v>
          </cell>
          <cell r="I54">
            <v>0</v>
          </cell>
          <cell r="J54">
            <v>2</v>
          </cell>
          <cell r="K54">
            <v>0</v>
          </cell>
          <cell r="L54">
            <v>0</v>
          </cell>
          <cell r="M54">
            <v>0</v>
          </cell>
          <cell r="N54">
            <v>2</v>
          </cell>
        </row>
        <row r="55">
          <cell r="A55" t="str">
            <v>06-LI7A-IZ44</v>
          </cell>
          <cell r="B55">
            <v>128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1</v>
          </cell>
          <cell r="K55">
            <v>1</v>
          </cell>
          <cell r="L55">
            <v>128</v>
          </cell>
          <cell r="M55">
            <v>0</v>
          </cell>
          <cell r="N55">
            <v>130</v>
          </cell>
        </row>
        <row r="56">
          <cell r="A56" t="str">
            <v>MY-16055ZQ-XL</v>
          </cell>
          <cell r="B56">
            <v>2</v>
          </cell>
          <cell r="C56">
            <v>0</v>
          </cell>
          <cell r="D56">
            <v>3</v>
          </cell>
          <cell r="E56">
            <v>0</v>
          </cell>
          <cell r="F56">
            <v>3</v>
          </cell>
          <cell r="G56">
            <v>0</v>
          </cell>
          <cell r="H56">
            <v>0</v>
          </cell>
          <cell r="I56">
            <v>0</v>
          </cell>
          <cell r="J56">
            <v>1</v>
          </cell>
          <cell r="K56">
            <v>0</v>
          </cell>
          <cell r="L56">
            <v>0</v>
          </cell>
          <cell r="M56">
            <v>0</v>
          </cell>
          <cell r="N56">
            <v>1</v>
          </cell>
        </row>
        <row r="57">
          <cell r="A57" t="str">
            <v>MY-71107MS-XL</v>
          </cell>
          <cell r="B57">
            <v>6</v>
          </cell>
          <cell r="C57">
            <v>0</v>
          </cell>
          <cell r="D57">
            <v>0</v>
          </cell>
          <cell r="E57">
            <v>2</v>
          </cell>
          <cell r="F57">
            <v>2</v>
          </cell>
          <cell r="G57">
            <v>0</v>
          </cell>
          <cell r="H57">
            <v>0</v>
          </cell>
          <cell r="I57">
            <v>0</v>
          </cell>
          <cell r="J57">
            <v>1</v>
          </cell>
          <cell r="K57">
            <v>0</v>
          </cell>
          <cell r="L57">
            <v>0</v>
          </cell>
          <cell r="M57">
            <v>0</v>
          </cell>
          <cell r="N57">
            <v>1</v>
          </cell>
        </row>
        <row r="58">
          <cell r="A58" t="str">
            <v>MY16055ZQXL</v>
          </cell>
          <cell r="B58">
            <v>2</v>
          </cell>
          <cell r="C58">
            <v>0</v>
          </cell>
          <cell r="D58">
            <v>3</v>
          </cell>
          <cell r="E58">
            <v>0</v>
          </cell>
          <cell r="F58">
            <v>3</v>
          </cell>
          <cell r="G58">
            <v>0</v>
          </cell>
          <cell r="H58">
            <v>0</v>
          </cell>
          <cell r="I58">
            <v>0</v>
          </cell>
          <cell r="J58">
            <v>1</v>
          </cell>
          <cell r="K58">
            <v>0</v>
          </cell>
          <cell r="L58">
            <v>0</v>
          </cell>
          <cell r="M58">
            <v>0</v>
          </cell>
          <cell r="N58">
            <v>1</v>
          </cell>
        </row>
        <row r="59">
          <cell r="A59" t="str">
            <v>MY71115ZQL</v>
          </cell>
          <cell r="B59">
            <v>2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1</v>
          </cell>
          <cell r="K59">
            <v>1</v>
          </cell>
          <cell r="L59">
            <v>0</v>
          </cell>
          <cell r="M59">
            <v>0</v>
          </cell>
          <cell r="N59">
            <v>2</v>
          </cell>
        </row>
        <row r="60">
          <cell r="A60" t="str">
            <v>MY-71115K0-L</v>
          </cell>
          <cell r="B60">
            <v>2</v>
          </cell>
          <cell r="C60">
            <v>0</v>
          </cell>
          <cell r="D60">
            <v>9</v>
          </cell>
          <cell r="E60">
            <v>0</v>
          </cell>
          <cell r="F60">
            <v>9</v>
          </cell>
          <cell r="G60">
            <v>0</v>
          </cell>
          <cell r="H60">
            <v>0</v>
          </cell>
          <cell r="I60">
            <v>0</v>
          </cell>
          <cell r="J60">
            <v>2</v>
          </cell>
          <cell r="K60">
            <v>0</v>
          </cell>
          <cell r="L60">
            <v>0</v>
          </cell>
          <cell r="M60">
            <v>0</v>
          </cell>
          <cell r="N60">
            <v>2</v>
          </cell>
        </row>
        <row r="61">
          <cell r="A61" t="str">
            <v>MY-16055K0-XL</v>
          </cell>
          <cell r="B61">
            <v>3</v>
          </cell>
          <cell r="C61">
            <v>0</v>
          </cell>
          <cell r="D61">
            <v>7</v>
          </cell>
          <cell r="E61">
            <v>0</v>
          </cell>
          <cell r="F61">
            <v>7</v>
          </cell>
          <cell r="G61">
            <v>0</v>
          </cell>
          <cell r="H61">
            <v>0</v>
          </cell>
          <cell r="I61">
            <v>0</v>
          </cell>
          <cell r="J61">
            <v>2</v>
          </cell>
          <cell r="K61">
            <v>0</v>
          </cell>
          <cell r="L61">
            <v>0</v>
          </cell>
          <cell r="M61">
            <v>0</v>
          </cell>
          <cell r="N61">
            <v>2</v>
          </cell>
        </row>
        <row r="62">
          <cell r="A62" t="str">
            <v>MY-16055MS-M</v>
          </cell>
          <cell r="B62">
            <v>1</v>
          </cell>
          <cell r="C62">
            <v>0</v>
          </cell>
          <cell r="D62">
            <v>1</v>
          </cell>
          <cell r="E62">
            <v>0</v>
          </cell>
          <cell r="F62">
            <v>1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</row>
        <row r="63">
          <cell r="A63" t="str">
            <v>MY-71107K0-M</v>
          </cell>
          <cell r="B63">
            <v>2</v>
          </cell>
          <cell r="C63">
            <v>0</v>
          </cell>
          <cell r="D63">
            <v>6</v>
          </cell>
          <cell r="E63">
            <v>1</v>
          </cell>
          <cell r="F63">
            <v>7</v>
          </cell>
          <cell r="G63">
            <v>0</v>
          </cell>
          <cell r="H63">
            <v>0</v>
          </cell>
          <cell r="I63">
            <v>0</v>
          </cell>
          <cell r="J63">
            <v>2</v>
          </cell>
          <cell r="K63">
            <v>0</v>
          </cell>
          <cell r="L63">
            <v>0</v>
          </cell>
          <cell r="M63">
            <v>0</v>
          </cell>
          <cell r="N63">
            <v>2</v>
          </cell>
        </row>
        <row r="64">
          <cell r="A64" t="str">
            <v>MY-16055K0-XXL</v>
          </cell>
          <cell r="B64">
            <v>2</v>
          </cell>
          <cell r="C64">
            <v>0</v>
          </cell>
          <cell r="D64">
            <v>11</v>
          </cell>
          <cell r="E64">
            <v>0</v>
          </cell>
          <cell r="F64">
            <v>11</v>
          </cell>
          <cell r="G64">
            <v>0</v>
          </cell>
          <cell r="H64">
            <v>0</v>
          </cell>
          <cell r="I64">
            <v>0</v>
          </cell>
          <cell r="J64">
            <v>2</v>
          </cell>
          <cell r="K64">
            <v>0</v>
          </cell>
          <cell r="L64">
            <v>0</v>
          </cell>
          <cell r="M64">
            <v>0</v>
          </cell>
          <cell r="N64">
            <v>2</v>
          </cell>
        </row>
        <row r="65">
          <cell r="A65" t="str">
            <v>58-6A0P-DRT9</v>
          </cell>
          <cell r="B65">
            <v>53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53</v>
          </cell>
          <cell r="M65">
            <v>0</v>
          </cell>
          <cell r="N65">
            <v>53</v>
          </cell>
        </row>
        <row r="66">
          <cell r="A66" t="str">
            <v>HF-a6e-LASS</v>
          </cell>
          <cell r="B66">
            <v>74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76</v>
          </cell>
          <cell r="K66">
            <v>0</v>
          </cell>
          <cell r="L66">
            <v>0</v>
          </cell>
          <cell r="M66">
            <v>0</v>
          </cell>
          <cell r="N66">
            <v>76</v>
          </cell>
        </row>
        <row r="67">
          <cell r="A67" t="str">
            <v>MY16055MSM</v>
          </cell>
          <cell r="B67">
            <v>1</v>
          </cell>
          <cell r="C67">
            <v>0</v>
          </cell>
          <cell r="D67">
            <v>1</v>
          </cell>
          <cell r="E67">
            <v>0</v>
          </cell>
          <cell r="F67">
            <v>1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</row>
        <row r="68">
          <cell r="A68" t="str">
            <v>HF-a10e-MINM</v>
          </cell>
          <cell r="B68">
            <v>0</v>
          </cell>
          <cell r="C68">
            <v>1</v>
          </cell>
          <cell r="D68">
            <v>0</v>
          </cell>
          <cell r="E68">
            <v>2</v>
          </cell>
          <cell r="F68">
            <v>2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</row>
        <row r="69">
          <cell r="A69" t="str">
            <v>MY16055K0XXL</v>
          </cell>
          <cell r="B69">
            <v>2</v>
          </cell>
          <cell r="C69">
            <v>0</v>
          </cell>
          <cell r="D69">
            <v>11</v>
          </cell>
          <cell r="E69">
            <v>0</v>
          </cell>
          <cell r="F69">
            <v>11</v>
          </cell>
          <cell r="G69">
            <v>0</v>
          </cell>
          <cell r="H69">
            <v>0</v>
          </cell>
          <cell r="I69">
            <v>0</v>
          </cell>
          <cell r="J69">
            <v>2</v>
          </cell>
          <cell r="K69">
            <v>0</v>
          </cell>
          <cell r="L69">
            <v>0</v>
          </cell>
          <cell r="M69">
            <v>0</v>
          </cell>
          <cell r="N69">
            <v>2</v>
          </cell>
        </row>
        <row r="70">
          <cell r="A70" t="str">
            <v>HF-a21e-SCFM</v>
          </cell>
          <cell r="B70">
            <v>12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12</v>
          </cell>
          <cell r="K70">
            <v>0</v>
          </cell>
          <cell r="L70">
            <v>0</v>
          </cell>
          <cell r="M70">
            <v>0</v>
          </cell>
          <cell r="N70">
            <v>12</v>
          </cell>
        </row>
        <row r="71">
          <cell r="A71" t="str">
            <v>MY-71115K0-M</v>
          </cell>
          <cell r="B71">
            <v>13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</row>
        <row r="72">
          <cell r="A72" t="str">
            <v>HF-g2e-ACRC</v>
          </cell>
          <cell r="B72">
            <v>8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</row>
        <row r="73">
          <cell r="A73" t="str">
            <v>1M-3M12-58YS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</row>
        <row r="74">
          <cell r="A74" t="str">
            <v>5D-ZS9Q-CYOL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</row>
        <row r="75">
          <cell r="A75" t="str">
            <v>5S-TEQM-ZWF1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</row>
        <row r="76">
          <cell r="A76" t="str">
            <v>5X-E8TX-UKIW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</row>
        <row r="77">
          <cell r="A77" t="str">
            <v>7K-XLQF-24PG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</row>
        <row r="78">
          <cell r="A78" t="str">
            <v>8V-1JSS-5D7M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</row>
        <row r="79">
          <cell r="A79" t="str">
            <v>A5-X9GB-M912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</row>
        <row r="80">
          <cell r="A80" t="str">
            <v>B000VEWF2Q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</row>
        <row r="81">
          <cell r="A81" t="str">
            <v>BM-6KQ2-02X2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</row>
        <row r="82">
          <cell r="A82" t="str">
            <v>C3-311K-550X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</row>
        <row r="83">
          <cell r="A83" t="str">
            <v>DA-BINR-0UIS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</row>
        <row r="84">
          <cell r="A84" t="str">
            <v>DM-LSF9-NGGG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</row>
        <row r="85">
          <cell r="A85" t="str">
            <v>DW-MG8E-BMQG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</row>
        <row r="86">
          <cell r="A86" t="str">
            <v>E8-GWV1-AJMB</v>
          </cell>
          <cell r="B86">
            <v>0</v>
          </cell>
          <cell r="C86">
            <v>24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</row>
        <row r="87">
          <cell r="A87" t="str">
            <v>EW-ERSE-5U59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</row>
        <row r="88">
          <cell r="A88" t="str">
            <v>GE-EMV6-4E4J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</row>
        <row r="89">
          <cell r="A89" t="str">
            <v>HF-a136e-MHBB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</row>
        <row r="90">
          <cell r="A90" t="str">
            <v>HF-a14e-NICC</v>
          </cell>
          <cell r="B90">
            <v>0</v>
          </cell>
          <cell r="C90">
            <v>0</v>
          </cell>
          <cell r="D90">
            <v>0</v>
          </cell>
          <cell r="E90">
            <v>48</v>
          </cell>
          <cell r="F90">
            <v>48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</row>
        <row r="91">
          <cell r="A91" t="str">
            <v>HF-a18e-IADC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</row>
        <row r="92">
          <cell r="A92" t="str">
            <v>HF-a37e-FCMG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</row>
        <row r="93">
          <cell r="A93" t="str">
            <v>HF-a56e-EYES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</row>
        <row r="94">
          <cell r="A94" t="str">
            <v>HF-a5e-NCFM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</row>
        <row r="95">
          <cell r="A95" t="str">
            <v>HF-a69e-PEFGX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</row>
        <row r="96">
          <cell r="A96" t="str">
            <v>HF-a76e-GCSS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</row>
        <row r="97">
          <cell r="A97" t="str">
            <v>HF-a77e-TSSS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</row>
        <row r="98">
          <cell r="A98" t="str">
            <v>HF-a81e-MHBB</v>
          </cell>
          <cell r="B98">
            <v>0</v>
          </cell>
          <cell r="C98">
            <v>0</v>
          </cell>
          <cell r="D98">
            <v>0</v>
          </cell>
          <cell r="E98">
            <v>24</v>
          </cell>
          <cell r="F98">
            <v>24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</row>
        <row r="99">
          <cell r="A99" t="str">
            <v>HF-a82e-RPBB</v>
          </cell>
          <cell r="B99">
            <v>0</v>
          </cell>
          <cell r="C99">
            <v>0</v>
          </cell>
          <cell r="D99">
            <v>0</v>
          </cell>
          <cell r="E99">
            <v>72</v>
          </cell>
          <cell r="F99">
            <v>72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</row>
        <row r="100">
          <cell r="A100" t="str">
            <v>HF-f12-FACL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</row>
        <row r="101">
          <cell r="A101" t="str">
            <v>HF-f24-ACPF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</row>
        <row r="102">
          <cell r="A102" t="str">
            <v>HF-f9a-GSBB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</row>
        <row r="103">
          <cell r="A103" t="str">
            <v>HF-g104e-PCFS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</row>
        <row r="104">
          <cell r="A104" t="str">
            <v>HF-n2ae-NBNK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</row>
        <row r="105">
          <cell r="A105" t="str">
            <v>IM-YEIX-VVX8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</row>
        <row r="106">
          <cell r="A106" t="str">
            <v>KN-2B5X-YB0L</v>
          </cell>
          <cell r="B106">
            <v>0</v>
          </cell>
          <cell r="C106">
            <v>1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</row>
        <row r="107">
          <cell r="A107" t="str">
            <v>KN-QWP1-D5XB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</row>
        <row r="108">
          <cell r="A108" t="str">
            <v>KP-1178-XPKV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</row>
        <row r="109">
          <cell r="A109" t="str">
            <v>L7-N9M4-0P6X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</row>
        <row r="110">
          <cell r="A110" t="str">
            <v>LH-V26Y-FVKV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</row>
        <row r="111">
          <cell r="A111" t="str">
            <v>LY-0LSI-94LS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</row>
        <row r="112">
          <cell r="A112" t="str">
            <v>M5-BNRC-2A6O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</row>
        <row r="113">
          <cell r="A113" t="str">
            <v>MY-16055K0-S</v>
          </cell>
          <cell r="B113">
            <v>0</v>
          </cell>
          <cell r="C113">
            <v>0</v>
          </cell>
          <cell r="D113">
            <v>14</v>
          </cell>
          <cell r="E113">
            <v>0</v>
          </cell>
          <cell r="F113">
            <v>14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</row>
        <row r="114">
          <cell r="A114" t="str">
            <v>MY-16055MS-L</v>
          </cell>
          <cell r="B114">
            <v>0</v>
          </cell>
          <cell r="C114">
            <v>0</v>
          </cell>
          <cell r="D114">
            <v>6</v>
          </cell>
          <cell r="E114">
            <v>0</v>
          </cell>
          <cell r="F114">
            <v>6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</row>
        <row r="115">
          <cell r="A115" t="str">
            <v>MY-16055MS-S</v>
          </cell>
          <cell r="B115">
            <v>0</v>
          </cell>
          <cell r="C115">
            <v>0</v>
          </cell>
          <cell r="D115">
            <v>6</v>
          </cell>
          <cell r="E115">
            <v>0</v>
          </cell>
          <cell r="F115">
            <v>6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</row>
        <row r="116">
          <cell r="A116" t="str">
            <v>MY-16055MS-XL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</row>
        <row r="117">
          <cell r="A117" t="str">
            <v>MY-16055MS-XXL</v>
          </cell>
          <cell r="B117">
            <v>0</v>
          </cell>
          <cell r="C117">
            <v>0</v>
          </cell>
          <cell r="D117">
            <v>11</v>
          </cell>
          <cell r="E117">
            <v>0</v>
          </cell>
          <cell r="F117">
            <v>11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</row>
        <row r="118">
          <cell r="A118" t="str">
            <v>MY-16055ZQ-S</v>
          </cell>
          <cell r="B118">
            <v>0</v>
          </cell>
          <cell r="C118">
            <v>0</v>
          </cell>
          <cell r="D118">
            <v>4</v>
          </cell>
          <cell r="E118">
            <v>0</v>
          </cell>
          <cell r="F118">
            <v>4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</row>
        <row r="119">
          <cell r="A119" t="str">
            <v>MY-71107K0-L</v>
          </cell>
          <cell r="B119">
            <v>12</v>
          </cell>
          <cell r="C119">
            <v>1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</row>
        <row r="120">
          <cell r="A120" t="str">
            <v>MY-71107K0-S</v>
          </cell>
          <cell r="B120">
            <v>0</v>
          </cell>
          <cell r="C120">
            <v>0</v>
          </cell>
          <cell r="D120">
            <v>1</v>
          </cell>
          <cell r="E120">
            <v>0</v>
          </cell>
          <cell r="F120">
            <v>1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</row>
        <row r="121">
          <cell r="A121" t="str">
            <v>MY-71107MS-L</v>
          </cell>
          <cell r="B121">
            <v>6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</row>
        <row r="122">
          <cell r="A122" t="str">
            <v>MY-71107MS-M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</row>
        <row r="123">
          <cell r="A123" t="str">
            <v>MY-71107ZQ-S</v>
          </cell>
          <cell r="B123">
            <v>7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</row>
        <row r="124">
          <cell r="A124" t="str">
            <v>MY-71115K0-S</v>
          </cell>
          <cell r="B124">
            <v>9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</row>
        <row r="125">
          <cell r="A125" t="str">
            <v>MY-71115K0-XL</v>
          </cell>
          <cell r="B125">
            <v>0</v>
          </cell>
          <cell r="C125">
            <v>0</v>
          </cell>
          <cell r="D125">
            <v>9</v>
          </cell>
          <cell r="E125">
            <v>0</v>
          </cell>
          <cell r="F125">
            <v>9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</row>
        <row r="126">
          <cell r="A126" t="str">
            <v>MY-71115MS-L</v>
          </cell>
          <cell r="B126">
            <v>0</v>
          </cell>
          <cell r="C126">
            <v>0</v>
          </cell>
          <cell r="D126">
            <v>12</v>
          </cell>
          <cell r="E126">
            <v>0</v>
          </cell>
          <cell r="F126">
            <v>12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</row>
        <row r="127">
          <cell r="A127" t="str">
            <v>MY-71115MS-M</v>
          </cell>
          <cell r="B127">
            <v>0</v>
          </cell>
          <cell r="C127">
            <v>0</v>
          </cell>
          <cell r="D127">
            <v>5</v>
          </cell>
          <cell r="E127">
            <v>0</v>
          </cell>
          <cell r="F127">
            <v>5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</row>
        <row r="128">
          <cell r="A128" t="str">
            <v>MY-71115MS-S</v>
          </cell>
          <cell r="B128">
            <v>0</v>
          </cell>
          <cell r="C128">
            <v>0</v>
          </cell>
          <cell r="D128">
            <v>3</v>
          </cell>
          <cell r="E128">
            <v>0</v>
          </cell>
          <cell r="F128">
            <v>3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</row>
        <row r="129">
          <cell r="A129" t="str">
            <v>MY-71115MS-XL</v>
          </cell>
          <cell r="B129">
            <v>0</v>
          </cell>
          <cell r="C129">
            <v>0</v>
          </cell>
          <cell r="D129">
            <v>8</v>
          </cell>
          <cell r="E129">
            <v>0</v>
          </cell>
          <cell r="F129">
            <v>8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</row>
        <row r="130">
          <cell r="A130" t="str">
            <v>MY-71115MS-XXL</v>
          </cell>
          <cell r="B130">
            <v>0</v>
          </cell>
          <cell r="C130">
            <v>0</v>
          </cell>
          <cell r="D130">
            <v>6</v>
          </cell>
          <cell r="E130">
            <v>0</v>
          </cell>
          <cell r="F130">
            <v>6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</row>
        <row r="131">
          <cell r="A131" t="str">
            <v>MY-71115ZQ-M</v>
          </cell>
          <cell r="B131">
            <v>0</v>
          </cell>
          <cell r="C131">
            <v>0</v>
          </cell>
          <cell r="D131">
            <v>6</v>
          </cell>
          <cell r="E131">
            <v>0</v>
          </cell>
          <cell r="F131">
            <v>6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</row>
        <row r="132">
          <cell r="A132" t="str">
            <v>MY-71115ZQ-S</v>
          </cell>
          <cell r="B132">
            <v>0</v>
          </cell>
          <cell r="C132">
            <v>0</v>
          </cell>
          <cell r="D132">
            <v>8</v>
          </cell>
          <cell r="E132">
            <v>0</v>
          </cell>
          <cell r="F132">
            <v>8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</row>
        <row r="133">
          <cell r="A133" t="str">
            <v>MY16055K0S</v>
          </cell>
          <cell r="B133">
            <v>0</v>
          </cell>
          <cell r="C133">
            <v>0</v>
          </cell>
          <cell r="D133">
            <v>14</v>
          </cell>
          <cell r="E133">
            <v>0</v>
          </cell>
          <cell r="F133">
            <v>14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</row>
        <row r="134">
          <cell r="A134" t="str">
            <v>MY16055MSL</v>
          </cell>
          <cell r="B134">
            <v>0</v>
          </cell>
          <cell r="C134">
            <v>0</v>
          </cell>
          <cell r="D134">
            <v>6</v>
          </cell>
          <cell r="E134">
            <v>0</v>
          </cell>
          <cell r="F134">
            <v>6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</row>
        <row r="135">
          <cell r="A135" t="str">
            <v>MY16055MSS</v>
          </cell>
          <cell r="B135">
            <v>0</v>
          </cell>
          <cell r="C135">
            <v>0</v>
          </cell>
          <cell r="D135">
            <v>6</v>
          </cell>
          <cell r="E135">
            <v>0</v>
          </cell>
          <cell r="F135">
            <v>6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</row>
        <row r="136">
          <cell r="A136" t="str">
            <v>MY16055MSXL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</row>
        <row r="137">
          <cell r="A137" t="str">
            <v>MY16055MSXXL</v>
          </cell>
          <cell r="B137">
            <v>0</v>
          </cell>
          <cell r="C137">
            <v>0</v>
          </cell>
          <cell r="D137">
            <v>11</v>
          </cell>
          <cell r="E137">
            <v>0</v>
          </cell>
          <cell r="F137">
            <v>11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</row>
        <row r="138">
          <cell r="A138" t="str">
            <v>MY16055ZQL</v>
          </cell>
          <cell r="B138">
            <v>0</v>
          </cell>
          <cell r="C138">
            <v>1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</row>
        <row r="139">
          <cell r="A139" t="str">
            <v>MY16055ZQS</v>
          </cell>
          <cell r="B139">
            <v>0</v>
          </cell>
          <cell r="C139">
            <v>0</v>
          </cell>
          <cell r="D139">
            <v>4</v>
          </cell>
          <cell r="E139">
            <v>0</v>
          </cell>
          <cell r="F139">
            <v>4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</row>
        <row r="140">
          <cell r="A140" t="str">
            <v>MY71107K0L</v>
          </cell>
          <cell r="B140">
            <v>12</v>
          </cell>
          <cell r="C140">
            <v>1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</row>
        <row r="141">
          <cell r="A141" t="str">
            <v>MY71107K0S</v>
          </cell>
          <cell r="B141">
            <v>0</v>
          </cell>
          <cell r="C141">
            <v>0</v>
          </cell>
          <cell r="D141">
            <v>1</v>
          </cell>
          <cell r="E141">
            <v>0</v>
          </cell>
          <cell r="F141">
            <v>1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</row>
        <row r="142">
          <cell r="A142" t="str">
            <v>MY71107K0XXL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</row>
        <row r="143">
          <cell r="A143" t="str">
            <v>MY71107MSL</v>
          </cell>
          <cell r="B143">
            <v>6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</row>
        <row r="144">
          <cell r="A144" t="str">
            <v>MY71107MSM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</row>
        <row r="145">
          <cell r="A145" t="str">
            <v>MY71107ZQS</v>
          </cell>
          <cell r="B145">
            <v>7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</row>
        <row r="146">
          <cell r="A146" t="str">
            <v>MY71107ZQXXL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</row>
        <row r="147">
          <cell r="A147" t="str">
            <v>MY71115K0S</v>
          </cell>
          <cell r="B147">
            <v>9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</row>
        <row r="148">
          <cell r="A148" t="str">
            <v>MY71115K0XL</v>
          </cell>
          <cell r="B148">
            <v>0</v>
          </cell>
          <cell r="C148">
            <v>0</v>
          </cell>
          <cell r="D148">
            <v>9</v>
          </cell>
          <cell r="E148">
            <v>0</v>
          </cell>
          <cell r="F148">
            <v>9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</row>
        <row r="149">
          <cell r="A149" t="str">
            <v>MY71115MSL</v>
          </cell>
          <cell r="B149">
            <v>0</v>
          </cell>
          <cell r="C149">
            <v>0</v>
          </cell>
          <cell r="D149">
            <v>12</v>
          </cell>
          <cell r="E149">
            <v>0</v>
          </cell>
          <cell r="F149">
            <v>12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</row>
        <row r="150">
          <cell r="A150" t="str">
            <v>MY71115MSM</v>
          </cell>
          <cell r="B150">
            <v>0</v>
          </cell>
          <cell r="C150">
            <v>0</v>
          </cell>
          <cell r="D150">
            <v>5</v>
          </cell>
          <cell r="E150">
            <v>0</v>
          </cell>
          <cell r="F150">
            <v>5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</row>
        <row r="151">
          <cell r="A151" t="str">
            <v>MY71115MSS</v>
          </cell>
          <cell r="B151">
            <v>0</v>
          </cell>
          <cell r="C151">
            <v>0</v>
          </cell>
          <cell r="D151">
            <v>3</v>
          </cell>
          <cell r="E151">
            <v>0</v>
          </cell>
          <cell r="F151">
            <v>3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</row>
        <row r="152">
          <cell r="A152" t="str">
            <v>MY71115MSXL</v>
          </cell>
          <cell r="B152">
            <v>0</v>
          </cell>
          <cell r="C152">
            <v>0</v>
          </cell>
          <cell r="D152">
            <v>8</v>
          </cell>
          <cell r="E152">
            <v>0</v>
          </cell>
          <cell r="F152">
            <v>8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</row>
        <row r="153">
          <cell r="A153" t="str">
            <v>MY71115MSXXL</v>
          </cell>
          <cell r="B153">
            <v>0</v>
          </cell>
          <cell r="C153">
            <v>0</v>
          </cell>
          <cell r="D153">
            <v>6</v>
          </cell>
          <cell r="E153">
            <v>0</v>
          </cell>
          <cell r="F153">
            <v>6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</row>
        <row r="154">
          <cell r="A154" t="str">
            <v>MY71115ZQM</v>
          </cell>
          <cell r="B154">
            <v>0</v>
          </cell>
          <cell r="C154">
            <v>0</v>
          </cell>
          <cell r="D154">
            <v>6</v>
          </cell>
          <cell r="E154">
            <v>0</v>
          </cell>
          <cell r="F154">
            <v>6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</row>
        <row r="155">
          <cell r="A155" t="str">
            <v>MY71115ZQS</v>
          </cell>
          <cell r="B155">
            <v>0</v>
          </cell>
          <cell r="C155">
            <v>0</v>
          </cell>
          <cell r="D155">
            <v>8</v>
          </cell>
          <cell r="E155">
            <v>0</v>
          </cell>
          <cell r="F155">
            <v>8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</row>
        <row r="156">
          <cell r="A156" t="str">
            <v>NL-JZZU-6KCF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</row>
        <row r="157">
          <cell r="A157" t="str">
            <v>PG-UDJF-U1WZ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</row>
        <row r="158">
          <cell r="A158" t="str">
            <v>U9-B86F-U3BU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</row>
        <row r="159">
          <cell r="A159" t="str">
            <v>UH-SMM5-RLVI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</row>
        <row r="160">
          <cell r="A160" t="str">
            <v>YI-LW70-5D1O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</row>
        <row r="161">
          <cell r="A161" t="str">
            <v>ZW-A85T-DGVQ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商品流量"/>
      <sheetName val="日期"/>
      <sheetName val="浏览量处理(勿删)"/>
      <sheetName val="订单商品转化率透视图"/>
    </sheetNames>
    <sheetDataSet>
      <sheetData sheetId="0"/>
      <sheetData sheetId="1"/>
      <sheetData sheetId="2">
        <row r="1">
          <cell r="A1" t="str">
            <v>子ASIN</v>
          </cell>
          <cell r="B1" t="str">
            <v>一周浏览次数</v>
          </cell>
          <cell r="C1" t="str">
            <v>二周浏览次数</v>
          </cell>
          <cell r="D1" t="str">
            <v>三周浏览次数</v>
          </cell>
          <cell r="E1" t="str">
            <v>四周浏览次数</v>
          </cell>
        </row>
        <row r="2">
          <cell r="A2" t="str">
            <v>B00117F5PG</v>
          </cell>
          <cell r="B2">
            <v>0</v>
          </cell>
          <cell r="C2">
            <v>0</v>
          </cell>
          <cell r="D2">
            <v>93</v>
          </cell>
          <cell r="E2">
            <v>193</v>
          </cell>
        </row>
        <row r="3">
          <cell r="A3" t="str">
            <v>B000VER1RU</v>
          </cell>
          <cell r="B3">
            <v>216</v>
          </cell>
          <cell r="C3">
            <v>231</v>
          </cell>
          <cell r="D3">
            <v>244</v>
          </cell>
          <cell r="E3">
            <v>166</v>
          </cell>
        </row>
        <row r="4">
          <cell r="A4" t="str">
            <v>B000VF5WVG</v>
          </cell>
          <cell r="B4">
            <v>115</v>
          </cell>
          <cell r="C4">
            <v>175</v>
          </cell>
          <cell r="D4">
            <v>172</v>
          </cell>
          <cell r="E4">
            <v>184</v>
          </cell>
        </row>
        <row r="5">
          <cell r="A5" t="str">
            <v>B0010BBCFK</v>
          </cell>
          <cell r="B5">
            <v>99</v>
          </cell>
          <cell r="C5">
            <v>0</v>
          </cell>
          <cell r="D5">
            <v>0</v>
          </cell>
          <cell r="E5">
            <v>232</v>
          </cell>
        </row>
        <row r="6">
          <cell r="A6" t="str">
            <v>B0010OMN4G</v>
          </cell>
          <cell r="B6">
            <v>18</v>
          </cell>
          <cell r="C6">
            <v>17</v>
          </cell>
          <cell r="D6">
            <v>24</v>
          </cell>
          <cell r="E6">
            <v>18</v>
          </cell>
        </row>
        <row r="7">
          <cell r="A7" t="str">
            <v>B00115TXRE</v>
          </cell>
          <cell r="B7">
            <v>0</v>
          </cell>
          <cell r="C7">
            <v>0</v>
          </cell>
          <cell r="D7">
            <v>0</v>
          </cell>
          <cell r="E7">
            <v>189</v>
          </cell>
        </row>
        <row r="8">
          <cell r="A8" t="str">
            <v>B001278VEW</v>
          </cell>
          <cell r="B8">
            <v>14</v>
          </cell>
          <cell r="C8">
            <v>18</v>
          </cell>
          <cell r="D8">
            <v>17</v>
          </cell>
          <cell r="E8">
            <v>22</v>
          </cell>
        </row>
        <row r="9">
          <cell r="A9" t="str">
            <v>B001561M00</v>
          </cell>
          <cell r="B9">
            <v>82</v>
          </cell>
          <cell r="C9">
            <v>97</v>
          </cell>
          <cell r="D9">
            <v>63</v>
          </cell>
          <cell r="E9">
            <v>49</v>
          </cell>
        </row>
        <row r="10">
          <cell r="A10" t="str">
            <v>B00157XFNQ</v>
          </cell>
          <cell r="B10">
            <v>31</v>
          </cell>
          <cell r="C10">
            <v>33</v>
          </cell>
          <cell r="D10">
            <v>33</v>
          </cell>
          <cell r="E10">
            <v>48</v>
          </cell>
        </row>
        <row r="11">
          <cell r="A11" t="str">
            <v>B00157ZFC0</v>
          </cell>
          <cell r="B11">
            <v>12</v>
          </cell>
          <cell r="C11">
            <v>31</v>
          </cell>
          <cell r="D11">
            <v>29</v>
          </cell>
          <cell r="E11">
            <v>18</v>
          </cell>
        </row>
        <row r="12">
          <cell r="A12" t="str">
            <v>B0016VW618</v>
          </cell>
          <cell r="B12">
            <v>37</v>
          </cell>
          <cell r="C12">
            <v>38</v>
          </cell>
          <cell r="D12">
            <v>47</v>
          </cell>
          <cell r="E12">
            <v>31</v>
          </cell>
        </row>
        <row r="13">
          <cell r="A13" t="str">
            <v>B001DXOWA2</v>
          </cell>
          <cell r="B13">
            <v>44</v>
          </cell>
          <cell r="C13">
            <v>30</v>
          </cell>
          <cell r="D13">
            <v>52</v>
          </cell>
          <cell r="E13">
            <v>47</v>
          </cell>
        </row>
        <row r="14">
          <cell r="A14" t="str">
            <v>B002DL9M2G</v>
          </cell>
          <cell r="B14">
            <v>53</v>
          </cell>
          <cell r="C14">
            <v>49</v>
          </cell>
          <cell r="D14">
            <v>63</v>
          </cell>
          <cell r="E14">
            <v>39</v>
          </cell>
        </row>
        <row r="15">
          <cell r="A15" t="str">
            <v>B002DV0KDQ</v>
          </cell>
          <cell r="B15">
            <v>69</v>
          </cell>
          <cell r="C15">
            <v>90</v>
          </cell>
          <cell r="D15">
            <v>98</v>
          </cell>
          <cell r="E15">
            <v>68</v>
          </cell>
        </row>
        <row r="16">
          <cell r="A16" t="str">
            <v>B002DYY35Y</v>
          </cell>
          <cell r="B16">
            <v>57</v>
          </cell>
          <cell r="C16">
            <v>79</v>
          </cell>
          <cell r="D16">
            <v>81</v>
          </cell>
          <cell r="E16">
            <v>64</v>
          </cell>
        </row>
        <row r="17">
          <cell r="A17" t="str">
            <v>B00383XLTS</v>
          </cell>
          <cell r="B17">
            <v>44</v>
          </cell>
          <cell r="C17">
            <v>42</v>
          </cell>
          <cell r="D17">
            <v>43</v>
          </cell>
          <cell r="E17">
            <v>34</v>
          </cell>
        </row>
        <row r="18">
          <cell r="A18" t="str">
            <v>B00384AO7O</v>
          </cell>
          <cell r="B18">
            <v>17</v>
          </cell>
          <cell r="C18">
            <v>81</v>
          </cell>
          <cell r="D18">
            <v>73</v>
          </cell>
          <cell r="E18">
            <v>67</v>
          </cell>
        </row>
        <row r="19">
          <cell r="A19" t="str">
            <v>B003NJKS48</v>
          </cell>
          <cell r="B19">
            <v>14</v>
          </cell>
          <cell r="C19">
            <v>25</v>
          </cell>
          <cell r="D19">
            <v>29</v>
          </cell>
          <cell r="E19">
            <v>34</v>
          </cell>
        </row>
        <row r="20">
          <cell r="A20" t="str">
            <v>B003NQ7P0Q</v>
          </cell>
          <cell r="B20">
            <v>0</v>
          </cell>
          <cell r="C20">
            <v>0</v>
          </cell>
          <cell r="D20">
            <v>0</v>
          </cell>
          <cell r="E20">
            <v>33</v>
          </cell>
        </row>
        <row r="21">
          <cell r="A21" t="str">
            <v>B003Y7CMF2</v>
          </cell>
          <cell r="B21">
            <v>0</v>
          </cell>
          <cell r="C21">
            <v>0</v>
          </cell>
          <cell r="D21">
            <v>0</v>
          </cell>
          <cell r="E21">
            <v>14</v>
          </cell>
        </row>
        <row r="22">
          <cell r="A22" t="str">
            <v>B003Y7D0HQ</v>
          </cell>
          <cell r="B22">
            <v>49</v>
          </cell>
          <cell r="C22">
            <v>33</v>
          </cell>
          <cell r="D22">
            <v>34</v>
          </cell>
          <cell r="E22">
            <v>44</v>
          </cell>
        </row>
        <row r="23">
          <cell r="A23" t="str">
            <v>B003Y7EU16</v>
          </cell>
          <cell r="B23">
            <v>32</v>
          </cell>
          <cell r="C23">
            <v>32</v>
          </cell>
          <cell r="D23">
            <v>33</v>
          </cell>
          <cell r="E23">
            <v>22</v>
          </cell>
        </row>
        <row r="24">
          <cell r="A24" t="str">
            <v>B004H02GDI</v>
          </cell>
          <cell r="B24">
            <v>0</v>
          </cell>
          <cell r="C24">
            <v>16</v>
          </cell>
          <cell r="D24">
            <v>143</v>
          </cell>
          <cell r="E24">
            <v>124</v>
          </cell>
        </row>
        <row r="25">
          <cell r="A25" t="str">
            <v>B004H07J80</v>
          </cell>
          <cell r="B25">
            <v>0</v>
          </cell>
          <cell r="C25">
            <v>0</v>
          </cell>
          <cell r="D25">
            <v>0</v>
          </cell>
          <cell r="E25">
            <v>6</v>
          </cell>
        </row>
        <row r="26">
          <cell r="A26" t="str">
            <v>B004H07KKC</v>
          </cell>
          <cell r="B26">
            <v>13</v>
          </cell>
          <cell r="C26">
            <v>24</v>
          </cell>
          <cell r="D26">
            <v>21</v>
          </cell>
          <cell r="E26">
            <v>17</v>
          </cell>
        </row>
        <row r="27">
          <cell r="A27" t="str">
            <v>B004H09KEQ</v>
          </cell>
          <cell r="B27">
            <v>0</v>
          </cell>
          <cell r="C27">
            <v>121</v>
          </cell>
          <cell r="D27">
            <v>85</v>
          </cell>
          <cell r="E27">
            <v>234</v>
          </cell>
        </row>
        <row r="28">
          <cell r="A28" t="str">
            <v>B004X9BRU6</v>
          </cell>
          <cell r="B28">
            <v>0</v>
          </cell>
          <cell r="C28">
            <v>0</v>
          </cell>
          <cell r="D28">
            <v>37</v>
          </cell>
          <cell r="E28">
            <v>47</v>
          </cell>
        </row>
        <row r="29">
          <cell r="A29" t="str">
            <v>B004X9BSG4</v>
          </cell>
          <cell r="B29">
            <v>16</v>
          </cell>
          <cell r="C29">
            <v>16</v>
          </cell>
          <cell r="D29">
            <v>40</v>
          </cell>
          <cell r="E29">
            <v>8</v>
          </cell>
        </row>
        <row r="30">
          <cell r="A30" t="str">
            <v>B0052K03KA</v>
          </cell>
          <cell r="B30">
            <v>23</v>
          </cell>
          <cell r="C30">
            <v>41</v>
          </cell>
          <cell r="D30">
            <v>30</v>
          </cell>
          <cell r="E30">
            <v>42</v>
          </cell>
        </row>
        <row r="31">
          <cell r="A31" t="str">
            <v>B00BD3OU72</v>
          </cell>
          <cell r="B31">
            <v>30</v>
          </cell>
          <cell r="C31">
            <v>35</v>
          </cell>
          <cell r="D31">
            <v>51</v>
          </cell>
          <cell r="E31">
            <v>52</v>
          </cell>
        </row>
        <row r="32">
          <cell r="A32" t="str">
            <v>B00G71LV3Q</v>
          </cell>
          <cell r="B32">
            <v>171</v>
          </cell>
          <cell r="C32">
            <v>243</v>
          </cell>
          <cell r="D32">
            <v>252</v>
          </cell>
          <cell r="E32">
            <v>153</v>
          </cell>
        </row>
        <row r="33">
          <cell r="A33" t="str">
            <v>B01G3AIYJO</v>
          </cell>
          <cell r="B33">
            <v>39</v>
          </cell>
          <cell r="C33">
            <v>39</v>
          </cell>
          <cell r="D33">
            <v>27</v>
          </cell>
          <cell r="E33">
            <v>18</v>
          </cell>
        </row>
        <row r="34">
          <cell r="A34" t="str">
            <v>B01JSONMH6</v>
          </cell>
          <cell r="B34">
            <v>70</v>
          </cell>
          <cell r="C34">
            <v>75</v>
          </cell>
          <cell r="D34">
            <v>67</v>
          </cell>
          <cell r="E34">
            <v>57</v>
          </cell>
        </row>
        <row r="35">
          <cell r="A35" t="str">
            <v>B0761MXCJB</v>
          </cell>
          <cell r="B35">
            <v>0</v>
          </cell>
          <cell r="C35">
            <v>0</v>
          </cell>
          <cell r="D35">
            <v>5</v>
          </cell>
          <cell r="E35">
            <v>3</v>
          </cell>
        </row>
        <row r="36">
          <cell r="A36" t="str">
            <v>B0761N286T</v>
          </cell>
          <cell r="B36">
            <v>0</v>
          </cell>
          <cell r="C36">
            <v>0</v>
          </cell>
          <cell r="D36">
            <v>9</v>
          </cell>
          <cell r="E36">
            <v>2</v>
          </cell>
        </row>
        <row r="37">
          <cell r="A37" t="str">
            <v>B0761N3HJ3</v>
          </cell>
          <cell r="B37">
            <v>2</v>
          </cell>
          <cell r="C37">
            <v>4</v>
          </cell>
          <cell r="D37">
            <v>7</v>
          </cell>
          <cell r="E37">
            <v>2</v>
          </cell>
        </row>
        <row r="38">
          <cell r="A38" t="str">
            <v>B0761N46BN</v>
          </cell>
          <cell r="B38">
            <v>0</v>
          </cell>
          <cell r="C38">
            <v>0</v>
          </cell>
          <cell r="D38">
            <v>13</v>
          </cell>
          <cell r="E38">
            <v>3</v>
          </cell>
        </row>
        <row r="39">
          <cell r="A39" t="str">
            <v>B0761NFTQC</v>
          </cell>
          <cell r="B39">
            <v>0</v>
          </cell>
          <cell r="C39">
            <v>0</v>
          </cell>
          <cell r="D39">
            <v>12</v>
          </cell>
          <cell r="E39">
            <v>4</v>
          </cell>
        </row>
        <row r="40">
          <cell r="A40" t="str">
            <v>B0761NG4W8</v>
          </cell>
          <cell r="B40">
            <v>3</v>
          </cell>
          <cell r="C40">
            <v>3</v>
          </cell>
          <cell r="D40">
            <v>8</v>
          </cell>
          <cell r="E40">
            <v>3</v>
          </cell>
        </row>
        <row r="41">
          <cell r="A41" t="str">
            <v>B0761NGWJD</v>
          </cell>
          <cell r="B41">
            <v>0</v>
          </cell>
          <cell r="C41">
            <v>0</v>
          </cell>
          <cell r="D41">
            <v>10</v>
          </cell>
          <cell r="E41">
            <v>7</v>
          </cell>
        </row>
        <row r="42">
          <cell r="A42" t="str">
            <v>B0761NGYTK</v>
          </cell>
          <cell r="B42">
            <v>8</v>
          </cell>
          <cell r="C42">
            <v>6</v>
          </cell>
          <cell r="D42">
            <v>7</v>
          </cell>
          <cell r="E42">
            <v>3</v>
          </cell>
        </row>
        <row r="43">
          <cell r="A43" t="str">
            <v>B0761NHB1Y</v>
          </cell>
          <cell r="B43">
            <v>0</v>
          </cell>
          <cell r="C43">
            <v>0</v>
          </cell>
          <cell r="D43">
            <v>5</v>
          </cell>
          <cell r="E43">
            <v>4</v>
          </cell>
        </row>
        <row r="44">
          <cell r="A44" t="str">
            <v>B0761NJPNM</v>
          </cell>
          <cell r="B44">
            <v>0</v>
          </cell>
          <cell r="C44">
            <v>0</v>
          </cell>
          <cell r="D44">
            <v>7</v>
          </cell>
          <cell r="E44">
            <v>6</v>
          </cell>
        </row>
        <row r="45">
          <cell r="A45" t="str">
            <v>B0761NLN4R</v>
          </cell>
          <cell r="B45">
            <v>6</v>
          </cell>
          <cell r="C45">
            <v>2</v>
          </cell>
          <cell r="D45">
            <v>5</v>
          </cell>
          <cell r="E45">
            <v>2</v>
          </cell>
        </row>
        <row r="46">
          <cell r="A46" t="str">
            <v>B0761NM1NH</v>
          </cell>
          <cell r="B46">
            <v>7</v>
          </cell>
          <cell r="C46">
            <v>14</v>
          </cell>
          <cell r="D46">
            <v>6</v>
          </cell>
          <cell r="E46">
            <v>2</v>
          </cell>
        </row>
        <row r="47">
          <cell r="A47" t="str">
            <v>B0761NM3BZ</v>
          </cell>
          <cell r="B47">
            <v>57</v>
          </cell>
          <cell r="C47">
            <v>27</v>
          </cell>
          <cell r="D47">
            <v>27</v>
          </cell>
          <cell r="E47">
            <v>30</v>
          </cell>
        </row>
        <row r="48">
          <cell r="A48" t="str">
            <v>B0761NM3SZ</v>
          </cell>
          <cell r="B48">
            <v>5</v>
          </cell>
          <cell r="C48">
            <v>7</v>
          </cell>
          <cell r="D48">
            <v>8</v>
          </cell>
          <cell r="E48">
            <v>4</v>
          </cell>
        </row>
        <row r="49">
          <cell r="A49" t="str">
            <v>B0761NMRB4</v>
          </cell>
          <cell r="B49">
            <v>4</v>
          </cell>
          <cell r="C49">
            <v>3</v>
          </cell>
          <cell r="D49">
            <v>7</v>
          </cell>
          <cell r="E49">
            <v>1</v>
          </cell>
        </row>
        <row r="50">
          <cell r="A50" t="str">
            <v>B0761NNDWM</v>
          </cell>
          <cell r="B50">
            <v>12</v>
          </cell>
          <cell r="C50">
            <v>7</v>
          </cell>
          <cell r="D50">
            <v>6</v>
          </cell>
          <cell r="E50">
            <v>3</v>
          </cell>
        </row>
        <row r="51">
          <cell r="A51" t="str">
            <v>B0761NNM84</v>
          </cell>
          <cell r="B51">
            <v>5</v>
          </cell>
          <cell r="C51">
            <v>8</v>
          </cell>
          <cell r="D51">
            <v>8</v>
          </cell>
          <cell r="E51">
            <v>7</v>
          </cell>
        </row>
        <row r="52">
          <cell r="A52" t="str">
            <v>B0761P4LK2</v>
          </cell>
          <cell r="B52">
            <v>5</v>
          </cell>
          <cell r="C52">
            <v>4</v>
          </cell>
          <cell r="D52">
            <v>6</v>
          </cell>
          <cell r="E52">
            <v>7</v>
          </cell>
        </row>
        <row r="53">
          <cell r="A53" t="str">
            <v>B0761P4LKC</v>
          </cell>
          <cell r="B53">
            <v>0</v>
          </cell>
          <cell r="C53">
            <v>0</v>
          </cell>
          <cell r="D53">
            <v>8</v>
          </cell>
          <cell r="E53">
            <v>3</v>
          </cell>
        </row>
        <row r="54">
          <cell r="A54" t="str">
            <v>B0761PBXCV</v>
          </cell>
          <cell r="B54">
            <v>4</v>
          </cell>
          <cell r="C54">
            <v>5</v>
          </cell>
          <cell r="D54">
            <v>5</v>
          </cell>
          <cell r="E54">
            <v>8</v>
          </cell>
        </row>
        <row r="55">
          <cell r="A55" t="str">
            <v>B0761PDHV5</v>
          </cell>
          <cell r="B55">
            <v>1</v>
          </cell>
          <cell r="C55">
            <v>0</v>
          </cell>
          <cell r="D55">
            <v>7</v>
          </cell>
          <cell r="E55">
            <v>3</v>
          </cell>
        </row>
        <row r="56">
          <cell r="A56" t="str">
            <v>B0761PDMGN</v>
          </cell>
          <cell r="B56">
            <v>0</v>
          </cell>
          <cell r="C56">
            <v>0</v>
          </cell>
          <cell r="D56">
            <v>4</v>
          </cell>
          <cell r="E56">
            <v>5</v>
          </cell>
        </row>
        <row r="57">
          <cell r="A57" t="str">
            <v>B0761PL2N2</v>
          </cell>
          <cell r="B57">
            <v>0</v>
          </cell>
          <cell r="C57">
            <v>0</v>
          </cell>
          <cell r="D57">
            <v>4</v>
          </cell>
          <cell r="E57">
            <v>3</v>
          </cell>
        </row>
        <row r="58">
          <cell r="A58" t="str">
            <v>B0761PSPTJ</v>
          </cell>
          <cell r="B58">
            <v>0</v>
          </cell>
          <cell r="C58">
            <v>0</v>
          </cell>
          <cell r="D58">
            <v>9</v>
          </cell>
          <cell r="E58">
            <v>3</v>
          </cell>
        </row>
        <row r="59">
          <cell r="A59" t="str">
            <v>B0761PTZY2</v>
          </cell>
          <cell r="B59">
            <v>4</v>
          </cell>
          <cell r="C59">
            <v>6</v>
          </cell>
          <cell r="D59">
            <v>2</v>
          </cell>
          <cell r="E59">
            <v>5</v>
          </cell>
        </row>
        <row r="60">
          <cell r="A60" t="str">
            <v>B0761PV7ZS</v>
          </cell>
          <cell r="B60">
            <v>0</v>
          </cell>
          <cell r="C60">
            <v>0</v>
          </cell>
          <cell r="D60">
            <v>3</v>
          </cell>
          <cell r="E60">
            <v>2</v>
          </cell>
        </row>
        <row r="61">
          <cell r="A61" t="str">
            <v>B0761PV952</v>
          </cell>
          <cell r="B61">
            <v>0</v>
          </cell>
          <cell r="C61">
            <v>0</v>
          </cell>
          <cell r="D61">
            <v>3</v>
          </cell>
          <cell r="E61">
            <v>2</v>
          </cell>
        </row>
        <row r="62">
          <cell r="A62" t="str">
            <v>B0761PVQYZ</v>
          </cell>
          <cell r="B62">
            <v>4</v>
          </cell>
          <cell r="C62">
            <v>6</v>
          </cell>
          <cell r="D62">
            <v>9</v>
          </cell>
          <cell r="E62">
            <v>3</v>
          </cell>
        </row>
        <row r="63">
          <cell r="A63" t="str">
            <v>B0761PWB12</v>
          </cell>
          <cell r="B63">
            <v>0</v>
          </cell>
          <cell r="C63">
            <v>0</v>
          </cell>
          <cell r="D63">
            <v>4</v>
          </cell>
          <cell r="E63">
            <v>4</v>
          </cell>
        </row>
        <row r="64">
          <cell r="A64" t="str">
            <v>B0761PWSG1</v>
          </cell>
          <cell r="B64">
            <v>8</v>
          </cell>
          <cell r="C64">
            <v>4</v>
          </cell>
          <cell r="D64">
            <v>1</v>
          </cell>
          <cell r="E64">
            <v>2</v>
          </cell>
        </row>
        <row r="65">
          <cell r="A65" t="str">
            <v>B0761Q7KPX</v>
          </cell>
          <cell r="B65">
            <v>0</v>
          </cell>
          <cell r="C65">
            <v>0</v>
          </cell>
          <cell r="D65">
            <v>4</v>
          </cell>
          <cell r="E65">
            <v>3</v>
          </cell>
        </row>
        <row r="66">
          <cell r="A66" t="str">
            <v>B0761Q9VPH</v>
          </cell>
          <cell r="B66">
            <v>0</v>
          </cell>
          <cell r="C66">
            <v>0</v>
          </cell>
          <cell r="D66">
            <v>4</v>
          </cell>
          <cell r="E66">
            <v>10</v>
          </cell>
        </row>
        <row r="67">
          <cell r="A67" t="str">
            <v>B0761QBHM9</v>
          </cell>
          <cell r="B67">
            <v>3</v>
          </cell>
          <cell r="C67">
            <v>4</v>
          </cell>
          <cell r="D67">
            <v>5</v>
          </cell>
          <cell r="E67">
            <v>4</v>
          </cell>
        </row>
        <row r="68">
          <cell r="A68" t="str">
            <v>B0761QW2JK</v>
          </cell>
          <cell r="B68">
            <v>0</v>
          </cell>
          <cell r="C68">
            <v>0</v>
          </cell>
          <cell r="D68">
            <v>4</v>
          </cell>
          <cell r="E68">
            <v>9</v>
          </cell>
        </row>
        <row r="69">
          <cell r="A69" t="str">
            <v>B0761R6ZG2</v>
          </cell>
          <cell r="B69">
            <v>0</v>
          </cell>
          <cell r="C69">
            <v>0</v>
          </cell>
          <cell r="D69">
            <v>7</v>
          </cell>
          <cell r="E69">
            <v>7</v>
          </cell>
        </row>
        <row r="70">
          <cell r="A70" t="str">
            <v>B0761R93J2</v>
          </cell>
          <cell r="B70">
            <v>8</v>
          </cell>
          <cell r="C70">
            <v>2</v>
          </cell>
          <cell r="D70">
            <v>7</v>
          </cell>
          <cell r="E70">
            <v>6</v>
          </cell>
        </row>
        <row r="71">
          <cell r="A71" t="str">
            <v>B0761RRL7M</v>
          </cell>
          <cell r="B71">
            <v>8</v>
          </cell>
          <cell r="C71">
            <v>9</v>
          </cell>
          <cell r="D71">
            <v>1</v>
          </cell>
          <cell r="E71">
            <v>3</v>
          </cell>
        </row>
        <row r="72">
          <cell r="A72" t="str">
            <v>B0761S2M63</v>
          </cell>
          <cell r="B72">
            <v>7</v>
          </cell>
          <cell r="C72">
            <v>7</v>
          </cell>
          <cell r="D72">
            <v>7</v>
          </cell>
          <cell r="E72">
            <v>5</v>
          </cell>
        </row>
        <row r="73">
          <cell r="A73" t="str">
            <v>B0761S59N6</v>
          </cell>
          <cell r="B73">
            <v>0</v>
          </cell>
          <cell r="C73">
            <v>0</v>
          </cell>
          <cell r="D73">
            <v>4</v>
          </cell>
          <cell r="E73">
            <v>2</v>
          </cell>
        </row>
        <row r="74">
          <cell r="A74" t="str">
            <v>B0761S8TXR</v>
          </cell>
          <cell r="B74">
            <v>0</v>
          </cell>
          <cell r="C74">
            <v>0</v>
          </cell>
          <cell r="D74">
            <v>7</v>
          </cell>
          <cell r="E74">
            <v>4</v>
          </cell>
        </row>
        <row r="75">
          <cell r="A75" t="str">
            <v>B0761SKR3P</v>
          </cell>
          <cell r="B75">
            <v>6</v>
          </cell>
          <cell r="C75">
            <v>5</v>
          </cell>
          <cell r="D75">
            <v>6</v>
          </cell>
          <cell r="E75">
            <v>3</v>
          </cell>
        </row>
        <row r="76">
          <cell r="A76" t="str">
            <v>B0761V7L2R</v>
          </cell>
          <cell r="B76">
            <v>5</v>
          </cell>
          <cell r="C76">
            <v>5</v>
          </cell>
          <cell r="D76">
            <v>7</v>
          </cell>
          <cell r="E76">
            <v>2</v>
          </cell>
        </row>
        <row r="77">
          <cell r="A77" t="str">
            <v>B0761NJH9L</v>
          </cell>
          <cell r="B77">
            <v>1</v>
          </cell>
          <cell r="C77">
            <v>2</v>
          </cell>
          <cell r="D77">
            <v>5</v>
          </cell>
          <cell r="E77">
            <v>0</v>
          </cell>
        </row>
        <row r="78">
          <cell r="A78" t="str">
            <v>B0761Q4YF6</v>
          </cell>
          <cell r="B78">
            <v>4</v>
          </cell>
          <cell r="C78">
            <v>3</v>
          </cell>
          <cell r="D78">
            <v>0</v>
          </cell>
          <cell r="E78">
            <v>0</v>
          </cell>
        </row>
      </sheetData>
      <sheetData sheetId="3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库存报告使用数据处理"/>
      <sheetName val="日期"/>
      <sheetName val="数据处理(仓储使用)"/>
    </sheetNames>
    <sheetDataSet>
      <sheetData sheetId="0"/>
      <sheetData sheetId="1">
        <row r="1">
          <cell r="A1" t="str">
            <v>sku</v>
          </cell>
          <cell r="B1" t="str">
            <v>一周销量</v>
          </cell>
          <cell r="C1" t="str">
            <v>二周销量</v>
          </cell>
          <cell r="D1" t="str">
            <v>三周销量</v>
          </cell>
          <cell r="E1" t="str">
            <v>四周销量</v>
          </cell>
          <cell r="F1" t="str">
            <v>销售单价</v>
          </cell>
        </row>
        <row r="2">
          <cell r="A2" t="str">
            <v>合计</v>
          </cell>
          <cell r="B2">
            <v>187</v>
          </cell>
          <cell r="C2">
            <v>179</v>
          </cell>
          <cell r="D2">
            <v>198</v>
          </cell>
          <cell r="E2">
            <v>256</v>
          </cell>
        </row>
        <row r="3">
          <cell r="A3" t="str">
            <v>L1-BT23-OVPU</v>
          </cell>
          <cell r="B3">
            <v>18</v>
          </cell>
          <cell r="C3">
            <v>19</v>
          </cell>
          <cell r="D3">
            <v>11</v>
          </cell>
          <cell r="E3">
            <v>17</v>
          </cell>
          <cell r="F3">
            <v>13.59</v>
          </cell>
        </row>
        <row r="4">
          <cell r="A4" t="str">
            <v>HF-a5e-NCFM</v>
          </cell>
          <cell r="B4">
            <v>0</v>
          </cell>
          <cell r="C4">
            <v>0</v>
          </cell>
          <cell r="D4">
            <v>0</v>
          </cell>
          <cell r="E4">
            <v>9</v>
          </cell>
          <cell r="F4">
            <v>12.5</v>
          </cell>
        </row>
        <row r="5">
          <cell r="A5" t="str">
            <v>0Z-KJNM-D56T</v>
          </cell>
          <cell r="B5">
            <v>5</v>
          </cell>
          <cell r="C5">
            <v>4</v>
          </cell>
          <cell r="D5">
            <v>9</v>
          </cell>
          <cell r="E5">
            <v>9</v>
          </cell>
          <cell r="F5">
            <v>18</v>
          </cell>
        </row>
        <row r="6">
          <cell r="A6" t="str">
            <v>PJ-CPH7-5MXE</v>
          </cell>
          <cell r="B6">
            <v>2</v>
          </cell>
          <cell r="C6">
            <v>2</v>
          </cell>
          <cell r="D6">
            <v>0</v>
          </cell>
          <cell r="E6">
            <v>1</v>
          </cell>
          <cell r="F6">
            <v>50</v>
          </cell>
        </row>
        <row r="7">
          <cell r="A7" t="str">
            <v>HF-a69e-PEFG</v>
          </cell>
          <cell r="B7">
            <v>12</v>
          </cell>
          <cell r="C7">
            <v>13</v>
          </cell>
          <cell r="D7">
            <v>6</v>
          </cell>
          <cell r="E7">
            <v>11</v>
          </cell>
          <cell r="F7">
            <v>25.5871428571429</v>
          </cell>
        </row>
        <row r="8">
          <cell r="A8" t="str">
            <v>HF-a10e-MINM</v>
          </cell>
          <cell r="B8">
            <v>1</v>
          </cell>
          <cell r="C8">
            <v>0</v>
          </cell>
          <cell r="D8">
            <v>1</v>
          </cell>
          <cell r="E8">
            <v>16</v>
          </cell>
          <cell r="F8">
            <v>30.8855555555556</v>
          </cell>
        </row>
        <row r="9">
          <cell r="A9" t="str">
            <v>HF-c7e-LANC</v>
          </cell>
          <cell r="B9">
            <v>10</v>
          </cell>
          <cell r="C9">
            <v>5</v>
          </cell>
          <cell r="D9">
            <v>3</v>
          </cell>
          <cell r="E9">
            <v>5</v>
          </cell>
          <cell r="F9">
            <v>35</v>
          </cell>
        </row>
        <row r="10">
          <cell r="A10" t="str">
            <v>HF-a85e-RFPM</v>
          </cell>
          <cell r="B10">
            <v>19</v>
          </cell>
          <cell r="C10">
            <v>17</v>
          </cell>
          <cell r="D10">
            <v>22</v>
          </cell>
          <cell r="E10">
            <v>9</v>
          </cell>
          <cell r="F10">
            <v>28.4522388059701</v>
          </cell>
        </row>
        <row r="11">
          <cell r="A11" t="str">
            <v>HF-a1e-LCMC</v>
          </cell>
          <cell r="B11">
            <v>12</v>
          </cell>
          <cell r="C11">
            <v>16</v>
          </cell>
          <cell r="D11">
            <v>11</v>
          </cell>
          <cell r="E11">
            <v>22</v>
          </cell>
          <cell r="F11">
            <v>13.5198360655738</v>
          </cell>
        </row>
        <row r="12">
          <cell r="A12" t="str">
            <v>HF-a77e-TSSS</v>
          </cell>
          <cell r="B12">
            <v>0</v>
          </cell>
          <cell r="C12">
            <v>0</v>
          </cell>
          <cell r="D12">
            <v>0</v>
          </cell>
          <cell r="E12">
            <v>1</v>
          </cell>
          <cell r="F12">
            <v>17.98</v>
          </cell>
        </row>
        <row r="13">
          <cell r="A13" t="str">
            <v>3E-OBBY-DIEZ</v>
          </cell>
          <cell r="B13">
            <v>9</v>
          </cell>
          <cell r="C13">
            <v>5</v>
          </cell>
          <cell r="D13">
            <v>3</v>
          </cell>
          <cell r="E13">
            <v>6</v>
          </cell>
          <cell r="F13">
            <v>37.2473913043478</v>
          </cell>
        </row>
        <row r="14">
          <cell r="A14" t="str">
            <v>HF-g2e-ACRC</v>
          </cell>
          <cell r="B14">
            <v>3</v>
          </cell>
          <cell r="C14">
            <v>2</v>
          </cell>
          <cell r="D14">
            <v>2</v>
          </cell>
          <cell r="E14">
            <v>4</v>
          </cell>
          <cell r="F14">
            <v>43</v>
          </cell>
        </row>
        <row r="15">
          <cell r="A15" t="str">
            <v>06-LI7A-IZ44</v>
          </cell>
          <cell r="B15">
            <v>3</v>
          </cell>
          <cell r="C15">
            <v>17</v>
          </cell>
          <cell r="D15">
            <v>8</v>
          </cell>
          <cell r="E15">
            <v>7</v>
          </cell>
          <cell r="F15">
            <v>13.52</v>
          </cell>
        </row>
        <row r="16">
          <cell r="A16" t="str">
            <v>PW-89MW-RR8Y</v>
          </cell>
          <cell r="B16">
            <v>2</v>
          </cell>
          <cell r="C16">
            <v>1</v>
          </cell>
          <cell r="D16">
            <v>7</v>
          </cell>
          <cell r="E16">
            <v>3</v>
          </cell>
          <cell r="F16">
            <v>19.99</v>
          </cell>
        </row>
        <row r="17">
          <cell r="A17" t="str">
            <v>HF-a37e-FCMG</v>
          </cell>
          <cell r="B17">
            <v>0</v>
          </cell>
          <cell r="C17">
            <v>4</v>
          </cell>
          <cell r="D17">
            <v>3</v>
          </cell>
          <cell r="E17">
            <v>21</v>
          </cell>
          <cell r="F17">
            <v>11.3410714285714</v>
          </cell>
        </row>
        <row r="18">
          <cell r="A18" t="str">
            <v>HF-g104e-PCFS</v>
          </cell>
          <cell r="B18">
            <v>0</v>
          </cell>
          <cell r="C18">
            <v>0</v>
          </cell>
          <cell r="D18">
            <v>15</v>
          </cell>
          <cell r="E18">
            <v>26</v>
          </cell>
          <cell r="F18">
            <v>41.9626829268293</v>
          </cell>
        </row>
        <row r="19">
          <cell r="A19" t="str">
            <v>MY71107ZQM</v>
          </cell>
          <cell r="B19">
            <v>0</v>
          </cell>
          <cell r="C19">
            <v>0</v>
          </cell>
          <cell r="D19">
            <v>0</v>
          </cell>
          <cell r="E19">
            <v>1</v>
          </cell>
          <cell r="F19">
            <v>42.49</v>
          </cell>
        </row>
        <row r="20">
          <cell r="A20" t="str">
            <v>CF-7C1X-596L</v>
          </cell>
          <cell r="B20">
            <v>4</v>
          </cell>
          <cell r="C20">
            <v>2</v>
          </cell>
          <cell r="D20">
            <v>1</v>
          </cell>
          <cell r="E20">
            <v>4</v>
          </cell>
          <cell r="F20">
            <v>40.9645454545455</v>
          </cell>
        </row>
        <row r="21">
          <cell r="A21" t="str">
            <v>JQ-N6LK-OQ03</v>
          </cell>
          <cell r="B21">
            <v>2</v>
          </cell>
          <cell r="C21">
            <v>6</v>
          </cell>
          <cell r="D21">
            <v>2</v>
          </cell>
          <cell r="E21">
            <v>6</v>
          </cell>
          <cell r="F21">
            <v>39.318125</v>
          </cell>
        </row>
        <row r="22">
          <cell r="A22" t="str">
            <v>HF-a21e-SCFM</v>
          </cell>
          <cell r="B22">
            <v>1</v>
          </cell>
          <cell r="C22">
            <v>6</v>
          </cell>
          <cell r="D22">
            <v>2</v>
          </cell>
          <cell r="E22">
            <v>6</v>
          </cell>
          <cell r="F22">
            <v>15.556</v>
          </cell>
        </row>
        <row r="23">
          <cell r="A23" t="str">
            <v>HF-a56e-EYES</v>
          </cell>
          <cell r="B23">
            <v>0</v>
          </cell>
          <cell r="C23">
            <v>0</v>
          </cell>
          <cell r="D23">
            <v>0</v>
          </cell>
          <cell r="E23">
            <v>26</v>
          </cell>
          <cell r="F23">
            <v>19.9661538461538</v>
          </cell>
        </row>
        <row r="24">
          <cell r="A24" t="str">
            <v>HF-n2ae-NBNK</v>
          </cell>
          <cell r="B24">
            <v>0</v>
          </cell>
          <cell r="C24">
            <v>1</v>
          </cell>
          <cell r="D24">
            <v>22</v>
          </cell>
          <cell r="E24">
            <v>9</v>
          </cell>
          <cell r="F24">
            <v>15.4134375</v>
          </cell>
        </row>
        <row r="25">
          <cell r="A25" t="str">
            <v>HF-f24-ACPF</v>
          </cell>
          <cell r="B25">
            <v>0</v>
          </cell>
          <cell r="C25">
            <v>0</v>
          </cell>
          <cell r="D25">
            <v>6</v>
          </cell>
          <cell r="E25">
            <v>7</v>
          </cell>
          <cell r="F25">
            <v>24.99</v>
          </cell>
        </row>
        <row r="26">
          <cell r="A26" t="str">
            <v>HF-a6e-LASS</v>
          </cell>
          <cell r="B26">
            <v>9</v>
          </cell>
          <cell r="C26">
            <v>2</v>
          </cell>
          <cell r="D26">
            <v>5</v>
          </cell>
          <cell r="E26">
            <v>5</v>
          </cell>
          <cell r="F26">
            <v>16.9809523809524</v>
          </cell>
        </row>
        <row r="27">
          <cell r="A27" t="str">
            <v>HF-a80e-BTBM</v>
          </cell>
          <cell r="B27">
            <v>10</v>
          </cell>
          <cell r="C27">
            <v>1</v>
          </cell>
          <cell r="D27">
            <v>6</v>
          </cell>
          <cell r="E27">
            <v>1</v>
          </cell>
          <cell r="F27">
            <v>49.99</v>
          </cell>
        </row>
        <row r="28">
          <cell r="A28" t="str">
            <v>R0-9P3N-MM7G</v>
          </cell>
          <cell r="B28">
            <v>6</v>
          </cell>
          <cell r="C28">
            <v>1</v>
          </cell>
          <cell r="D28">
            <v>3</v>
          </cell>
          <cell r="E28">
            <v>3</v>
          </cell>
          <cell r="F28">
            <v>12.2307692307692</v>
          </cell>
        </row>
        <row r="29">
          <cell r="A29" t="str">
            <v>5D-ZS9Q-CYOL</v>
          </cell>
          <cell r="B29">
            <v>0</v>
          </cell>
          <cell r="C29">
            <v>0</v>
          </cell>
          <cell r="D29">
            <v>1</v>
          </cell>
          <cell r="E29">
            <v>1</v>
          </cell>
          <cell r="F29">
            <v>43.35</v>
          </cell>
        </row>
        <row r="30">
          <cell r="A30" t="str">
            <v>HF-c1e-MCND</v>
          </cell>
          <cell r="B30">
            <v>2</v>
          </cell>
          <cell r="C30">
            <v>10</v>
          </cell>
          <cell r="D30">
            <v>13</v>
          </cell>
          <cell r="E30">
            <v>4</v>
          </cell>
          <cell r="F30">
            <v>10.6865517241379</v>
          </cell>
        </row>
        <row r="31">
          <cell r="A31" t="str">
            <v>3S-1QX9-6RRP</v>
          </cell>
          <cell r="B31">
            <v>2</v>
          </cell>
          <cell r="C31">
            <v>0</v>
          </cell>
          <cell r="D31">
            <v>8</v>
          </cell>
          <cell r="E31">
            <v>1</v>
          </cell>
          <cell r="F31">
            <v>43</v>
          </cell>
        </row>
        <row r="32">
          <cell r="A32" t="str">
            <v>QW-6H25-PV48</v>
          </cell>
          <cell r="B32">
            <v>3</v>
          </cell>
          <cell r="C32">
            <v>1</v>
          </cell>
          <cell r="D32">
            <v>11</v>
          </cell>
          <cell r="E32">
            <v>4</v>
          </cell>
          <cell r="F32">
            <v>19.4047368421053</v>
          </cell>
        </row>
        <row r="33">
          <cell r="A33" t="str">
            <v>5X-E8TX-UKIW</v>
          </cell>
          <cell r="B33">
            <v>0</v>
          </cell>
          <cell r="C33">
            <v>0</v>
          </cell>
          <cell r="D33">
            <v>0</v>
          </cell>
          <cell r="E33">
            <v>1</v>
          </cell>
          <cell r="F33">
            <v>15</v>
          </cell>
        </row>
        <row r="34">
          <cell r="A34" t="str">
            <v>KN-2B5X-YB0L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 t="e">
            <v>#DIV/0!</v>
          </cell>
        </row>
        <row r="35">
          <cell r="A35" t="str">
            <v>HF-l3e-TEYG</v>
          </cell>
          <cell r="B35">
            <v>7</v>
          </cell>
          <cell r="C35">
            <v>7</v>
          </cell>
          <cell r="D35">
            <v>5</v>
          </cell>
          <cell r="E35">
            <v>1</v>
          </cell>
          <cell r="F35">
            <v>47.6805</v>
          </cell>
        </row>
        <row r="36">
          <cell r="A36" t="str">
            <v>YI-LW70-5D1O</v>
          </cell>
          <cell r="B36">
            <v>0</v>
          </cell>
          <cell r="C36">
            <v>0</v>
          </cell>
          <cell r="D36">
            <v>0</v>
          </cell>
          <cell r="E36">
            <v>1</v>
          </cell>
          <cell r="F36">
            <v>38.39</v>
          </cell>
        </row>
        <row r="37">
          <cell r="A37" t="str">
            <v>HF-b3e-PWCC</v>
          </cell>
          <cell r="B37">
            <v>2</v>
          </cell>
          <cell r="C37">
            <v>3</v>
          </cell>
          <cell r="D37">
            <v>2</v>
          </cell>
          <cell r="E37">
            <v>1</v>
          </cell>
          <cell r="F37">
            <v>42.7125</v>
          </cell>
        </row>
        <row r="38">
          <cell r="A38" t="str">
            <v>HF-T9QA-X3JZ</v>
          </cell>
          <cell r="B38">
            <v>8</v>
          </cell>
          <cell r="C38">
            <v>3</v>
          </cell>
          <cell r="D38">
            <v>1</v>
          </cell>
          <cell r="E38">
            <v>2</v>
          </cell>
          <cell r="F38">
            <v>49.99</v>
          </cell>
        </row>
        <row r="39">
          <cell r="A39" t="str">
            <v>2N-C2ZT-YSNI</v>
          </cell>
          <cell r="B39">
            <v>0</v>
          </cell>
          <cell r="C39">
            <v>0</v>
          </cell>
          <cell r="D39">
            <v>2</v>
          </cell>
          <cell r="E39">
            <v>2</v>
          </cell>
          <cell r="F39">
            <v>11.5</v>
          </cell>
        </row>
        <row r="40">
          <cell r="A40" t="str">
            <v>IM-YEIX-VVX8</v>
          </cell>
          <cell r="B40">
            <v>1</v>
          </cell>
          <cell r="C40">
            <v>6</v>
          </cell>
          <cell r="D40">
            <v>2</v>
          </cell>
          <cell r="E40">
            <v>2</v>
          </cell>
          <cell r="F40">
            <v>12.3727272727273</v>
          </cell>
        </row>
        <row r="41">
          <cell r="A41" t="str">
            <v>HF-I2e-AABS</v>
          </cell>
          <cell r="B41">
            <v>27</v>
          </cell>
          <cell r="C41">
            <v>22</v>
          </cell>
          <cell r="D41">
            <v>1</v>
          </cell>
          <cell r="E41">
            <v>1</v>
          </cell>
          <cell r="F41">
            <v>39.683137254902</v>
          </cell>
        </row>
        <row r="42">
          <cell r="A42" t="str">
            <v>58-6A0P-DRT9</v>
          </cell>
          <cell r="B42">
            <v>0</v>
          </cell>
          <cell r="C42">
            <v>1</v>
          </cell>
          <cell r="D42">
            <v>2</v>
          </cell>
          <cell r="E42">
            <v>0</v>
          </cell>
          <cell r="F42">
            <v>37.59</v>
          </cell>
        </row>
        <row r="43">
          <cell r="A43" t="str">
            <v>SM-LSLQ-C3QE</v>
          </cell>
          <cell r="B43">
            <v>1</v>
          </cell>
          <cell r="C43">
            <v>0</v>
          </cell>
          <cell r="D43">
            <v>2</v>
          </cell>
          <cell r="E43">
            <v>0</v>
          </cell>
          <cell r="F43">
            <v>28.06</v>
          </cell>
        </row>
        <row r="44">
          <cell r="A44" t="str">
            <v>MY71107ZQXXL</v>
          </cell>
          <cell r="B44">
            <v>0</v>
          </cell>
          <cell r="C44">
            <v>1</v>
          </cell>
          <cell r="D44">
            <v>0</v>
          </cell>
          <cell r="E44">
            <v>0</v>
          </cell>
          <cell r="F44">
            <v>42.99</v>
          </cell>
        </row>
        <row r="45">
          <cell r="A45" t="str">
            <v>MY71107MSXL</v>
          </cell>
          <cell r="B45">
            <v>1</v>
          </cell>
          <cell r="C45">
            <v>0</v>
          </cell>
          <cell r="D45">
            <v>0</v>
          </cell>
          <cell r="E45">
            <v>0</v>
          </cell>
          <cell r="F45">
            <v>42.99</v>
          </cell>
        </row>
        <row r="46">
          <cell r="A46" t="str">
            <v>MY16055ZQXL</v>
          </cell>
          <cell r="B46">
            <v>2</v>
          </cell>
          <cell r="C46">
            <v>0</v>
          </cell>
          <cell r="D46">
            <v>0</v>
          </cell>
          <cell r="E46">
            <v>0</v>
          </cell>
          <cell r="F46">
            <v>34.39</v>
          </cell>
        </row>
        <row r="47">
          <cell r="A47" t="str">
            <v>MY16055ZQXXL</v>
          </cell>
          <cell r="B47">
            <v>1</v>
          </cell>
          <cell r="C47">
            <v>0</v>
          </cell>
          <cell r="D47">
            <v>0</v>
          </cell>
          <cell r="E47">
            <v>0</v>
          </cell>
          <cell r="F47">
            <v>42.49</v>
          </cell>
        </row>
        <row r="48">
          <cell r="A48" t="str">
            <v>MY71107MSS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 t="e">
            <v>#DIV/0!</v>
          </cell>
        </row>
        <row r="49">
          <cell r="A49" t="str">
            <v>MY16055ZQS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 t="e">
            <v>#DIV/0!</v>
          </cell>
        </row>
        <row r="50">
          <cell r="A50" t="str">
            <v>MY71107MSM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 t="e">
            <v>#DIV/0!</v>
          </cell>
        </row>
        <row r="51">
          <cell r="A51" t="str">
            <v>MY71107MSL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 t="e">
            <v>#DIV/0!</v>
          </cell>
        </row>
        <row r="52">
          <cell r="A52" t="str">
            <v>MY71115ZQM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 t="e">
            <v>#DIV/0!</v>
          </cell>
        </row>
        <row r="53">
          <cell r="A53" t="str">
            <v>MY71115MSXXL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 t="e">
            <v>#DIV/0!</v>
          </cell>
        </row>
        <row r="54">
          <cell r="A54" t="str">
            <v>MY71115ZQL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 t="e">
            <v>#DIV/0!</v>
          </cell>
        </row>
        <row r="55">
          <cell r="A55" t="str">
            <v>MY71115MSM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 t="e">
            <v>#DIV/0!</v>
          </cell>
        </row>
        <row r="56">
          <cell r="A56" t="str">
            <v>MY16055MSL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 t="e">
            <v>#DIV/0!</v>
          </cell>
        </row>
        <row r="57">
          <cell r="A57" t="str">
            <v>MY71107K0M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 t="e">
            <v>#DIV/0!</v>
          </cell>
        </row>
        <row r="58">
          <cell r="A58" t="str">
            <v>MY16055MSM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 t="e">
            <v>#DIV/0!</v>
          </cell>
        </row>
        <row r="59">
          <cell r="A59" t="str">
            <v>MY16055MSXXL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 t="e">
            <v>#DIV/0!</v>
          </cell>
        </row>
        <row r="60">
          <cell r="A60" t="str">
            <v>MY16055MSS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 t="e">
            <v>#DIV/0!</v>
          </cell>
        </row>
        <row r="61">
          <cell r="A61" t="str">
            <v>MY71115MSS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 t="e">
            <v>#DIV/0!</v>
          </cell>
        </row>
        <row r="62">
          <cell r="A62" t="str">
            <v>MY16055MSXL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 t="e">
            <v>#DIV/0!</v>
          </cell>
        </row>
        <row r="63">
          <cell r="A63" t="str">
            <v>MY71115K0L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 t="e">
            <v>#DIV/0!</v>
          </cell>
        </row>
        <row r="64">
          <cell r="A64" t="str">
            <v>MY71107ZQS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 t="e">
            <v>#DIV/0!</v>
          </cell>
        </row>
        <row r="65">
          <cell r="A65" t="str">
            <v>MY71115MSXL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 t="e">
            <v>#DIV/0!</v>
          </cell>
        </row>
        <row r="66">
          <cell r="A66" t="str">
            <v>MY71115MSL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 t="e">
            <v>#DIV/0!</v>
          </cell>
        </row>
        <row r="67">
          <cell r="A67" t="str">
            <v>MY71115ZQS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 t="e">
            <v>#DIV/0!</v>
          </cell>
        </row>
        <row r="68">
          <cell r="A68" t="str">
            <v>MY16055K0L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 t="e">
            <v>#DIV/0!</v>
          </cell>
        </row>
        <row r="69">
          <cell r="A69" t="str">
            <v>MY71115K0XXL</v>
          </cell>
          <cell r="B69">
            <v>0</v>
          </cell>
          <cell r="C69">
            <v>1</v>
          </cell>
          <cell r="D69">
            <v>0</v>
          </cell>
          <cell r="E69">
            <v>0</v>
          </cell>
          <cell r="F69">
            <v>42.99</v>
          </cell>
        </row>
        <row r="70">
          <cell r="A70" t="str">
            <v>MY16055K0XL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 t="e">
            <v>#DIV/0!</v>
          </cell>
        </row>
        <row r="71">
          <cell r="A71" t="str">
            <v>MY16055K0M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 t="e">
            <v>#DIV/0!</v>
          </cell>
        </row>
        <row r="72">
          <cell r="A72" t="str">
            <v>MY71107K0L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 t="e">
            <v>#DIV/0!</v>
          </cell>
        </row>
        <row r="73">
          <cell r="A73" t="str">
            <v>MY71115K0M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 t="e">
            <v>#DIV/0!</v>
          </cell>
        </row>
        <row r="74">
          <cell r="A74" t="str">
            <v>MY16055K0XXL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 t="e">
            <v>#DIV/0!</v>
          </cell>
        </row>
        <row r="75">
          <cell r="A75" t="str">
            <v>MY71107K0S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 t="e">
            <v>#DIV/0!</v>
          </cell>
        </row>
        <row r="76">
          <cell r="A76" t="str">
            <v>MY71115K0XL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 t="e">
            <v>#DIV/0!</v>
          </cell>
        </row>
        <row r="77">
          <cell r="A77" t="str">
            <v>MY16055K0S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 t="e">
            <v>#DIV/0!</v>
          </cell>
        </row>
        <row r="78">
          <cell r="A78" t="str">
            <v>MY71115K0S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 t="e">
            <v>#DIV/0!</v>
          </cell>
        </row>
        <row r="79">
          <cell r="A79" t="str">
            <v>MY71107K0XL</v>
          </cell>
          <cell r="B79">
            <v>1</v>
          </cell>
          <cell r="C79">
            <v>0</v>
          </cell>
          <cell r="D79">
            <v>0</v>
          </cell>
          <cell r="E79">
            <v>0</v>
          </cell>
          <cell r="F79">
            <v>42.99</v>
          </cell>
        </row>
        <row r="80">
          <cell r="A80" t="str">
            <v>MY71107K0XXL</v>
          </cell>
          <cell r="B80">
            <v>1</v>
          </cell>
          <cell r="C80">
            <v>0</v>
          </cell>
          <cell r="D80">
            <v>0</v>
          </cell>
          <cell r="E80">
            <v>0</v>
          </cell>
          <cell r="F80">
            <v>42.99</v>
          </cell>
        </row>
        <row r="697">
          <cell r="A697" t="str">
            <v>HF-l3e-TEYG</v>
          </cell>
        </row>
        <row r="791">
          <cell r="A791" t="str">
            <v>HF-a1e-LCMC</v>
          </cell>
        </row>
        <row r="869">
          <cell r="A869" t="str">
            <v>HF-a6e-LASS</v>
          </cell>
        </row>
      </sheetData>
      <sheetData sheetId="2"/>
      <sheetData sheetId="3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广告业绩周报表"/>
      <sheetName val="库存报告使用数据"/>
      <sheetName val="日期"/>
    </sheetNames>
    <sheetDataSet>
      <sheetData sheetId="0"/>
      <sheetData sheetId="1">
        <row r="1">
          <cell r="A1" t="str">
            <v>一周结束时间</v>
          </cell>
          <cell r="B1">
            <v>43338</v>
          </cell>
          <cell r="C1" t="str">
            <v>一周开始时间</v>
          </cell>
          <cell r="D1">
            <v>43332</v>
          </cell>
          <cell r="E1" t="str">
            <v>二周结束时间</v>
          </cell>
          <cell r="F1">
            <v>43331</v>
          </cell>
          <cell r="G1" t="str">
            <v>二周开始时间</v>
          </cell>
          <cell r="H1">
            <v>43325</v>
          </cell>
          <cell r="I1" t="str">
            <v>三周结束时间</v>
          </cell>
          <cell r="J1">
            <v>43324</v>
          </cell>
          <cell r="K1" t="str">
            <v>三周开始时间</v>
          </cell>
          <cell r="L1">
            <v>43318</v>
          </cell>
          <cell r="M1" t="str">
            <v>四周结束时间</v>
          </cell>
        </row>
        <row r="2">
          <cell r="A2" t="str">
            <v>SKU</v>
          </cell>
          <cell r="B2" t="str">
            <v>一周</v>
          </cell>
        </row>
        <row r="2">
          <cell r="E2" t="str">
            <v>二周</v>
          </cell>
        </row>
        <row r="2">
          <cell r="H2" t="str">
            <v>三周</v>
          </cell>
        </row>
        <row r="2">
          <cell r="K2" t="str">
            <v>四周</v>
          </cell>
        </row>
        <row r="3">
          <cell r="B3" t="str">
            <v>展现量</v>
          </cell>
          <cell r="C3" t="str">
            <v>点击量</v>
          </cell>
          <cell r="D3" t="str">
            <v>花费</v>
          </cell>
          <cell r="E3" t="str">
            <v>展现量</v>
          </cell>
          <cell r="F3" t="str">
            <v>点击量</v>
          </cell>
          <cell r="G3" t="str">
            <v>花费</v>
          </cell>
          <cell r="H3" t="str">
            <v>展现量</v>
          </cell>
          <cell r="I3" t="str">
            <v>点击量</v>
          </cell>
          <cell r="J3" t="str">
            <v>花费</v>
          </cell>
          <cell r="K3" t="str">
            <v>展现量</v>
          </cell>
          <cell r="L3" t="str">
            <v>点击量</v>
          </cell>
          <cell r="M3" t="str">
            <v>花费</v>
          </cell>
        </row>
        <row r="4">
          <cell r="A4" t="str">
            <v>58-6A0P-DRT9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579</v>
          </cell>
          <cell r="L4">
            <v>0</v>
          </cell>
          <cell r="M4">
            <v>0</v>
          </cell>
        </row>
        <row r="5">
          <cell r="A5" t="str">
            <v>CF-7C1X-596L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1900</v>
          </cell>
          <cell r="L5">
            <v>1</v>
          </cell>
          <cell r="M5">
            <v>0.37</v>
          </cell>
        </row>
        <row r="6">
          <cell r="A6" t="str">
            <v>PW-89MW-RR8Y</v>
          </cell>
          <cell r="B6">
            <v>0</v>
          </cell>
          <cell r="C6">
            <v>0</v>
          </cell>
          <cell r="D6">
            <v>0</v>
          </cell>
          <cell r="E6">
            <v>10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543</v>
          </cell>
          <cell r="L6">
            <v>3</v>
          </cell>
          <cell r="M6">
            <v>3.58</v>
          </cell>
        </row>
        <row r="7">
          <cell r="A7" t="str">
            <v>06-LI7A-IZ44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317</v>
          </cell>
          <cell r="L7">
            <v>1</v>
          </cell>
          <cell r="M7">
            <v>2.73</v>
          </cell>
        </row>
        <row r="8">
          <cell r="A8" t="str">
            <v>0Z-KJNM-D56T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145</v>
          </cell>
          <cell r="L8">
            <v>0</v>
          </cell>
          <cell r="M8">
            <v>0</v>
          </cell>
        </row>
        <row r="9">
          <cell r="A9" t="str">
            <v>2N-C2ZT-YSNI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99</v>
          </cell>
          <cell r="L9">
            <v>0</v>
          </cell>
          <cell r="M9">
            <v>0</v>
          </cell>
        </row>
        <row r="10">
          <cell r="A10" t="str">
            <v>3E-OBBY-DIEZ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748</v>
          </cell>
          <cell r="L10">
            <v>3</v>
          </cell>
          <cell r="M10">
            <v>3.95</v>
          </cell>
        </row>
        <row r="11">
          <cell r="A11" t="str">
            <v>3S-1QX9-6RRP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37</v>
          </cell>
          <cell r="L11">
            <v>0</v>
          </cell>
          <cell r="M11">
            <v>0</v>
          </cell>
        </row>
        <row r="12">
          <cell r="A12" t="str">
            <v>5X-E8TX-UKIW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26</v>
          </cell>
          <cell r="L12">
            <v>1</v>
          </cell>
          <cell r="M12">
            <v>1.63</v>
          </cell>
        </row>
        <row r="13">
          <cell r="A13" t="str">
            <v>HF-I2e-AABS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85</v>
          </cell>
          <cell r="L13">
            <v>0</v>
          </cell>
          <cell r="M13">
            <v>0</v>
          </cell>
        </row>
        <row r="14">
          <cell r="A14" t="str">
            <v>HF-T9QA-X3JZ</v>
          </cell>
          <cell r="B14">
            <v>4054</v>
          </cell>
          <cell r="C14">
            <v>21</v>
          </cell>
          <cell r="D14">
            <v>16.34</v>
          </cell>
          <cell r="E14">
            <v>6388</v>
          </cell>
          <cell r="F14">
            <v>17</v>
          </cell>
          <cell r="G14">
            <v>16.47</v>
          </cell>
          <cell r="H14">
            <v>0</v>
          </cell>
          <cell r="I14">
            <v>0</v>
          </cell>
          <cell r="J14">
            <v>0</v>
          </cell>
          <cell r="K14">
            <v>1427</v>
          </cell>
          <cell r="L14">
            <v>9</v>
          </cell>
          <cell r="M14">
            <v>7.59</v>
          </cell>
        </row>
        <row r="15">
          <cell r="A15" t="str">
            <v>HF-a10e-MINM</v>
          </cell>
          <cell r="B15">
            <v>1560</v>
          </cell>
          <cell r="C15">
            <v>7</v>
          </cell>
          <cell r="D15">
            <v>6.78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6533</v>
          </cell>
          <cell r="L15">
            <v>26</v>
          </cell>
          <cell r="M15">
            <v>24.89</v>
          </cell>
        </row>
        <row r="16">
          <cell r="A16" t="str">
            <v>HF-a1e-LCMC</v>
          </cell>
          <cell r="B16">
            <v>22006</v>
          </cell>
          <cell r="C16">
            <v>20</v>
          </cell>
          <cell r="D16">
            <v>20.21</v>
          </cell>
          <cell r="E16">
            <v>22184</v>
          </cell>
          <cell r="F16">
            <v>24</v>
          </cell>
          <cell r="G16">
            <v>27.53</v>
          </cell>
          <cell r="H16">
            <v>0</v>
          </cell>
          <cell r="I16">
            <v>0</v>
          </cell>
          <cell r="J16">
            <v>0</v>
          </cell>
          <cell r="K16">
            <v>33227</v>
          </cell>
          <cell r="L16">
            <v>44</v>
          </cell>
          <cell r="M16">
            <v>53.84</v>
          </cell>
        </row>
        <row r="17">
          <cell r="A17" t="str">
            <v>HF-a21e-SCFM</v>
          </cell>
          <cell r="B17">
            <v>2216</v>
          </cell>
          <cell r="C17">
            <v>0</v>
          </cell>
          <cell r="D17">
            <v>0</v>
          </cell>
          <cell r="E17">
            <v>1428</v>
          </cell>
          <cell r="F17">
            <v>2</v>
          </cell>
          <cell r="G17">
            <v>2.29</v>
          </cell>
          <cell r="H17">
            <v>0</v>
          </cell>
          <cell r="I17">
            <v>0</v>
          </cell>
          <cell r="J17">
            <v>0</v>
          </cell>
          <cell r="K17">
            <v>1157</v>
          </cell>
          <cell r="L17">
            <v>4</v>
          </cell>
          <cell r="M17">
            <v>5.58</v>
          </cell>
        </row>
        <row r="18">
          <cell r="A18" t="str">
            <v>HF-a37e-FCMG</v>
          </cell>
          <cell r="B18">
            <v>0</v>
          </cell>
          <cell r="C18">
            <v>0</v>
          </cell>
          <cell r="D18">
            <v>0</v>
          </cell>
          <cell r="E18">
            <v>660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1373</v>
          </cell>
          <cell r="L18">
            <v>4</v>
          </cell>
          <cell r="M18">
            <v>1.38</v>
          </cell>
        </row>
        <row r="19">
          <cell r="A19" t="str">
            <v>HF-a5e-NCFM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7951</v>
          </cell>
          <cell r="L19">
            <v>11</v>
          </cell>
          <cell r="M19">
            <v>18.55</v>
          </cell>
        </row>
        <row r="20">
          <cell r="A20" t="str">
            <v>HF-a69e-PEFG</v>
          </cell>
          <cell r="B20">
            <v>5899</v>
          </cell>
          <cell r="C20">
            <v>11</v>
          </cell>
          <cell r="D20">
            <v>9.01</v>
          </cell>
          <cell r="E20">
            <v>4154</v>
          </cell>
          <cell r="F20">
            <v>9</v>
          </cell>
          <cell r="G20">
            <v>10.36</v>
          </cell>
          <cell r="H20">
            <v>0</v>
          </cell>
          <cell r="I20">
            <v>0</v>
          </cell>
          <cell r="J20">
            <v>0</v>
          </cell>
          <cell r="K20">
            <v>32566</v>
          </cell>
          <cell r="L20">
            <v>27</v>
          </cell>
          <cell r="M20">
            <v>39.3</v>
          </cell>
        </row>
        <row r="21">
          <cell r="A21" t="str">
            <v>HF-a6e-LASS</v>
          </cell>
          <cell r="B21">
            <v>20823</v>
          </cell>
          <cell r="C21">
            <v>31</v>
          </cell>
          <cell r="D21">
            <v>34.45</v>
          </cell>
          <cell r="E21">
            <v>18700</v>
          </cell>
          <cell r="F21">
            <v>18</v>
          </cell>
          <cell r="G21">
            <v>19.07</v>
          </cell>
          <cell r="H21">
            <v>0</v>
          </cell>
          <cell r="I21">
            <v>0</v>
          </cell>
          <cell r="J21">
            <v>0</v>
          </cell>
          <cell r="K21">
            <v>1940</v>
          </cell>
          <cell r="L21">
            <v>3</v>
          </cell>
          <cell r="M21">
            <v>5.26</v>
          </cell>
        </row>
        <row r="22">
          <cell r="A22" t="str">
            <v>HF-a80e-BTBM</v>
          </cell>
          <cell r="B22">
            <v>6005</v>
          </cell>
          <cell r="C22">
            <v>13</v>
          </cell>
          <cell r="D22">
            <v>12.17</v>
          </cell>
          <cell r="E22">
            <v>6689</v>
          </cell>
          <cell r="F22">
            <v>12</v>
          </cell>
          <cell r="G22">
            <v>10.27</v>
          </cell>
          <cell r="H22">
            <v>0</v>
          </cell>
          <cell r="I22">
            <v>0</v>
          </cell>
          <cell r="J22">
            <v>0</v>
          </cell>
          <cell r="K22">
            <v>2074</v>
          </cell>
          <cell r="L22">
            <v>9</v>
          </cell>
          <cell r="M22">
            <v>7.17</v>
          </cell>
        </row>
        <row r="23">
          <cell r="A23" t="str">
            <v>HF-a85e-RFPM</v>
          </cell>
          <cell r="B23">
            <v>20878</v>
          </cell>
          <cell r="C23">
            <v>39</v>
          </cell>
          <cell r="D23">
            <v>33.39</v>
          </cell>
          <cell r="E23">
            <v>54833</v>
          </cell>
          <cell r="F23">
            <v>73</v>
          </cell>
          <cell r="G23">
            <v>69.29</v>
          </cell>
          <cell r="H23">
            <v>0</v>
          </cell>
          <cell r="I23">
            <v>0</v>
          </cell>
          <cell r="J23">
            <v>0</v>
          </cell>
          <cell r="K23">
            <v>7587</v>
          </cell>
          <cell r="L23">
            <v>28</v>
          </cell>
          <cell r="M23">
            <v>26.75</v>
          </cell>
        </row>
        <row r="24">
          <cell r="A24" t="str">
            <v>HF-b3e-PWCC</v>
          </cell>
          <cell r="B24">
            <v>2283</v>
          </cell>
          <cell r="C24">
            <v>13</v>
          </cell>
          <cell r="D24">
            <v>10.07</v>
          </cell>
          <cell r="E24">
            <v>2096</v>
          </cell>
          <cell r="F24">
            <v>9</v>
          </cell>
          <cell r="G24">
            <v>8.03</v>
          </cell>
          <cell r="H24">
            <v>0</v>
          </cell>
          <cell r="I24">
            <v>0</v>
          </cell>
          <cell r="J24">
            <v>0</v>
          </cell>
          <cell r="K24">
            <v>876</v>
          </cell>
          <cell r="L24">
            <v>10</v>
          </cell>
          <cell r="M24">
            <v>6.58</v>
          </cell>
        </row>
        <row r="25">
          <cell r="A25" t="str">
            <v>HF-c1e-MCND</v>
          </cell>
          <cell r="B25">
            <v>1888</v>
          </cell>
          <cell r="C25">
            <v>5</v>
          </cell>
          <cell r="D25">
            <v>3.86</v>
          </cell>
          <cell r="E25">
            <v>11694</v>
          </cell>
          <cell r="F25">
            <v>25</v>
          </cell>
          <cell r="G25">
            <v>24.33</v>
          </cell>
          <cell r="H25">
            <v>0</v>
          </cell>
          <cell r="I25">
            <v>0</v>
          </cell>
          <cell r="J25">
            <v>0</v>
          </cell>
          <cell r="K25">
            <v>6873</v>
          </cell>
          <cell r="L25">
            <v>25</v>
          </cell>
          <cell r="M25">
            <v>19.15</v>
          </cell>
        </row>
        <row r="26">
          <cell r="A26" t="str">
            <v>HF-c7e-LANC</v>
          </cell>
          <cell r="B26">
            <v>8437</v>
          </cell>
          <cell r="C26">
            <v>29</v>
          </cell>
          <cell r="D26">
            <v>25.22</v>
          </cell>
          <cell r="E26">
            <v>8970</v>
          </cell>
          <cell r="F26">
            <v>25</v>
          </cell>
          <cell r="G26">
            <v>20.62</v>
          </cell>
          <cell r="H26">
            <v>0</v>
          </cell>
          <cell r="I26">
            <v>0</v>
          </cell>
          <cell r="J26">
            <v>0</v>
          </cell>
          <cell r="K26">
            <v>4743</v>
          </cell>
          <cell r="L26">
            <v>18</v>
          </cell>
          <cell r="M26">
            <v>17.77</v>
          </cell>
        </row>
        <row r="27">
          <cell r="A27" t="str">
            <v>HF-f24-ACPF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3253</v>
          </cell>
          <cell r="L27">
            <v>7</v>
          </cell>
          <cell r="M27">
            <v>4.44</v>
          </cell>
        </row>
        <row r="28">
          <cell r="A28" t="str">
            <v>HF-g2e-ACRC</v>
          </cell>
          <cell r="B28">
            <v>452</v>
          </cell>
          <cell r="C28">
            <v>5</v>
          </cell>
          <cell r="D28">
            <v>2.33</v>
          </cell>
          <cell r="E28">
            <v>371</v>
          </cell>
          <cell r="F28">
            <v>4</v>
          </cell>
          <cell r="G28">
            <v>2.2</v>
          </cell>
          <cell r="H28">
            <v>0</v>
          </cell>
          <cell r="I28">
            <v>0</v>
          </cell>
          <cell r="J28">
            <v>0</v>
          </cell>
          <cell r="K28">
            <v>625</v>
          </cell>
          <cell r="L28">
            <v>3</v>
          </cell>
          <cell r="M28">
            <v>1.55</v>
          </cell>
        </row>
        <row r="29">
          <cell r="A29" t="str">
            <v>HF-l3e-TEYG</v>
          </cell>
          <cell r="B29">
            <v>4164</v>
          </cell>
          <cell r="C29">
            <v>5</v>
          </cell>
          <cell r="D29">
            <v>4.73</v>
          </cell>
          <cell r="E29">
            <v>4519</v>
          </cell>
          <cell r="F29">
            <v>6</v>
          </cell>
          <cell r="G29">
            <v>4.51</v>
          </cell>
          <cell r="H29">
            <v>0</v>
          </cell>
          <cell r="I29">
            <v>0</v>
          </cell>
          <cell r="J29">
            <v>0</v>
          </cell>
          <cell r="K29">
            <v>1963</v>
          </cell>
          <cell r="L29">
            <v>4</v>
          </cell>
          <cell r="M29">
            <v>3.74</v>
          </cell>
        </row>
        <row r="30">
          <cell r="A30" t="str">
            <v>HF-n2ae-NBNK</v>
          </cell>
          <cell r="B30">
            <v>0</v>
          </cell>
          <cell r="C30">
            <v>0</v>
          </cell>
          <cell r="D30">
            <v>0</v>
          </cell>
          <cell r="E30">
            <v>5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10084</v>
          </cell>
          <cell r="L30">
            <v>22</v>
          </cell>
          <cell r="M30">
            <v>23.3</v>
          </cell>
        </row>
        <row r="31">
          <cell r="A31" t="str">
            <v>IM-YEIX-VVX8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212</v>
          </cell>
          <cell r="L31">
            <v>0</v>
          </cell>
          <cell r="M31">
            <v>0</v>
          </cell>
        </row>
        <row r="32">
          <cell r="A32" t="str">
            <v>JQ-N6LK-OQ03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44</v>
          </cell>
          <cell r="L32">
            <v>0</v>
          </cell>
          <cell r="M32">
            <v>0</v>
          </cell>
        </row>
        <row r="33">
          <cell r="A33" t="str">
            <v>KP-1178-XPKV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L1-BT23-OVPU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534</v>
          </cell>
          <cell r="L34">
            <v>0</v>
          </cell>
          <cell r="M34">
            <v>0</v>
          </cell>
        </row>
        <row r="35">
          <cell r="A35" t="str">
            <v>QW-6H25-PV48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519</v>
          </cell>
          <cell r="L35">
            <v>0</v>
          </cell>
          <cell r="M35">
            <v>0</v>
          </cell>
        </row>
        <row r="36">
          <cell r="A36" t="str">
            <v>R0-9P3N-MM7G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170</v>
          </cell>
          <cell r="L36">
            <v>0</v>
          </cell>
          <cell r="M36">
            <v>0</v>
          </cell>
        </row>
        <row r="37">
          <cell r="A37" t="str">
            <v>5D-ZS9Q-CYOL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452</v>
          </cell>
          <cell r="L37">
            <v>3</v>
          </cell>
          <cell r="M37">
            <v>2.35</v>
          </cell>
        </row>
        <row r="38">
          <cell r="A38" t="str">
            <v>HF-g104e-PCFS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11030</v>
          </cell>
          <cell r="L38">
            <v>16</v>
          </cell>
          <cell r="M38">
            <v>14.37</v>
          </cell>
        </row>
        <row r="39">
          <cell r="A39" t="str">
            <v>HF-a56e-EYES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11218</v>
          </cell>
          <cell r="L39">
            <v>21</v>
          </cell>
          <cell r="M39">
            <v>28.06</v>
          </cell>
        </row>
        <row r="40">
          <cell r="A40" t="str">
            <v>HF-f12-FACL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SM-LSLQ-C3QE</v>
          </cell>
          <cell r="B41">
            <v>0</v>
          </cell>
          <cell r="C41">
            <v>0</v>
          </cell>
          <cell r="D41">
            <v>0</v>
          </cell>
          <cell r="E41">
            <v>10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HF-a56e-EYES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11218</v>
          </cell>
          <cell r="I42">
            <v>21</v>
          </cell>
          <cell r="J42">
            <v>28.06</v>
          </cell>
          <cell r="K42">
            <v>21524</v>
          </cell>
          <cell r="L42">
            <v>29</v>
          </cell>
          <cell r="M42">
            <v>39.28</v>
          </cell>
        </row>
        <row r="43">
          <cell r="A43" t="str">
            <v>SM-LSLQ-C3QE</v>
          </cell>
          <cell r="B43">
            <v>10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HF-a6e-LASS</v>
          </cell>
          <cell r="B44">
            <v>1940</v>
          </cell>
          <cell r="C44">
            <v>3</v>
          </cell>
          <cell r="D44">
            <v>5.26</v>
          </cell>
          <cell r="E44">
            <v>2958</v>
          </cell>
          <cell r="F44">
            <v>6</v>
          </cell>
          <cell r="G44">
            <v>8.6</v>
          </cell>
          <cell r="H44">
            <v>10575</v>
          </cell>
          <cell r="I44">
            <v>11</v>
          </cell>
          <cell r="J44">
            <v>12.26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MY71107ZQXXL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11310</v>
          </cell>
          <cell r="L45">
            <v>28</v>
          </cell>
          <cell r="M45">
            <v>14.28</v>
          </cell>
        </row>
        <row r="46">
          <cell r="A46" t="str">
            <v>HF-a85e-RFPM</v>
          </cell>
          <cell r="B46">
            <v>11458</v>
          </cell>
          <cell r="C46">
            <v>41</v>
          </cell>
          <cell r="D46">
            <v>66.8</v>
          </cell>
          <cell r="E46">
            <v>5568</v>
          </cell>
          <cell r="F46">
            <v>36</v>
          </cell>
          <cell r="G46">
            <v>40.88</v>
          </cell>
          <cell r="H46">
            <v>1344</v>
          </cell>
          <cell r="I46">
            <v>12</v>
          </cell>
          <cell r="J46">
            <v>7.89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HF-b3e-PWCC</v>
          </cell>
          <cell r="B47">
            <v>1738</v>
          </cell>
          <cell r="C47">
            <v>10</v>
          </cell>
          <cell r="D47">
            <v>12.51</v>
          </cell>
          <cell r="E47">
            <v>693</v>
          </cell>
          <cell r="F47">
            <v>3</v>
          </cell>
          <cell r="G47">
            <v>2.05</v>
          </cell>
          <cell r="H47">
            <v>146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HF-l3e-TEYG</v>
          </cell>
          <cell r="B48">
            <v>3083</v>
          </cell>
          <cell r="C48">
            <v>9</v>
          </cell>
          <cell r="D48">
            <v>7.89</v>
          </cell>
          <cell r="E48">
            <v>17229</v>
          </cell>
          <cell r="F48">
            <v>17</v>
          </cell>
          <cell r="G48">
            <v>17.4</v>
          </cell>
          <cell r="H48">
            <v>2943</v>
          </cell>
          <cell r="I48">
            <v>2</v>
          </cell>
          <cell r="J48">
            <v>0.74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5D-ZS9Q-CYOL</v>
          </cell>
          <cell r="B49">
            <v>2049</v>
          </cell>
          <cell r="C49">
            <v>18</v>
          </cell>
          <cell r="D49">
            <v>22.88</v>
          </cell>
          <cell r="E49">
            <v>2160</v>
          </cell>
          <cell r="F49">
            <v>14</v>
          </cell>
          <cell r="G49">
            <v>19.39</v>
          </cell>
          <cell r="H49">
            <v>128</v>
          </cell>
          <cell r="I49">
            <v>3</v>
          </cell>
          <cell r="J49">
            <v>1.76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HF-a56e-EYES</v>
          </cell>
          <cell r="B50">
            <v>21524</v>
          </cell>
          <cell r="C50">
            <v>29</v>
          </cell>
          <cell r="D50">
            <v>39.28</v>
          </cell>
          <cell r="E50">
            <v>20331</v>
          </cell>
          <cell r="F50">
            <v>49</v>
          </cell>
          <cell r="G50">
            <v>60.33</v>
          </cell>
          <cell r="H50">
            <v>6696</v>
          </cell>
          <cell r="I50">
            <v>19</v>
          </cell>
          <cell r="J50">
            <v>15.08</v>
          </cell>
          <cell r="K50">
            <v>0</v>
          </cell>
          <cell r="L50">
            <v>0</v>
          </cell>
          <cell r="M50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098"/>
  <sheetViews>
    <sheetView tabSelected="1" workbookViewId="0">
      <pane xSplit="15" ySplit="5" topLeftCell="P6" activePane="bottomRight" state="frozen"/>
      <selection/>
      <selection pane="topRight"/>
      <selection pane="bottomLeft"/>
      <selection pane="bottomRight" activeCell="A6" sqref="A6:AV164"/>
    </sheetView>
  </sheetViews>
  <sheetFormatPr defaultColWidth="9" defaultRowHeight="14.25"/>
  <cols>
    <col min="1" max="1" width="18.625" customWidth="1"/>
    <col min="2" max="2" width="16.75" customWidth="1"/>
    <col min="3" max="3" width="22.875" customWidth="1"/>
    <col min="4" max="15" width="5.625" customWidth="1"/>
    <col min="16" max="16" width="11.75" customWidth="1"/>
    <col min="17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style="6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33.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8" t="s">
        <v>0</v>
      </c>
      <c r="B1" s="8"/>
      <c r="C1" s="8"/>
      <c r="D1" s="9" t="s">
        <v>1</v>
      </c>
      <c r="E1" s="9"/>
      <c r="F1" s="9"/>
      <c r="G1" s="9"/>
      <c r="H1" s="9"/>
      <c r="I1" s="9" t="s">
        <v>2</v>
      </c>
      <c r="J1" s="9"/>
      <c r="K1" s="9"/>
      <c r="L1" s="9"/>
      <c r="M1" s="9"/>
      <c r="N1" s="9"/>
      <c r="O1" s="9"/>
      <c r="P1" s="9" t="s">
        <v>3</v>
      </c>
      <c r="Q1" s="9"/>
      <c r="R1" s="9"/>
      <c r="S1" s="9"/>
      <c r="T1" s="9" t="s">
        <v>4</v>
      </c>
      <c r="U1" s="9"/>
      <c r="V1" s="9"/>
      <c r="W1" s="9"/>
      <c r="X1" s="22" t="s">
        <v>5</v>
      </c>
      <c r="Y1" s="9"/>
      <c r="Z1" s="9"/>
      <c r="AA1" s="9"/>
      <c r="AB1" s="9" t="s">
        <v>6</v>
      </c>
      <c r="AC1" s="9"/>
      <c r="AD1" s="9"/>
      <c r="AE1" s="9"/>
      <c r="AF1" s="9" t="s">
        <v>7</v>
      </c>
      <c r="AG1" s="9"/>
      <c r="AH1" s="9"/>
      <c r="AI1" s="9"/>
      <c r="AJ1" s="9" t="s">
        <v>8</v>
      </c>
      <c r="AK1" s="9"/>
      <c r="AL1" s="9"/>
      <c r="AM1" s="9"/>
      <c r="AN1" s="9" t="s">
        <v>9</v>
      </c>
      <c r="AO1" s="9"/>
      <c r="AP1" s="9"/>
      <c r="AQ1" s="9"/>
      <c r="AR1" s="9" t="s">
        <v>10</v>
      </c>
      <c r="AS1" s="9"/>
      <c r="AT1" s="9"/>
      <c r="AU1" s="9"/>
      <c r="AV1" s="9"/>
    </row>
    <row r="2" s="4" customFormat="1" hidden="1" spans="1:49">
      <c r="A2" s="10" t="s">
        <v>11</v>
      </c>
      <c r="B2" s="11"/>
      <c r="C2" s="11"/>
      <c r="D2" s="12">
        <f>IFERROR(VLOOKUP(A2,[3]库存报告使用数据处理!$A:$B,2,0),0)</f>
        <v>2</v>
      </c>
      <c r="E2" s="12">
        <f>IFERROR(VLOOKUP(A2,[3]库存报告使用数据处理!$A:$C,3,0),0)</f>
        <v>0</v>
      </c>
      <c r="F2" s="12">
        <f>IFERROR(VLOOKUP(A2,[3]库存报告使用数据处理!$A:$D,4,0),0)</f>
        <v>3</v>
      </c>
      <c r="G2" s="12">
        <f>IFERROR(VLOOKUP(A2,[3]库存报告使用数据处理!$A:$E,5,0),0)</f>
        <v>3</v>
      </c>
      <c r="H2" s="12">
        <f>IFERROR(VLOOKUP(A2,[3]库存报告使用数据处理!$A:$F,6,0),0)</f>
        <v>54.95125</v>
      </c>
      <c r="I2" s="12">
        <f>IFERROR(VLOOKUP($A2,[1]数据处理!$A:$B,2,0),0)</f>
        <v>34</v>
      </c>
      <c r="J2" s="12">
        <f>IFERROR(VLOOKUP($A2,[1]数据处理!$A:$D,4,0),0)</f>
        <v>0</v>
      </c>
      <c r="K2" s="12">
        <f>IFERROR(VLOOKUP($A2,[1]数据处理!$A:$E,5,0),0)</f>
        <v>0</v>
      </c>
      <c r="L2" s="12">
        <f>IFERROR(VLOOKUP($A2,[1]数据处理!$A:$G,7,0),0)</f>
        <v>0</v>
      </c>
      <c r="M2" s="19">
        <f>SUM(I2:L2)</f>
        <v>34</v>
      </c>
      <c r="N2" s="12">
        <f>IFERROR(VLOOKUP($A2,[1]数据处理!$A:$N,14,0),0)</f>
        <v>33</v>
      </c>
      <c r="O2">
        <f>IFERROR(VLOOKUP(D2,[1]数据处理!$A:$C,3,0),0)</f>
        <v>0</v>
      </c>
      <c r="P2">
        <f ca="1">IFERROR(VLOOKUP($A2,[4]库存报告使用数据!$A$1:$B$65536,2,0),0)</f>
        <v>0</v>
      </c>
      <c r="Q2">
        <f ca="1">IFERROR(VLOOKUP($A2,[4]库存报告使用数据!$A$1:$E$65536,5,0),0)</f>
        <v>0</v>
      </c>
      <c r="R2">
        <f ca="1">IFERROR(VLOOKUP($A2,[4]库存报告使用数据!$A$1:$H$65536,8,0),0)</f>
        <v>0</v>
      </c>
      <c r="S2">
        <f ca="1">IFERROR(VLOOKUP($A2,[4]库存报告使用数据!$A$1:$K$65536,11,0),0)</f>
        <v>37</v>
      </c>
      <c r="T2">
        <f ca="1">IFERROR(VLOOKUP($A2,[4]库存报告使用数据!$A$1:$C$65536,3,0),"")</f>
        <v>0</v>
      </c>
      <c r="U2">
        <f ca="1">IFERROR(VLOOKUP($A2,[4]库存报告使用数据!$A$1:$F$65536,6,0),"")</f>
        <v>0</v>
      </c>
      <c r="V2">
        <f ca="1">IFERROR(VLOOKUP($A2,[4]库存报告使用数据!$A$1:$I$65536,9,0),"")</f>
        <v>0</v>
      </c>
      <c r="W2">
        <f ca="1">IFERROR(VLOOKUP($A2,[4]库存报告使用数据!$A$1:$L$65536,12,0),"")</f>
        <v>0</v>
      </c>
      <c r="X2" s="6" t="str">
        <f ca="1">IF(P2=0,"",T2/P2)</f>
        <v/>
      </c>
      <c r="Y2" s="6" t="str">
        <f ca="1">IF(Q2=0,"",U2/Q2)</f>
        <v/>
      </c>
      <c r="Z2" s="6" t="str">
        <f ca="1">IF(R2=0,"",V2/R2)</f>
        <v/>
      </c>
      <c r="AA2" s="6">
        <f ca="1">IF(S2=0,"",W2/S2)</f>
        <v>0</v>
      </c>
      <c r="AB2">
        <f ca="1">IFERROR(VLOOKUP($A2,[4]库存报告使用数据!$A$1:$D$65536,4,0),"")</f>
        <v>0</v>
      </c>
      <c r="AC2">
        <f ca="1">IFERROR(VLOOKUP($A2,[4]库存报告使用数据!$A$1:$G$65536,7,0),"")</f>
        <v>0</v>
      </c>
      <c r="AD2">
        <f ca="1">IFERROR(VLOOKUP($A2,[4]库存报告使用数据!$A$1:$J$65536,10,0),"")</f>
        <v>0</v>
      </c>
      <c r="AE2">
        <f ca="1">IFERROR(VLOOKUP($A2,[4]库存报告使用数据!$A$1:$M$65536,13,0),"")</f>
        <v>0</v>
      </c>
      <c r="AF2" s="6">
        <f ca="1" t="shared" ref="AF2:AI2" si="0">IF(AND(AB2&gt;0,D2=0),"有广告无销售广告费为"&amp;AB2,IF(D2=0,"",IF(AB2=0,0,IFERROR(AB2/(D2*$H2),""))))</f>
        <v>0</v>
      </c>
      <c r="AG2" s="6" t="str">
        <f ca="1" t="shared" si="0"/>
        <v/>
      </c>
      <c r="AH2" s="6">
        <f ca="1" t="shared" si="0"/>
        <v>0</v>
      </c>
      <c r="AI2" s="6">
        <f ca="1" t="shared" si="0"/>
        <v>0</v>
      </c>
      <c r="AJ2" t="str">
        <f>IFERROR(VLOOKUP($B2,'[2]浏览量处理(勿删)'!$A:$B,2,0),"")</f>
        <v/>
      </c>
      <c r="AK2" t="str">
        <f>IFERROR(VLOOKUP($B2,'[2]浏览量处理(勿删)'!$A:$C,3,0),"")</f>
        <v/>
      </c>
      <c r="AL2" t="str">
        <f>IFERROR(VLOOKUP($B2,'[2]浏览量处理(勿删)'!$A:$D,4,0),"")</f>
        <v/>
      </c>
      <c r="AM2" t="str">
        <f>IFERROR(VLOOKUP($B2,'[2]浏览量处理(勿删)'!$A:$E,5,0),"")</f>
        <v/>
      </c>
      <c r="AN2" s="6" t="str">
        <f>IFERROR(D2/AJ2,"")</f>
        <v/>
      </c>
      <c r="AO2" s="6" t="str">
        <f>IFERROR(E2/AK2,"")</f>
        <v/>
      </c>
      <c r="AP2" s="6" t="str">
        <f>IFERROR(F2/AL2,"")</f>
        <v/>
      </c>
      <c r="AQ2" s="6" t="str">
        <f>IFERROR(G2/AM2,"")</f>
        <v/>
      </c>
      <c r="AR2" s="27">
        <f>IFERROR(D2/7,"")</f>
        <v>0.285714285714286</v>
      </c>
      <c r="AS2" s="27">
        <f>IF(AR2="","上周无销量",60*AR2)</f>
        <v>17.1428571428571</v>
      </c>
      <c r="AT2" s="27">
        <f>IF(AS2="上周无销量","上周无销量/总库存"&amp;M2,M2-AS2)</f>
        <v>16.8571428571429</v>
      </c>
      <c r="AU2" s="12">
        <f>IF(AR2="","库存为"&amp;M2,IF(AS2=0,"库存为"&amp;M2,INT(M2/AR2)))</f>
        <v>119</v>
      </c>
      <c r="AV2" s="28" t="str">
        <f>IFERROR($A$2+AU2,"上周无销量")</f>
        <v>上周无销量</v>
      </c>
      <c r="AW2" s="28"/>
    </row>
    <row r="3" s="5" customFormat="1" ht="25" customHeight="1" spans="1:61">
      <c r="A3" s="13" t="s">
        <v>12</v>
      </c>
      <c r="B3" s="13"/>
      <c r="C3" s="13"/>
      <c r="D3" s="14" t="str">
        <f>TEXT(时间!$B$6,"yyyy/M/d")&amp;"-"&amp;TEXT(时间!$B$5,"yyyy/M/d")</f>
        <v>2018/8/20-2018/8/26</v>
      </c>
      <c r="E3" s="14" t="str">
        <f>TEXT(时间!$B$8,"yyyy/M/d")&amp;"-"&amp;TEXT(时间!$B$7,"yyyy/Md")</f>
        <v>2018/8/13-2018/819</v>
      </c>
      <c r="F3" s="14" t="str">
        <f>TEXT(时间!$B$10,"yyyy/M/d")&amp;"-"&amp;TEXT(时间!$B$9,"yyyy/M/d")</f>
        <v>2018/8/6-2018/8/12</v>
      </c>
      <c r="G3" s="14" t="str">
        <f>TEXT(时间!$B$12,"yyyy/M/d")&amp;"-"&amp;TEXT(时间!$B$11,"yyyy/M/d")</f>
        <v>2018/7/30-2018/8/5</v>
      </c>
      <c r="I3" s="13"/>
      <c r="J3" s="13"/>
      <c r="K3" s="13"/>
      <c r="L3" s="13"/>
      <c r="M3" s="13"/>
      <c r="N3" s="13"/>
      <c r="O3" s="20" t="s">
        <v>13</v>
      </c>
      <c r="P3" s="13"/>
      <c r="Q3" s="23"/>
      <c r="R3" s="23"/>
      <c r="S3" s="23"/>
      <c r="T3" s="23"/>
      <c r="U3" s="23"/>
      <c r="V3" s="23"/>
      <c r="W3" s="23"/>
      <c r="X3" s="24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14</v>
      </c>
      <c r="B4" t="s">
        <v>15</v>
      </c>
      <c r="C4" t="s">
        <v>16</v>
      </c>
      <c r="D4" t="s">
        <v>17</v>
      </c>
      <c r="E4" t="s">
        <v>18</v>
      </c>
      <c r="F4" t="s">
        <v>19</v>
      </c>
      <c r="G4" t="s">
        <v>20</v>
      </c>
      <c r="H4" t="s">
        <v>21</v>
      </c>
      <c r="I4" t="s">
        <v>22</v>
      </c>
      <c r="J4" t="s">
        <v>23</v>
      </c>
      <c r="K4" t="s">
        <v>24</v>
      </c>
      <c r="L4" t="s">
        <v>25</v>
      </c>
      <c r="M4" t="s">
        <v>26</v>
      </c>
      <c r="N4" t="s">
        <v>27</v>
      </c>
      <c r="O4" t="s">
        <v>28</v>
      </c>
      <c r="P4" s="16" t="s">
        <v>29</v>
      </c>
      <c r="Q4" s="16" t="s">
        <v>30</v>
      </c>
      <c r="R4" s="16" t="s">
        <v>31</v>
      </c>
      <c r="S4" s="16" t="s">
        <v>32</v>
      </c>
      <c r="T4" s="16" t="s">
        <v>33</v>
      </c>
      <c r="U4" s="16" t="s">
        <v>34</v>
      </c>
      <c r="V4" s="16" t="s">
        <v>35</v>
      </c>
      <c r="W4" s="16" t="s">
        <v>36</v>
      </c>
      <c r="X4" s="25" t="s">
        <v>37</v>
      </c>
      <c r="Y4" s="16" t="s">
        <v>38</v>
      </c>
      <c r="Z4" s="16" t="s">
        <v>39</v>
      </c>
      <c r="AA4" s="16" t="s">
        <v>40</v>
      </c>
      <c r="AB4" s="16" t="s">
        <v>41</v>
      </c>
      <c r="AC4" s="16" t="s">
        <v>42</v>
      </c>
      <c r="AD4" s="16" t="s">
        <v>43</v>
      </c>
      <c r="AE4" s="16" t="s">
        <v>44</v>
      </c>
      <c r="AF4" s="16">
        <f>时间!$B$6</f>
        <v>43332</v>
      </c>
      <c r="AG4" s="16">
        <f>时间!$B$7</f>
        <v>43331</v>
      </c>
      <c r="AH4" s="16">
        <f>时间!$B$8</f>
        <v>43325</v>
      </c>
      <c r="AI4" s="16">
        <f>时间!$B$9</f>
        <v>43324</v>
      </c>
      <c r="AJ4" s="16">
        <f>时间!$B$6</f>
        <v>43332</v>
      </c>
      <c r="AK4" s="16">
        <f>时间!$B$7</f>
        <v>43331</v>
      </c>
      <c r="AL4" s="16">
        <f>时间!$B$8</f>
        <v>43325</v>
      </c>
      <c r="AM4" s="16">
        <f>时间!$B$9</f>
        <v>43324</v>
      </c>
      <c r="AN4" s="16">
        <f>时间!$B$6</f>
        <v>43332</v>
      </c>
      <c r="AO4" s="16">
        <f>时间!$B$7</f>
        <v>43331</v>
      </c>
      <c r="AP4" s="16">
        <f>时间!$B$8</f>
        <v>43325</v>
      </c>
      <c r="AQ4" s="16">
        <f>时间!$B$9</f>
        <v>43324</v>
      </c>
      <c r="AR4" s="7" t="s">
        <v>45</v>
      </c>
      <c r="AS4" s="7" t="s">
        <v>46</v>
      </c>
      <c r="AT4" s="7" t="s">
        <v>47</v>
      </c>
      <c r="AU4" t="s">
        <v>48</v>
      </c>
      <c r="AV4" t="s">
        <v>49</v>
      </c>
    </row>
    <row r="5" spans="1:48">
      <c r="A5" s="15" t="s">
        <v>50</v>
      </c>
      <c r="B5" s="15"/>
      <c r="C5" s="15"/>
      <c r="D5" s="15">
        <f>SUM(D6:D65536)</f>
        <v>187</v>
      </c>
      <c r="E5" s="15">
        <f>SUM(E6:E65536)</f>
        <v>179</v>
      </c>
      <c r="F5" s="15">
        <f>SUM(F6:F65536)</f>
        <v>198</v>
      </c>
      <c r="G5" s="15">
        <f>SUM(G6:G65536)</f>
        <v>256</v>
      </c>
      <c r="H5" s="15"/>
      <c r="I5" s="15">
        <f t="shared" ref="I5:O5" si="1">SUM(I6:I65536)</f>
        <v>1210</v>
      </c>
      <c r="J5" s="15">
        <f t="shared" si="1"/>
        <v>334</v>
      </c>
      <c r="K5" s="15">
        <f t="shared" si="1"/>
        <v>154</v>
      </c>
      <c r="L5" s="15">
        <f t="shared" si="1"/>
        <v>19</v>
      </c>
      <c r="M5" s="15">
        <f t="shared" si="1"/>
        <v>1717</v>
      </c>
      <c r="N5" s="15">
        <f t="shared" si="1"/>
        <v>37</v>
      </c>
      <c r="O5" s="15">
        <f t="shared" si="1"/>
        <v>1148</v>
      </c>
      <c r="P5" s="17"/>
      <c r="R5" s="17"/>
      <c r="S5" s="17"/>
      <c r="T5" s="17"/>
      <c r="U5" s="17"/>
      <c r="V5" s="17"/>
      <c r="W5" s="17"/>
      <c r="X5" s="17"/>
      <c r="Y5" s="26"/>
      <c r="Z5" s="26"/>
      <c r="AA5" s="26"/>
      <c r="AB5" s="15">
        <f ca="1">SUM(AB6:AB65536)</f>
        <v>178.56</v>
      </c>
      <c r="AC5" s="15">
        <f ca="1">SUM(AC6:AC65536)</f>
        <v>214.97</v>
      </c>
      <c r="AD5" s="15">
        <f ca="1">SUM(AD6:AD65536)</f>
        <v>0</v>
      </c>
      <c r="AE5" s="15">
        <f ca="1">SUM(AE6:AE65536)</f>
        <v>338.16</v>
      </c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29"/>
      <c r="AS5" s="17"/>
      <c r="AT5" s="17"/>
      <c r="AU5" s="30"/>
      <c r="AV5" s="30"/>
    </row>
    <row r="6" spans="1:48">
      <c r="A6" s="16" t="s">
        <v>51</v>
      </c>
      <c r="B6" s="17" t="s">
        <v>52</v>
      </c>
      <c r="C6" s="17" t="s">
        <v>53</v>
      </c>
      <c r="D6" s="18">
        <v>3</v>
      </c>
      <c r="E6" s="18">
        <v>17</v>
      </c>
      <c r="F6" s="18">
        <v>8</v>
      </c>
      <c r="G6" s="18">
        <v>7</v>
      </c>
      <c r="H6" s="18">
        <v>13.52</v>
      </c>
      <c r="I6" s="18">
        <v>128</v>
      </c>
      <c r="J6" s="18">
        <v>0</v>
      </c>
      <c r="K6" s="18">
        <v>0</v>
      </c>
      <c r="L6" s="18">
        <v>0</v>
      </c>
      <c r="M6" s="21">
        <v>128</v>
      </c>
      <c r="N6" s="18">
        <v>0</v>
      </c>
      <c r="O6" s="17">
        <v>130</v>
      </c>
      <c r="P6" s="17">
        <v>0</v>
      </c>
      <c r="Q6" s="17">
        <v>0</v>
      </c>
      <c r="R6" s="17">
        <v>0</v>
      </c>
      <c r="S6" s="17">
        <v>317</v>
      </c>
      <c r="T6" s="17">
        <v>0</v>
      </c>
      <c r="U6" s="17">
        <v>0</v>
      </c>
      <c r="V6" s="17">
        <v>0</v>
      </c>
      <c r="W6" s="17">
        <v>1</v>
      </c>
      <c r="X6" s="26" t="s">
        <v>54</v>
      </c>
      <c r="Y6" s="26" t="s">
        <v>54</v>
      </c>
      <c r="Z6" s="26" t="s">
        <v>54</v>
      </c>
      <c r="AA6" s="26">
        <v>0.00315457413249211</v>
      </c>
      <c r="AB6" s="17">
        <v>0</v>
      </c>
      <c r="AC6" s="17">
        <v>0</v>
      </c>
      <c r="AD6" s="17">
        <v>0</v>
      </c>
      <c r="AE6" s="17">
        <v>2.73</v>
      </c>
      <c r="AF6" s="26">
        <v>0</v>
      </c>
      <c r="AG6" s="26">
        <v>0</v>
      </c>
      <c r="AH6" s="26">
        <v>0</v>
      </c>
      <c r="AI6" s="26">
        <v>0.0288461538461538</v>
      </c>
      <c r="AJ6" s="17">
        <v>23</v>
      </c>
      <c r="AK6" s="17">
        <v>41</v>
      </c>
      <c r="AL6" s="17">
        <v>30</v>
      </c>
      <c r="AM6" s="17">
        <v>42</v>
      </c>
      <c r="AN6" s="26">
        <v>0.130434782608696</v>
      </c>
      <c r="AO6" s="26">
        <v>0.414634146341463</v>
      </c>
      <c r="AP6" s="26">
        <v>0.266666666666667</v>
      </c>
      <c r="AQ6" s="26">
        <v>0.166666666666667</v>
      </c>
      <c r="AR6" s="31">
        <v>0.428571428571429</v>
      </c>
      <c r="AS6" s="31">
        <v>25.7142857142857</v>
      </c>
      <c r="AT6" s="31">
        <v>102.285714285714</v>
      </c>
      <c r="AU6" s="18">
        <v>298</v>
      </c>
      <c r="AV6" s="32">
        <v>43637</v>
      </c>
    </row>
    <row r="7" spans="1:48">
      <c r="A7" s="16" t="s">
        <v>55</v>
      </c>
      <c r="B7" s="17" t="s">
        <v>56</v>
      </c>
      <c r="C7" s="17" t="s">
        <v>57</v>
      </c>
      <c r="D7" s="18">
        <v>5</v>
      </c>
      <c r="E7" s="18">
        <v>4</v>
      </c>
      <c r="F7" s="18">
        <v>9</v>
      </c>
      <c r="G7" s="18">
        <v>9</v>
      </c>
      <c r="H7" s="18">
        <v>18</v>
      </c>
      <c r="I7" s="18">
        <v>38</v>
      </c>
      <c r="J7" s="18">
        <v>0</v>
      </c>
      <c r="K7" s="18">
        <v>0</v>
      </c>
      <c r="L7" s="18">
        <v>0</v>
      </c>
      <c r="M7" s="21">
        <v>38</v>
      </c>
      <c r="N7" s="18">
        <v>0</v>
      </c>
      <c r="O7" s="17">
        <v>30</v>
      </c>
      <c r="P7" s="17">
        <v>0</v>
      </c>
      <c r="Q7" s="17">
        <v>0</v>
      </c>
      <c r="R7" s="17">
        <v>0</v>
      </c>
      <c r="S7" s="17">
        <v>145</v>
      </c>
      <c r="T7" s="17">
        <v>0</v>
      </c>
      <c r="U7" s="17">
        <v>0</v>
      </c>
      <c r="V7" s="17">
        <v>0</v>
      </c>
      <c r="W7" s="17">
        <v>0</v>
      </c>
      <c r="X7" s="26" t="s">
        <v>54</v>
      </c>
      <c r="Y7" s="26" t="s">
        <v>54</v>
      </c>
      <c r="Z7" s="26" t="s">
        <v>54</v>
      </c>
      <c r="AA7" s="26">
        <v>0</v>
      </c>
      <c r="AB7" s="17">
        <v>0</v>
      </c>
      <c r="AC7" s="17">
        <v>0</v>
      </c>
      <c r="AD7" s="17">
        <v>0</v>
      </c>
      <c r="AE7" s="17">
        <v>0</v>
      </c>
      <c r="AF7" s="26">
        <v>0</v>
      </c>
      <c r="AG7" s="26">
        <v>0</v>
      </c>
      <c r="AH7" s="26">
        <v>0</v>
      </c>
      <c r="AI7" s="26">
        <v>0</v>
      </c>
      <c r="AJ7" s="17">
        <v>12</v>
      </c>
      <c r="AK7" s="17">
        <v>31</v>
      </c>
      <c r="AL7" s="17">
        <v>29</v>
      </c>
      <c r="AM7" s="17">
        <v>18</v>
      </c>
      <c r="AN7" s="26">
        <v>0.416666666666667</v>
      </c>
      <c r="AO7" s="26">
        <v>0.129032258064516</v>
      </c>
      <c r="AP7" s="26">
        <v>0.310344827586207</v>
      </c>
      <c r="AQ7" s="26">
        <v>0.5</v>
      </c>
      <c r="AR7" s="31">
        <v>0.714285714285714</v>
      </c>
      <c r="AS7" s="31">
        <v>42.8571428571429</v>
      </c>
      <c r="AT7" s="31">
        <v>-4.85714285714286</v>
      </c>
      <c r="AU7" s="18">
        <v>53</v>
      </c>
      <c r="AV7" s="32">
        <v>43392</v>
      </c>
    </row>
    <row r="8" spans="1:48">
      <c r="A8" s="16" t="s">
        <v>58</v>
      </c>
      <c r="B8" s="17" t="s">
        <v>59</v>
      </c>
      <c r="C8" s="17" t="s">
        <v>60</v>
      </c>
      <c r="D8" s="18">
        <v>0</v>
      </c>
      <c r="E8" s="18">
        <v>0</v>
      </c>
      <c r="F8" s="18">
        <v>0</v>
      </c>
      <c r="G8" s="18">
        <v>0</v>
      </c>
      <c r="H8" s="18">
        <v>0</v>
      </c>
      <c r="I8" s="18">
        <v>0</v>
      </c>
      <c r="J8" s="18">
        <v>0</v>
      </c>
      <c r="K8" s="18">
        <v>0</v>
      </c>
      <c r="L8" s="18">
        <v>0</v>
      </c>
      <c r="M8" s="21">
        <v>0</v>
      </c>
      <c r="N8" s="18">
        <v>0</v>
      </c>
      <c r="O8" s="17">
        <v>0</v>
      </c>
      <c r="P8" s="17">
        <v>0</v>
      </c>
      <c r="Q8" s="17">
        <v>0</v>
      </c>
      <c r="R8" s="17">
        <v>0</v>
      </c>
      <c r="S8" s="17">
        <v>0</v>
      </c>
      <c r="T8" s="17" t="s">
        <v>54</v>
      </c>
      <c r="U8" s="17" t="s">
        <v>54</v>
      </c>
      <c r="V8" s="17" t="s">
        <v>54</v>
      </c>
      <c r="W8" s="17" t="s">
        <v>54</v>
      </c>
      <c r="X8" s="26" t="s">
        <v>54</v>
      </c>
      <c r="Y8" s="26" t="s">
        <v>54</v>
      </c>
      <c r="Z8" s="26" t="s">
        <v>54</v>
      </c>
      <c r="AA8" s="26" t="s">
        <v>54</v>
      </c>
      <c r="AB8" s="17" t="s">
        <v>54</v>
      </c>
      <c r="AC8" s="17" t="s">
        <v>54</v>
      </c>
      <c r="AD8" s="17" t="s">
        <v>54</v>
      </c>
      <c r="AE8" s="17" t="s">
        <v>54</v>
      </c>
      <c r="AF8" s="26" t="s">
        <v>61</v>
      </c>
      <c r="AG8" s="26" t="s">
        <v>61</v>
      </c>
      <c r="AH8" s="26" t="s">
        <v>61</v>
      </c>
      <c r="AI8" s="26" t="s">
        <v>61</v>
      </c>
      <c r="AJ8" s="17">
        <v>57</v>
      </c>
      <c r="AK8" s="17">
        <v>79</v>
      </c>
      <c r="AL8" s="17">
        <v>81</v>
      </c>
      <c r="AM8" s="17">
        <v>64</v>
      </c>
      <c r="AN8" s="26">
        <v>0</v>
      </c>
      <c r="AO8" s="26">
        <v>0</v>
      </c>
      <c r="AP8" s="26">
        <v>0</v>
      </c>
      <c r="AQ8" s="26">
        <v>0</v>
      </c>
      <c r="AR8" s="31">
        <v>0</v>
      </c>
      <c r="AS8" s="31">
        <v>0</v>
      </c>
      <c r="AT8" s="31">
        <v>0</v>
      </c>
      <c r="AU8" s="18" t="s">
        <v>62</v>
      </c>
      <c r="AV8" s="32" t="s">
        <v>63</v>
      </c>
    </row>
    <row r="9" spans="1:48">
      <c r="A9" s="16" t="s">
        <v>64</v>
      </c>
      <c r="B9" s="17" t="s">
        <v>65</v>
      </c>
      <c r="C9" s="17" t="s">
        <v>66</v>
      </c>
      <c r="D9" s="18">
        <v>0</v>
      </c>
      <c r="E9" s="18">
        <v>0</v>
      </c>
      <c r="F9" s="18">
        <v>2</v>
      </c>
      <c r="G9" s="18">
        <v>2</v>
      </c>
      <c r="H9" s="18">
        <v>11.5</v>
      </c>
      <c r="I9" s="18">
        <v>8</v>
      </c>
      <c r="J9" s="18">
        <v>0</v>
      </c>
      <c r="K9" s="18">
        <v>0</v>
      </c>
      <c r="L9" s="18">
        <v>0</v>
      </c>
      <c r="M9" s="21">
        <v>8</v>
      </c>
      <c r="N9" s="18">
        <v>0</v>
      </c>
      <c r="O9" s="17">
        <v>8</v>
      </c>
      <c r="P9" s="17">
        <v>0</v>
      </c>
      <c r="Q9" s="17">
        <v>0</v>
      </c>
      <c r="R9" s="17">
        <v>0</v>
      </c>
      <c r="S9" s="17">
        <v>99</v>
      </c>
      <c r="T9" s="17">
        <v>0</v>
      </c>
      <c r="U9" s="17">
        <v>0</v>
      </c>
      <c r="V9" s="17">
        <v>0</v>
      </c>
      <c r="W9" s="17">
        <v>0</v>
      </c>
      <c r="X9" s="26" t="s">
        <v>54</v>
      </c>
      <c r="Y9" s="26" t="s">
        <v>54</v>
      </c>
      <c r="Z9" s="26" t="s">
        <v>54</v>
      </c>
      <c r="AA9" s="26">
        <v>0</v>
      </c>
      <c r="AB9" s="17">
        <v>0</v>
      </c>
      <c r="AC9" s="17">
        <v>0</v>
      </c>
      <c r="AD9" s="17">
        <v>0</v>
      </c>
      <c r="AE9" s="17">
        <v>0</v>
      </c>
      <c r="AF9" s="26" t="s">
        <v>54</v>
      </c>
      <c r="AG9" s="26" t="s">
        <v>54</v>
      </c>
      <c r="AH9" s="26">
        <v>0</v>
      </c>
      <c r="AI9" s="26">
        <v>0</v>
      </c>
      <c r="AJ9" s="17">
        <v>37</v>
      </c>
      <c r="AK9" s="17">
        <v>38</v>
      </c>
      <c r="AL9" s="17">
        <v>47</v>
      </c>
      <c r="AM9" s="17">
        <v>31</v>
      </c>
      <c r="AN9" s="26">
        <v>0</v>
      </c>
      <c r="AO9" s="26">
        <v>0</v>
      </c>
      <c r="AP9" s="26">
        <v>0.0425531914893617</v>
      </c>
      <c r="AQ9" s="26">
        <v>0.0645161290322581</v>
      </c>
      <c r="AR9" s="31">
        <v>0</v>
      </c>
      <c r="AS9" s="31">
        <v>0</v>
      </c>
      <c r="AT9" s="31">
        <v>8</v>
      </c>
      <c r="AU9" s="18" t="s">
        <v>67</v>
      </c>
      <c r="AV9" s="32" t="s">
        <v>63</v>
      </c>
    </row>
    <row r="10" spans="1:48">
      <c r="A10" s="16" t="s">
        <v>68</v>
      </c>
      <c r="B10" s="17" t="s">
        <v>69</v>
      </c>
      <c r="C10" s="17" t="s">
        <v>70</v>
      </c>
      <c r="D10" s="18">
        <v>9</v>
      </c>
      <c r="E10" s="18">
        <v>5</v>
      </c>
      <c r="F10" s="18">
        <v>3</v>
      </c>
      <c r="G10" s="18">
        <v>6</v>
      </c>
      <c r="H10" s="18">
        <v>37.2473913043478</v>
      </c>
      <c r="I10" s="18">
        <v>15</v>
      </c>
      <c r="J10" s="18">
        <v>0</v>
      </c>
      <c r="K10" s="18">
        <v>0</v>
      </c>
      <c r="L10" s="18">
        <v>1</v>
      </c>
      <c r="M10" s="21">
        <v>16</v>
      </c>
      <c r="N10" s="18">
        <v>0</v>
      </c>
      <c r="O10" s="17">
        <v>19</v>
      </c>
      <c r="P10" s="17">
        <v>0</v>
      </c>
      <c r="Q10" s="17">
        <v>0</v>
      </c>
      <c r="R10" s="17">
        <v>0</v>
      </c>
      <c r="S10" s="17">
        <v>748</v>
      </c>
      <c r="T10" s="17">
        <v>0</v>
      </c>
      <c r="U10" s="17">
        <v>0</v>
      </c>
      <c r="V10" s="17">
        <v>0</v>
      </c>
      <c r="W10" s="17">
        <v>3</v>
      </c>
      <c r="X10" s="26" t="s">
        <v>54</v>
      </c>
      <c r="Y10" s="26" t="s">
        <v>54</v>
      </c>
      <c r="Z10" s="26" t="s">
        <v>54</v>
      </c>
      <c r="AA10" s="26">
        <v>0.00401069518716578</v>
      </c>
      <c r="AB10" s="17">
        <v>0</v>
      </c>
      <c r="AC10" s="17">
        <v>0</v>
      </c>
      <c r="AD10" s="17">
        <v>0</v>
      </c>
      <c r="AE10" s="17">
        <v>3.95</v>
      </c>
      <c r="AF10" s="26">
        <v>0</v>
      </c>
      <c r="AG10" s="26">
        <v>0</v>
      </c>
      <c r="AH10" s="26">
        <v>0</v>
      </c>
      <c r="AI10" s="26">
        <v>0.0176746158664939</v>
      </c>
      <c r="AJ10" s="17">
        <v>31</v>
      </c>
      <c r="AK10" s="17">
        <v>33</v>
      </c>
      <c r="AL10" s="17">
        <v>33</v>
      </c>
      <c r="AM10" s="17">
        <v>48</v>
      </c>
      <c r="AN10" s="26">
        <v>0.290322580645161</v>
      </c>
      <c r="AO10" s="26">
        <v>0.151515151515152</v>
      </c>
      <c r="AP10" s="26">
        <v>0.0909090909090909</v>
      </c>
      <c r="AQ10" s="26">
        <v>0.125</v>
      </c>
      <c r="AR10" s="31">
        <v>1.28571428571429</v>
      </c>
      <c r="AS10" s="31">
        <v>77.1428571428572</v>
      </c>
      <c r="AT10" s="31">
        <v>-61.1428571428572</v>
      </c>
      <c r="AU10" s="18">
        <v>12</v>
      </c>
      <c r="AV10" s="32">
        <v>43351</v>
      </c>
    </row>
    <row r="11" spans="1:48">
      <c r="A11" s="16" t="s">
        <v>11</v>
      </c>
      <c r="B11" s="17" t="s">
        <v>71</v>
      </c>
      <c r="C11" s="17" t="s">
        <v>72</v>
      </c>
      <c r="D11" s="18">
        <v>2</v>
      </c>
      <c r="E11" s="18">
        <v>0</v>
      </c>
      <c r="F11" s="18">
        <v>8</v>
      </c>
      <c r="G11" s="18">
        <v>1</v>
      </c>
      <c r="H11" s="18">
        <v>43</v>
      </c>
      <c r="I11" s="18">
        <v>22</v>
      </c>
      <c r="J11" s="18">
        <v>0</v>
      </c>
      <c r="K11" s="18">
        <v>0</v>
      </c>
      <c r="L11" s="18">
        <v>0</v>
      </c>
      <c r="M11" s="21">
        <v>22</v>
      </c>
      <c r="N11" s="18">
        <v>1</v>
      </c>
      <c r="O11" s="17">
        <v>22</v>
      </c>
      <c r="P11" s="17">
        <v>0</v>
      </c>
      <c r="Q11" s="17">
        <v>0</v>
      </c>
      <c r="R11" s="17">
        <v>0</v>
      </c>
      <c r="S11" s="17">
        <v>37</v>
      </c>
      <c r="T11" s="17">
        <v>0</v>
      </c>
      <c r="U11" s="17">
        <v>0</v>
      </c>
      <c r="V11" s="17">
        <v>0</v>
      </c>
      <c r="W11" s="17">
        <v>0</v>
      </c>
      <c r="X11" s="26" t="s">
        <v>54</v>
      </c>
      <c r="Y11" s="26" t="s">
        <v>54</v>
      </c>
      <c r="Z11" s="26" t="s">
        <v>54</v>
      </c>
      <c r="AA11" s="26">
        <v>0</v>
      </c>
      <c r="AB11" s="17">
        <v>0</v>
      </c>
      <c r="AC11" s="17">
        <v>0</v>
      </c>
      <c r="AD11" s="17">
        <v>0</v>
      </c>
      <c r="AE11" s="17">
        <v>0</v>
      </c>
      <c r="AF11" s="26">
        <v>0</v>
      </c>
      <c r="AG11" s="26" t="s">
        <v>54</v>
      </c>
      <c r="AH11" s="26">
        <v>0</v>
      </c>
      <c r="AI11" s="26">
        <v>0</v>
      </c>
      <c r="AJ11" s="17">
        <v>44</v>
      </c>
      <c r="AK11" s="17">
        <v>30</v>
      </c>
      <c r="AL11" s="17">
        <v>52</v>
      </c>
      <c r="AM11" s="17">
        <v>47</v>
      </c>
      <c r="AN11" s="26">
        <v>0.0454545454545455</v>
      </c>
      <c r="AO11" s="26">
        <v>0</v>
      </c>
      <c r="AP11" s="26">
        <v>0.153846153846154</v>
      </c>
      <c r="AQ11" s="26">
        <v>0.0212765957446809</v>
      </c>
      <c r="AR11" s="31">
        <v>0.285714285714286</v>
      </c>
      <c r="AS11" s="31">
        <v>17.1428571428571</v>
      </c>
      <c r="AT11" s="31">
        <v>4.85714285714286</v>
      </c>
      <c r="AU11" s="18">
        <v>77</v>
      </c>
      <c r="AV11" s="32">
        <v>43416</v>
      </c>
    </row>
    <row r="12" spans="1:48">
      <c r="A12" s="16" t="s">
        <v>73</v>
      </c>
      <c r="B12" s="17" t="s">
        <v>74</v>
      </c>
      <c r="C12" s="17">
        <v>0</v>
      </c>
      <c r="D12" s="18">
        <v>0</v>
      </c>
      <c r="E12" s="18">
        <v>0</v>
      </c>
      <c r="F12" s="18">
        <v>0</v>
      </c>
      <c r="G12" s="18">
        <v>0</v>
      </c>
      <c r="H12" s="18">
        <v>0</v>
      </c>
      <c r="I12" s="18">
        <v>0</v>
      </c>
      <c r="J12" s="18">
        <v>0</v>
      </c>
      <c r="K12" s="18">
        <v>0</v>
      </c>
      <c r="L12" s="18">
        <v>0</v>
      </c>
      <c r="M12" s="21">
        <v>0</v>
      </c>
      <c r="N12" s="18">
        <v>0</v>
      </c>
      <c r="O12" s="17">
        <v>0</v>
      </c>
      <c r="P12" s="17">
        <v>0</v>
      </c>
      <c r="Q12" s="17">
        <v>0</v>
      </c>
      <c r="R12" s="17">
        <v>0</v>
      </c>
      <c r="S12" s="17">
        <v>0</v>
      </c>
      <c r="T12" s="17" t="s">
        <v>54</v>
      </c>
      <c r="U12" s="17" t="s">
        <v>54</v>
      </c>
      <c r="V12" s="17" t="s">
        <v>54</v>
      </c>
      <c r="W12" s="17" t="s">
        <v>54</v>
      </c>
      <c r="X12" s="26" t="s">
        <v>54</v>
      </c>
      <c r="Y12" s="26" t="s">
        <v>54</v>
      </c>
      <c r="Z12" s="26" t="s">
        <v>54</v>
      </c>
      <c r="AA12" s="26" t="s">
        <v>54</v>
      </c>
      <c r="AB12" s="17" t="s">
        <v>54</v>
      </c>
      <c r="AC12" s="17" t="s">
        <v>54</v>
      </c>
      <c r="AD12" s="17" t="s">
        <v>54</v>
      </c>
      <c r="AE12" s="17" t="s">
        <v>54</v>
      </c>
      <c r="AF12" s="26" t="s">
        <v>61</v>
      </c>
      <c r="AG12" s="26" t="s">
        <v>61</v>
      </c>
      <c r="AH12" s="26" t="s">
        <v>61</v>
      </c>
      <c r="AI12" s="26" t="s">
        <v>61</v>
      </c>
      <c r="AJ12" s="17">
        <v>0</v>
      </c>
      <c r="AK12" s="17">
        <v>0</v>
      </c>
      <c r="AL12" s="17">
        <v>0</v>
      </c>
      <c r="AM12" s="17">
        <v>189</v>
      </c>
      <c r="AN12" s="26" t="s">
        <v>54</v>
      </c>
      <c r="AO12" s="26" t="s">
        <v>54</v>
      </c>
      <c r="AP12" s="26" t="s">
        <v>54</v>
      </c>
      <c r="AQ12" s="26">
        <v>0</v>
      </c>
      <c r="AR12" s="31">
        <v>0</v>
      </c>
      <c r="AS12" s="31">
        <v>0</v>
      </c>
      <c r="AT12" s="31">
        <v>0</v>
      </c>
      <c r="AU12" s="18" t="s">
        <v>62</v>
      </c>
      <c r="AV12" s="32" t="s">
        <v>63</v>
      </c>
    </row>
    <row r="13" spans="1:48">
      <c r="A13" s="16" t="s">
        <v>75</v>
      </c>
      <c r="B13" s="17" t="s">
        <v>76</v>
      </c>
      <c r="C13" s="17" t="s">
        <v>77</v>
      </c>
      <c r="D13" s="18">
        <v>0</v>
      </c>
      <c r="E13" s="18">
        <v>1</v>
      </c>
      <c r="F13" s="18">
        <v>2</v>
      </c>
      <c r="G13" s="18">
        <v>0</v>
      </c>
      <c r="H13" s="18">
        <v>37.59</v>
      </c>
      <c r="I13" s="18">
        <v>53</v>
      </c>
      <c r="J13" s="18">
        <v>0</v>
      </c>
      <c r="K13" s="18">
        <v>0</v>
      </c>
      <c r="L13" s="18">
        <v>0</v>
      </c>
      <c r="M13" s="21">
        <v>53</v>
      </c>
      <c r="N13" s="18">
        <v>0</v>
      </c>
      <c r="O13" s="17">
        <v>53</v>
      </c>
      <c r="P13" s="17">
        <v>0</v>
      </c>
      <c r="Q13" s="17">
        <v>0</v>
      </c>
      <c r="R13" s="17">
        <v>0</v>
      </c>
      <c r="S13" s="17">
        <v>579</v>
      </c>
      <c r="T13" s="17">
        <v>0</v>
      </c>
      <c r="U13" s="17">
        <v>0</v>
      </c>
      <c r="V13" s="17">
        <v>0</v>
      </c>
      <c r="W13" s="17">
        <v>0</v>
      </c>
      <c r="X13" s="26" t="s">
        <v>54</v>
      </c>
      <c r="Y13" s="26" t="s">
        <v>54</v>
      </c>
      <c r="Z13" s="26" t="s">
        <v>54</v>
      </c>
      <c r="AA13" s="26">
        <v>0</v>
      </c>
      <c r="AB13" s="17">
        <v>0</v>
      </c>
      <c r="AC13" s="17">
        <v>0</v>
      </c>
      <c r="AD13" s="17">
        <v>0</v>
      </c>
      <c r="AE13" s="17">
        <v>0</v>
      </c>
      <c r="AF13" s="26" t="s">
        <v>54</v>
      </c>
      <c r="AG13" s="26">
        <v>0</v>
      </c>
      <c r="AH13" s="26">
        <v>0</v>
      </c>
      <c r="AI13" s="26" t="s">
        <v>54</v>
      </c>
      <c r="AJ13" s="17">
        <v>14</v>
      </c>
      <c r="AK13" s="17">
        <v>18</v>
      </c>
      <c r="AL13" s="17">
        <v>17</v>
      </c>
      <c r="AM13" s="17">
        <v>22</v>
      </c>
      <c r="AN13" s="26">
        <v>0</v>
      </c>
      <c r="AO13" s="26">
        <v>0.0555555555555556</v>
      </c>
      <c r="AP13" s="26">
        <v>0.117647058823529</v>
      </c>
      <c r="AQ13" s="26">
        <v>0</v>
      </c>
      <c r="AR13" s="31">
        <v>0</v>
      </c>
      <c r="AS13" s="31">
        <v>0</v>
      </c>
      <c r="AT13" s="31">
        <v>53</v>
      </c>
      <c r="AU13" s="18" t="s">
        <v>78</v>
      </c>
      <c r="AV13" s="32" t="s">
        <v>63</v>
      </c>
    </row>
    <row r="14" spans="1:48">
      <c r="A14" s="16" t="s">
        <v>79</v>
      </c>
      <c r="B14" s="17" t="s">
        <v>80</v>
      </c>
      <c r="C14" s="17" t="s">
        <v>81</v>
      </c>
      <c r="D14" s="18">
        <v>0</v>
      </c>
      <c r="E14" s="18">
        <v>0</v>
      </c>
      <c r="F14" s="18">
        <v>1</v>
      </c>
      <c r="G14" s="18">
        <v>1</v>
      </c>
      <c r="H14" s="18">
        <v>43.35</v>
      </c>
      <c r="I14" s="18">
        <v>0</v>
      </c>
      <c r="J14" s="18">
        <v>0</v>
      </c>
      <c r="K14" s="18">
        <v>0</v>
      </c>
      <c r="L14" s="18">
        <v>0</v>
      </c>
      <c r="M14" s="21">
        <v>0</v>
      </c>
      <c r="N14" s="18">
        <v>0</v>
      </c>
      <c r="O14" s="17">
        <v>0</v>
      </c>
      <c r="P14" s="17">
        <v>0</v>
      </c>
      <c r="Q14" s="17">
        <v>0</v>
      </c>
      <c r="R14" s="17">
        <v>0</v>
      </c>
      <c r="S14" s="17">
        <v>452</v>
      </c>
      <c r="T14" s="17">
        <v>0</v>
      </c>
      <c r="U14" s="17">
        <v>0</v>
      </c>
      <c r="V14" s="17">
        <v>0</v>
      </c>
      <c r="W14" s="17">
        <v>3</v>
      </c>
      <c r="X14" s="26" t="s">
        <v>54</v>
      </c>
      <c r="Y14" s="26" t="s">
        <v>54</v>
      </c>
      <c r="Z14" s="26" t="s">
        <v>54</v>
      </c>
      <c r="AA14" s="26">
        <v>0.00663716814159292</v>
      </c>
      <c r="AB14" s="17">
        <v>0</v>
      </c>
      <c r="AC14" s="17">
        <v>0</v>
      </c>
      <c r="AD14" s="17">
        <v>0</v>
      </c>
      <c r="AE14" s="17">
        <v>2.35</v>
      </c>
      <c r="AF14" s="26" t="s">
        <v>54</v>
      </c>
      <c r="AG14" s="26" t="s">
        <v>54</v>
      </c>
      <c r="AH14" s="26">
        <v>0</v>
      </c>
      <c r="AI14" s="26">
        <v>0.0542099192618224</v>
      </c>
      <c r="AJ14" s="17">
        <v>49</v>
      </c>
      <c r="AK14" s="17">
        <v>33</v>
      </c>
      <c r="AL14" s="17">
        <v>34</v>
      </c>
      <c r="AM14" s="17">
        <v>44</v>
      </c>
      <c r="AN14" s="26">
        <v>0</v>
      </c>
      <c r="AO14" s="26">
        <v>0</v>
      </c>
      <c r="AP14" s="26">
        <v>0.0294117647058824</v>
      </c>
      <c r="AQ14" s="26">
        <v>0.0227272727272727</v>
      </c>
      <c r="AR14" s="31">
        <v>0</v>
      </c>
      <c r="AS14" s="31">
        <v>0</v>
      </c>
      <c r="AT14" s="31">
        <v>0</v>
      </c>
      <c r="AU14" s="18" t="s">
        <v>62</v>
      </c>
      <c r="AV14" s="32" t="s">
        <v>63</v>
      </c>
    </row>
    <row r="15" spans="1:48">
      <c r="A15" s="16" t="s">
        <v>82</v>
      </c>
      <c r="B15" s="17" t="s">
        <v>83</v>
      </c>
      <c r="C15" s="17">
        <v>0</v>
      </c>
      <c r="D15" s="18">
        <v>0</v>
      </c>
      <c r="E15" s="18">
        <v>0</v>
      </c>
      <c r="F15" s="18">
        <v>0</v>
      </c>
      <c r="G15" s="18">
        <v>0</v>
      </c>
      <c r="H15" s="18">
        <v>0</v>
      </c>
      <c r="I15" s="18">
        <v>0</v>
      </c>
      <c r="J15" s="18">
        <v>0</v>
      </c>
      <c r="K15" s="18">
        <v>0</v>
      </c>
      <c r="L15" s="18">
        <v>0</v>
      </c>
      <c r="M15" s="21">
        <v>0</v>
      </c>
      <c r="N15" s="18">
        <v>0</v>
      </c>
      <c r="O15" s="17">
        <v>0</v>
      </c>
      <c r="P15" s="17">
        <v>0</v>
      </c>
      <c r="Q15" s="17">
        <v>0</v>
      </c>
      <c r="R15" s="17">
        <v>0</v>
      </c>
      <c r="S15" s="17">
        <v>0</v>
      </c>
      <c r="T15" s="17" t="s">
        <v>54</v>
      </c>
      <c r="U15" s="17" t="s">
        <v>54</v>
      </c>
      <c r="V15" s="17" t="s">
        <v>54</v>
      </c>
      <c r="W15" s="17" t="s">
        <v>54</v>
      </c>
      <c r="X15" s="26" t="s">
        <v>54</v>
      </c>
      <c r="Y15" s="26" t="s">
        <v>54</v>
      </c>
      <c r="Z15" s="26" t="s">
        <v>54</v>
      </c>
      <c r="AA15" s="26" t="s">
        <v>54</v>
      </c>
      <c r="AB15" s="17" t="s">
        <v>54</v>
      </c>
      <c r="AC15" s="17" t="s">
        <v>54</v>
      </c>
      <c r="AD15" s="17" t="s">
        <v>54</v>
      </c>
      <c r="AE15" s="17" t="s">
        <v>54</v>
      </c>
      <c r="AF15" s="26" t="s">
        <v>61</v>
      </c>
      <c r="AG15" s="26" t="s">
        <v>61</v>
      </c>
      <c r="AH15" s="26" t="s">
        <v>61</v>
      </c>
      <c r="AI15" s="26" t="s">
        <v>61</v>
      </c>
      <c r="AJ15" s="17" t="s">
        <v>54</v>
      </c>
      <c r="AK15" s="17" t="s">
        <v>54</v>
      </c>
      <c r="AL15" s="17" t="s">
        <v>54</v>
      </c>
      <c r="AM15" s="17" t="s">
        <v>54</v>
      </c>
      <c r="AN15" s="26" t="s">
        <v>54</v>
      </c>
      <c r="AO15" s="26" t="s">
        <v>54</v>
      </c>
      <c r="AP15" s="26" t="s">
        <v>54</v>
      </c>
      <c r="AQ15" s="26" t="s">
        <v>54</v>
      </c>
      <c r="AR15" s="31">
        <v>0</v>
      </c>
      <c r="AS15" s="31">
        <v>0</v>
      </c>
      <c r="AT15" s="31">
        <v>0</v>
      </c>
      <c r="AU15" s="18" t="s">
        <v>62</v>
      </c>
      <c r="AV15" s="32" t="s">
        <v>63</v>
      </c>
    </row>
    <row r="16" spans="1:48">
      <c r="A16" s="16" t="s">
        <v>84</v>
      </c>
      <c r="B16" s="17" t="s">
        <v>59</v>
      </c>
      <c r="C16" s="17" t="s">
        <v>60</v>
      </c>
      <c r="D16" s="18">
        <v>0</v>
      </c>
      <c r="E16" s="18">
        <v>0</v>
      </c>
      <c r="F16" s="18">
        <v>0</v>
      </c>
      <c r="G16" s="18">
        <v>1</v>
      </c>
      <c r="H16" s="18">
        <v>15</v>
      </c>
      <c r="I16" s="18">
        <v>0</v>
      </c>
      <c r="J16" s="18">
        <v>0</v>
      </c>
      <c r="K16" s="18">
        <v>0</v>
      </c>
      <c r="L16" s="18">
        <v>0</v>
      </c>
      <c r="M16" s="21">
        <v>0</v>
      </c>
      <c r="N16" s="18">
        <v>0</v>
      </c>
      <c r="O16" s="17">
        <v>0</v>
      </c>
      <c r="P16" s="17">
        <v>0</v>
      </c>
      <c r="Q16" s="17">
        <v>0</v>
      </c>
      <c r="R16" s="17">
        <v>0</v>
      </c>
      <c r="S16" s="17">
        <v>26</v>
      </c>
      <c r="T16" s="17">
        <v>0</v>
      </c>
      <c r="U16" s="17">
        <v>0</v>
      </c>
      <c r="V16" s="17">
        <v>0</v>
      </c>
      <c r="W16" s="17">
        <v>1</v>
      </c>
      <c r="X16" s="26" t="s">
        <v>54</v>
      </c>
      <c r="Y16" s="26" t="s">
        <v>54</v>
      </c>
      <c r="Z16" s="26" t="s">
        <v>54</v>
      </c>
      <c r="AA16" s="26">
        <v>0.0384615384615385</v>
      </c>
      <c r="AB16" s="17">
        <v>0</v>
      </c>
      <c r="AC16" s="17">
        <v>0</v>
      </c>
      <c r="AD16" s="17">
        <v>0</v>
      </c>
      <c r="AE16" s="17">
        <v>1.63</v>
      </c>
      <c r="AF16" s="26" t="s">
        <v>54</v>
      </c>
      <c r="AG16" s="26" t="s">
        <v>54</v>
      </c>
      <c r="AH16" s="26" t="s">
        <v>54</v>
      </c>
      <c r="AI16" s="26">
        <v>0.108666666666667</v>
      </c>
      <c r="AJ16" s="17">
        <v>57</v>
      </c>
      <c r="AK16" s="17">
        <v>79</v>
      </c>
      <c r="AL16" s="17">
        <v>81</v>
      </c>
      <c r="AM16" s="17">
        <v>64</v>
      </c>
      <c r="AN16" s="26">
        <v>0</v>
      </c>
      <c r="AO16" s="26">
        <v>0</v>
      </c>
      <c r="AP16" s="26">
        <v>0</v>
      </c>
      <c r="AQ16" s="26">
        <v>0.015625</v>
      </c>
      <c r="AR16" s="31">
        <v>0</v>
      </c>
      <c r="AS16" s="31">
        <v>0</v>
      </c>
      <c r="AT16" s="31">
        <v>0</v>
      </c>
      <c r="AU16" s="18" t="s">
        <v>62</v>
      </c>
      <c r="AV16" s="32" t="s">
        <v>63</v>
      </c>
    </row>
    <row r="17" spans="1:48">
      <c r="A17" s="16" t="s">
        <v>85</v>
      </c>
      <c r="B17" s="17" t="s">
        <v>86</v>
      </c>
      <c r="C17" s="17" t="s">
        <v>87</v>
      </c>
      <c r="D17" s="18">
        <v>0</v>
      </c>
      <c r="E17" s="18">
        <v>0</v>
      </c>
      <c r="F17" s="18">
        <v>0</v>
      </c>
      <c r="G17" s="18">
        <v>0</v>
      </c>
      <c r="H17" s="18">
        <v>0</v>
      </c>
      <c r="I17" s="18">
        <v>0</v>
      </c>
      <c r="J17" s="18">
        <v>0</v>
      </c>
      <c r="K17" s="18">
        <v>0</v>
      </c>
      <c r="L17" s="18">
        <v>0</v>
      </c>
      <c r="M17" s="21">
        <v>0</v>
      </c>
      <c r="N17" s="18">
        <v>0</v>
      </c>
      <c r="O17" s="17">
        <v>0</v>
      </c>
      <c r="P17" s="17">
        <v>0</v>
      </c>
      <c r="Q17" s="17">
        <v>0</v>
      </c>
      <c r="R17" s="17">
        <v>0</v>
      </c>
      <c r="S17" s="17">
        <v>0</v>
      </c>
      <c r="T17" s="17" t="s">
        <v>54</v>
      </c>
      <c r="U17" s="17" t="s">
        <v>54</v>
      </c>
      <c r="V17" s="17" t="s">
        <v>54</v>
      </c>
      <c r="W17" s="17" t="s">
        <v>54</v>
      </c>
      <c r="X17" s="26" t="s">
        <v>54</v>
      </c>
      <c r="Y17" s="26" t="s">
        <v>54</v>
      </c>
      <c r="Z17" s="26" t="s">
        <v>54</v>
      </c>
      <c r="AA17" s="26" t="s">
        <v>54</v>
      </c>
      <c r="AB17" s="17" t="s">
        <v>54</v>
      </c>
      <c r="AC17" s="17" t="s">
        <v>54</v>
      </c>
      <c r="AD17" s="17" t="s">
        <v>54</v>
      </c>
      <c r="AE17" s="17" t="s">
        <v>54</v>
      </c>
      <c r="AF17" s="26" t="s">
        <v>61</v>
      </c>
      <c r="AG17" s="26" t="s">
        <v>61</v>
      </c>
      <c r="AH17" s="26" t="s">
        <v>61</v>
      </c>
      <c r="AI17" s="26" t="s">
        <v>61</v>
      </c>
      <c r="AJ17" s="17">
        <v>115</v>
      </c>
      <c r="AK17" s="17">
        <v>175</v>
      </c>
      <c r="AL17" s="17">
        <v>172</v>
      </c>
      <c r="AM17" s="17">
        <v>184</v>
      </c>
      <c r="AN17" s="26">
        <v>0</v>
      </c>
      <c r="AO17" s="26">
        <v>0</v>
      </c>
      <c r="AP17" s="26">
        <v>0</v>
      </c>
      <c r="AQ17" s="26">
        <v>0</v>
      </c>
      <c r="AR17" s="31">
        <v>0</v>
      </c>
      <c r="AS17" s="31">
        <v>0</v>
      </c>
      <c r="AT17" s="31">
        <v>0</v>
      </c>
      <c r="AU17" s="18" t="s">
        <v>62</v>
      </c>
      <c r="AV17" s="32" t="s">
        <v>63</v>
      </c>
    </row>
    <row r="18" spans="1:48">
      <c r="A18" s="16" t="s">
        <v>88</v>
      </c>
      <c r="B18" s="17" t="s">
        <v>83</v>
      </c>
      <c r="C18" s="17">
        <v>0</v>
      </c>
      <c r="D18" s="18">
        <v>0</v>
      </c>
      <c r="E18" s="18">
        <v>0</v>
      </c>
      <c r="F18" s="18">
        <v>0</v>
      </c>
      <c r="G18" s="18">
        <v>0</v>
      </c>
      <c r="H18" s="18">
        <v>0</v>
      </c>
      <c r="I18" s="18">
        <v>0</v>
      </c>
      <c r="J18" s="18">
        <v>0</v>
      </c>
      <c r="K18" s="18">
        <v>0</v>
      </c>
      <c r="L18" s="18">
        <v>0</v>
      </c>
      <c r="M18" s="21">
        <v>0</v>
      </c>
      <c r="N18" s="18">
        <v>0</v>
      </c>
      <c r="O18" s="17">
        <v>0</v>
      </c>
      <c r="P18" s="17">
        <v>0</v>
      </c>
      <c r="Q18" s="17">
        <v>0</v>
      </c>
      <c r="R18" s="17">
        <v>0</v>
      </c>
      <c r="S18" s="17">
        <v>0</v>
      </c>
      <c r="T18" s="17" t="s">
        <v>54</v>
      </c>
      <c r="U18" s="17" t="s">
        <v>54</v>
      </c>
      <c r="V18" s="17" t="s">
        <v>54</v>
      </c>
      <c r="W18" s="17" t="s">
        <v>54</v>
      </c>
      <c r="X18" s="26" t="s">
        <v>54</v>
      </c>
      <c r="Y18" s="26" t="s">
        <v>54</v>
      </c>
      <c r="Z18" s="26" t="s">
        <v>54</v>
      </c>
      <c r="AA18" s="26" t="s">
        <v>54</v>
      </c>
      <c r="AB18" s="17" t="s">
        <v>54</v>
      </c>
      <c r="AC18" s="17" t="s">
        <v>54</v>
      </c>
      <c r="AD18" s="17" t="s">
        <v>54</v>
      </c>
      <c r="AE18" s="17" t="s">
        <v>54</v>
      </c>
      <c r="AF18" s="26" t="s">
        <v>61</v>
      </c>
      <c r="AG18" s="26" t="s">
        <v>61</v>
      </c>
      <c r="AH18" s="26" t="s">
        <v>61</v>
      </c>
      <c r="AI18" s="26" t="s">
        <v>61</v>
      </c>
      <c r="AJ18" s="17" t="s">
        <v>54</v>
      </c>
      <c r="AK18" s="17" t="s">
        <v>54</v>
      </c>
      <c r="AL18" s="17" t="s">
        <v>54</v>
      </c>
      <c r="AM18" s="17" t="s">
        <v>54</v>
      </c>
      <c r="AN18" s="26" t="s">
        <v>54</v>
      </c>
      <c r="AO18" s="26" t="s">
        <v>54</v>
      </c>
      <c r="AP18" s="26" t="s">
        <v>54</v>
      </c>
      <c r="AQ18" s="26" t="s">
        <v>54</v>
      </c>
      <c r="AR18" s="31">
        <v>0</v>
      </c>
      <c r="AS18" s="31">
        <v>0</v>
      </c>
      <c r="AT18" s="31">
        <v>0</v>
      </c>
      <c r="AU18" s="18" t="s">
        <v>62</v>
      </c>
      <c r="AV18" s="32" t="s">
        <v>63</v>
      </c>
    </row>
    <row r="19" spans="1:48">
      <c r="A19" s="16" t="s">
        <v>89</v>
      </c>
      <c r="B19" s="17" t="s">
        <v>90</v>
      </c>
      <c r="C19" s="17" t="s">
        <v>91</v>
      </c>
      <c r="D19" s="18">
        <v>0</v>
      </c>
      <c r="E19" s="18">
        <v>0</v>
      </c>
      <c r="F19" s="18">
        <v>0</v>
      </c>
      <c r="G19" s="18">
        <v>0</v>
      </c>
      <c r="H19" s="18">
        <v>0</v>
      </c>
      <c r="I19" s="18">
        <v>0</v>
      </c>
      <c r="J19" s="18">
        <v>0</v>
      </c>
      <c r="K19" s="18">
        <v>0</v>
      </c>
      <c r="L19" s="18">
        <v>0</v>
      </c>
      <c r="M19" s="21">
        <v>0</v>
      </c>
      <c r="N19" s="18">
        <v>0</v>
      </c>
      <c r="O19" s="17">
        <v>0</v>
      </c>
      <c r="P19" s="17">
        <v>0</v>
      </c>
      <c r="Q19" s="17">
        <v>0</v>
      </c>
      <c r="R19" s="17">
        <v>0</v>
      </c>
      <c r="S19" s="17">
        <v>0</v>
      </c>
      <c r="T19" s="17" t="s">
        <v>54</v>
      </c>
      <c r="U19" s="17" t="s">
        <v>54</v>
      </c>
      <c r="V19" s="17" t="s">
        <v>54</v>
      </c>
      <c r="W19" s="17" t="s">
        <v>54</v>
      </c>
      <c r="X19" s="26" t="s">
        <v>54</v>
      </c>
      <c r="Y19" s="26" t="s">
        <v>54</v>
      </c>
      <c r="Z19" s="26" t="s">
        <v>54</v>
      </c>
      <c r="AA19" s="26" t="s">
        <v>54</v>
      </c>
      <c r="AB19" s="17" t="s">
        <v>54</v>
      </c>
      <c r="AC19" s="17" t="s">
        <v>54</v>
      </c>
      <c r="AD19" s="17" t="s">
        <v>54</v>
      </c>
      <c r="AE19" s="17" t="s">
        <v>54</v>
      </c>
      <c r="AF19" s="26" t="s">
        <v>61</v>
      </c>
      <c r="AG19" s="26" t="s">
        <v>61</v>
      </c>
      <c r="AH19" s="26" t="s">
        <v>61</v>
      </c>
      <c r="AI19" s="26" t="s">
        <v>61</v>
      </c>
      <c r="AJ19" s="17">
        <v>0</v>
      </c>
      <c r="AK19" s="17">
        <v>16</v>
      </c>
      <c r="AL19" s="17">
        <v>143</v>
      </c>
      <c r="AM19" s="17">
        <v>124</v>
      </c>
      <c r="AN19" s="26" t="s">
        <v>54</v>
      </c>
      <c r="AO19" s="26">
        <v>0</v>
      </c>
      <c r="AP19" s="26">
        <v>0</v>
      </c>
      <c r="AQ19" s="26">
        <v>0</v>
      </c>
      <c r="AR19" s="31">
        <v>0</v>
      </c>
      <c r="AS19" s="31">
        <v>0</v>
      </c>
      <c r="AT19" s="31">
        <v>0</v>
      </c>
      <c r="AU19" s="18" t="s">
        <v>62</v>
      </c>
      <c r="AV19" s="32" t="s">
        <v>63</v>
      </c>
    </row>
    <row r="20" spans="1:48">
      <c r="A20" s="16" t="s">
        <v>92</v>
      </c>
      <c r="B20" s="17" t="s">
        <v>93</v>
      </c>
      <c r="C20" s="17" t="s">
        <v>94</v>
      </c>
      <c r="D20" s="18">
        <v>0</v>
      </c>
      <c r="E20" s="18">
        <v>0</v>
      </c>
      <c r="F20" s="18">
        <v>0</v>
      </c>
      <c r="G20" s="18">
        <v>0</v>
      </c>
      <c r="H20" s="18">
        <v>0</v>
      </c>
      <c r="I20" s="18">
        <v>1</v>
      </c>
      <c r="J20" s="18">
        <v>0</v>
      </c>
      <c r="K20" s="18">
        <v>0</v>
      </c>
      <c r="L20" s="18">
        <v>0</v>
      </c>
      <c r="M20" s="21">
        <v>1</v>
      </c>
      <c r="N20" s="18">
        <v>0</v>
      </c>
      <c r="O20" s="17">
        <v>0</v>
      </c>
      <c r="P20" s="17">
        <v>0</v>
      </c>
      <c r="Q20" s="17">
        <v>0</v>
      </c>
      <c r="R20" s="17">
        <v>0</v>
      </c>
      <c r="S20" s="17">
        <v>0</v>
      </c>
      <c r="T20" s="17" t="s">
        <v>54</v>
      </c>
      <c r="U20" s="17" t="s">
        <v>54</v>
      </c>
      <c r="V20" s="17" t="s">
        <v>54</v>
      </c>
      <c r="W20" s="17" t="s">
        <v>54</v>
      </c>
      <c r="X20" s="26" t="s">
        <v>54</v>
      </c>
      <c r="Y20" s="26" t="s">
        <v>54</v>
      </c>
      <c r="Z20" s="26" t="s">
        <v>54</v>
      </c>
      <c r="AA20" s="26" t="s">
        <v>54</v>
      </c>
      <c r="AB20" s="17" t="s">
        <v>54</v>
      </c>
      <c r="AC20" s="17" t="s">
        <v>54</v>
      </c>
      <c r="AD20" s="17" t="s">
        <v>54</v>
      </c>
      <c r="AE20" s="17" t="s">
        <v>54</v>
      </c>
      <c r="AF20" s="26" t="s">
        <v>61</v>
      </c>
      <c r="AG20" s="26" t="s">
        <v>61</v>
      </c>
      <c r="AH20" s="26" t="s">
        <v>61</v>
      </c>
      <c r="AI20" s="26" t="s">
        <v>61</v>
      </c>
      <c r="AJ20" s="17">
        <v>82</v>
      </c>
      <c r="AK20" s="17">
        <v>97</v>
      </c>
      <c r="AL20" s="17">
        <v>63</v>
      </c>
      <c r="AM20" s="17">
        <v>49</v>
      </c>
      <c r="AN20" s="26">
        <v>0</v>
      </c>
      <c r="AO20" s="26">
        <v>0</v>
      </c>
      <c r="AP20" s="26">
        <v>0</v>
      </c>
      <c r="AQ20" s="26">
        <v>0</v>
      </c>
      <c r="AR20" s="31">
        <v>0</v>
      </c>
      <c r="AS20" s="31">
        <v>0</v>
      </c>
      <c r="AT20" s="31">
        <v>1</v>
      </c>
      <c r="AU20" s="18" t="s">
        <v>95</v>
      </c>
      <c r="AV20" s="32" t="s">
        <v>63</v>
      </c>
    </row>
    <row r="21" spans="1:48">
      <c r="A21" s="16" t="s">
        <v>96</v>
      </c>
      <c r="B21" s="17" t="s">
        <v>97</v>
      </c>
      <c r="C21" s="17" t="s">
        <v>98</v>
      </c>
      <c r="D21" s="18">
        <v>0</v>
      </c>
      <c r="E21" s="18">
        <v>0</v>
      </c>
      <c r="F21" s="18">
        <v>0</v>
      </c>
      <c r="G21" s="18">
        <v>0</v>
      </c>
      <c r="H21" s="18">
        <v>0</v>
      </c>
      <c r="I21" s="18">
        <v>0</v>
      </c>
      <c r="J21" s="18">
        <v>0</v>
      </c>
      <c r="K21" s="18">
        <v>0</v>
      </c>
      <c r="L21" s="18">
        <v>0</v>
      </c>
      <c r="M21" s="21">
        <v>0</v>
      </c>
      <c r="N21" s="18">
        <v>0</v>
      </c>
      <c r="O21" s="17">
        <v>0</v>
      </c>
      <c r="P21" s="17">
        <v>0</v>
      </c>
      <c r="Q21" s="17">
        <v>0</v>
      </c>
      <c r="R21" s="17">
        <v>0</v>
      </c>
      <c r="S21" s="17">
        <v>0</v>
      </c>
      <c r="T21" s="17" t="s">
        <v>54</v>
      </c>
      <c r="U21" s="17" t="s">
        <v>54</v>
      </c>
      <c r="V21" s="17" t="s">
        <v>54</v>
      </c>
      <c r="W21" s="17" t="s">
        <v>54</v>
      </c>
      <c r="X21" s="26" t="s">
        <v>54</v>
      </c>
      <c r="Y21" s="26" t="s">
        <v>54</v>
      </c>
      <c r="Z21" s="26" t="s">
        <v>54</v>
      </c>
      <c r="AA21" s="26" t="s">
        <v>54</v>
      </c>
      <c r="AB21" s="17" t="s">
        <v>54</v>
      </c>
      <c r="AC21" s="17" t="s">
        <v>54</v>
      </c>
      <c r="AD21" s="17" t="s">
        <v>54</v>
      </c>
      <c r="AE21" s="17" t="s">
        <v>54</v>
      </c>
      <c r="AF21" s="26" t="s">
        <v>61</v>
      </c>
      <c r="AG21" s="26" t="s">
        <v>61</v>
      </c>
      <c r="AH21" s="26" t="s">
        <v>61</v>
      </c>
      <c r="AI21" s="26" t="s">
        <v>61</v>
      </c>
      <c r="AJ21" s="17">
        <v>53</v>
      </c>
      <c r="AK21" s="17">
        <v>49</v>
      </c>
      <c r="AL21" s="17">
        <v>63</v>
      </c>
      <c r="AM21" s="17">
        <v>39</v>
      </c>
      <c r="AN21" s="26">
        <v>0</v>
      </c>
      <c r="AO21" s="26">
        <v>0</v>
      </c>
      <c r="AP21" s="26">
        <v>0</v>
      </c>
      <c r="AQ21" s="26">
        <v>0</v>
      </c>
      <c r="AR21" s="31">
        <v>0</v>
      </c>
      <c r="AS21" s="31">
        <v>0</v>
      </c>
      <c r="AT21" s="31">
        <v>0</v>
      </c>
      <c r="AU21" s="18" t="s">
        <v>62</v>
      </c>
      <c r="AV21" s="32" t="s">
        <v>63</v>
      </c>
    </row>
    <row r="22" spans="1:48">
      <c r="A22" s="16" t="s">
        <v>83</v>
      </c>
      <c r="B22" s="17" t="s">
        <v>83</v>
      </c>
      <c r="C22" s="17">
        <v>0</v>
      </c>
      <c r="D22" s="18">
        <v>0</v>
      </c>
      <c r="E22" s="18">
        <v>0</v>
      </c>
      <c r="F22" s="18">
        <v>0</v>
      </c>
      <c r="G22" s="18">
        <v>0</v>
      </c>
      <c r="H22" s="18">
        <v>0</v>
      </c>
      <c r="I22" s="18">
        <v>0</v>
      </c>
      <c r="J22" s="18">
        <v>0</v>
      </c>
      <c r="K22" s="18">
        <v>0</v>
      </c>
      <c r="L22" s="18">
        <v>0</v>
      </c>
      <c r="M22" s="21">
        <v>0</v>
      </c>
      <c r="N22" s="18">
        <v>0</v>
      </c>
      <c r="O22" s="17">
        <v>0</v>
      </c>
      <c r="P22" s="17">
        <v>0</v>
      </c>
      <c r="Q22" s="17">
        <v>0</v>
      </c>
      <c r="R22" s="17">
        <v>0</v>
      </c>
      <c r="S22" s="17">
        <v>0</v>
      </c>
      <c r="T22" s="17" t="s">
        <v>54</v>
      </c>
      <c r="U22" s="17" t="s">
        <v>54</v>
      </c>
      <c r="V22" s="17" t="s">
        <v>54</v>
      </c>
      <c r="W22" s="17" t="s">
        <v>54</v>
      </c>
      <c r="X22" s="26" t="s">
        <v>54</v>
      </c>
      <c r="Y22" s="26" t="s">
        <v>54</v>
      </c>
      <c r="Z22" s="26" t="s">
        <v>54</v>
      </c>
      <c r="AA22" s="26" t="s">
        <v>54</v>
      </c>
      <c r="AB22" s="17" t="s">
        <v>54</v>
      </c>
      <c r="AC22" s="17" t="s">
        <v>54</v>
      </c>
      <c r="AD22" s="17" t="s">
        <v>54</v>
      </c>
      <c r="AE22" s="17" t="s">
        <v>54</v>
      </c>
      <c r="AF22" s="26" t="s">
        <v>61</v>
      </c>
      <c r="AG22" s="26" t="s">
        <v>61</v>
      </c>
      <c r="AH22" s="26" t="s">
        <v>61</v>
      </c>
      <c r="AI22" s="26" t="s">
        <v>61</v>
      </c>
      <c r="AJ22" s="17" t="s">
        <v>54</v>
      </c>
      <c r="AK22" s="17" t="s">
        <v>54</v>
      </c>
      <c r="AL22" s="17" t="s">
        <v>54</v>
      </c>
      <c r="AM22" s="17" t="s">
        <v>54</v>
      </c>
      <c r="AN22" s="26" t="s">
        <v>54</v>
      </c>
      <c r="AO22" s="26" t="s">
        <v>54</v>
      </c>
      <c r="AP22" s="26" t="s">
        <v>54</v>
      </c>
      <c r="AQ22" s="26" t="s">
        <v>54</v>
      </c>
      <c r="AR22" s="31">
        <v>0</v>
      </c>
      <c r="AS22" s="31">
        <v>0</v>
      </c>
      <c r="AT22" s="31">
        <v>0</v>
      </c>
      <c r="AU22" s="18" t="s">
        <v>62</v>
      </c>
      <c r="AV22" s="32" t="s">
        <v>63</v>
      </c>
    </row>
    <row r="23" spans="1:48">
      <c r="A23" s="16" t="s">
        <v>99</v>
      </c>
      <c r="B23" s="17" t="s">
        <v>100</v>
      </c>
      <c r="C23" s="17">
        <v>0</v>
      </c>
      <c r="D23" s="18">
        <v>0</v>
      </c>
      <c r="E23" s="18">
        <v>0</v>
      </c>
      <c r="F23" s="18">
        <v>0</v>
      </c>
      <c r="G23" s="18">
        <v>0</v>
      </c>
      <c r="H23" s="18">
        <v>0</v>
      </c>
      <c r="I23" s="18">
        <v>0</v>
      </c>
      <c r="J23" s="18">
        <v>0</v>
      </c>
      <c r="K23" s="18">
        <v>0</v>
      </c>
      <c r="L23" s="18">
        <v>0</v>
      </c>
      <c r="M23" s="21">
        <v>0</v>
      </c>
      <c r="N23" s="18">
        <v>0</v>
      </c>
      <c r="O23" s="17">
        <v>0</v>
      </c>
      <c r="P23" s="17">
        <v>0</v>
      </c>
      <c r="Q23" s="17">
        <v>0</v>
      </c>
      <c r="R23" s="17">
        <v>0</v>
      </c>
      <c r="S23" s="17">
        <v>0</v>
      </c>
      <c r="T23" s="17" t="s">
        <v>54</v>
      </c>
      <c r="U23" s="17" t="s">
        <v>54</v>
      </c>
      <c r="V23" s="17" t="s">
        <v>54</v>
      </c>
      <c r="W23" s="17" t="s">
        <v>54</v>
      </c>
      <c r="X23" s="26" t="s">
        <v>54</v>
      </c>
      <c r="Y23" s="26" t="s">
        <v>54</v>
      </c>
      <c r="Z23" s="26" t="s">
        <v>54</v>
      </c>
      <c r="AA23" s="26" t="s">
        <v>54</v>
      </c>
      <c r="AB23" s="17" t="s">
        <v>54</v>
      </c>
      <c r="AC23" s="17" t="s">
        <v>54</v>
      </c>
      <c r="AD23" s="17" t="s">
        <v>54</v>
      </c>
      <c r="AE23" s="17" t="s">
        <v>54</v>
      </c>
      <c r="AF23" s="26" t="s">
        <v>61</v>
      </c>
      <c r="AG23" s="26" t="s">
        <v>61</v>
      </c>
      <c r="AH23" s="26" t="s">
        <v>61</v>
      </c>
      <c r="AI23" s="26" t="s">
        <v>61</v>
      </c>
      <c r="AJ23" s="17" t="s">
        <v>54</v>
      </c>
      <c r="AK23" s="17" t="s">
        <v>54</v>
      </c>
      <c r="AL23" s="17" t="s">
        <v>54</v>
      </c>
      <c r="AM23" s="17" t="s">
        <v>54</v>
      </c>
      <c r="AN23" s="26" t="s">
        <v>54</v>
      </c>
      <c r="AO23" s="26" t="s">
        <v>54</v>
      </c>
      <c r="AP23" s="26" t="s">
        <v>54</v>
      </c>
      <c r="AQ23" s="26" t="s">
        <v>54</v>
      </c>
      <c r="AR23" s="31">
        <v>0</v>
      </c>
      <c r="AS23" s="31">
        <v>0</v>
      </c>
      <c r="AT23" s="31">
        <v>0</v>
      </c>
      <c r="AU23" s="18" t="s">
        <v>62</v>
      </c>
      <c r="AV23" s="32" t="s">
        <v>63</v>
      </c>
    </row>
    <row r="24" spans="1:48">
      <c r="A24" s="16" t="s">
        <v>101</v>
      </c>
      <c r="B24" s="17" t="s">
        <v>74</v>
      </c>
      <c r="C24" s="17">
        <v>0</v>
      </c>
      <c r="D24" s="18">
        <v>0</v>
      </c>
      <c r="E24" s="18">
        <v>0</v>
      </c>
      <c r="F24" s="18">
        <v>0</v>
      </c>
      <c r="G24" s="18">
        <v>0</v>
      </c>
      <c r="H24" s="18">
        <v>0</v>
      </c>
      <c r="I24" s="18">
        <v>0</v>
      </c>
      <c r="J24" s="18">
        <v>0</v>
      </c>
      <c r="K24" s="18">
        <v>0</v>
      </c>
      <c r="L24" s="18">
        <v>0</v>
      </c>
      <c r="M24" s="21">
        <v>0</v>
      </c>
      <c r="N24" s="18">
        <v>0</v>
      </c>
      <c r="O24" s="17">
        <v>0</v>
      </c>
      <c r="P24" s="17">
        <v>0</v>
      </c>
      <c r="Q24" s="17">
        <v>0</v>
      </c>
      <c r="R24" s="17">
        <v>0</v>
      </c>
      <c r="S24" s="17">
        <v>0</v>
      </c>
      <c r="T24" s="17" t="s">
        <v>54</v>
      </c>
      <c r="U24" s="17" t="s">
        <v>54</v>
      </c>
      <c r="V24" s="17" t="s">
        <v>54</v>
      </c>
      <c r="W24" s="17" t="s">
        <v>54</v>
      </c>
      <c r="X24" s="26" t="s">
        <v>54</v>
      </c>
      <c r="Y24" s="26" t="s">
        <v>54</v>
      </c>
      <c r="Z24" s="26" t="s">
        <v>54</v>
      </c>
      <c r="AA24" s="26" t="s">
        <v>54</v>
      </c>
      <c r="AB24" s="17" t="s">
        <v>54</v>
      </c>
      <c r="AC24" s="17" t="s">
        <v>54</v>
      </c>
      <c r="AD24" s="17" t="s">
        <v>54</v>
      </c>
      <c r="AE24" s="17" t="s">
        <v>54</v>
      </c>
      <c r="AF24" s="26" t="s">
        <v>61</v>
      </c>
      <c r="AG24" s="26" t="s">
        <v>61</v>
      </c>
      <c r="AH24" s="26" t="s">
        <v>61</v>
      </c>
      <c r="AI24" s="26" t="s">
        <v>61</v>
      </c>
      <c r="AJ24" s="17">
        <v>0</v>
      </c>
      <c r="AK24" s="17">
        <v>0</v>
      </c>
      <c r="AL24" s="17">
        <v>0</v>
      </c>
      <c r="AM24" s="17">
        <v>189</v>
      </c>
      <c r="AN24" s="26" t="s">
        <v>54</v>
      </c>
      <c r="AO24" s="26" t="s">
        <v>54</v>
      </c>
      <c r="AP24" s="26" t="s">
        <v>54</v>
      </c>
      <c r="AQ24" s="26">
        <v>0</v>
      </c>
      <c r="AR24" s="31">
        <v>0</v>
      </c>
      <c r="AS24" s="31">
        <v>0</v>
      </c>
      <c r="AT24" s="31">
        <v>0</v>
      </c>
      <c r="AU24" s="18" t="s">
        <v>62</v>
      </c>
      <c r="AV24" s="32" t="s">
        <v>63</v>
      </c>
    </row>
    <row r="25" spans="1:48">
      <c r="A25" s="16" t="s">
        <v>102</v>
      </c>
      <c r="B25" s="17" t="s">
        <v>103</v>
      </c>
      <c r="C25" s="17" t="s">
        <v>104</v>
      </c>
      <c r="D25" s="18">
        <v>4</v>
      </c>
      <c r="E25" s="18">
        <v>2</v>
      </c>
      <c r="F25" s="18">
        <v>1</v>
      </c>
      <c r="G25" s="18">
        <v>4</v>
      </c>
      <c r="H25" s="18">
        <v>40.9645454545455</v>
      </c>
      <c r="I25" s="18">
        <v>76</v>
      </c>
      <c r="J25" s="18">
        <v>0</v>
      </c>
      <c r="K25" s="18">
        <v>0</v>
      </c>
      <c r="L25" s="18">
        <v>1</v>
      </c>
      <c r="M25" s="21">
        <v>77</v>
      </c>
      <c r="N25" s="18">
        <v>0</v>
      </c>
      <c r="O25" s="17">
        <v>81</v>
      </c>
      <c r="P25" s="17">
        <v>0</v>
      </c>
      <c r="Q25" s="17">
        <v>0</v>
      </c>
      <c r="R25" s="17">
        <v>0</v>
      </c>
      <c r="S25" s="17">
        <v>1900</v>
      </c>
      <c r="T25" s="17">
        <v>0</v>
      </c>
      <c r="U25" s="17">
        <v>0</v>
      </c>
      <c r="V25" s="17">
        <v>0</v>
      </c>
      <c r="W25" s="17">
        <v>1</v>
      </c>
      <c r="X25" s="26" t="s">
        <v>54</v>
      </c>
      <c r="Y25" s="26" t="s">
        <v>54</v>
      </c>
      <c r="Z25" s="26" t="s">
        <v>54</v>
      </c>
      <c r="AA25" s="26">
        <v>0.000526315789473684</v>
      </c>
      <c r="AB25" s="17">
        <v>0</v>
      </c>
      <c r="AC25" s="17">
        <v>0</v>
      </c>
      <c r="AD25" s="17">
        <v>0</v>
      </c>
      <c r="AE25" s="17">
        <v>0.37</v>
      </c>
      <c r="AF25" s="26">
        <v>0</v>
      </c>
      <c r="AG25" s="26">
        <v>0</v>
      </c>
      <c r="AH25" s="26">
        <v>0</v>
      </c>
      <c r="AI25" s="26">
        <v>0.00225805019861965</v>
      </c>
      <c r="AJ25" s="17">
        <v>32</v>
      </c>
      <c r="AK25" s="17">
        <v>32</v>
      </c>
      <c r="AL25" s="17">
        <v>33</v>
      </c>
      <c r="AM25" s="17">
        <v>22</v>
      </c>
      <c r="AN25" s="26">
        <v>0.125</v>
      </c>
      <c r="AO25" s="26">
        <v>0.0625</v>
      </c>
      <c r="AP25" s="26">
        <v>0.0303030303030303</v>
      </c>
      <c r="AQ25" s="26">
        <v>0.181818181818182</v>
      </c>
      <c r="AR25" s="31">
        <v>0.571428571428571</v>
      </c>
      <c r="AS25" s="31">
        <v>34.2857142857143</v>
      </c>
      <c r="AT25" s="31">
        <v>42.7142857142857</v>
      </c>
      <c r="AU25" s="18">
        <v>134</v>
      </c>
      <c r="AV25" s="32">
        <v>43473</v>
      </c>
    </row>
    <row r="26" spans="1:48">
      <c r="A26" s="16" t="s">
        <v>105</v>
      </c>
      <c r="B26" s="17" t="s">
        <v>106</v>
      </c>
      <c r="C26" s="17">
        <v>0</v>
      </c>
      <c r="D26" s="18">
        <v>0</v>
      </c>
      <c r="E26" s="18">
        <v>0</v>
      </c>
      <c r="F26" s="18">
        <v>0</v>
      </c>
      <c r="G26" s="18">
        <v>0</v>
      </c>
      <c r="H26" s="18">
        <v>0</v>
      </c>
      <c r="I26" s="18">
        <v>0</v>
      </c>
      <c r="J26" s="18">
        <v>0</v>
      </c>
      <c r="K26" s="18">
        <v>0</v>
      </c>
      <c r="L26" s="18">
        <v>0</v>
      </c>
      <c r="M26" s="21">
        <v>0</v>
      </c>
      <c r="N26" s="18">
        <v>0</v>
      </c>
      <c r="O26" s="17">
        <v>0</v>
      </c>
      <c r="P26" s="17">
        <v>0</v>
      </c>
      <c r="Q26" s="17">
        <v>0</v>
      </c>
      <c r="R26" s="17">
        <v>0</v>
      </c>
      <c r="S26" s="17">
        <v>0</v>
      </c>
      <c r="T26" s="17" t="s">
        <v>54</v>
      </c>
      <c r="U26" s="17" t="s">
        <v>54</v>
      </c>
      <c r="V26" s="17" t="s">
        <v>54</v>
      </c>
      <c r="W26" s="17" t="s">
        <v>54</v>
      </c>
      <c r="X26" s="26" t="s">
        <v>54</v>
      </c>
      <c r="Y26" s="26" t="s">
        <v>54</v>
      </c>
      <c r="Z26" s="26" t="s">
        <v>54</v>
      </c>
      <c r="AA26" s="26" t="s">
        <v>54</v>
      </c>
      <c r="AB26" s="17" t="s">
        <v>54</v>
      </c>
      <c r="AC26" s="17" t="s">
        <v>54</v>
      </c>
      <c r="AD26" s="17" t="s">
        <v>54</v>
      </c>
      <c r="AE26" s="17" t="s">
        <v>54</v>
      </c>
      <c r="AF26" s="26" t="s">
        <v>61</v>
      </c>
      <c r="AG26" s="26" t="s">
        <v>61</v>
      </c>
      <c r="AH26" s="26" t="s">
        <v>61</v>
      </c>
      <c r="AI26" s="26" t="s">
        <v>61</v>
      </c>
      <c r="AJ26" s="17" t="s">
        <v>54</v>
      </c>
      <c r="AK26" s="17" t="s">
        <v>54</v>
      </c>
      <c r="AL26" s="17" t="s">
        <v>54</v>
      </c>
      <c r="AM26" s="17" t="s">
        <v>54</v>
      </c>
      <c r="AN26" s="26" t="s">
        <v>54</v>
      </c>
      <c r="AO26" s="26" t="s">
        <v>54</v>
      </c>
      <c r="AP26" s="26" t="s">
        <v>54</v>
      </c>
      <c r="AQ26" s="26" t="s">
        <v>54</v>
      </c>
      <c r="AR26" s="31">
        <v>0</v>
      </c>
      <c r="AS26" s="31">
        <v>0</v>
      </c>
      <c r="AT26" s="31">
        <v>0</v>
      </c>
      <c r="AU26" s="18" t="s">
        <v>62</v>
      </c>
      <c r="AV26" s="32" t="s">
        <v>63</v>
      </c>
    </row>
    <row r="27" spans="1:48">
      <c r="A27" s="16" t="s">
        <v>107</v>
      </c>
      <c r="B27" s="17" t="s">
        <v>108</v>
      </c>
      <c r="C27" s="17" t="s">
        <v>109</v>
      </c>
      <c r="D27" s="18">
        <v>0</v>
      </c>
      <c r="E27" s="18">
        <v>0</v>
      </c>
      <c r="F27" s="18">
        <v>0</v>
      </c>
      <c r="G27" s="18">
        <v>0</v>
      </c>
      <c r="H27" s="18">
        <v>0</v>
      </c>
      <c r="I27" s="18">
        <v>0</v>
      </c>
      <c r="J27" s="18">
        <v>0</v>
      </c>
      <c r="K27" s="18">
        <v>0</v>
      </c>
      <c r="L27" s="18">
        <v>0</v>
      </c>
      <c r="M27" s="21">
        <v>0</v>
      </c>
      <c r="N27" s="18">
        <v>0</v>
      </c>
      <c r="O27" s="17">
        <v>0</v>
      </c>
      <c r="P27" s="17">
        <v>0</v>
      </c>
      <c r="Q27" s="17">
        <v>0</v>
      </c>
      <c r="R27" s="17">
        <v>0</v>
      </c>
      <c r="S27" s="17">
        <v>0</v>
      </c>
      <c r="T27" s="17" t="s">
        <v>54</v>
      </c>
      <c r="U27" s="17" t="s">
        <v>54</v>
      </c>
      <c r="V27" s="17" t="s">
        <v>54</v>
      </c>
      <c r="W27" s="17" t="s">
        <v>54</v>
      </c>
      <c r="X27" s="26" t="s">
        <v>54</v>
      </c>
      <c r="Y27" s="26" t="s">
        <v>54</v>
      </c>
      <c r="Z27" s="26" t="s">
        <v>54</v>
      </c>
      <c r="AA27" s="26" t="s">
        <v>54</v>
      </c>
      <c r="AB27" s="17" t="s">
        <v>54</v>
      </c>
      <c r="AC27" s="17" t="s">
        <v>54</v>
      </c>
      <c r="AD27" s="17" t="s">
        <v>54</v>
      </c>
      <c r="AE27" s="17" t="s">
        <v>54</v>
      </c>
      <c r="AF27" s="26" t="s">
        <v>61</v>
      </c>
      <c r="AG27" s="26" t="s">
        <v>61</v>
      </c>
      <c r="AH27" s="26" t="s">
        <v>61</v>
      </c>
      <c r="AI27" s="26" t="s">
        <v>61</v>
      </c>
      <c r="AJ27" s="17" t="s">
        <v>54</v>
      </c>
      <c r="AK27" s="17" t="s">
        <v>54</v>
      </c>
      <c r="AL27" s="17" t="s">
        <v>54</v>
      </c>
      <c r="AM27" s="17" t="s">
        <v>54</v>
      </c>
      <c r="AN27" s="26" t="s">
        <v>54</v>
      </c>
      <c r="AO27" s="26" t="s">
        <v>54</v>
      </c>
      <c r="AP27" s="26" t="s">
        <v>54</v>
      </c>
      <c r="AQ27" s="26" t="s">
        <v>54</v>
      </c>
      <c r="AR27" s="31">
        <v>0</v>
      </c>
      <c r="AS27" s="31">
        <v>0</v>
      </c>
      <c r="AT27" s="31">
        <v>0</v>
      </c>
      <c r="AU27" s="18" t="s">
        <v>62</v>
      </c>
      <c r="AV27" s="32" t="s">
        <v>63</v>
      </c>
    </row>
    <row r="28" spans="1:48">
      <c r="A28" s="16" t="s">
        <v>110</v>
      </c>
      <c r="B28" s="17" t="s">
        <v>56</v>
      </c>
      <c r="C28" s="17" t="s">
        <v>57</v>
      </c>
      <c r="D28" s="18">
        <v>0</v>
      </c>
      <c r="E28" s="18">
        <v>0</v>
      </c>
      <c r="F28" s="18">
        <v>0</v>
      </c>
      <c r="G28" s="18">
        <v>0</v>
      </c>
      <c r="H28" s="18">
        <v>0</v>
      </c>
      <c r="I28" s="18">
        <v>0</v>
      </c>
      <c r="J28" s="18">
        <v>0</v>
      </c>
      <c r="K28" s="18">
        <v>0</v>
      </c>
      <c r="L28" s="18">
        <v>0</v>
      </c>
      <c r="M28" s="21">
        <v>0</v>
      </c>
      <c r="N28" s="18">
        <v>0</v>
      </c>
      <c r="O28" s="17">
        <v>0</v>
      </c>
      <c r="P28" s="17">
        <v>0</v>
      </c>
      <c r="Q28" s="17">
        <v>0</v>
      </c>
      <c r="R28" s="17">
        <v>0</v>
      </c>
      <c r="S28" s="17">
        <v>0</v>
      </c>
      <c r="T28" s="17" t="s">
        <v>54</v>
      </c>
      <c r="U28" s="17" t="s">
        <v>54</v>
      </c>
      <c r="V28" s="17" t="s">
        <v>54</v>
      </c>
      <c r="W28" s="17" t="s">
        <v>54</v>
      </c>
      <c r="X28" s="26" t="s">
        <v>54</v>
      </c>
      <c r="Y28" s="26" t="s">
        <v>54</v>
      </c>
      <c r="Z28" s="26" t="s">
        <v>54</v>
      </c>
      <c r="AA28" s="26" t="s">
        <v>54</v>
      </c>
      <c r="AB28" s="17" t="s">
        <v>54</v>
      </c>
      <c r="AC28" s="17" t="s">
        <v>54</v>
      </c>
      <c r="AD28" s="17" t="s">
        <v>54</v>
      </c>
      <c r="AE28" s="17" t="s">
        <v>54</v>
      </c>
      <c r="AF28" s="26" t="s">
        <v>61</v>
      </c>
      <c r="AG28" s="26" t="s">
        <v>61</v>
      </c>
      <c r="AH28" s="26" t="s">
        <v>61</v>
      </c>
      <c r="AI28" s="26" t="s">
        <v>61</v>
      </c>
      <c r="AJ28" s="17">
        <v>12</v>
      </c>
      <c r="AK28" s="17">
        <v>31</v>
      </c>
      <c r="AL28" s="17">
        <v>29</v>
      </c>
      <c r="AM28" s="17">
        <v>18</v>
      </c>
      <c r="AN28" s="26">
        <v>0</v>
      </c>
      <c r="AO28" s="26">
        <v>0</v>
      </c>
      <c r="AP28" s="26">
        <v>0</v>
      </c>
      <c r="AQ28" s="26">
        <v>0</v>
      </c>
      <c r="AR28" s="31">
        <v>0</v>
      </c>
      <c r="AS28" s="31">
        <v>0</v>
      </c>
      <c r="AT28" s="31">
        <v>0</v>
      </c>
      <c r="AU28" s="18" t="s">
        <v>62</v>
      </c>
      <c r="AV28" s="32" t="s">
        <v>63</v>
      </c>
    </row>
    <row r="29" spans="1:48">
      <c r="A29" s="16" t="s">
        <v>111</v>
      </c>
      <c r="B29" s="17" t="s">
        <v>112</v>
      </c>
      <c r="C29" s="17" t="s">
        <v>113</v>
      </c>
      <c r="D29" s="18">
        <v>0</v>
      </c>
      <c r="E29" s="18">
        <v>0</v>
      </c>
      <c r="F29" s="18">
        <v>0</v>
      </c>
      <c r="G29" s="18">
        <v>0</v>
      </c>
      <c r="H29" s="18">
        <v>0</v>
      </c>
      <c r="I29" s="18">
        <v>0</v>
      </c>
      <c r="J29" s="18">
        <v>0</v>
      </c>
      <c r="K29" s="18">
        <v>0</v>
      </c>
      <c r="L29" s="18">
        <v>0</v>
      </c>
      <c r="M29" s="21">
        <v>0</v>
      </c>
      <c r="N29" s="18">
        <v>24</v>
      </c>
      <c r="O29" s="17">
        <v>0</v>
      </c>
      <c r="P29" s="17">
        <v>0</v>
      </c>
      <c r="Q29" s="17">
        <v>0</v>
      </c>
      <c r="R29" s="17">
        <v>0</v>
      </c>
      <c r="S29" s="17">
        <v>0</v>
      </c>
      <c r="T29" s="17" t="s">
        <v>54</v>
      </c>
      <c r="U29" s="17" t="s">
        <v>54</v>
      </c>
      <c r="V29" s="17" t="s">
        <v>54</v>
      </c>
      <c r="W29" s="17" t="s">
        <v>54</v>
      </c>
      <c r="X29" s="26" t="s">
        <v>54</v>
      </c>
      <c r="Y29" s="26" t="s">
        <v>54</v>
      </c>
      <c r="Z29" s="26" t="s">
        <v>54</v>
      </c>
      <c r="AA29" s="26" t="s">
        <v>54</v>
      </c>
      <c r="AB29" s="17" t="s">
        <v>54</v>
      </c>
      <c r="AC29" s="17" t="s">
        <v>54</v>
      </c>
      <c r="AD29" s="17" t="s">
        <v>54</v>
      </c>
      <c r="AE29" s="17" t="s">
        <v>54</v>
      </c>
      <c r="AF29" s="26" t="s">
        <v>61</v>
      </c>
      <c r="AG29" s="26" t="s">
        <v>61</v>
      </c>
      <c r="AH29" s="26" t="s">
        <v>61</v>
      </c>
      <c r="AI29" s="26" t="s">
        <v>61</v>
      </c>
      <c r="AJ29" s="17" t="s">
        <v>54</v>
      </c>
      <c r="AK29" s="17" t="s">
        <v>54</v>
      </c>
      <c r="AL29" s="17" t="s">
        <v>54</v>
      </c>
      <c r="AM29" s="17" t="s">
        <v>54</v>
      </c>
      <c r="AN29" s="26" t="s">
        <v>54</v>
      </c>
      <c r="AO29" s="26" t="s">
        <v>54</v>
      </c>
      <c r="AP29" s="26" t="s">
        <v>54</v>
      </c>
      <c r="AQ29" s="26" t="s">
        <v>54</v>
      </c>
      <c r="AR29" s="31">
        <v>0</v>
      </c>
      <c r="AS29" s="31">
        <v>0</v>
      </c>
      <c r="AT29" s="31">
        <v>0</v>
      </c>
      <c r="AU29" s="18" t="s">
        <v>62</v>
      </c>
      <c r="AV29" s="32" t="s">
        <v>63</v>
      </c>
    </row>
    <row r="30" spans="1:48">
      <c r="A30" s="16" t="s">
        <v>114</v>
      </c>
      <c r="B30" s="17" t="s">
        <v>115</v>
      </c>
      <c r="C30" s="17" t="s">
        <v>116</v>
      </c>
      <c r="D30" s="18">
        <v>0</v>
      </c>
      <c r="E30" s="18">
        <v>0</v>
      </c>
      <c r="F30" s="18">
        <v>0</v>
      </c>
      <c r="G30" s="18">
        <v>0</v>
      </c>
      <c r="H30" s="18">
        <v>0</v>
      </c>
      <c r="I30" s="18">
        <v>0</v>
      </c>
      <c r="J30" s="18">
        <v>0</v>
      </c>
      <c r="K30" s="18">
        <v>0</v>
      </c>
      <c r="L30" s="18">
        <v>0</v>
      </c>
      <c r="M30" s="21">
        <v>0</v>
      </c>
      <c r="N30" s="18">
        <v>0</v>
      </c>
      <c r="O30" s="17">
        <v>0</v>
      </c>
      <c r="P30" s="17">
        <v>0</v>
      </c>
      <c r="Q30" s="17">
        <v>0</v>
      </c>
      <c r="R30" s="17">
        <v>0</v>
      </c>
      <c r="S30" s="17">
        <v>0</v>
      </c>
      <c r="T30" s="17" t="s">
        <v>54</v>
      </c>
      <c r="U30" s="17" t="s">
        <v>54</v>
      </c>
      <c r="V30" s="17" t="s">
        <v>54</v>
      </c>
      <c r="W30" s="17" t="s">
        <v>54</v>
      </c>
      <c r="X30" s="26" t="s">
        <v>54</v>
      </c>
      <c r="Y30" s="26" t="s">
        <v>54</v>
      </c>
      <c r="Z30" s="26" t="s">
        <v>54</v>
      </c>
      <c r="AA30" s="26" t="s">
        <v>54</v>
      </c>
      <c r="AB30" s="17" t="s">
        <v>54</v>
      </c>
      <c r="AC30" s="17" t="s">
        <v>54</v>
      </c>
      <c r="AD30" s="17" t="s">
        <v>54</v>
      </c>
      <c r="AE30" s="17" t="s">
        <v>54</v>
      </c>
      <c r="AF30" s="26" t="s">
        <v>61</v>
      </c>
      <c r="AG30" s="26" t="s">
        <v>61</v>
      </c>
      <c r="AH30" s="26" t="s">
        <v>61</v>
      </c>
      <c r="AI30" s="26" t="s">
        <v>61</v>
      </c>
      <c r="AJ30" s="17" t="s">
        <v>54</v>
      </c>
      <c r="AK30" s="17" t="s">
        <v>54</v>
      </c>
      <c r="AL30" s="17" t="s">
        <v>54</v>
      </c>
      <c r="AM30" s="17" t="s">
        <v>54</v>
      </c>
      <c r="AN30" s="26" t="s">
        <v>54</v>
      </c>
      <c r="AO30" s="26" t="s">
        <v>54</v>
      </c>
      <c r="AP30" s="26" t="s">
        <v>54</v>
      </c>
      <c r="AQ30" s="26" t="s">
        <v>54</v>
      </c>
      <c r="AR30" s="31">
        <v>0</v>
      </c>
      <c r="AS30" s="31">
        <v>0</v>
      </c>
      <c r="AT30" s="31">
        <v>0</v>
      </c>
      <c r="AU30" s="18" t="s">
        <v>62</v>
      </c>
      <c r="AV30" s="32" t="s">
        <v>63</v>
      </c>
    </row>
    <row r="31" spans="1:48">
      <c r="A31" s="16" t="s">
        <v>117</v>
      </c>
      <c r="B31" s="17" t="s">
        <v>118</v>
      </c>
      <c r="C31" s="17" t="s">
        <v>119</v>
      </c>
      <c r="D31" s="18">
        <v>0</v>
      </c>
      <c r="E31" s="18">
        <v>0</v>
      </c>
      <c r="F31" s="18">
        <v>0</v>
      </c>
      <c r="G31" s="18">
        <v>0</v>
      </c>
      <c r="H31" s="18">
        <v>0</v>
      </c>
      <c r="I31" s="18">
        <v>0</v>
      </c>
      <c r="J31" s="18">
        <v>0</v>
      </c>
      <c r="K31" s="18">
        <v>0</v>
      </c>
      <c r="L31" s="18">
        <v>0</v>
      </c>
      <c r="M31" s="21">
        <v>0</v>
      </c>
      <c r="N31" s="18">
        <v>0</v>
      </c>
      <c r="O31" s="17">
        <v>0</v>
      </c>
      <c r="P31" s="17">
        <v>0</v>
      </c>
      <c r="Q31" s="17">
        <v>0</v>
      </c>
      <c r="R31" s="17">
        <v>0</v>
      </c>
      <c r="S31" s="17">
        <v>0</v>
      </c>
      <c r="T31" s="17" t="s">
        <v>54</v>
      </c>
      <c r="U31" s="17" t="s">
        <v>54</v>
      </c>
      <c r="V31" s="17" t="s">
        <v>54</v>
      </c>
      <c r="W31" s="17" t="s">
        <v>54</v>
      </c>
      <c r="X31" s="26" t="s">
        <v>54</v>
      </c>
      <c r="Y31" s="26" t="s">
        <v>54</v>
      </c>
      <c r="Z31" s="26" t="s">
        <v>54</v>
      </c>
      <c r="AA31" s="26" t="s">
        <v>54</v>
      </c>
      <c r="AB31" s="17" t="s">
        <v>54</v>
      </c>
      <c r="AC31" s="17" t="s">
        <v>54</v>
      </c>
      <c r="AD31" s="17" t="s">
        <v>54</v>
      </c>
      <c r="AE31" s="17" t="s">
        <v>54</v>
      </c>
      <c r="AF31" s="26" t="s">
        <v>61</v>
      </c>
      <c r="AG31" s="26" t="s">
        <v>61</v>
      </c>
      <c r="AH31" s="26" t="s">
        <v>61</v>
      </c>
      <c r="AI31" s="26" t="s">
        <v>61</v>
      </c>
      <c r="AJ31" s="17" t="s">
        <v>54</v>
      </c>
      <c r="AK31" s="17" t="s">
        <v>54</v>
      </c>
      <c r="AL31" s="17" t="s">
        <v>54</v>
      </c>
      <c r="AM31" s="17" t="s">
        <v>54</v>
      </c>
      <c r="AN31" s="26" t="s">
        <v>54</v>
      </c>
      <c r="AO31" s="26" t="s">
        <v>54</v>
      </c>
      <c r="AP31" s="26" t="s">
        <v>54</v>
      </c>
      <c r="AQ31" s="26" t="s">
        <v>54</v>
      </c>
      <c r="AR31" s="31">
        <v>0</v>
      </c>
      <c r="AS31" s="31">
        <v>0</v>
      </c>
      <c r="AT31" s="31">
        <v>0</v>
      </c>
      <c r="AU31" s="18" t="s">
        <v>62</v>
      </c>
      <c r="AV31" s="32" t="s">
        <v>63</v>
      </c>
    </row>
    <row r="32" spans="1:48">
      <c r="A32" s="16" t="s">
        <v>120</v>
      </c>
      <c r="B32" s="17" t="s">
        <v>121</v>
      </c>
      <c r="C32" s="17" t="s">
        <v>122</v>
      </c>
      <c r="D32" s="18">
        <v>27</v>
      </c>
      <c r="E32" s="18">
        <v>22</v>
      </c>
      <c r="F32" s="18">
        <v>1</v>
      </c>
      <c r="G32" s="18">
        <v>1</v>
      </c>
      <c r="H32" s="18">
        <v>39.683137254902</v>
      </c>
      <c r="I32" s="18">
        <v>1</v>
      </c>
      <c r="J32" s="18">
        <v>0</v>
      </c>
      <c r="K32" s="18">
        <v>0</v>
      </c>
      <c r="L32" s="18">
        <v>2</v>
      </c>
      <c r="M32" s="21">
        <v>3</v>
      </c>
      <c r="N32" s="18">
        <v>1</v>
      </c>
      <c r="O32" s="17">
        <v>19</v>
      </c>
      <c r="P32" s="17">
        <v>0</v>
      </c>
      <c r="Q32" s="17">
        <v>0</v>
      </c>
      <c r="R32" s="17">
        <v>0</v>
      </c>
      <c r="S32" s="17">
        <v>85</v>
      </c>
      <c r="T32" s="17">
        <v>0</v>
      </c>
      <c r="U32" s="17">
        <v>0</v>
      </c>
      <c r="V32" s="17">
        <v>0</v>
      </c>
      <c r="W32" s="17">
        <v>0</v>
      </c>
      <c r="X32" s="26" t="s">
        <v>54</v>
      </c>
      <c r="Y32" s="26" t="s">
        <v>54</v>
      </c>
      <c r="Z32" s="26" t="s">
        <v>54</v>
      </c>
      <c r="AA32" s="26">
        <v>0</v>
      </c>
      <c r="AB32" s="17">
        <v>0</v>
      </c>
      <c r="AC32" s="17">
        <v>0</v>
      </c>
      <c r="AD32" s="17">
        <v>0</v>
      </c>
      <c r="AE32" s="17">
        <v>0</v>
      </c>
      <c r="AF32" s="26">
        <v>0</v>
      </c>
      <c r="AG32" s="26">
        <v>0</v>
      </c>
      <c r="AH32" s="26">
        <v>0</v>
      </c>
      <c r="AI32" s="26">
        <v>0</v>
      </c>
      <c r="AJ32" s="17">
        <v>216</v>
      </c>
      <c r="AK32" s="17">
        <v>231</v>
      </c>
      <c r="AL32" s="17">
        <v>244</v>
      </c>
      <c r="AM32" s="17">
        <v>166</v>
      </c>
      <c r="AN32" s="26">
        <v>0.125</v>
      </c>
      <c r="AO32" s="26">
        <v>0.0952380952380952</v>
      </c>
      <c r="AP32" s="26">
        <v>0.00409836065573771</v>
      </c>
      <c r="AQ32" s="26">
        <v>0.00602409638554217</v>
      </c>
      <c r="AR32" s="31">
        <v>3.85714285714286</v>
      </c>
      <c r="AS32" s="31">
        <v>231.428571428571</v>
      </c>
      <c r="AT32" s="31">
        <v>-228.428571428571</v>
      </c>
      <c r="AU32" s="18">
        <v>0</v>
      </c>
      <c r="AV32" s="32">
        <v>43339</v>
      </c>
    </row>
    <row r="33" spans="1:48">
      <c r="A33" s="16" t="s">
        <v>123</v>
      </c>
      <c r="B33" s="17" t="s">
        <v>93</v>
      </c>
      <c r="C33" s="17" t="s">
        <v>94</v>
      </c>
      <c r="D33" s="18">
        <v>8</v>
      </c>
      <c r="E33" s="18">
        <v>3</v>
      </c>
      <c r="F33" s="18">
        <v>1</v>
      </c>
      <c r="G33" s="18">
        <v>2</v>
      </c>
      <c r="H33" s="18">
        <v>49.99</v>
      </c>
      <c r="I33" s="18">
        <v>8</v>
      </c>
      <c r="J33" s="18">
        <v>0</v>
      </c>
      <c r="K33" s="18">
        <v>0</v>
      </c>
      <c r="L33" s="18">
        <v>0</v>
      </c>
      <c r="M33" s="21">
        <v>8</v>
      </c>
      <c r="N33" s="18">
        <v>0</v>
      </c>
      <c r="O33" s="17">
        <v>15</v>
      </c>
      <c r="P33" s="17">
        <v>4054</v>
      </c>
      <c r="Q33" s="17">
        <v>6388</v>
      </c>
      <c r="R33" s="17">
        <v>0</v>
      </c>
      <c r="S33" s="17">
        <v>1427</v>
      </c>
      <c r="T33" s="17">
        <v>21</v>
      </c>
      <c r="U33" s="17">
        <v>17</v>
      </c>
      <c r="V33" s="17">
        <v>0</v>
      </c>
      <c r="W33" s="17">
        <v>9</v>
      </c>
      <c r="X33" s="26">
        <v>0.00518006906758757</v>
      </c>
      <c r="Y33" s="26">
        <v>0.00266123982467126</v>
      </c>
      <c r="Z33" s="26" t="s">
        <v>54</v>
      </c>
      <c r="AA33" s="26">
        <v>0.00630693763139453</v>
      </c>
      <c r="AB33" s="17">
        <v>16.34</v>
      </c>
      <c r="AC33" s="17">
        <v>16.47</v>
      </c>
      <c r="AD33" s="17">
        <v>0</v>
      </c>
      <c r="AE33" s="17">
        <v>7.59</v>
      </c>
      <c r="AF33" s="26">
        <v>0.0408581716343269</v>
      </c>
      <c r="AG33" s="26">
        <v>0.109821964392879</v>
      </c>
      <c r="AH33" s="26">
        <v>0</v>
      </c>
      <c r="AI33" s="26">
        <v>0.0759151830366073</v>
      </c>
      <c r="AJ33" s="17">
        <v>82</v>
      </c>
      <c r="AK33" s="17">
        <v>97</v>
      </c>
      <c r="AL33" s="17">
        <v>63</v>
      </c>
      <c r="AM33" s="17">
        <v>49</v>
      </c>
      <c r="AN33" s="26">
        <v>0.0975609756097561</v>
      </c>
      <c r="AO33" s="26">
        <v>0.0309278350515464</v>
      </c>
      <c r="AP33" s="26">
        <v>0.0158730158730159</v>
      </c>
      <c r="AQ33" s="26">
        <v>0.0408163265306122</v>
      </c>
      <c r="AR33" s="31">
        <v>1.14285714285714</v>
      </c>
      <c r="AS33" s="31">
        <v>68.5714285714286</v>
      </c>
      <c r="AT33" s="31">
        <v>-60.5714285714286</v>
      </c>
      <c r="AU33" s="18">
        <v>7</v>
      </c>
      <c r="AV33" s="32">
        <v>43346</v>
      </c>
    </row>
    <row r="34" spans="1:48">
      <c r="A34" s="16" t="s">
        <v>124</v>
      </c>
      <c r="B34" s="17" t="s">
        <v>125</v>
      </c>
      <c r="C34" s="17" t="s">
        <v>126</v>
      </c>
      <c r="D34" s="18">
        <v>1</v>
      </c>
      <c r="E34" s="18">
        <v>0</v>
      </c>
      <c r="F34" s="18">
        <v>1</v>
      </c>
      <c r="G34" s="18">
        <v>16</v>
      </c>
      <c r="H34" s="18">
        <v>30.8855555555556</v>
      </c>
      <c r="I34" s="18">
        <v>0</v>
      </c>
      <c r="J34" s="18">
        <v>0</v>
      </c>
      <c r="K34" s="18">
        <v>2</v>
      </c>
      <c r="L34" s="18">
        <v>0</v>
      </c>
      <c r="M34" s="21">
        <v>2</v>
      </c>
      <c r="N34" s="18">
        <v>1</v>
      </c>
      <c r="O34" s="17">
        <v>0</v>
      </c>
      <c r="P34" s="17">
        <v>1560</v>
      </c>
      <c r="Q34" s="17">
        <v>0</v>
      </c>
      <c r="R34" s="17">
        <v>0</v>
      </c>
      <c r="S34" s="17">
        <v>6533</v>
      </c>
      <c r="T34" s="17">
        <v>7</v>
      </c>
      <c r="U34" s="17">
        <v>0</v>
      </c>
      <c r="V34" s="17">
        <v>0</v>
      </c>
      <c r="W34" s="17">
        <v>26</v>
      </c>
      <c r="X34" s="26">
        <v>0.00448717948717949</v>
      </c>
      <c r="Y34" s="26" t="s">
        <v>54</v>
      </c>
      <c r="Z34" s="26" t="s">
        <v>54</v>
      </c>
      <c r="AA34" s="26">
        <v>0.00397979488749426</v>
      </c>
      <c r="AB34" s="17">
        <v>6.78</v>
      </c>
      <c r="AC34" s="17">
        <v>0</v>
      </c>
      <c r="AD34" s="17">
        <v>0</v>
      </c>
      <c r="AE34" s="17">
        <v>24.89</v>
      </c>
      <c r="AF34" s="26">
        <v>0.219520092096269</v>
      </c>
      <c r="AG34" s="26" t="s">
        <v>54</v>
      </c>
      <c r="AH34" s="26">
        <v>0</v>
      </c>
      <c r="AI34" s="26">
        <v>0.0503673957621325</v>
      </c>
      <c r="AJ34" s="17">
        <v>99</v>
      </c>
      <c r="AK34" s="17">
        <v>0</v>
      </c>
      <c r="AL34" s="17">
        <v>0</v>
      </c>
      <c r="AM34" s="17">
        <v>232</v>
      </c>
      <c r="AN34" s="26">
        <v>0.0101010101010101</v>
      </c>
      <c r="AO34" s="26" t="s">
        <v>54</v>
      </c>
      <c r="AP34" s="26" t="s">
        <v>54</v>
      </c>
      <c r="AQ34" s="26">
        <v>0.0689655172413793</v>
      </c>
      <c r="AR34" s="31">
        <v>0.142857142857143</v>
      </c>
      <c r="AS34" s="31">
        <v>8.57142857142857</v>
      </c>
      <c r="AT34" s="31">
        <v>-6.57142857142857</v>
      </c>
      <c r="AU34" s="18">
        <v>14</v>
      </c>
      <c r="AV34" s="32">
        <v>43353</v>
      </c>
    </row>
    <row r="35" spans="1:48">
      <c r="A35" s="16" t="s">
        <v>127</v>
      </c>
      <c r="B35" s="17" t="s">
        <v>115</v>
      </c>
      <c r="C35" s="17" t="s">
        <v>116</v>
      </c>
      <c r="D35" s="18">
        <v>0</v>
      </c>
      <c r="E35" s="18">
        <v>0</v>
      </c>
      <c r="F35" s="18">
        <v>0</v>
      </c>
      <c r="G35" s="18">
        <v>0</v>
      </c>
      <c r="H35" s="18">
        <v>0</v>
      </c>
      <c r="I35" s="18">
        <v>0</v>
      </c>
      <c r="J35" s="18">
        <v>0</v>
      </c>
      <c r="K35" s="18">
        <v>0</v>
      </c>
      <c r="L35" s="18">
        <v>0</v>
      </c>
      <c r="M35" s="21">
        <v>0</v>
      </c>
      <c r="N35" s="18">
        <v>0</v>
      </c>
      <c r="O35" s="17">
        <v>0</v>
      </c>
      <c r="P35" s="17">
        <v>0</v>
      </c>
      <c r="Q35" s="17">
        <v>0</v>
      </c>
      <c r="R35" s="17">
        <v>0</v>
      </c>
      <c r="S35" s="17">
        <v>0</v>
      </c>
      <c r="T35" s="17" t="s">
        <v>54</v>
      </c>
      <c r="U35" s="17" t="s">
        <v>54</v>
      </c>
      <c r="V35" s="17" t="s">
        <v>54</v>
      </c>
      <c r="W35" s="17" t="s">
        <v>54</v>
      </c>
      <c r="X35" s="26" t="s">
        <v>54</v>
      </c>
      <c r="Y35" s="26" t="s">
        <v>54</v>
      </c>
      <c r="Z35" s="26" t="s">
        <v>54</v>
      </c>
      <c r="AA35" s="26" t="s">
        <v>54</v>
      </c>
      <c r="AB35" s="17" t="s">
        <v>54</v>
      </c>
      <c r="AC35" s="17" t="s">
        <v>54</v>
      </c>
      <c r="AD35" s="17" t="s">
        <v>54</v>
      </c>
      <c r="AE35" s="17" t="s">
        <v>54</v>
      </c>
      <c r="AF35" s="26" t="s">
        <v>61</v>
      </c>
      <c r="AG35" s="26" t="s">
        <v>61</v>
      </c>
      <c r="AH35" s="26" t="s">
        <v>61</v>
      </c>
      <c r="AI35" s="26" t="s">
        <v>61</v>
      </c>
      <c r="AJ35" s="17" t="s">
        <v>54</v>
      </c>
      <c r="AK35" s="17" t="s">
        <v>54</v>
      </c>
      <c r="AL35" s="17" t="s">
        <v>54</v>
      </c>
      <c r="AM35" s="17" t="s">
        <v>54</v>
      </c>
      <c r="AN35" s="26" t="s">
        <v>54</v>
      </c>
      <c r="AO35" s="26" t="s">
        <v>54</v>
      </c>
      <c r="AP35" s="26" t="s">
        <v>54</v>
      </c>
      <c r="AQ35" s="26" t="s">
        <v>54</v>
      </c>
      <c r="AR35" s="31">
        <v>0</v>
      </c>
      <c r="AS35" s="31">
        <v>0</v>
      </c>
      <c r="AT35" s="31">
        <v>0</v>
      </c>
      <c r="AU35" s="18" t="s">
        <v>62</v>
      </c>
      <c r="AV35" s="32" t="s">
        <v>63</v>
      </c>
    </row>
    <row r="36" spans="1:48">
      <c r="A36" s="16" t="s">
        <v>128</v>
      </c>
      <c r="B36" s="17" t="s">
        <v>129</v>
      </c>
      <c r="C36" s="17" t="s">
        <v>130</v>
      </c>
      <c r="D36" s="18">
        <v>0</v>
      </c>
      <c r="E36" s="18">
        <v>0</v>
      </c>
      <c r="F36" s="18">
        <v>0</v>
      </c>
      <c r="G36" s="18">
        <v>0</v>
      </c>
      <c r="H36" s="18">
        <v>0</v>
      </c>
      <c r="I36" s="18">
        <v>0</v>
      </c>
      <c r="J36" s="18">
        <v>0</v>
      </c>
      <c r="K36" s="18">
        <v>48</v>
      </c>
      <c r="L36" s="18">
        <v>0</v>
      </c>
      <c r="M36" s="21">
        <v>48</v>
      </c>
      <c r="N36" s="18">
        <v>0</v>
      </c>
      <c r="O36" s="17">
        <v>0</v>
      </c>
      <c r="P36" s="17">
        <v>0</v>
      </c>
      <c r="Q36" s="17">
        <v>0</v>
      </c>
      <c r="R36" s="17">
        <v>0</v>
      </c>
      <c r="S36" s="17">
        <v>0</v>
      </c>
      <c r="T36" s="17" t="s">
        <v>54</v>
      </c>
      <c r="U36" s="17" t="s">
        <v>54</v>
      </c>
      <c r="V36" s="17" t="s">
        <v>54</v>
      </c>
      <c r="W36" s="17" t="s">
        <v>54</v>
      </c>
      <c r="X36" s="26" t="s">
        <v>54</v>
      </c>
      <c r="Y36" s="26" t="s">
        <v>54</v>
      </c>
      <c r="Z36" s="26" t="s">
        <v>54</v>
      </c>
      <c r="AA36" s="26" t="s">
        <v>54</v>
      </c>
      <c r="AB36" s="17" t="s">
        <v>54</v>
      </c>
      <c r="AC36" s="17" t="s">
        <v>54</v>
      </c>
      <c r="AD36" s="17" t="s">
        <v>54</v>
      </c>
      <c r="AE36" s="17" t="s">
        <v>54</v>
      </c>
      <c r="AF36" s="26" t="s">
        <v>61</v>
      </c>
      <c r="AG36" s="26" t="s">
        <v>61</v>
      </c>
      <c r="AH36" s="26" t="s">
        <v>61</v>
      </c>
      <c r="AI36" s="26" t="s">
        <v>61</v>
      </c>
      <c r="AJ36" s="17" t="s">
        <v>54</v>
      </c>
      <c r="AK36" s="17" t="s">
        <v>54</v>
      </c>
      <c r="AL36" s="17" t="s">
        <v>54</v>
      </c>
      <c r="AM36" s="17" t="s">
        <v>54</v>
      </c>
      <c r="AN36" s="26" t="s">
        <v>54</v>
      </c>
      <c r="AO36" s="26" t="s">
        <v>54</v>
      </c>
      <c r="AP36" s="26" t="s">
        <v>54</v>
      </c>
      <c r="AQ36" s="26" t="s">
        <v>54</v>
      </c>
      <c r="AR36" s="31">
        <v>0</v>
      </c>
      <c r="AS36" s="31">
        <v>0</v>
      </c>
      <c r="AT36" s="31">
        <v>48</v>
      </c>
      <c r="AU36" s="18" t="s">
        <v>131</v>
      </c>
      <c r="AV36" s="32" t="s">
        <v>63</v>
      </c>
    </row>
    <row r="37" spans="1:48">
      <c r="A37" s="16" t="s">
        <v>132</v>
      </c>
      <c r="B37" s="17" t="s">
        <v>133</v>
      </c>
      <c r="C37" s="17" t="s">
        <v>134</v>
      </c>
      <c r="D37" s="18">
        <v>0</v>
      </c>
      <c r="E37" s="18">
        <v>0</v>
      </c>
      <c r="F37" s="18">
        <v>0</v>
      </c>
      <c r="G37" s="18">
        <v>0</v>
      </c>
      <c r="H37" s="18">
        <v>0</v>
      </c>
      <c r="I37" s="18">
        <v>0</v>
      </c>
      <c r="J37" s="18">
        <v>0</v>
      </c>
      <c r="K37" s="18">
        <v>0</v>
      </c>
      <c r="L37" s="18">
        <v>0</v>
      </c>
      <c r="M37" s="21">
        <v>0</v>
      </c>
      <c r="N37" s="18">
        <v>0</v>
      </c>
      <c r="O37" s="17">
        <v>0</v>
      </c>
      <c r="P37" s="17">
        <v>0</v>
      </c>
      <c r="Q37" s="17">
        <v>0</v>
      </c>
      <c r="R37" s="17">
        <v>0</v>
      </c>
      <c r="S37" s="17">
        <v>0</v>
      </c>
      <c r="T37" s="17" t="s">
        <v>54</v>
      </c>
      <c r="U37" s="17" t="s">
        <v>54</v>
      </c>
      <c r="V37" s="17" t="s">
        <v>54</v>
      </c>
      <c r="W37" s="17" t="s">
        <v>54</v>
      </c>
      <c r="X37" s="26" t="s">
        <v>54</v>
      </c>
      <c r="Y37" s="26" t="s">
        <v>54</v>
      </c>
      <c r="Z37" s="26" t="s">
        <v>54</v>
      </c>
      <c r="AA37" s="26" t="s">
        <v>54</v>
      </c>
      <c r="AB37" s="17" t="s">
        <v>54</v>
      </c>
      <c r="AC37" s="17" t="s">
        <v>54</v>
      </c>
      <c r="AD37" s="17" t="s">
        <v>54</v>
      </c>
      <c r="AE37" s="17" t="s">
        <v>54</v>
      </c>
      <c r="AF37" s="26" t="s">
        <v>61</v>
      </c>
      <c r="AG37" s="26" t="s">
        <v>61</v>
      </c>
      <c r="AH37" s="26" t="s">
        <v>61</v>
      </c>
      <c r="AI37" s="26" t="s">
        <v>61</v>
      </c>
      <c r="AJ37" s="17" t="s">
        <v>54</v>
      </c>
      <c r="AK37" s="17" t="s">
        <v>54</v>
      </c>
      <c r="AL37" s="17" t="s">
        <v>54</v>
      </c>
      <c r="AM37" s="17" t="s">
        <v>54</v>
      </c>
      <c r="AN37" s="26" t="s">
        <v>54</v>
      </c>
      <c r="AO37" s="26" t="s">
        <v>54</v>
      </c>
      <c r="AP37" s="26" t="s">
        <v>54</v>
      </c>
      <c r="AQ37" s="26" t="s">
        <v>54</v>
      </c>
      <c r="AR37" s="31">
        <v>0</v>
      </c>
      <c r="AS37" s="31">
        <v>0</v>
      </c>
      <c r="AT37" s="31">
        <v>0</v>
      </c>
      <c r="AU37" s="18" t="s">
        <v>62</v>
      </c>
      <c r="AV37" s="32" t="s">
        <v>63</v>
      </c>
    </row>
    <row r="38" spans="1:48">
      <c r="A38" s="16" t="s">
        <v>135</v>
      </c>
      <c r="B38" s="17" t="s">
        <v>86</v>
      </c>
      <c r="C38" s="17" t="s">
        <v>87</v>
      </c>
      <c r="D38" s="18">
        <v>12</v>
      </c>
      <c r="E38" s="18">
        <v>16</v>
      </c>
      <c r="F38" s="18">
        <v>11</v>
      </c>
      <c r="G38" s="18">
        <v>22</v>
      </c>
      <c r="H38" s="18">
        <v>13.5198360655738</v>
      </c>
      <c r="I38" s="18">
        <v>0</v>
      </c>
      <c r="J38" s="18">
        <v>0</v>
      </c>
      <c r="K38" s="18">
        <v>0</v>
      </c>
      <c r="L38" s="18">
        <v>2</v>
      </c>
      <c r="M38" s="21">
        <v>2</v>
      </c>
      <c r="N38" s="18">
        <v>0</v>
      </c>
      <c r="O38" s="17">
        <v>0</v>
      </c>
      <c r="P38" s="17">
        <v>22006</v>
      </c>
      <c r="Q38" s="17">
        <v>22184</v>
      </c>
      <c r="R38" s="17">
        <v>0</v>
      </c>
      <c r="S38" s="17">
        <v>33227</v>
      </c>
      <c r="T38" s="17">
        <v>20</v>
      </c>
      <c r="U38" s="17">
        <v>24</v>
      </c>
      <c r="V38" s="17">
        <v>0</v>
      </c>
      <c r="W38" s="17">
        <v>44</v>
      </c>
      <c r="X38" s="26">
        <v>0.000908843042806507</v>
      </c>
      <c r="Y38" s="26">
        <v>0.00108186080057699</v>
      </c>
      <c r="Z38" s="26" t="s">
        <v>54</v>
      </c>
      <c r="AA38" s="26">
        <v>0.00132422427543865</v>
      </c>
      <c r="AB38" s="17">
        <v>20.21</v>
      </c>
      <c r="AC38" s="17">
        <v>27.53</v>
      </c>
      <c r="AD38" s="17">
        <v>0</v>
      </c>
      <c r="AE38" s="17">
        <v>53.84</v>
      </c>
      <c r="AF38" s="26">
        <v>0.124570050886574</v>
      </c>
      <c r="AG38" s="26">
        <v>0.127266705872367</v>
      </c>
      <c r="AH38" s="26">
        <v>0</v>
      </c>
      <c r="AI38" s="26">
        <v>0.181013491243754</v>
      </c>
      <c r="AJ38" s="17">
        <v>115</v>
      </c>
      <c r="AK38" s="17">
        <v>175</v>
      </c>
      <c r="AL38" s="17">
        <v>172</v>
      </c>
      <c r="AM38" s="17">
        <v>184</v>
      </c>
      <c r="AN38" s="26">
        <v>0.104347826086957</v>
      </c>
      <c r="AO38" s="26">
        <v>0.0914285714285714</v>
      </c>
      <c r="AP38" s="26">
        <v>0.063953488372093</v>
      </c>
      <c r="AQ38" s="26">
        <v>0.119565217391304</v>
      </c>
      <c r="AR38" s="31">
        <v>1.71428571428571</v>
      </c>
      <c r="AS38" s="31">
        <v>102.857142857143</v>
      </c>
      <c r="AT38" s="31">
        <v>-100.857142857143</v>
      </c>
      <c r="AU38" s="18">
        <v>1</v>
      </c>
      <c r="AV38" s="32">
        <v>43340</v>
      </c>
    </row>
    <row r="39" spans="1:48">
      <c r="A39" s="16" t="s">
        <v>136</v>
      </c>
      <c r="B39" s="17" t="s">
        <v>137</v>
      </c>
      <c r="C39" s="17" t="s">
        <v>138</v>
      </c>
      <c r="D39" s="18">
        <v>1</v>
      </c>
      <c r="E39" s="18">
        <v>6</v>
      </c>
      <c r="F39" s="18">
        <v>2</v>
      </c>
      <c r="G39" s="18">
        <v>6</v>
      </c>
      <c r="H39" s="18">
        <v>15.556</v>
      </c>
      <c r="I39" s="18">
        <v>12</v>
      </c>
      <c r="J39" s="18">
        <v>0</v>
      </c>
      <c r="K39" s="18">
        <v>0</v>
      </c>
      <c r="L39" s="18">
        <v>0</v>
      </c>
      <c r="M39" s="21">
        <v>12</v>
      </c>
      <c r="N39" s="18">
        <v>0</v>
      </c>
      <c r="O39" s="17">
        <v>12</v>
      </c>
      <c r="P39" s="17">
        <v>2216</v>
      </c>
      <c r="Q39" s="17">
        <v>1428</v>
      </c>
      <c r="R39" s="17">
        <v>0</v>
      </c>
      <c r="S39" s="17">
        <v>1157</v>
      </c>
      <c r="T39" s="17">
        <v>0</v>
      </c>
      <c r="U39" s="17">
        <v>2</v>
      </c>
      <c r="V39" s="17">
        <v>0</v>
      </c>
      <c r="W39" s="17">
        <v>4</v>
      </c>
      <c r="X39" s="26">
        <v>0</v>
      </c>
      <c r="Y39" s="26">
        <v>0.00140056022408964</v>
      </c>
      <c r="Z39" s="26" t="s">
        <v>54</v>
      </c>
      <c r="AA39" s="26">
        <v>0.00345721694036301</v>
      </c>
      <c r="AB39" s="17">
        <v>0</v>
      </c>
      <c r="AC39" s="17">
        <v>2.29</v>
      </c>
      <c r="AD39" s="17">
        <v>0</v>
      </c>
      <c r="AE39" s="17">
        <v>5.58</v>
      </c>
      <c r="AF39" s="26">
        <v>0</v>
      </c>
      <c r="AG39" s="26">
        <v>0.0245350132853347</v>
      </c>
      <c r="AH39" s="26">
        <v>0</v>
      </c>
      <c r="AI39" s="26">
        <v>0.0597840061712522</v>
      </c>
      <c r="AJ39" s="17">
        <v>18</v>
      </c>
      <c r="AK39" s="17">
        <v>17</v>
      </c>
      <c r="AL39" s="17">
        <v>24</v>
      </c>
      <c r="AM39" s="17">
        <v>18</v>
      </c>
      <c r="AN39" s="26">
        <v>0.0555555555555556</v>
      </c>
      <c r="AO39" s="26">
        <v>0.352941176470588</v>
      </c>
      <c r="AP39" s="26">
        <v>0.0833333333333333</v>
      </c>
      <c r="AQ39" s="26">
        <v>0.333333333333333</v>
      </c>
      <c r="AR39" s="31">
        <v>0.142857142857143</v>
      </c>
      <c r="AS39" s="31">
        <v>8.57142857142857</v>
      </c>
      <c r="AT39" s="31">
        <v>3.42857142857143</v>
      </c>
      <c r="AU39" s="18">
        <v>84</v>
      </c>
      <c r="AV39" s="32">
        <v>43423</v>
      </c>
    </row>
    <row r="40" spans="1:48">
      <c r="A40" s="16" t="s">
        <v>139</v>
      </c>
      <c r="B40" s="17" t="s">
        <v>140</v>
      </c>
      <c r="C40" s="17" t="s">
        <v>141</v>
      </c>
      <c r="D40" s="18">
        <v>0</v>
      </c>
      <c r="E40" s="18">
        <v>0</v>
      </c>
      <c r="F40" s="18">
        <v>0</v>
      </c>
      <c r="G40" s="18">
        <v>0</v>
      </c>
      <c r="H40" s="18">
        <v>0</v>
      </c>
      <c r="I40" s="18">
        <v>57</v>
      </c>
      <c r="J40" s="18">
        <v>0</v>
      </c>
      <c r="K40" s="18">
        <v>0</v>
      </c>
      <c r="L40" s="18">
        <v>0</v>
      </c>
      <c r="M40" s="21">
        <v>57</v>
      </c>
      <c r="N40" s="18">
        <v>0</v>
      </c>
      <c r="O40" s="17">
        <v>57</v>
      </c>
      <c r="P40" s="17">
        <v>0</v>
      </c>
      <c r="Q40" s="17">
        <v>0</v>
      </c>
      <c r="R40" s="17">
        <v>0</v>
      </c>
      <c r="S40" s="17">
        <v>0</v>
      </c>
      <c r="T40" s="17" t="s">
        <v>54</v>
      </c>
      <c r="U40" s="17" t="s">
        <v>54</v>
      </c>
      <c r="V40" s="17" t="s">
        <v>54</v>
      </c>
      <c r="W40" s="17" t="s">
        <v>54</v>
      </c>
      <c r="X40" s="26" t="s">
        <v>54</v>
      </c>
      <c r="Y40" s="26" t="s">
        <v>54</v>
      </c>
      <c r="Z40" s="26" t="s">
        <v>54</v>
      </c>
      <c r="AA40" s="26" t="s">
        <v>54</v>
      </c>
      <c r="AB40" s="17" t="s">
        <v>54</v>
      </c>
      <c r="AC40" s="17" t="s">
        <v>54</v>
      </c>
      <c r="AD40" s="17" t="s">
        <v>54</v>
      </c>
      <c r="AE40" s="17" t="s">
        <v>54</v>
      </c>
      <c r="AF40" s="26" t="s">
        <v>61</v>
      </c>
      <c r="AG40" s="26" t="s">
        <v>61</v>
      </c>
      <c r="AH40" s="26" t="s">
        <v>61</v>
      </c>
      <c r="AI40" s="26" t="s">
        <v>61</v>
      </c>
      <c r="AJ40" s="17" t="s">
        <v>54</v>
      </c>
      <c r="AK40" s="17" t="s">
        <v>54</v>
      </c>
      <c r="AL40" s="17" t="s">
        <v>54</v>
      </c>
      <c r="AM40" s="17" t="s">
        <v>54</v>
      </c>
      <c r="AN40" s="26" t="s">
        <v>54</v>
      </c>
      <c r="AO40" s="26" t="s">
        <v>54</v>
      </c>
      <c r="AP40" s="26" t="s">
        <v>54</v>
      </c>
      <c r="AQ40" s="26" t="s">
        <v>54</v>
      </c>
      <c r="AR40" s="31">
        <v>0</v>
      </c>
      <c r="AS40" s="31">
        <v>0</v>
      </c>
      <c r="AT40" s="31">
        <v>57</v>
      </c>
      <c r="AU40" s="18" t="s">
        <v>142</v>
      </c>
      <c r="AV40" s="32" t="s">
        <v>63</v>
      </c>
    </row>
    <row r="41" spans="1:48">
      <c r="A41" s="16" t="s">
        <v>143</v>
      </c>
      <c r="B41" s="17" t="s">
        <v>144</v>
      </c>
      <c r="C41" s="17" t="s">
        <v>145</v>
      </c>
      <c r="D41" s="18">
        <v>0</v>
      </c>
      <c r="E41" s="18">
        <v>4</v>
      </c>
      <c r="F41" s="18">
        <v>3</v>
      </c>
      <c r="G41" s="18">
        <v>21</v>
      </c>
      <c r="H41" s="18">
        <v>11.3410714285714</v>
      </c>
      <c r="I41" s="18">
        <v>0</v>
      </c>
      <c r="J41" s="18">
        <v>0</v>
      </c>
      <c r="K41" s="18">
        <v>0</v>
      </c>
      <c r="L41" s="18">
        <v>0</v>
      </c>
      <c r="M41" s="21">
        <v>0</v>
      </c>
      <c r="N41" s="18">
        <v>0</v>
      </c>
      <c r="O41" s="17">
        <v>0</v>
      </c>
      <c r="P41" s="17">
        <v>0</v>
      </c>
      <c r="Q41" s="17">
        <v>660</v>
      </c>
      <c r="R41" s="17">
        <v>0</v>
      </c>
      <c r="S41" s="17">
        <v>1373</v>
      </c>
      <c r="T41" s="17">
        <v>0</v>
      </c>
      <c r="U41" s="17">
        <v>0</v>
      </c>
      <c r="V41" s="17">
        <v>0</v>
      </c>
      <c r="W41" s="17">
        <v>4</v>
      </c>
      <c r="X41" s="26" t="s">
        <v>54</v>
      </c>
      <c r="Y41" s="26">
        <v>0</v>
      </c>
      <c r="Z41" s="26" t="s">
        <v>54</v>
      </c>
      <c r="AA41" s="26">
        <v>0.00291332847778587</v>
      </c>
      <c r="AB41" s="17">
        <v>0</v>
      </c>
      <c r="AC41" s="17">
        <v>0</v>
      </c>
      <c r="AD41" s="17">
        <v>0</v>
      </c>
      <c r="AE41" s="17">
        <v>1.38</v>
      </c>
      <c r="AF41" s="26" t="s">
        <v>54</v>
      </c>
      <c r="AG41" s="26">
        <v>0</v>
      </c>
      <c r="AH41" s="26">
        <v>0</v>
      </c>
      <c r="AI41" s="26">
        <v>0.0057943630924264</v>
      </c>
      <c r="AJ41" s="17">
        <v>0</v>
      </c>
      <c r="AK41" s="17">
        <v>121</v>
      </c>
      <c r="AL41" s="17">
        <v>85</v>
      </c>
      <c r="AM41" s="17">
        <v>234</v>
      </c>
      <c r="AN41" s="26" t="s">
        <v>54</v>
      </c>
      <c r="AO41" s="26">
        <v>0.0330578512396694</v>
      </c>
      <c r="AP41" s="26">
        <v>0.0352941176470588</v>
      </c>
      <c r="AQ41" s="26">
        <v>0.0897435897435897</v>
      </c>
      <c r="AR41" s="31">
        <v>0</v>
      </c>
      <c r="AS41" s="31">
        <v>0</v>
      </c>
      <c r="AT41" s="31">
        <v>0</v>
      </c>
      <c r="AU41" s="18" t="s">
        <v>62</v>
      </c>
      <c r="AV41" s="32" t="s">
        <v>63</v>
      </c>
    </row>
    <row r="42" spans="1:48">
      <c r="A42" s="16" t="s">
        <v>146</v>
      </c>
      <c r="B42" s="17" t="s">
        <v>74</v>
      </c>
      <c r="C42" s="17" t="s">
        <v>147</v>
      </c>
      <c r="D42" s="18">
        <v>0</v>
      </c>
      <c r="E42" s="18">
        <v>0</v>
      </c>
      <c r="F42" s="18">
        <v>0</v>
      </c>
      <c r="G42" s="18">
        <v>26</v>
      </c>
      <c r="H42" s="18">
        <v>19.9661538461538</v>
      </c>
      <c r="I42" s="18">
        <v>0</v>
      </c>
      <c r="J42" s="18">
        <v>0</v>
      </c>
      <c r="K42" s="18">
        <v>0</v>
      </c>
      <c r="L42" s="18">
        <v>0</v>
      </c>
      <c r="M42" s="21">
        <v>0</v>
      </c>
      <c r="N42" s="18">
        <v>0</v>
      </c>
      <c r="O42" s="17">
        <v>0</v>
      </c>
      <c r="P42" s="17">
        <v>0</v>
      </c>
      <c r="Q42" s="17">
        <v>0</v>
      </c>
      <c r="R42" s="17">
        <v>0</v>
      </c>
      <c r="S42" s="17">
        <v>11218</v>
      </c>
      <c r="T42" s="17">
        <v>0</v>
      </c>
      <c r="U42" s="17">
        <v>0</v>
      </c>
      <c r="V42" s="17">
        <v>0</v>
      </c>
      <c r="W42" s="17">
        <v>21</v>
      </c>
      <c r="X42" s="26" t="s">
        <v>54</v>
      </c>
      <c r="Y42" s="26" t="s">
        <v>54</v>
      </c>
      <c r="Z42" s="26" t="s">
        <v>54</v>
      </c>
      <c r="AA42" s="26">
        <v>0.00187199144232484</v>
      </c>
      <c r="AB42" s="17">
        <v>0</v>
      </c>
      <c r="AC42" s="17">
        <v>0</v>
      </c>
      <c r="AD42" s="17">
        <v>0</v>
      </c>
      <c r="AE42" s="17">
        <v>28.06</v>
      </c>
      <c r="AF42" s="26" t="s">
        <v>54</v>
      </c>
      <c r="AG42" s="26" t="s">
        <v>54</v>
      </c>
      <c r="AH42" s="26" t="s">
        <v>54</v>
      </c>
      <c r="AI42" s="26">
        <v>0.054053012790877</v>
      </c>
      <c r="AJ42" s="17">
        <v>0</v>
      </c>
      <c r="AK42" s="17">
        <v>0</v>
      </c>
      <c r="AL42" s="17">
        <v>0</v>
      </c>
      <c r="AM42" s="17">
        <v>189</v>
      </c>
      <c r="AN42" s="26" t="s">
        <v>54</v>
      </c>
      <c r="AO42" s="26" t="s">
        <v>54</v>
      </c>
      <c r="AP42" s="26" t="s">
        <v>54</v>
      </c>
      <c r="AQ42" s="26">
        <v>0.137566137566138</v>
      </c>
      <c r="AR42" s="31">
        <v>0</v>
      </c>
      <c r="AS42" s="31">
        <v>0</v>
      </c>
      <c r="AT42" s="31">
        <v>0</v>
      </c>
      <c r="AU42" s="18" t="s">
        <v>62</v>
      </c>
      <c r="AV42" s="32" t="s">
        <v>63</v>
      </c>
    </row>
    <row r="43" spans="1:48">
      <c r="A43" s="16" t="s">
        <v>148</v>
      </c>
      <c r="B43" s="17" t="s">
        <v>149</v>
      </c>
      <c r="C43" s="17" t="s">
        <v>150</v>
      </c>
      <c r="D43" s="18">
        <v>0</v>
      </c>
      <c r="E43" s="18">
        <v>0</v>
      </c>
      <c r="F43" s="18">
        <v>0</v>
      </c>
      <c r="G43" s="18">
        <v>9</v>
      </c>
      <c r="H43" s="18">
        <v>12.5</v>
      </c>
      <c r="I43" s="18">
        <v>0</v>
      </c>
      <c r="J43" s="18">
        <v>0</v>
      </c>
      <c r="K43" s="18">
        <v>0</v>
      </c>
      <c r="L43" s="18">
        <v>0</v>
      </c>
      <c r="M43" s="21">
        <v>0</v>
      </c>
      <c r="N43" s="18">
        <v>0</v>
      </c>
      <c r="O43" s="17">
        <v>0</v>
      </c>
      <c r="P43" s="17">
        <v>0</v>
      </c>
      <c r="Q43" s="17">
        <v>0</v>
      </c>
      <c r="R43" s="17">
        <v>0</v>
      </c>
      <c r="S43" s="17">
        <v>7951</v>
      </c>
      <c r="T43" s="17">
        <v>0</v>
      </c>
      <c r="U43" s="17">
        <v>0</v>
      </c>
      <c r="V43" s="17">
        <v>0</v>
      </c>
      <c r="W43" s="17">
        <v>11</v>
      </c>
      <c r="X43" s="26" t="s">
        <v>54</v>
      </c>
      <c r="Y43" s="26" t="s">
        <v>54</v>
      </c>
      <c r="Z43" s="26" t="s">
        <v>54</v>
      </c>
      <c r="AA43" s="26">
        <v>0.00138347377688341</v>
      </c>
      <c r="AB43" s="17">
        <v>0</v>
      </c>
      <c r="AC43" s="17">
        <v>0</v>
      </c>
      <c r="AD43" s="17">
        <v>0</v>
      </c>
      <c r="AE43" s="17">
        <v>18.55</v>
      </c>
      <c r="AF43" s="26" t="s">
        <v>54</v>
      </c>
      <c r="AG43" s="26" t="s">
        <v>54</v>
      </c>
      <c r="AH43" s="26" t="s">
        <v>54</v>
      </c>
      <c r="AI43" s="26">
        <v>0.164888888888889</v>
      </c>
      <c r="AJ43" s="17">
        <v>0</v>
      </c>
      <c r="AK43" s="17">
        <v>0</v>
      </c>
      <c r="AL43" s="17">
        <v>0</v>
      </c>
      <c r="AM43" s="17">
        <v>33</v>
      </c>
      <c r="AN43" s="26" t="s">
        <v>54</v>
      </c>
      <c r="AO43" s="26" t="s">
        <v>54</v>
      </c>
      <c r="AP43" s="26" t="s">
        <v>54</v>
      </c>
      <c r="AQ43" s="26">
        <v>0.272727272727273</v>
      </c>
      <c r="AR43" s="31">
        <v>0</v>
      </c>
      <c r="AS43" s="31">
        <v>0</v>
      </c>
      <c r="AT43" s="31">
        <v>0</v>
      </c>
      <c r="AU43" s="18" t="s">
        <v>62</v>
      </c>
      <c r="AV43" s="32" t="s">
        <v>63</v>
      </c>
    </row>
    <row r="44" spans="1:48">
      <c r="A44" s="16" t="s">
        <v>151</v>
      </c>
      <c r="B44" s="17" t="s">
        <v>152</v>
      </c>
      <c r="C44" s="17" t="s">
        <v>153</v>
      </c>
      <c r="D44" s="18">
        <v>12</v>
      </c>
      <c r="E44" s="18">
        <v>13</v>
      </c>
      <c r="F44" s="18">
        <v>6</v>
      </c>
      <c r="G44" s="18">
        <v>11</v>
      </c>
      <c r="H44" s="18">
        <v>25.5871428571429</v>
      </c>
      <c r="I44" s="18">
        <v>0</v>
      </c>
      <c r="J44" s="18">
        <v>0</v>
      </c>
      <c r="K44" s="18">
        <v>0</v>
      </c>
      <c r="L44" s="18">
        <v>0</v>
      </c>
      <c r="M44" s="21">
        <v>0</v>
      </c>
      <c r="N44" s="18">
        <v>0</v>
      </c>
      <c r="O44" s="17">
        <v>10</v>
      </c>
      <c r="P44" s="17">
        <v>5899</v>
      </c>
      <c r="Q44" s="17">
        <v>4154</v>
      </c>
      <c r="R44" s="17">
        <v>0</v>
      </c>
      <c r="S44" s="17">
        <v>32566</v>
      </c>
      <c r="T44" s="17">
        <v>11</v>
      </c>
      <c r="U44" s="17">
        <v>9</v>
      </c>
      <c r="V44" s="17">
        <v>0</v>
      </c>
      <c r="W44" s="17">
        <v>27</v>
      </c>
      <c r="X44" s="26">
        <v>0.00186472283437871</v>
      </c>
      <c r="Y44" s="26">
        <v>0.00216658642272508</v>
      </c>
      <c r="Z44" s="26" t="s">
        <v>54</v>
      </c>
      <c r="AA44" s="26">
        <v>0.000829085549345944</v>
      </c>
      <c r="AB44" s="17">
        <v>9.01</v>
      </c>
      <c r="AC44" s="17">
        <v>10.36</v>
      </c>
      <c r="AD44" s="17">
        <v>0</v>
      </c>
      <c r="AE44" s="17">
        <v>39.3</v>
      </c>
      <c r="AF44" s="26">
        <v>0.0293441646660339</v>
      </c>
      <c r="AG44" s="26">
        <v>0.0311454499383704</v>
      </c>
      <c r="AH44" s="26">
        <v>0</v>
      </c>
      <c r="AI44" s="26">
        <v>0.139629785657366</v>
      </c>
      <c r="AJ44" s="17">
        <v>30</v>
      </c>
      <c r="AK44" s="17">
        <v>35</v>
      </c>
      <c r="AL44" s="17">
        <v>51</v>
      </c>
      <c r="AM44" s="17">
        <v>52</v>
      </c>
      <c r="AN44" s="26">
        <v>0.4</v>
      </c>
      <c r="AO44" s="26">
        <v>0.371428571428571</v>
      </c>
      <c r="AP44" s="26">
        <v>0.117647058823529</v>
      </c>
      <c r="AQ44" s="26">
        <v>0.211538461538462</v>
      </c>
      <c r="AR44" s="31">
        <v>1.71428571428571</v>
      </c>
      <c r="AS44" s="31">
        <v>102.857142857143</v>
      </c>
      <c r="AT44" s="31">
        <v>-102.857142857143</v>
      </c>
      <c r="AU44" s="18">
        <v>0</v>
      </c>
      <c r="AV44" s="32">
        <v>43339</v>
      </c>
    </row>
    <row r="45" spans="1:48">
      <c r="A45" s="16" t="s">
        <v>154</v>
      </c>
      <c r="B45" s="17" t="s">
        <v>155</v>
      </c>
      <c r="C45" s="17" t="s">
        <v>156</v>
      </c>
      <c r="D45" s="18">
        <v>0</v>
      </c>
      <c r="E45" s="18">
        <v>0</v>
      </c>
      <c r="F45" s="18">
        <v>0</v>
      </c>
      <c r="G45" s="18">
        <v>0</v>
      </c>
      <c r="H45" s="18">
        <v>0</v>
      </c>
      <c r="I45" s="18">
        <v>0</v>
      </c>
      <c r="J45" s="18">
        <v>0</v>
      </c>
      <c r="K45" s="18">
        <v>0</v>
      </c>
      <c r="L45" s="18">
        <v>0</v>
      </c>
      <c r="M45" s="21">
        <v>0</v>
      </c>
      <c r="N45" s="18">
        <v>0</v>
      </c>
      <c r="O45" s="17">
        <v>0</v>
      </c>
      <c r="P45" s="17">
        <v>0</v>
      </c>
      <c r="Q45" s="17">
        <v>0</v>
      </c>
      <c r="R45" s="17">
        <v>0</v>
      </c>
      <c r="S45" s="17">
        <v>0</v>
      </c>
      <c r="T45" s="17" t="s">
        <v>54</v>
      </c>
      <c r="U45" s="17" t="s">
        <v>54</v>
      </c>
      <c r="V45" s="17" t="s">
        <v>54</v>
      </c>
      <c r="W45" s="17" t="s">
        <v>54</v>
      </c>
      <c r="X45" s="26" t="s">
        <v>54</v>
      </c>
      <c r="Y45" s="26" t="s">
        <v>54</v>
      </c>
      <c r="Z45" s="26" t="s">
        <v>54</v>
      </c>
      <c r="AA45" s="26" t="s">
        <v>54</v>
      </c>
      <c r="AB45" s="17" t="s">
        <v>54</v>
      </c>
      <c r="AC45" s="17" t="s">
        <v>54</v>
      </c>
      <c r="AD45" s="17" t="s">
        <v>54</v>
      </c>
      <c r="AE45" s="17" t="s">
        <v>54</v>
      </c>
      <c r="AF45" s="26" t="s">
        <v>61</v>
      </c>
      <c r="AG45" s="26" t="s">
        <v>61</v>
      </c>
      <c r="AH45" s="26" t="s">
        <v>61</v>
      </c>
      <c r="AI45" s="26" t="s">
        <v>61</v>
      </c>
      <c r="AJ45" s="17" t="s">
        <v>54</v>
      </c>
      <c r="AK45" s="17" t="s">
        <v>54</v>
      </c>
      <c r="AL45" s="17" t="s">
        <v>54</v>
      </c>
      <c r="AM45" s="17" t="s">
        <v>54</v>
      </c>
      <c r="AN45" s="26" t="s">
        <v>54</v>
      </c>
      <c r="AO45" s="26" t="s">
        <v>54</v>
      </c>
      <c r="AP45" s="26" t="s">
        <v>54</v>
      </c>
      <c r="AQ45" s="26" t="s">
        <v>54</v>
      </c>
      <c r="AR45" s="31">
        <v>0</v>
      </c>
      <c r="AS45" s="31">
        <v>0</v>
      </c>
      <c r="AT45" s="31">
        <v>0</v>
      </c>
      <c r="AU45" s="18" t="s">
        <v>62</v>
      </c>
      <c r="AV45" s="32" t="s">
        <v>63</v>
      </c>
    </row>
    <row r="46" spans="1:48">
      <c r="A46" s="16" t="s">
        <v>157</v>
      </c>
      <c r="B46" s="17" t="s">
        <v>59</v>
      </c>
      <c r="C46" s="17" t="s">
        <v>60</v>
      </c>
      <c r="D46" s="18">
        <v>9</v>
      </c>
      <c r="E46" s="18">
        <v>2</v>
      </c>
      <c r="F46" s="18">
        <v>5</v>
      </c>
      <c r="G46" s="18">
        <v>5</v>
      </c>
      <c r="H46" s="18">
        <v>16.9809523809524</v>
      </c>
      <c r="I46" s="18">
        <v>74</v>
      </c>
      <c r="J46" s="18">
        <v>0</v>
      </c>
      <c r="K46" s="18">
        <v>0</v>
      </c>
      <c r="L46" s="18">
        <v>0</v>
      </c>
      <c r="M46" s="21">
        <v>74</v>
      </c>
      <c r="N46" s="18">
        <v>0</v>
      </c>
      <c r="O46" s="17">
        <v>76</v>
      </c>
      <c r="P46" s="17">
        <v>20823</v>
      </c>
      <c r="Q46" s="17">
        <v>18700</v>
      </c>
      <c r="R46" s="17">
        <v>0</v>
      </c>
      <c r="S46" s="17">
        <v>1940</v>
      </c>
      <c r="T46" s="17">
        <v>31</v>
      </c>
      <c r="U46" s="17">
        <v>18</v>
      </c>
      <c r="V46" s="17">
        <v>0</v>
      </c>
      <c r="W46" s="17">
        <v>3</v>
      </c>
      <c r="X46" s="26">
        <v>0.00148873841425347</v>
      </c>
      <c r="Y46" s="26">
        <v>0.000962566844919786</v>
      </c>
      <c r="Z46" s="26" t="s">
        <v>54</v>
      </c>
      <c r="AA46" s="26">
        <v>0.00154639175257732</v>
      </c>
      <c r="AB46" s="17">
        <v>34.45</v>
      </c>
      <c r="AC46" s="17">
        <v>19.07</v>
      </c>
      <c r="AD46" s="17">
        <v>0</v>
      </c>
      <c r="AE46" s="17">
        <v>5.26</v>
      </c>
      <c r="AF46" s="26">
        <v>0.225415965601047</v>
      </c>
      <c r="AG46" s="26">
        <v>0.561511497476163</v>
      </c>
      <c r="AH46" s="26">
        <v>0</v>
      </c>
      <c r="AI46" s="26">
        <v>0.0619517666853617</v>
      </c>
      <c r="AJ46" s="17">
        <v>57</v>
      </c>
      <c r="AK46" s="17">
        <v>79</v>
      </c>
      <c r="AL46" s="17">
        <v>81</v>
      </c>
      <c r="AM46" s="17">
        <v>64</v>
      </c>
      <c r="AN46" s="26">
        <v>0.157894736842105</v>
      </c>
      <c r="AO46" s="26">
        <v>0.0253164556962025</v>
      </c>
      <c r="AP46" s="26">
        <v>0.0617283950617284</v>
      </c>
      <c r="AQ46" s="26">
        <v>0.078125</v>
      </c>
      <c r="AR46" s="31">
        <v>1.28571428571429</v>
      </c>
      <c r="AS46" s="31">
        <v>77.1428571428572</v>
      </c>
      <c r="AT46" s="31">
        <v>-3.14285714285715</v>
      </c>
      <c r="AU46" s="18">
        <v>57</v>
      </c>
      <c r="AV46" s="32">
        <v>43396</v>
      </c>
    </row>
    <row r="47" spans="1:48">
      <c r="A47" s="16" t="s">
        <v>158</v>
      </c>
      <c r="B47" s="17" t="s">
        <v>159</v>
      </c>
      <c r="C47" s="17" t="s">
        <v>160</v>
      </c>
      <c r="D47" s="18">
        <v>0</v>
      </c>
      <c r="E47" s="18">
        <v>0</v>
      </c>
      <c r="F47" s="18">
        <v>0</v>
      </c>
      <c r="G47" s="18">
        <v>0</v>
      </c>
      <c r="H47" s="18">
        <v>0</v>
      </c>
      <c r="I47" s="18">
        <v>0</v>
      </c>
      <c r="J47" s="18">
        <v>0</v>
      </c>
      <c r="K47" s="18">
        <v>0</v>
      </c>
      <c r="L47" s="18">
        <v>0</v>
      </c>
      <c r="M47" s="21">
        <v>0</v>
      </c>
      <c r="N47" s="18">
        <v>0</v>
      </c>
      <c r="O47" s="17">
        <v>0</v>
      </c>
      <c r="P47" s="17">
        <v>0</v>
      </c>
      <c r="Q47" s="17">
        <v>0</v>
      </c>
      <c r="R47" s="17">
        <v>0</v>
      </c>
      <c r="S47" s="17">
        <v>0</v>
      </c>
      <c r="T47" s="17" t="s">
        <v>54</v>
      </c>
      <c r="U47" s="17" t="s">
        <v>54</v>
      </c>
      <c r="V47" s="17" t="s">
        <v>54</v>
      </c>
      <c r="W47" s="17" t="s">
        <v>54</v>
      </c>
      <c r="X47" s="26" t="s">
        <v>54</v>
      </c>
      <c r="Y47" s="26" t="s">
        <v>54</v>
      </c>
      <c r="Z47" s="26" t="s">
        <v>54</v>
      </c>
      <c r="AA47" s="26" t="s">
        <v>54</v>
      </c>
      <c r="AB47" s="17" t="s">
        <v>54</v>
      </c>
      <c r="AC47" s="17" t="s">
        <v>54</v>
      </c>
      <c r="AD47" s="17" t="s">
        <v>54</v>
      </c>
      <c r="AE47" s="17" t="s">
        <v>54</v>
      </c>
      <c r="AF47" s="26" t="s">
        <v>61</v>
      </c>
      <c r="AG47" s="26" t="s">
        <v>61</v>
      </c>
      <c r="AH47" s="26" t="s">
        <v>61</v>
      </c>
      <c r="AI47" s="26" t="s">
        <v>61</v>
      </c>
      <c r="AJ47" s="17" t="s">
        <v>54</v>
      </c>
      <c r="AK47" s="17" t="s">
        <v>54</v>
      </c>
      <c r="AL47" s="17" t="s">
        <v>54</v>
      </c>
      <c r="AM47" s="17" t="s">
        <v>54</v>
      </c>
      <c r="AN47" s="26" t="s">
        <v>54</v>
      </c>
      <c r="AO47" s="26" t="s">
        <v>54</v>
      </c>
      <c r="AP47" s="26" t="s">
        <v>54</v>
      </c>
      <c r="AQ47" s="26" t="s">
        <v>54</v>
      </c>
      <c r="AR47" s="31">
        <v>0</v>
      </c>
      <c r="AS47" s="31">
        <v>0</v>
      </c>
      <c r="AT47" s="31">
        <v>0</v>
      </c>
      <c r="AU47" s="18" t="s">
        <v>62</v>
      </c>
      <c r="AV47" s="32" t="s">
        <v>63</v>
      </c>
    </row>
    <row r="48" spans="1:48">
      <c r="A48" s="16" t="s">
        <v>161</v>
      </c>
      <c r="B48" s="17" t="s">
        <v>162</v>
      </c>
      <c r="C48" s="17" t="s">
        <v>163</v>
      </c>
      <c r="D48" s="18">
        <v>0</v>
      </c>
      <c r="E48" s="18">
        <v>0</v>
      </c>
      <c r="F48" s="18">
        <v>0</v>
      </c>
      <c r="G48" s="18">
        <v>1</v>
      </c>
      <c r="H48" s="18">
        <v>17.98</v>
      </c>
      <c r="I48" s="18">
        <v>0</v>
      </c>
      <c r="J48" s="18">
        <v>0</v>
      </c>
      <c r="K48" s="18">
        <v>0</v>
      </c>
      <c r="L48" s="18">
        <v>0</v>
      </c>
      <c r="M48" s="21">
        <v>0</v>
      </c>
      <c r="N48" s="18">
        <v>0</v>
      </c>
      <c r="O48" s="17">
        <v>0</v>
      </c>
      <c r="P48" s="17">
        <v>0</v>
      </c>
      <c r="Q48" s="17">
        <v>0</v>
      </c>
      <c r="R48" s="17">
        <v>0</v>
      </c>
      <c r="S48" s="17">
        <v>0</v>
      </c>
      <c r="T48" s="17" t="s">
        <v>54</v>
      </c>
      <c r="U48" s="17" t="s">
        <v>54</v>
      </c>
      <c r="V48" s="17" t="s">
        <v>54</v>
      </c>
      <c r="W48" s="17" t="s">
        <v>54</v>
      </c>
      <c r="X48" s="26" t="s">
        <v>54</v>
      </c>
      <c r="Y48" s="26" t="s">
        <v>54</v>
      </c>
      <c r="Z48" s="26" t="s">
        <v>54</v>
      </c>
      <c r="AA48" s="26" t="s">
        <v>54</v>
      </c>
      <c r="AB48" s="17" t="s">
        <v>54</v>
      </c>
      <c r="AC48" s="17" t="s">
        <v>54</v>
      </c>
      <c r="AD48" s="17" t="s">
        <v>54</v>
      </c>
      <c r="AE48" s="17" t="s">
        <v>54</v>
      </c>
      <c r="AF48" s="26" t="s">
        <v>61</v>
      </c>
      <c r="AG48" s="26" t="s">
        <v>61</v>
      </c>
      <c r="AH48" s="26" t="s">
        <v>61</v>
      </c>
      <c r="AI48" s="26" t="s">
        <v>54</v>
      </c>
      <c r="AJ48" s="17">
        <v>0</v>
      </c>
      <c r="AK48" s="17">
        <v>0</v>
      </c>
      <c r="AL48" s="17">
        <v>0</v>
      </c>
      <c r="AM48" s="17">
        <v>6</v>
      </c>
      <c r="AN48" s="26" t="s">
        <v>54</v>
      </c>
      <c r="AO48" s="26" t="s">
        <v>54</v>
      </c>
      <c r="AP48" s="26" t="s">
        <v>54</v>
      </c>
      <c r="AQ48" s="26">
        <v>0.166666666666667</v>
      </c>
      <c r="AR48" s="31">
        <v>0</v>
      </c>
      <c r="AS48" s="31">
        <v>0</v>
      </c>
      <c r="AT48" s="31">
        <v>0</v>
      </c>
      <c r="AU48" s="18" t="s">
        <v>62</v>
      </c>
      <c r="AV48" s="32" t="s">
        <v>63</v>
      </c>
    </row>
    <row r="49" spans="1:48">
      <c r="A49" s="16" t="s">
        <v>164</v>
      </c>
      <c r="B49" s="17" t="s">
        <v>93</v>
      </c>
      <c r="C49" s="17" t="s">
        <v>94</v>
      </c>
      <c r="D49" s="18">
        <v>10</v>
      </c>
      <c r="E49" s="18">
        <v>1</v>
      </c>
      <c r="F49" s="18">
        <v>6</v>
      </c>
      <c r="G49" s="18">
        <v>1</v>
      </c>
      <c r="H49" s="18">
        <v>49.99</v>
      </c>
      <c r="I49" s="18">
        <v>29</v>
      </c>
      <c r="J49" s="18">
        <v>0</v>
      </c>
      <c r="K49" s="18">
        <v>0</v>
      </c>
      <c r="L49" s="18">
        <v>0</v>
      </c>
      <c r="M49" s="21">
        <v>29</v>
      </c>
      <c r="N49" s="18">
        <v>0</v>
      </c>
      <c r="O49" s="17">
        <v>31</v>
      </c>
      <c r="P49" s="17">
        <v>6005</v>
      </c>
      <c r="Q49" s="17">
        <v>6689</v>
      </c>
      <c r="R49" s="17">
        <v>0</v>
      </c>
      <c r="S49" s="17">
        <v>2074</v>
      </c>
      <c r="T49" s="17">
        <v>13</v>
      </c>
      <c r="U49" s="17">
        <v>12</v>
      </c>
      <c r="V49" s="17">
        <v>0</v>
      </c>
      <c r="W49" s="17">
        <v>9</v>
      </c>
      <c r="X49" s="26">
        <v>0.00216486261448793</v>
      </c>
      <c r="Y49" s="26">
        <v>0.00179399013305427</v>
      </c>
      <c r="Z49" s="26" t="s">
        <v>54</v>
      </c>
      <c r="AA49" s="26">
        <v>0.00433944069431051</v>
      </c>
      <c r="AB49" s="17">
        <v>12.17</v>
      </c>
      <c r="AC49" s="17">
        <v>10.27</v>
      </c>
      <c r="AD49" s="17">
        <v>0</v>
      </c>
      <c r="AE49" s="17">
        <v>7.17</v>
      </c>
      <c r="AF49" s="26">
        <v>0.0243448689737948</v>
      </c>
      <c r="AG49" s="26">
        <v>0.205441088217644</v>
      </c>
      <c r="AH49" s="26">
        <v>0</v>
      </c>
      <c r="AI49" s="26">
        <v>0.143428685737147</v>
      </c>
      <c r="AJ49" s="17">
        <v>82</v>
      </c>
      <c r="AK49" s="17">
        <v>97</v>
      </c>
      <c r="AL49" s="17">
        <v>63</v>
      </c>
      <c r="AM49" s="17">
        <v>49</v>
      </c>
      <c r="AN49" s="26">
        <v>0.121951219512195</v>
      </c>
      <c r="AO49" s="26">
        <v>0.0103092783505155</v>
      </c>
      <c r="AP49" s="26">
        <v>0.0952380952380952</v>
      </c>
      <c r="AQ49" s="26">
        <v>0.0204081632653061</v>
      </c>
      <c r="AR49" s="31">
        <v>1.42857142857143</v>
      </c>
      <c r="AS49" s="31">
        <v>85.7142857142857</v>
      </c>
      <c r="AT49" s="31">
        <v>-56.7142857142857</v>
      </c>
      <c r="AU49" s="18">
        <v>20</v>
      </c>
      <c r="AV49" s="32">
        <v>43359</v>
      </c>
    </row>
    <row r="50" spans="1:48">
      <c r="A50" s="16" t="s">
        <v>165</v>
      </c>
      <c r="B50" s="17" t="s">
        <v>166</v>
      </c>
      <c r="C50" s="17" t="s">
        <v>113</v>
      </c>
      <c r="D50" s="18">
        <v>0</v>
      </c>
      <c r="E50" s="18">
        <v>0</v>
      </c>
      <c r="F50" s="18">
        <v>0</v>
      </c>
      <c r="G50" s="18">
        <v>0</v>
      </c>
      <c r="H50" s="18">
        <v>0</v>
      </c>
      <c r="I50" s="18">
        <v>0</v>
      </c>
      <c r="J50" s="18">
        <v>0</v>
      </c>
      <c r="K50" s="18">
        <v>24</v>
      </c>
      <c r="L50" s="18">
        <v>0</v>
      </c>
      <c r="M50" s="21">
        <v>24</v>
      </c>
      <c r="N50" s="18">
        <v>0</v>
      </c>
      <c r="O50" s="17">
        <v>0</v>
      </c>
      <c r="P50" s="17">
        <v>0</v>
      </c>
      <c r="Q50" s="17">
        <v>0</v>
      </c>
      <c r="R50" s="17">
        <v>0</v>
      </c>
      <c r="S50" s="17">
        <v>0</v>
      </c>
      <c r="T50" s="17" t="s">
        <v>54</v>
      </c>
      <c r="U50" s="17" t="s">
        <v>54</v>
      </c>
      <c r="V50" s="17" t="s">
        <v>54</v>
      </c>
      <c r="W50" s="17" t="s">
        <v>54</v>
      </c>
      <c r="X50" s="26" t="s">
        <v>54</v>
      </c>
      <c r="Y50" s="26" t="s">
        <v>54</v>
      </c>
      <c r="Z50" s="26" t="s">
        <v>54</v>
      </c>
      <c r="AA50" s="26" t="s">
        <v>54</v>
      </c>
      <c r="AB50" s="17" t="s">
        <v>54</v>
      </c>
      <c r="AC50" s="17" t="s">
        <v>54</v>
      </c>
      <c r="AD50" s="17" t="s">
        <v>54</v>
      </c>
      <c r="AE50" s="17" t="s">
        <v>54</v>
      </c>
      <c r="AF50" s="26" t="s">
        <v>61</v>
      </c>
      <c r="AG50" s="26" t="s">
        <v>61</v>
      </c>
      <c r="AH50" s="26" t="s">
        <v>61</v>
      </c>
      <c r="AI50" s="26" t="s">
        <v>61</v>
      </c>
      <c r="AJ50" s="17" t="s">
        <v>54</v>
      </c>
      <c r="AK50" s="17" t="s">
        <v>54</v>
      </c>
      <c r="AL50" s="17" t="s">
        <v>54</v>
      </c>
      <c r="AM50" s="17" t="s">
        <v>54</v>
      </c>
      <c r="AN50" s="26" t="s">
        <v>54</v>
      </c>
      <c r="AO50" s="26" t="s">
        <v>54</v>
      </c>
      <c r="AP50" s="26" t="s">
        <v>54</v>
      </c>
      <c r="AQ50" s="26" t="s">
        <v>54</v>
      </c>
      <c r="AR50" s="31">
        <v>0</v>
      </c>
      <c r="AS50" s="31">
        <v>0</v>
      </c>
      <c r="AT50" s="31">
        <v>24</v>
      </c>
      <c r="AU50" s="18" t="s">
        <v>167</v>
      </c>
      <c r="AV50" s="32" t="s">
        <v>63</v>
      </c>
    </row>
    <row r="51" spans="1:48">
      <c r="A51" s="16" t="s">
        <v>168</v>
      </c>
      <c r="B51" s="17" t="s">
        <v>169</v>
      </c>
      <c r="C51" s="17" t="s">
        <v>170</v>
      </c>
      <c r="D51" s="18">
        <v>0</v>
      </c>
      <c r="E51" s="18">
        <v>0</v>
      </c>
      <c r="F51" s="18">
        <v>0</v>
      </c>
      <c r="G51" s="18">
        <v>0</v>
      </c>
      <c r="H51" s="18">
        <v>0</v>
      </c>
      <c r="I51" s="18">
        <v>0</v>
      </c>
      <c r="J51" s="18">
        <v>0</v>
      </c>
      <c r="K51" s="18">
        <v>72</v>
      </c>
      <c r="L51" s="18">
        <v>0</v>
      </c>
      <c r="M51" s="21">
        <v>72</v>
      </c>
      <c r="N51" s="18">
        <v>0</v>
      </c>
      <c r="O51" s="17">
        <v>0</v>
      </c>
      <c r="P51" s="17">
        <v>0</v>
      </c>
      <c r="Q51" s="17">
        <v>0</v>
      </c>
      <c r="R51" s="17">
        <v>0</v>
      </c>
      <c r="S51" s="17">
        <v>0</v>
      </c>
      <c r="T51" s="17" t="s">
        <v>54</v>
      </c>
      <c r="U51" s="17" t="s">
        <v>54</v>
      </c>
      <c r="V51" s="17" t="s">
        <v>54</v>
      </c>
      <c r="W51" s="17" t="s">
        <v>54</v>
      </c>
      <c r="X51" s="26" t="s">
        <v>54</v>
      </c>
      <c r="Y51" s="26" t="s">
        <v>54</v>
      </c>
      <c r="Z51" s="26" t="s">
        <v>54</v>
      </c>
      <c r="AA51" s="26" t="s">
        <v>54</v>
      </c>
      <c r="AB51" s="17" t="s">
        <v>54</v>
      </c>
      <c r="AC51" s="17" t="s">
        <v>54</v>
      </c>
      <c r="AD51" s="17" t="s">
        <v>54</v>
      </c>
      <c r="AE51" s="17" t="s">
        <v>54</v>
      </c>
      <c r="AF51" s="26" t="s">
        <v>61</v>
      </c>
      <c r="AG51" s="26" t="s">
        <v>61</v>
      </c>
      <c r="AH51" s="26" t="s">
        <v>61</v>
      </c>
      <c r="AI51" s="26" t="s">
        <v>61</v>
      </c>
      <c r="AJ51" s="17" t="s">
        <v>54</v>
      </c>
      <c r="AK51" s="17" t="s">
        <v>54</v>
      </c>
      <c r="AL51" s="17" t="s">
        <v>54</v>
      </c>
      <c r="AM51" s="17" t="s">
        <v>54</v>
      </c>
      <c r="AN51" s="26" t="s">
        <v>54</v>
      </c>
      <c r="AO51" s="26" t="s">
        <v>54</v>
      </c>
      <c r="AP51" s="26" t="s">
        <v>54</v>
      </c>
      <c r="AQ51" s="26" t="s">
        <v>54</v>
      </c>
      <c r="AR51" s="31">
        <v>0</v>
      </c>
      <c r="AS51" s="31">
        <v>0</v>
      </c>
      <c r="AT51" s="31">
        <v>72</v>
      </c>
      <c r="AU51" s="18" t="s">
        <v>171</v>
      </c>
      <c r="AV51" s="32" t="s">
        <v>63</v>
      </c>
    </row>
    <row r="52" spans="1:48">
      <c r="A52" s="16" t="s">
        <v>172</v>
      </c>
      <c r="B52" s="17" t="s">
        <v>173</v>
      </c>
      <c r="C52" s="17" t="s">
        <v>174</v>
      </c>
      <c r="D52" s="18">
        <v>19</v>
      </c>
      <c r="E52" s="18">
        <v>17</v>
      </c>
      <c r="F52" s="18">
        <v>22</v>
      </c>
      <c r="G52" s="18">
        <v>9</v>
      </c>
      <c r="H52" s="18">
        <v>28.4522388059701</v>
      </c>
      <c r="I52" s="18">
        <v>0</v>
      </c>
      <c r="J52" s="18">
        <v>0</v>
      </c>
      <c r="K52" s="18">
        <v>0</v>
      </c>
      <c r="L52" s="18">
        <v>0</v>
      </c>
      <c r="M52" s="21">
        <v>0</v>
      </c>
      <c r="N52" s="18">
        <v>0</v>
      </c>
      <c r="O52" s="17">
        <v>5</v>
      </c>
      <c r="P52" s="17">
        <v>20878</v>
      </c>
      <c r="Q52" s="17">
        <v>54833</v>
      </c>
      <c r="R52" s="17">
        <v>0</v>
      </c>
      <c r="S52" s="17">
        <v>7587</v>
      </c>
      <c r="T52" s="17">
        <v>39</v>
      </c>
      <c r="U52" s="17">
        <v>73</v>
      </c>
      <c r="V52" s="17">
        <v>0</v>
      </c>
      <c r="W52" s="17">
        <v>28</v>
      </c>
      <c r="X52" s="26">
        <v>0.00186799501867995</v>
      </c>
      <c r="Y52" s="26">
        <v>0.00133131508398227</v>
      </c>
      <c r="Z52" s="26" t="s">
        <v>54</v>
      </c>
      <c r="AA52" s="26">
        <v>0.003690523263477</v>
      </c>
      <c r="AB52" s="17">
        <v>33.39</v>
      </c>
      <c r="AC52" s="17">
        <v>69.29</v>
      </c>
      <c r="AD52" s="17">
        <v>0</v>
      </c>
      <c r="AE52" s="17">
        <v>26.75</v>
      </c>
      <c r="AF52" s="26">
        <v>0.0617655585220199</v>
      </c>
      <c r="AG52" s="26">
        <v>0.143253484575911</v>
      </c>
      <c r="AH52" s="26">
        <v>0</v>
      </c>
      <c r="AI52" s="26">
        <v>0.104463562340077</v>
      </c>
      <c r="AJ52" s="17">
        <v>171</v>
      </c>
      <c r="AK52" s="17">
        <v>243</v>
      </c>
      <c r="AL52" s="17">
        <v>252</v>
      </c>
      <c r="AM52" s="17">
        <v>153</v>
      </c>
      <c r="AN52" s="26">
        <v>0.111111111111111</v>
      </c>
      <c r="AO52" s="26">
        <v>0.0699588477366255</v>
      </c>
      <c r="AP52" s="26">
        <v>0.0873015873015873</v>
      </c>
      <c r="AQ52" s="26">
        <v>0.0588235294117647</v>
      </c>
      <c r="AR52" s="31">
        <v>2.71428571428571</v>
      </c>
      <c r="AS52" s="31">
        <v>162.857142857143</v>
      </c>
      <c r="AT52" s="31">
        <v>-162.857142857143</v>
      </c>
      <c r="AU52" s="18">
        <v>0</v>
      </c>
      <c r="AV52" s="32">
        <v>43339</v>
      </c>
    </row>
    <row r="53" spans="1:48">
      <c r="A53" s="16" t="s">
        <v>175</v>
      </c>
      <c r="B53" s="17" t="s">
        <v>80</v>
      </c>
      <c r="C53" s="17" t="s">
        <v>81</v>
      </c>
      <c r="D53" s="18">
        <v>2</v>
      </c>
      <c r="E53" s="18">
        <v>3</v>
      </c>
      <c r="F53" s="18">
        <v>2</v>
      </c>
      <c r="G53" s="18">
        <v>1</v>
      </c>
      <c r="H53" s="18">
        <v>42.7125</v>
      </c>
      <c r="I53" s="18">
        <v>31</v>
      </c>
      <c r="J53" s="18">
        <v>0</v>
      </c>
      <c r="K53" s="18">
        <v>0</v>
      </c>
      <c r="L53" s="18">
        <v>7</v>
      </c>
      <c r="M53" s="21">
        <v>38</v>
      </c>
      <c r="N53" s="18">
        <v>0</v>
      </c>
      <c r="O53" s="17">
        <v>40</v>
      </c>
      <c r="P53" s="17">
        <v>2283</v>
      </c>
      <c r="Q53" s="17">
        <v>2096</v>
      </c>
      <c r="R53" s="17">
        <v>0</v>
      </c>
      <c r="S53" s="17">
        <v>876</v>
      </c>
      <c r="T53" s="17">
        <v>13</v>
      </c>
      <c r="U53" s="17">
        <v>9</v>
      </c>
      <c r="V53" s="17">
        <v>0</v>
      </c>
      <c r="W53" s="17">
        <v>10</v>
      </c>
      <c r="X53" s="26">
        <v>0.00569426193604906</v>
      </c>
      <c r="Y53" s="26">
        <v>0.00429389312977099</v>
      </c>
      <c r="Z53" s="26" t="s">
        <v>54</v>
      </c>
      <c r="AA53" s="26">
        <v>0.0114155251141553</v>
      </c>
      <c r="AB53" s="17">
        <v>10.07</v>
      </c>
      <c r="AC53" s="17">
        <v>8.03</v>
      </c>
      <c r="AD53" s="17">
        <v>0</v>
      </c>
      <c r="AE53" s="17">
        <v>6.58</v>
      </c>
      <c r="AF53" s="26">
        <v>0.117881182323676</v>
      </c>
      <c r="AG53" s="26">
        <v>0.0626670568725003</v>
      </c>
      <c r="AH53" s="26">
        <v>0</v>
      </c>
      <c r="AI53" s="26">
        <v>0.154053263096283</v>
      </c>
      <c r="AJ53" s="17">
        <v>49</v>
      </c>
      <c r="AK53" s="17">
        <v>33</v>
      </c>
      <c r="AL53" s="17">
        <v>34</v>
      </c>
      <c r="AM53" s="17">
        <v>44</v>
      </c>
      <c r="AN53" s="26">
        <v>0.0408163265306122</v>
      </c>
      <c r="AO53" s="26">
        <v>0.0909090909090909</v>
      </c>
      <c r="AP53" s="26">
        <v>0.0588235294117647</v>
      </c>
      <c r="AQ53" s="26">
        <v>0.0227272727272727</v>
      </c>
      <c r="AR53" s="31">
        <v>0.285714285714286</v>
      </c>
      <c r="AS53" s="31">
        <v>17.1428571428571</v>
      </c>
      <c r="AT53" s="31">
        <v>20.8571428571429</v>
      </c>
      <c r="AU53" s="18">
        <v>133</v>
      </c>
      <c r="AV53" s="32">
        <v>43472</v>
      </c>
    </row>
    <row r="54" spans="1:48">
      <c r="A54" s="16" t="s">
        <v>176</v>
      </c>
      <c r="B54" s="17" t="s">
        <v>177</v>
      </c>
      <c r="C54" s="17" t="s">
        <v>178</v>
      </c>
      <c r="D54" s="18">
        <v>2</v>
      </c>
      <c r="E54" s="18">
        <v>10</v>
      </c>
      <c r="F54" s="18">
        <v>13</v>
      </c>
      <c r="G54" s="18">
        <v>4</v>
      </c>
      <c r="H54" s="18">
        <v>10.6865517241379</v>
      </c>
      <c r="I54" s="18">
        <v>0</v>
      </c>
      <c r="J54" s="18">
        <v>0</v>
      </c>
      <c r="K54" s="18">
        <v>0</v>
      </c>
      <c r="L54" s="18">
        <v>0</v>
      </c>
      <c r="M54" s="21">
        <v>0</v>
      </c>
      <c r="N54" s="18">
        <v>0</v>
      </c>
      <c r="O54" s="17">
        <v>1</v>
      </c>
      <c r="P54" s="17">
        <v>1888</v>
      </c>
      <c r="Q54" s="17">
        <v>11694</v>
      </c>
      <c r="R54" s="17">
        <v>0</v>
      </c>
      <c r="S54" s="17">
        <v>6873</v>
      </c>
      <c r="T54" s="17">
        <v>5</v>
      </c>
      <c r="U54" s="17">
        <v>25</v>
      </c>
      <c r="V54" s="17">
        <v>0</v>
      </c>
      <c r="W54" s="17">
        <v>25</v>
      </c>
      <c r="X54" s="26">
        <v>0.00264830508474576</v>
      </c>
      <c r="Y54" s="26">
        <v>0.0021378484693005</v>
      </c>
      <c r="Z54" s="26" t="s">
        <v>54</v>
      </c>
      <c r="AA54" s="26">
        <v>0.0036374217954314</v>
      </c>
      <c r="AB54" s="17">
        <v>3.86</v>
      </c>
      <c r="AC54" s="17">
        <v>24.33</v>
      </c>
      <c r="AD54" s="17">
        <v>0</v>
      </c>
      <c r="AE54" s="17">
        <v>19.15</v>
      </c>
      <c r="AF54" s="26">
        <v>0.180600819592786</v>
      </c>
      <c r="AG54" s="26">
        <v>0.227669323351942</v>
      </c>
      <c r="AH54" s="26">
        <v>0</v>
      </c>
      <c r="AI54" s="26">
        <v>0.447992965699721</v>
      </c>
      <c r="AJ54" s="17">
        <v>17</v>
      </c>
      <c r="AK54" s="17">
        <v>81</v>
      </c>
      <c r="AL54" s="17">
        <v>73</v>
      </c>
      <c r="AM54" s="17">
        <v>67</v>
      </c>
      <c r="AN54" s="26">
        <v>0.117647058823529</v>
      </c>
      <c r="AO54" s="26">
        <v>0.123456790123457</v>
      </c>
      <c r="AP54" s="26">
        <v>0.178082191780822</v>
      </c>
      <c r="AQ54" s="26">
        <v>0.0597014925373134</v>
      </c>
      <c r="AR54" s="31">
        <v>0.285714285714286</v>
      </c>
      <c r="AS54" s="31">
        <v>17.1428571428571</v>
      </c>
      <c r="AT54" s="31">
        <v>-17.1428571428571</v>
      </c>
      <c r="AU54" s="18">
        <v>0</v>
      </c>
      <c r="AV54" s="32">
        <v>43339</v>
      </c>
    </row>
    <row r="55" spans="1:48">
      <c r="A55" s="16" t="s">
        <v>179</v>
      </c>
      <c r="B55" s="17" t="s">
        <v>97</v>
      </c>
      <c r="C55" s="17" t="s">
        <v>98</v>
      </c>
      <c r="D55" s="18">
        <v>10</v>
      </c>
      <c r="E55" s="18">
        <v>5</v>
      </c>
      <c r="F55" s="18">
        <v>3</v>
      </c>
      <c r="G55" s="18">
        <v>5</v>
      </c>
      <c r="H55" s="18">
        <v>35</v>
      </c>
      <c r="I55" s="18">
        <v>38</v>
      </c>
      <c r="J55" s="18">
        <v>0</v>
      </c>
      <c r="K55" s="18">
        <v>0</v>
      </c>
      <c r="L55" s="18">
        <v>2</v>
      </c>
      <c r="M55" s="21">
        <v>40</v>
      </c>
      <c r="N55" s="18">
        <v>0</v>
      </c>
      <c r="O55" s="17">
        <v>45</v>
      </c>
      <c r="P55" s="17">
        <v>8437</v>
      </c>
      <c r="Q55" s="17">
        <v>8970</v>
      </c>
      <c r="R55" s="17">
        <v>0</v>
      </c>
      <c r="S55" s="17">
        <v>4743</v>
      </c>
      <c r="T55" s="17">
        <v>29</v>
      </c>
      <c r="U55" s="17">
        <v>25</v>
      </c>
      <c r="V55" s="17">
        <v>0</v>
      </c>
      <c r="W55" s="17">
        <v>18</v>
      </c>
      <c r="X55" s="26">
        <v>0.00343724072537632</v>
      </c>
      <c r="Y55" s="26">
        <v>0.00278706800445931</v>
      </c>
      <c r="Z55" s="26" t="s">
        <v>54</v>
      </c>
      <c r="AA55" s="26">
        <v>0.00379506641366224</v>
      </c>
      <c r="AB55" s="17">
        <v>25.22</v>
      </c>
      <c r="AC55" s="17">
        <v>20.62</v>
      </c>
      <c r="AD55" s="17">
        <v>0</v>
      </c>
      <c r="AE55" s="17">
        <v>17.77</v>
      </c>
      <c r="AF55" s="26">
        <v>0.0720571428571428</v>
      </c>
      <c r="AG55" s="26">
        <v>0.117828571428571</v>
      </c>
      <c r="AH55" s="26">
        <v>0</v>
      </c>
      <c r="AI55" s="26">
        <v>0.101542857142857</v>
      </c>
      <c r="AJ55" s="17">
        <v>53</v>
      </c>
      <c r="AK55" s="17">
        <v>49</v>
      </c>
      <c r="AL55" s="17">
        <v>63</v>
      </c>
      <c r="AM55" s="17">
        <v>39</v>
      </c>
      <c r="AN55" s="26">
        <v>0.188679245283019</v>
      </c>
      <c r="AO55" s="26">
        <v>0.102040816326531</v>
      </c>
      <c r="AP55" s="26">
        <v>0.0476190476190476</v>
      </c>
      <c r="AQ55" s="26">
        <v>0.128205128205128</v>
      </c>
      <c r="AR55" s="31">
        <v>1.42857142857143</v>
      </c>
      <c r="AS55" s="31">
        <v>85.7142857142857</v>
      </c>
      <c r="AT55" s="31">
        <v>-45.7142857142857</v>
      </c>
      <c r="AU55" s="18">
        <v>28</v>
      </c>
      <c r="AV55" s="32">
        <v>43367</v>
      </c>
    </row>
    <row r="56" spans="1:48">
      <c r="A56" s="16" t="s">
        <v>180</v>
      </c>
      <c r="B56" s="17" t="s">
        <v>118</v>
      </c>
      <c r="C56" s="17" t="s">
        <v>119</v>
      </c>
      <c r="D56" s="18">
        <v>0</v>
      </c>
      <c r="E56" s="18">
        <v>0</v>
      </c>
      <c r="F56" s="18">
        <v>0</v>
      </c>
      <c r="G56" s="18">
        <v>0</v>
      </c>
      <c r="H56" s="18">
        <v>0</v>
      </c>
      <c r="I56" s="18">
        <v>0</v>
      </c>
      <c r="J56" s="18">
        <v>0</v>
      </c>
      <c r="K56" s="18">
        <v>0</v>
      </c>
      <c r="L56" s="18">
        <v>0</v>
      </c>
      <c r="M56" s="21">
        <v>0</v>
      </c>
      <c r="N56" s="18">
        <v>0</v>
      </c>
      <c r="O56" s="17">
        <v>0</v>
      </c>
      <c r="P56" s="17">
        <v>0</v>
      </c>
      <c r="Q56" s="17">
        <v>0</v>
      </c>
      <c r="R56" s="17">
        <v>0</v>
      </c>
      <c r="S56" s="17">
        <v>0</v>
      </c>
      <c r="T56" s="17">
        <v>0</v>
      </c>
      <c r="U56" s="17">
        <v>0</v>
      </c>
      <c r="V56" s="17">
        <v>0</v>
      </c>
      <c r="W56" s="17">
        <v>0</v>
      </c>
      <c r="X56" s="26" t="s">
        <v>54</v>
      </c>
      <c r="Y56" s="26" t="s">
        <v>54</v>
      </c>
      <c r="Z56" s="26" t="s">
        <v>54</v>
      </c>
      <c r="AA56" s="26" t="s">
        <v>54</v>
      </c>
      <c r="AB56" s="17">
        <v>0</v>
      </c>
      <c r="AC56" s="17">
        <v>0</v>
      </c>
      <c r="AD56" s="17">
        <v>0</v>
      </c>
      <c r="AE56" s="17">
        <v>0</v>
      </c>
      <c r="AF56" s="26" t="s">
        <v>54</v>
      </c>
      <c r="AG56" s="26" t="s">
        <v>54</v>
      </c>
      <c r="AH56" s="26" t="s">
        <v>54</v>
      </c>
      <c r="AI56" s="26" t="s">
        <v>54</v>
      </c>
      <c r="AJ56" s="17" t="s">
        <v>54</v>
      </c>
      <c r="AK56" s="17" t="s">
        <v>54</v>
      </c>
      <c r="AL56" s="17" t="s">
        <v>54</v>
      </c>
      <c r="AM56" s="17" t="s">
        <v>54</v>
      </c>
      <c r="AN56" s="26" t="s">
        <v>54</v>
      </c>
      <c r="AO56" s="26" t="s">
        <v>54</v>
      </c>
      <c r="AP56" s="26" t="s">
        <v>54</v>
      </c>
      <c r="AQ56" s="26" t="s">
        <v>54</v>
      </c>
      <c r="AR56" s="31">
        <v>0</v>
      </c>
      <c r="AS56" s="31">
        <v>0</v>
      </c>
      <c r="AT56" s="31">
        <v>0</v>
      </c>
      <c r="AU56" s="18" t="s">
        <v>62</v>
      </c>
      <c r="AV56" s="32" t="s">
        <v>63</v>
      </c>
    </row>
    <row r="57" spans="1:48">
      <c r="A57" s="16" t="s">
        <v>181</v>
      </c>
      <c r="B57" s="17" t="s">
        <v>182</v>
      </c>
      <c r="C57" s="17" t="s">
        <v>183</v>
      </c>
      <c r="D57" s="18">
        <v>0</v>
      </c>
      <c r="E57" s="18">
        <v>0</v>
      </c>
      <c r="F57" s="18">
        <v>6</v>
      </c>
      <c r="G57" s="18">
        <v>7</v>
      </c>
      <c r="H57" s="18">
        <v>24.99</v>
      </c>
      <c r="I57" s="18">
        <v>0</v>
      </c>
      <c r="J57" s="18">
        <v>0</v>
      </c>
      <c r="K57" s="18">
        <v>0</v>
      </c>
      <c r="L57" s="18">
        <v>0</v>
      </c>
      <c r="M57" s="21">
        <v>0</v>
      </c>
      <c r="N57" s="18">
        <v>0</v>
      </c>
      <c r="O57" s="17">
        <v>0</v>
      </c>
      <c r="P57" s="17">
        <v>0</v>
      </c>
      <c r="Q57" s="17">
        <v>0</v>
      </c>
      <c r="R57" s="17">
        <v>0</v>
      </c>
      <c r="S57" s="17">
        <v>3253</v>
      </c>
      <c r="T57" s="17">
        <v>0</v>
      </c>
      <c r="U57" s="17">
        <v>0</v>
      </c>
      <c r="V57" s="17">
        <v>0</v>
      </c>
      <c r="W57" s="17">
        <v>7</v>
      </c>
      <c r="X57" s="26" t="s">
        <v>54</v>
      </c>
      <c r="Y57" s="26" t="s">
        <v>54</v>
      </c>
      <c r="Z57" s="26" t="s">
        <v>54</v>
      </c>
      <c r="AA57" s="26">
        <v>0.00215185982170304</v>
      </c>
      <c r="AB57" s="17">
        <v>0</v>
      </c>
      <c r="AC57" s="17">
        <v>0</v>
      </c>
      <c r="AD57" s="17">
        <v>0</v>
      </c>
      <c r="AE57" s="17">
        <v>4.44</v>
      </c>
      <c r="AF57" s="26" t="s">
        <v>54</v>
      </c>
      <c r="AG57" s="26" t="s">
        <v>54</v>
      </c>
      <c r="AH57" s="26">
        <v>0</v>
      </c>
      <c r="AI57" s="26">
        <v>0.0253815812039101</v>
      </c>
      <c r="AJ57" s="17">
        <v>0</v>
      </c>
      <c r="AK57" s="17">
        <v>0</v>
      </c>
      <c r="AL57" s="17">
        <v>37</v>
      </c>
      <c r="AM57" s="17">
        <v>47</v>
      </c>
      <c r="AN57" s="26" t="s">
        <v>54</v>
      </c>
      <c r="AO57" s="26" t="s">
        <v>54</v>
      </c>
      <c r="AP57" s="26">
        <v>0.162162162162162</v>
      </c>
      <c r="AQ57" s="26">
        <v>0.148936170212766</v>
      </c>
      <c r="AR57" s="31">
        <v>0</v>
      </c>
      <c r="AS57" s="31">
        <v>0</v>
      </c>
      <c r="AT57" s="31">
        <v>0</v>
      </c>
      <c r="AU57" s="18" t="s">
        <v>62</v>
      </c>
      <c r="AV57" s="32" t="s">
        <v>63</v>
      </c>
    </row>
    <row r="58" spans="1:48">
      <c r="A58" s="16" t="s">
        <v>184</v>
      </c>
      <c r="B58" s="17" t="s">
        <v>185</v>
      </c>
      <c r="C58" s="17" t="s">
        <v>186</v>
      </c>
      <c r="D58" s="18">
        <v>0</v>
      </c>
      <c r="E58" s="18">
        <v>0</v>
      </c>
      <c r="F58" s="18">
        <v>0</v>
      </c>
      <c r="G58" s="18">
        <v>0</v>
      </c>
      <c r="H58" s="18">
        <v>0</v>
      </c>
      <c r="I58" s="18">
        <v>0</v>
      </c>
      <c r="J58" s="18">
        <v>0</v>
      </c>
      <c r="K58" s="18">
        <v>0</v>
      </c>
      <c r="L58" s="18">
        <v>0</v>
      </c>
      <c r="M58" s="21">
        <v>0</v>
      </c>
      <c r="N58" s="18">
        <v>0</v>
      </c>
      <c r="O58" s="17">
        <v>0</v>
      </c>
      <c r="P58" s="17">
        <v>0</v>
      </c>
      <c r="Q58" s="17">
        <v>0</v>
      </c>
      <c r="R58" s="17">
        <v>0</v>
      </c>
      <c r="S58" s="17">
        <v>0</v>
      </c>
      <c r="T58" s="17" t="s">
        <v>54</v>
      </c>
      <c r="U58" s="17" t="s">
        <v>54</v>
      </c>
      <c r="V58" s="17" t="s">
        <v>54</v>
      </c>
      <c r="W58" s="17" t="s">
        <v>54</v>
      </c>
      <c r="X58" s="26" t="s">
        <v>54</v>
      </c>
      <c r="Y58" s="26" t="s">
        <v>54</v>
      </c>
      <c r="Z58" s="26" t="s">
        <v>54</v>
      </c>
      <c r="AA58" s="26" t="s">
        <v>54</v>
      </c>
      <c r="AB58" s="17" t="s">
        <v>54</v>
      </c>
      <c r="AC58" s="17" t="s">
        <v>54</v>
      </c>
      <c r="AD58" s="17" t="s">
        <v>54</v>
      </c>
      <c r="AE58" s="17" t="s">
        <v>54</v>
      </c>
      <c r="AF58" s="26" t="s">
        <v>61</v>
      </c>
      <c r="AG58" s="26" t="s">
        <v>61</v>
      </c>
      <c r="AH58" s="26" t="s">
        <v>61</v>
      </c>
      <c r="AI58" s="26" t="s">
        <v>61</v>
      </c>
      <c r="AJ58" s="17" t="s">
        <v>54</v>
      </c>
      <c r="AK58" s="17" t="s">
        <v>54</v>
      </c>
      <c r="AL58" s="17" t="s">
        <v>54</v>
      </c>
      <c r="AM58" s="17" t="s">
        <v>54</v>
      </c>
      <c r="AN58" s="26" t="s">
        <v>54</v>
      </c>
      <c r="AO58" s="26" t="s">
        <v>54</v>
      </c>
      <c r="AP58" s="26" t="s">
        <v>54</v>
      </c>
      <c r="AQ58" s="26" t="s">
        <v>54</v>
      </c>
      <c r="AR58" s="31">
        <v>0</v>
      </c>
      <c r="AS58" s="31">
        <v>0</v>
      </c>
      <c r="AT58" s="31">
        <v>0</v>
      </c>
      <c r="AU58" s="18" t="s">
        <v>62</v>
      </c>
      <c r="AV58" s="32" t="s">
        <v>63</v>
      </c>
    </row>
    <row r="59" spans="1:48">
      <c r="A59" s="16" t="s">
        <v>187</v>
      </c>
      <c r="B59" s="17" t="s">
        <v>188</v>
      </c>
      <c r="C59" s="17" t="s">
        <v>189</v>
      </c>
      <c r="D59" s="18">
        <v>0</v>
      </c>
      <c r="E59" s="18">
        <v>0</v>
      </c>
      <c r="F59" s="18">
        <v>15</v>
      </c>
      <c r="G59" s="18">
        <v>26</v>
      </c>
      <c r="H59" s="18">
        <v>41.9626829268293</v>
      </c>
      <c r="I59" s="18">
        <v>0</v>
      </c>
      <c r="J59" s="18">
        <v>0</v>
      </c>
      <c r="K59" s="18">
        <v>0</v>
      </c>
      <c r="L59" s="18">
        <v>0</v>
      </c>
      <c r="M59" s="21">
        <v>0</v>
      </c>
      <c r="N59" s="18">
        <v>0</v>
      </c>
      <c r="O59" s="17">
        <v>0</v>
      </c>
      <c r="P59" s="17">
        <v>0</v>
      </c>
      <c r="Q59" s="17">
        <v>0</v>
      </c>
      <c r="R59" s="17">
        <v>0</v>
      </c>
      <c r="S59" s="17">
        <v>11030</v>
      </c>
      <c r="T59" s="17">
        <v>0</v>
      </c>
      <c r="U59" s="17">
        <v>0</v>
      </c>
      <c r="V59" s="17">
        <v>0</v>
      </c>
      <c r="W59" s="17">
        <v>16</v>
      </c>
      <c r="X59" s="26" t="s">
        <v>54</v>
      </c>
      <c r="Y59" s="26" t="s">
        <v>54</v>
      </c>
      <c r="Z59" s="26" t="s">
        <v>54</v>
      </c>
      <c r="AA59" s="26">
        <v>0.0014505893019039</v>
      </c>
      <c r="AB59" s="17">
        <v>0</v>
      </c>
      <c r="AC59" s="17">
        <v>0</v>
      </c>
      <c r="AD59" s="17">
        <v>0</v>
      </c>
      <c r="AE59" s="17">
        <v>14.37</v>
      </c>
      <c r="AF59" s="26" t="s">
        <v>54</v>
      </c>
      <c r="AG59" s="26" t="s">
        <v>54</v>
      </c>
      <c r="AH59" s="26">
        <v>0</v>
      </c>
      <c r="AI59" s="26">
        <v>0.0131710431541292</v>
      </c>
      <c r="AJ59" s="17">
        <v>0</v>
      </c>
      <c r="AK59" s="17">
        <v>0</v>
      </c>
      <c r="AL59" s="17">
        <v>93</v>
      </c>
      <c r="AM59" s="17">
        <v>193</v>
      </c>
      <c r="AN59" s="26" t="s">
        <v>54</v>
      </c>
      <c r="AO59" s="26" t="s">
        <v>54</v>
      </c>
      <c r="AP59" s="26">
        <v>0.161290322580645</v>
      </c>
      <c r="AQ59" s="26">
        <v>0.134715025906736</v>
      </c>
      <c r="AR59" s="31">
        <v>0</v>
      </c>
      <c r="AS59" s="31">
        <v>0</v>
      </c>
      <c r="AT59" s="31">
        <v>0</v>
      </c>
      <c r="AU59" s="18" t="s">
        <v>62</v>
      </c>
      <c r="AV59" s="32" t="s">
        <v>63</v>
      </c>
    </row>
    <row r="60" spans="1:48">
      <c r="A60" s="16" t="s">
        <v>190</v>
      </c>
      <c r="B60" s="17" t="s">
        <v>71</v>
      </c>
      <c r="C60" s="17" t="s">
        <v>72</v>
      </c>
      <c r="D60" s="18">
        <v>3</v>
      </c>
      <c r="E60" s="18">
        <v>2</v>
      </c>
      <c r="F60" s="18">
        <v>2</v>
      </c>
      <c r="G60" s="18">
        <v>4</v>
      </c>
      <c r="H60" s="18">
        <v>43</v>
      </c>
      <c r="I60" s="18">
        <v>8</v>
      </c>
      <c r="J60" s="18">
        <v>0</v>
      </c>
      <c r="K60" s="18">
        <v>0</v>
      </c>
      <c r="L60" s="18">
        <v>0</v>
      </c>
      <c r="M60" s="21">
        <v>8</v>
      </c>
      <c r="N60" s="18">
        <v>0</v>
      </c>
      <c r="O60" s="17">
        <v>0</v>
      </c>
      <c r="P60" s="17">
        <v>452</v>
      </c>
      <c r="Q60" s="17">
        <v>371</v>
      </c>
      <c r="R60" s="17">
        <v>0</v>
      </c>
      <c r="S60" s="17">
        <v>625</v>
      </c>
      <c r="T60" s="17">
        <v>5</v>
      </c>
      <c r="U60" s="17">
        <v>4</v>
      </c>
      <c r="V60" s="17">
        <v>0</v>
      </c>
      <c r="W60" s="17">
        <v>3</v>
      </c>
      <c r="X60" s="26">
        <v>0.0110619469026549</v>
      </c>
      <c r="Y60" s="26">
        <v>0.0107816711590297</v>
      </c>
      <c r="Z60" s="26" t="s">
        <v>54</v>
      </c>
      <c r="AA60" s="26">
        <v>0.0048</v>
      </c>
      <c r="AB60" s="17">
        <v>2.33</v>
      </c>
      <c r="AC60" s="17">
        <v>2.2</v>
      </c>
      <c r="AD60" s="17">
        <v>0</v>
      </c>
      <c r="AE60" s="17">
        <v>1.55</v>
      </c>
      <c r="AF60" s="26">
        <v>0.018062015503876</v>
      </c>
      <c r="AG60" s="26">
        <v>0.0255813953488372</v>
      </c>
      <c r="AH60" s="26">
        <v>0</v>
      </c>
      <c r="AI60" s="26">
        <v>0.00901162790697674</v>
      </c>
      <c r="AJ60" s="17">
        <v>44</v>
      </c>
      <c r="AK60" s="17">
        <v>30</v>
      </c>
      <c r="AL60" s="17">
        <v>52</v>
      </c>
      <c r="AM60" s="17">
        <v>47</v>
      </c>
      <c r="AN60" s="26">
        <v>0.0681818181818182</v>
      </c>
      <c r="AO60" s="26">
        <v>0.0666666666666667</v>
      </c>
      <c r="AP60" s="26">
        <v>0.0384615384615385</v>
      </c>
      <c r="AQ60" s="26">
        <v>0.0851063829787234</v>
      </c>
      <c r="AR60" s="31">
        <v>0.428571428571429</v>
      </c>
      <c r="AS60" s="31">
        <v>25.7142857142857</v>
      </c>
      <c r="AT60" s="31">
        <v>-17.7142857142857</v>
      </c>
      <c r="AU60" s="18">
        <v>18</v>
      </c>
      <c r="AV60" s="32">
        <v>43357</v>
      </c>
    </row>
    <row r="61" spans="1:48">
      <c r="A61" s="16" t="s">
        <v>191</v>
      </c>
      <c r="B61" s="17" t="s">
        <v>192</v>
      </c>
      <c r="C61" s="17" t="s">
        <v>193</v>
      </c>
      <c r="D61" s="18">
        <v>7</v>
      </c>
      <c r="E61" s="18">
        <v>7</v>
      </c>
      <c r="F61" s="18">
        <v>5</v>
      </c>
      <c r="G61" s="18">
        <v>1</v>
      </c>
      <c r="H61" s="18">
        <v>47.6805</v>
      </c>
      <c r="I61" s="18">
        <v>42</v>
      </c>
      <c r="J61" s="18">
        <v>0</v>
      </c>
      <c r="K61" s="18">
        <v>0</v>
      </c>
      <c r="L61" s="18">
        <v>0</v>
      </c>
      <c r="M61" s="21">
        <v>42</v>
      </c>
      <c r="N61" s="18">
        <v>0</v>
      </c>
      <c r="O61" s="17">
        <v>42</v>
      </c>
      <c r="P61" s="17">
        <v>4164</v>
      </c>
      <c r="Q61" s="17">
        <v>4519</v>
      </c>
      <c r="R61" s="17">
        <v>0</v>
      </c>
      <c r="S61" s="17">
        <v>1963</v>
      </c>
      <c r="T61" s="17">
        <v>5</v>
      </c>
      <c r="U61" s="17">
        <v>6</v>
      </c>
      <c r="V61" s="17">
        <v>0</v>
      </c>
      <c r="W61" s="17">
        <v>4</v>
      </c>
      <c r="X61" s="26">
        <v>0.00120076849183477</v>
      </c>
      <c r="Y61" s="26">
        <v>0.00132772737331268</v>
      </c>
      <c r="Z61" s="26" t="s">
        <v>54</v>
      </c>
      <c r="AA61" s="26">
        <v>0.00203769740193581</v>
      </c>
      <c r="AB61" s="17">
        <v>4.73</v>
      </c>
      <c r="AC61" s="17">
        <v>4.51</v>
      </c>
      <c r="AD61" s="17">
        <v>0</v>
      </c>
      <c r="AE61" s="17">
        <v>3.74</v>
      </c>
      <c r="AF61" s="26">
        <v>0.01417171140643</v>
      </c>
      <c r="AG61" s="26">
        <v>0.0135125620386891</v>
      </c>
      <c r="AH61" s="26">
        <v>0</v>
      </c>
      <c r="AI61" s="26">
        <v>0.0784387747611707</v>
      </c>
      <c r="AJ61" s="17">
        <v>44</v>
      </c>
      <c r="AK61" s="17">
        <v>42</v>
      </c>
      <c r="AL61" s="17">
        <v>43</v>
      </c>
      <c r="AM61" s="17">
        <v>34</v>
      </c>
      <c r="AN61" s="26">
        <v>0.159090909090909</v>
      </c>
      <c r="AO61" s="26">
        <v>0.166666666666667</v>
      </c>
      <c r="AP61" s="26">
        <v>0.116279069767442</v>
      </c>
      <c r="AQ61" s="26">
        <v>0.0294117647058824</v>
      </c>
      <c r="AR61" s="31">
        <v>1</v>
      </c>
      <c r="AS61" s="31">
        <v>60</v>
      </c>
      <c r="AT61" s="31">
        <v>-18</v>
      </c>
      <c r="AU61" s="18">
        <v>42</v>
      </c>
      <c r="AV61" s="32">
        <v>43381</v>
      </c>
    </row>
    <row r="62" spans="1:48">
      <c r="A62" s="16" t="s">
        <v>194</v>
      </c>
      <c r="B62" s="17" t="s">
        <v>90</v>
      </c>
      <c r="C62" s="17" t="s">
        <v>91</v>
      </c>
      <c r="D62" s="18">
        <v>0</v>
      </c>
      <c r="E62" s="18">
        <v>1</v>
      </c>
      <c r="F62" s="18">
        <v>22</v>
      </c>
      <c r="G62" s="18">
        <v>9</v>
      </c>
      <c r="H62" s="18">
        <v>15.4134375</v>
      </c>
      <c r="I62" s="18">
        <v>0</v>
      </c>
      <c r="J62" s="18">
        <v>0</v>
      </c>
      <c r="K62" s="18">
        <v>0</v>
      </c>
      <c r="L62" s="18">
        <v>0</v>
      </c>
      <c r="M62" s="21">
        <v>0</v>
      </c>
      <c r="N62" s="18">
        <v>0</v>
      </c>
      <c r="O62" s="17">
        <v>0</v>
      </c>
      <c r="P62" s="17">
        <v>0</v>
      </c>
      <c r="Q62" s="17">
        <v>5</v>
      </c>
      <c r="R62" s="17">
        <v>0</v>
      </c>
      <c r="S62" s="17">
        <v>10084</v>
      </c>
      <c r="T62" s="17">
        <v>0</v>
      </c>
      <c r="U62" s="17">
        <v>0</v>
      </c>
      <c r="V62" s="17">
        <v>0</v>
      </c>
      <c r="W62" s="17">
        <v>22</v>
      </c>
      <c r="X62" s="26" t="s">
        <v>54</v>
      </c>
      <c r="Y62" s="26">
        <v>0</v>
      </c>
      <c r="Z62" s="26" t="s">
        <v>54</v>
      </c>
      <c r="AA62" s="26">
        <v>0.00218167393891313</v>
      </c>
      <c r="AB62" s="17">
        <v>0</v>
      </c>
      <c r="AC62" s="17">
        <v>0</v>
      </c>
      <c r="AD62" s="17">
        <v>0</v>
      </c>
      <c r="AE62" s="17">
        <v>23.3</v>
      </c>
      <c r="AF62" s="26" t="s">
        <v>54</v>
      </c>
      <c r="AG62" s="26">
        <v>0</v>
      </c>
      <c r="AH62" s="26">
        <v>0</v>
      </c>
      <c r="AI62" s="26">
        <v>0.16796310939003</v>
      </c>
      <c r="AJ62" s="17">
        <v>0</v>
      </c>
      <c r="AK62" s="17">
        <v>16</v>
      </c>
      <c r="AL62" s="17">
        <v>143</v>
      </c>
      <c r="AM62" s="17">
        <v>124</v>
      </c>
      <c r="AN62" s="26" t="s">
        <v>54</v>
      </c>
      <c r="AO62" s="26">
        <v>0.0625</v>
      </c>
      <c r="AP62" s="26">
        <v>0.153846153846154</v>
      </c>
      <c r="AQ62" s="26">
        <v>0.0725806451612903</v>
      </c>
      <c r="AR62" s="31">
        <v>0</v>
      </c>
      <c r="AS62" s="31">
        <v>0</v>
      </c>
      <c r="AT62" s="31">
        <v>0</v>
      </c>
      <c r="AU62" s="18" t="s">
        <v>62</v>
      </c>
      <c r="AV62" s="32" t="s">
        <v>63</v>
      </c>
    </row>
    <row r="63" spans="1:48">
      <c r="A63" s="16" t="s">
        <v>195</v>
      </c>
      <c r="B63" s="17" t="s">
        <v>65</v>
      </c>
      <c r="C63" s="17" t="s">
        <v>66</v>
      </c>
      <c r="D63" s="18">
        <v>1</v>
      </c>
      <c r="E63" s="18">
        <v>6</v>
      </c>
      <c r="F63" s="18">
        <v>2</v>
      </c>
      <c r="G63" s="18">
        <v>2</v>
      </c>
      <c r="H63" s="18">
        <v>12.3727272727273</v>
      </c>
      <c r="I63" s="18">
        <v>0</v>
      </c>
      <c r="J63" s="18">
        <v>0</v>
      </c>
      <c r="K63" s="18">
        <v>0</v>
      </c>
      <c r="L63" s="18">
        <v>0</v>
      </c>
      <c r="M63" s="21">
        <v>0</v>
      </c>
      <c r="N63" s="18">
        <v>0</v>
      </c>
      <c r="O63" s="17">
        <v>0</v>
      </c>
      <c r="P63" s="17">
        <v>0</v>
      </c>
      <c r="Q63" s="17">
        <v>0</v>
      </c>
      <c r="R63" s="17">
        <v>0</v>
      </c>
      <c r="S63" s="17">
        <v>212</v>
      </c>
      <c r="T63" s="17">
        <v>0</v>
      </c>
      <c r="U63" s="17">
        <v>0</v>
      </c>
      <c r="V63" s="17">
        <v>0</v>
      </c>
      <c r="W63" s="17">
        <v>0</v>
      </c>
      <c r="X63" s="26" t="s">
        <v>54</v>
      </c>
      <c r="Y63" s="26" t="s">
        <v>54</v>
      </c>
      <c r="Z63" s="26" t="s">
        <v>54</v>
      </c>
      <c r="AA63" s="26">
        <v>0</v>
      </c>
      <c r="AB63" s="17">
        <v>0</v>
      </c>
      <c r="AC63" s="17">
        <v>0</v>
      </c>
      <c r="AD63" s="17">
        <v>0</v>
      </c>
      <c r="AE63" s="17">
        <v>0</v>
      </c>
      <c r="AF63" s="26">
        <v>0</v>
      </c>
      <c r="AG63" s="26">
        <v>0</v>
      </c>
      <c r="AH63" s="26">
        <v>0</v>
      </c>
      <c r="AI63" s="26">
        <v>0</v>
      </c>
      <c r="AJ63" s="17">
        <v>37</v>
      </c>
      <c r="AK63" s="17">
        <v>38</v>
      </c>
      <c r="AL63" s="17">
        <v>47</v>
      </c>
      <c r="AM63" s="17">
        <v>31</v>
      </c>
      <c r="AN63" s="26">
        <v>0.027027027027027</v>
      </c>
      <c r="AO63" s="26">
        <v>0.157894736842105</v>
      </c>
      <c r="AP63" s="26">
        <v>0.0425531914893617</v>
      </c>
      <c r="AQ63" s="26">
        <v>0.0645161290322581</v>
      </c>
      <c r="AR63" s="31">
        <v>0.142857142857143</v>
      </c>
      <c r="AS63" s="31">
        <v>8.57142857142857</v>
      </c>
      <c r="AT63" s="31">
        <v>-8.57142857142857</v>
      </c>
      <c r="AU63" s="18">
        <v>0</v>
      </c>
      <c r="AV63" s="32">
        <v>43339</v>
      </c>
    </row>
    <row r="64" spans="1:48">
      <c r="A64" s="16" t="s">
        <v>196</v>
      </c>
      <c r="B64" s="17" t="s">
        <v>197</v>
      </c>
      <c r="C64" s="17" t="s">
        <v>198</v>
      </c>
      <c r="D64" s="18">
        <v>2</v>
      </c>
      <c r="E64" s="18">
        <v>6</v>
      </c>
      <c r="F64" s="18">
        <v>2</v>
      </c>
      <c r="G64" s="18">
        <v>6</v>
      </c>
      <c r="H64" s="18">
        <v>39.318125</v>
      </c>
      <c r="I64" s="18">
        <v>13</v>
      </c>
      <c r="J64" s="18">
        <v>0</v>
      </c>
      <c r="K64" s="18">
        <v>0</v>
      </c>
      <c r="L64" s="18">
        <v>1</v>
      </c>
      <c r="M64" s="21">
        <v>14</v>
      </c>
      <c r="N64" s="18">
        <v>0</v>
      </c>
      <c r="O64" s="17">
        <v>14</v>
      </c>
      <c r="P64" s="17">
        <v>0</v>
      </c>
      <c r="Q64" s="17">
        <v>0</v>
      </c>
      <c r="R64" s="17">
        <v>0</v>
      </c>
      <c r="S64" s="17">
        <v>44</v>
      </c>
      <c r="T64" s="17">
        <v>0</v>
      </c>
      <c r="U64" s="17">
        <v>0</v>
      </c>
      <c r="V64" s="17">
        <v>0</v>
      </c>
      <c r="W64" s="17">
        <v>0</v>
      </c>
      <c r="X64" s="26" t="s">
        <v>54</v>
      </c>
      <c r="Y64" s="26" t="s">
        <v>54</v>
      </c>
      <c r="Z64" s="26" t="s">
        <v>54</v>
      </c>
      <c r="AA64" s="26">
        <v>0</v>
      </c>
      <c r="AB64" s="17">
        <v>0</v>
      </c>
      <c r="AC64" s="17">
        <v>0</v>
      </c>
      <c r="AD64" s="17">
        <v>0</v>
      </c>
      <c r="AE64" s="17">
        <v>0</v>
      </c>
      <c r="AF64" s="26">
        <v>0</v>
      </c>
      <c r="AG64" s="26">
        <v>0</v>
      </c>
      <c r="AH64" s="26">
        <v>0</v>
      </c>
      <c r="AI64" s="26">
        <v>0</v>
      </c>
      <c r="AJ64" s="17">
        <v>70</v>
      </c>
      <c r="AK64" s="17">
        <v>75</v>
      </c>
      <c r="AL64" s="17">
        <v>67</v>
      </c>
      <c r="AM64" s="17">
        <v>57</v>
      </c>
      <c r="AN64" s="26">
        <v>0.0285714285714286</v>
      </c>
      <c r="AO64" s="26">
        <v>0.08</v>
      </c>
      <c r="AP64" s="26">
        <v>0.0298507462686567</v>
      </c>
      <c r="AQ64" s="26">
        <v>0.105263157894737</v>
      </c>
      <c r="AR64" s="31">
        <v>0.285714285714286</v>
      </c>
      <c r="AS64" s="31">
        <v>17.1428571428571</v>
      </c>
      <c r="AT64" s="31">
        <v>-3.14285714285714</v>
      </c>
      <c r="AU64" s="18">
        <v>49</v>
      </c>
      <c r="AV64" s="32">
        <v>43388</v>
      </c>
    </row>
    <row r="65" spans="1:48">
      <c r="A65" s="16" t="s">
        <v>199</v>
      </c>
      <c r="B65" s="17" t="s">
        <v>118</v>
      </c>
      <c r="C65" s="17">
        <v>0</v>
      </c>
      <c r="D65" s="18">
        <v>0</v>
      </c>
      <c r="E65" s="18">
        <v>0</v>
      </c>
      <c r="F65" s="18">
        <v>0</v>
      </c>
      <c r="G65" s="18">
        <v>0</v>
      </c>
      <c r="H65" s="18">
        <v>0</v>
      </c>
      <c r="I65" s="18">
        <v>0</v>
      </c>
      <c r="J65" s="18">
        <v>0</v>
      </c>
      <c r="K65" s="18">
        <v>0</v>
      </c>
      <c r="L65" s="18">
        <v>0</v>
      </c>
      <c r="M65" s="21">
        <v>0</v>
      </c>
      <c r="N65" s="18">
        <v>1</v>
      </c>
      <c r="O65" s="17">
        <v>0</v>
      </c>
      <c r="P65" s="17">
        <v>0</v>
      </c>
      <c r="Q65" s="17">
        <v>0</v>
      </c>
      <c r="R65" s="17">
        <v>0</v>
      </c>
      <c r="S65" s="17">
        <v>0</v>
      </c>
      <c r="T65" s="17" t="s">
        <v>54</v>
      </c>
      <c r="U65" s="17" t="s">
        <v>54</v>
      </c>
      <c r="V65" s="17" t="s">
        <v>54</v>
      </c>
      <c r="W65" s="17" t="s">
        <v>54</v>
      </c>
      <c r="X65" s="26" t="s">
        <v>54</v>
      </c>
      <c r="Y65" s="26" t="s">
        <v>54</v>
      </c>
      <c r="Z65" s="26" t="s">
        <v>54</v>
      </c>
      <c r="AA65" s="26" t="s">
        <v>54</v>
      </c>
      <c r="AB65" s="17" t="s">
        <v>54</v>
      </c>
      <c r="AC65" s="17" t="s">
        <v>54</v>
      </c>
      <c r="AD65" s="17" t="s">
        <v>54</v>
      </c>
      <c r="AE65" s="17" t="s">
        <v>54</v>
      </c>
      <c r="AF65" s="26" t="s">
        <v>61</v>
      </c>
      <c r="AG65" s="26" t="s">
        <v>61</v>
      </c>
      <c r="AH65" s="26" t="s">
        <v>61</v>
      </c>
      <c r="AI65" s="26" t="s">
        <v>61</v>
      </c>
      <c r="AJ65" s="17" t="s">
        <v>54</v>
      </c>
      <c r="AK65" s="17" t="s">
        <v>54</v>
      </c>
      <c r="AL65" s="17" t="s">
        <v>54</v>
      </c>
      <c r="AM65" s="17" t="s">
        <v>54</v>
      </c>
      <c r="AN65" s="26" t="s">
        <v>54</v>
      </c>
      <c r="AO65" s="26" t="s">
        <v>54</v>
      </c>
      <c r="AP65" s="26" t="s">
        <v>54</v>
      </c>
      <c r="AQ65" s="26" t="s">
        <v>54</v>
      </c>
      <c r="AR65" s="31">
        <v>0</v>
      </c>
      <c r="AS65" s="31">
        <v>0</v>
      </c>
      <c r="AT65" s="31">
        <v>0</v>
      </c>
      <c r="AU65" s="18" t="s">
        <v>62</v>
      </c>
      <c r="AV65" s="32" t="s">
        <v>63</v>
      </c>
    </row>
    <row r="66" spans="1:48">
      <c r="A66" s="16" t="s">
        <v>200</v>
      </c>
      <c r="B66" s="17" t="s">
        <v>201</v>
      </c>
      <c r="C66" s="17" t="s">
        <v>202</v>
      </c>
      <c r="D66" s="18">
        <v>0</v>
      </c>
      <c r="E66" s="18">
        <v>0</v>
      </c>
      <c r="F66" s="18">
        <v>0</v>
      </c>
      <c r="G66" s="18">
        <v>0</v>
      </c>
      <c r="H66" s="18">
        <v>0</v>
      </c>
      <c r="I66" s="18">
        <v>0</v>
      </c>
      <c r="J66" s="18">
        <v>0</v>
      </c>
      <c r="K66" s="18">
        <v>0</v>
      </c>
      <c r="L66" s="18">
        <v>0</v>
      </c>
      <c r="M66" s="21">
        <v>0</v>
      </c>
      <c r="N66" s="18">
        <v>0</v>
      </c>
      <c r="O66" s="17">
        <v>0</v>
      </c>
      <c r="P66" s="17">
        <v>0</v>
      </c>
      <c r="Q66" s="17">
        <v>0</v>
      </c>
      <c r="R66" s="17">
        <v>0</v>
      </c>
      <c r="S66" s="17">
        <v>0</v>
      </c>
      <c r="T66" s="17" t="s">
        <v>54</v>
      </c>
      <c r="U66" s="17" t="s">
        <v>54</v>
      </c>
      <c r="V66" s="17" t="s">
        <v>54</v>
      </c>
      <c r="W66" s="17" t="s">
        <v>54</v>
      </c>
      <c r="X66" s="26" t="s">
        <v>54</v>
      </c>
      <c r="Y66" s="26" t="s">
        <v>54</v>
      </c>
      <c r="Z66" s="26" t="s">
        <v>54</v>
      </c>
      <c r="AA66" s="26" t="s">
        <v>54</v>
      </c>
      <c r="AB66" s="17" t="s">
        <v>54</v>
      </c>
      <c r="AC66" s="17" t="s">
        <v>54</v>
      </c>
      <c r="AD66" s="17" t="s">
        <v>54</v>
      </c>
      <c r="AE66" s="17" t="s">
        <v>54</v>
      </c>
      <c r="AF66" s="26" t="s">
        <v>61</v>
      </c>
      <c r="AG66" s="26" t="s">
        <v>61</v>
      </c>
      <c r="AH66" s="26" t="s">
        <v>61</v>
      </c>
      <c r="AI66" s="26" t="s">
        <v>61</v>
      </c>
      <c r="AJ66" s="17" t="s">
        <v>54</v>
      </c>
      <c r="AK66" s="17" t="s">
        <v>54</v>
      </c>
      <c r="AL66" s="17" t="s">
        <v>54</v>
      </c>
      <c r="AM66" s="17" t="s">
        <v>54</v>
      </c>
      <c r="AN66" s="26" t="s">
        <v>54</v>
      </c>
      <c r="AO66" s="26" t="s">
        <v>54</v>
      </c>
      <c r="AP66" s="26" t="s">
        <v>54</v>
      </c>
      <c r="AQ66" s="26" t="s">
        <v>54</v>
      </c>
      <c r="AR66" s="31">
        <v>0</v>
      </c>
      <c r="AS66" s="31">
        <v>0</v>
      </c>
      <c r="AT66" s="31">
        <v>0</v>
      </c>
      <c r="AU66" s="18" t="s">
        <v>62</v>
      </c>
      <c r="AV66" s="32" t="s">
        <v>63</v>
      </c>
    </row>
    <row r="67" spans="1:48">
      <c r="A67" s="16" t="s">
        <v>203</v>
      </c>
      <c r="B67" s="17" t="s">
        <v>169</v>
      </c>
      <c r="C67" s="17" t="s">
        <v>170</v>
      </c>
      <c r="D67" s="18">
        <v>0</v>
      </c>
      <c r="E67" s="18">
        <v>0</v>
      </c>
      <c r="F67" s="18">
        <v>0</v>
      </c>
      <c r="G67" s="18">
        <v>0</v>
      </c>
      <c r="H67" s="18">
        <v>0</v>
      </c>
      <c r="I67" s="18">
        <v>0</v>
      </c>
      <c r="J67" s="18">
        <v>0</v>
      </c>
      <c r="K67" s="18">
        <v>0</v>
      </c>
      <c r="L67" s="18">
        <v>0</v>
      </c>
      <c r="M67" s="21">
        <v>0</v>
      </c>
      <c r="N67" s="18">
        <v>0</v>
      </c>
      <c r="O67" s="17">
        <v>0</v>
      </c>
      <c r="P67" s="17">
        <v>0</v>
      </c>
      <c r="Q67" s="17">
        <v>0</v>
      </c>
      <c r="R67" s="17">
        <v>0</v>
      </c>
      <c r="S67" s="17">
        <v>0</v>
      </c>
      <c r="T67" s="17">
        <v>0</v>
      </c>
      <c r="U67" s="17">
        <v>0</v>
      </c>
      <c r="V67" s="17">
        <v>0</v>
      </c>
      <c r="W67" s="17">
        <v>0</v>
      </c>
      <c r="X67" s="26" t="s">
        <v>54</v>
      </c>
      <c r="Y67" s="26" t="s">
        <v>54</v>
      </c>
      <c r="Z67" s="26" t="s">
        <v>54</v>
      </c>
      <c r="AA67" s="26" t="s">
        <v>54</v>
      </c>
      <c r="AB67" s="17">
        <v>0</v>
      </c>
      <c r="AC67" s="17">
        <v>0</v>
      </c>
      <c r="AD67" s="17">
        <v>0</v>
      </c>
      <c r="AE67" s="17">
        <v>0</v>
      </c>
      <c r="AF67" s="26" t="s">
        <v>54</v>
      </c>
      <c r="AG67" s="26" t="s">
        <v>54</v>
      </c>
      <c r="AH67" s="26" t="s">
        <v>54</v>
      </c>
      <c r="AI67" s="26" t="s">
        <v>54</v>
      </c>
      <c r="AJ67" s="17" t="s">
        <v>54</v>
      </c>
      <c r="AK67" s="17" t="s">
        <v>54</v>
      </c>
      <c r="AL67" s="17" t="s">
        <v>54</v>
      </c>
      <c r="AM67" s="17" t="s">
        <v>54</v>
      </c>
      <c r="AN67" s="26" t="s">
        <v>54</v>
      </c>
      <c r="AO67" s="26" t="s">
        <v>54</v>
      </c>
      <c r="AP67" s="26" t="s">
        <v>54</v>
      </c>
      <c r="AQ67" s="26" t="s">
        <v>54</v>
      </c>
      <c r="AR67" s="31">
        <v>0</v>
      </c>
      <c r="AS67" s="31">
        <v>0</v>
      </c>
      <c r="AT67" s="31">
        <v>0</v>
      </c>
      <c r="AU67" s="18" t="s">
        <v>62</v>
      </c>
      <c r="AV67" s="32" t="s">
        <v>63</v>
      </c>
    </row>
    <row r="68" spans="1:48">
      <c r="A68" s="16" t="s">
        <v>204</v>
      </c>
      <c r="B68" s="17" t="s">
        <v>205</v>
      </c>
      <c r="C68" s="17" t="s">
        <v>206</v>
      </c>
      <c r="D68" s="18">
        <v>18</v>
      </c>
      <c r="E68" s="18">
        <v>19</v>
      </c>
      <c r="F68" s="18">
        <v>11</v>
      </c>
      <c r="G68" s="18">
        <v>17</v>
      </c>
      <c r="H68" s="18">
        <v>13.59</v>
      </c>
      <c r="I68" s="18">
        <v>36</v>
      </c>
      <c r="J68" s="18">
        <v>0</v>
      </c>
      <c r="K68" s="18">
        <v>0</v>
      </c>
      <c r="L68" s="18">
        <v>0</v>
      </c>
      <c r="M68" s="21">
        <v>36</v>
      </c>
      <c r="N68" s="18">
        <v>5</v>
      </c>
      <c r="O68" s="17">
        <v>47</v>
      </c>
      <c r="P68" s="17">
        <v>0</v>
      </c>
      <c r="Q68" s="17">
        <v>0</v>
      </c>
      <c r="R68" s="17">
        <v>0</v>
      </c>
      <c r="S68" s="17">
        <v>534</v>
      </c>
      <c r="T68" s="17">
        <v>0</v>
      </c>
      <c r="U68" s="17">
        <v>0</v>
      </c>
      <c r="V68" s="17">
        <v>0</v>
      </c>
      <c r="W68" s="17">
        <v>0</v>
      </c>
      <c r="X68" s="26" t="s">
        <v>54</v>
      </c>
      <c r="Y68" s="26" t="s">
        <v>54</v>
      </c>
      <c r="Z68" s="26" t="s">
        <v>54</v>
      </c>
      <c r="AA68" s="26">
        <v>0</v>
      </c>
      <c r="AB68" s="17">
        <v>0</v>
      </c>
      <c r="AC68" s="17">
        <v>0</v>
      </c>
      <c r="AD68" s="17">
        <v>0</v>
      </c>
      <c r="AE68" s="17">
        <v>0</v>
      </c>
      <c r="AF68" s="26">
        <v>0</v>
      </c>
      <c r="AG68" s="26">
        <v>0</v>
      </c>
      <c r="AH68" s="26">
        <v>0</v>
      </c>
      <c r="AI68" s="26">
        <v>0</v>
      </c>
      <c r="AJ68" s="17">
        <v>69</v>
      </c>
      <c r="AK68" s="17">
        <v>90</v>
      </c>
      <c r="AL68" s="17">
        <v>98</v>
      </c>
      <c r="AM68" s="17">
        <v>68</v>
      </c>
      <c r="AN68" s="26">
        <v>0.260869565217391</v>
      </c>
      <c r="AO68" s="26">
        <v>0.211111111111111</v>
      </c>
      <c r="AP68" s="26">
        <v>0.112244897959184</v>
      </c>
      <c r="AQ68" s="26">
        <v>0.25</v>
      </c>
      <c r="AR68" s="31">
        <v>2.57142857142857</v>
      </c>
      <c r="AS68" s="31">
        <v>154.285714285714</v>
      </c>
      <c r="AT68" s="31">
        <v>-118.285714285714</v>
      </c>
      <c r="AU68" s="18">
        <v>14</v>
      </c>
      <c r="AV68" s="32">
        <v>43353</v>
      </c>
    </row>
    <row r="69" spans="1:48">
      <c r="A69" s="16" t="s">
        <v>207</v>
      </c>
      <c r="B69" s="17" t="s">
        <v>100</v>
      </c>
      <c r="C69" s="17">
        <v>0</v>
      </c>
      <c r="D69" s="18">
        <v>0</v>
      </c>
      <c r="E69" s="18">
        <v>0</v>
      </c>
      <c r="F69" s="18">
        <v>0</v>
      </c>
      <c r="G69" s="18">
        <v>0</v>
      </c>
      <c r="H69" s="18">
        <v>0</v>
      </c>
      <c r="I69" s="18">
        <v>0</v>
      </c>
      <c r="J69" s="18">
        <v>0</v>
      </c>
      <c r="K69" s="18">
        <v>0</v>
      </c>
      <c r="L69" s="18">
        <v>0</v>
      </c>
      <c r="M69" s="21">
        <v>0</v>
      </c>
      <c r="N69" s="18">
        <v>0</v>
      </c>
      <c r="O69" s="17">
        <v>0</v>
      </c>
      <c r="P69" s="17">
        <v>0</v>
      </c>
      <c r="Q69" s="17">
        <v>0</v>
      </c>
      <c r="R69" s="17">
        <v>0</v>
      </c>
      <c r="S69" s="17">
        <v>0</v>
      </c>
      <c r="T69" s="17" t="s">
        <v>54</v>
      </c>
      <c r="U69" s="17" t="s">
        <v>54</v>
      </c>
      <c r="V69" s="17" t="s">
        <v>54</v>
      </c>
      <c r="W69" s="17" t="s">
        <v>54</v>
      </c>
      <c r="X69" s="26" t="s">
        <v>54</v>
      </c>
      <c r="Y69" s="26" t="s">
        <v>54</v>
      </c>
      <c r="Z69" s="26" t="s">
        <v>54</v>
      </c>
      <c r="AA69" s="26" t="s">
        <v>54</v>
      </c>
      <c r="AB69" s="17" t="s">
        <v>54</v>
      </c>
      <c r="AC69" s="17" t="s">
        <v>54</v>
      </c>
      <c r="AD69" s="17" t="s">
        <v>54</v>
      </c>
      <c r="AE69" s="17" t="s">
        <v>54</v>
      </c>
      <c r="AF69" s="26" t="s">
        <v>61</v>
      </c>
      <c r="AG69" s="26" t="s">
        <v>61</v>
      </c>
      <c r="AH69" s="26" t="s">
        <v>61</v>
      </c>
      <c r="AI69" s="26" t="s">
        <v>61</v>
      </c>
      <c r="AJ69" s="17" t="s">
        <v>54</v>
      </c>
      <c r="AK69" s="17" t="s">
        <v>54</v>
      </c>
      <c r="AL69" s="17" t="s">
        <v>54</v>
      </c>
      <c r="AM69" s="17" t="s">
        <v>54</v>
      </c>
      <c r="AN69" s="26" t="s">
        <v>54</v>
      </c>
      <c r="AO69" s="26" t="s">
        <v>54</v>
      </c>
      <c r="AP69" s="26" t="s">
        <v>54</v>
      </c>
      <c r="AQ69" s="26" t="s">
        <v>54</v>
      </c>
      <c r="AR69" s="31">
        <v>0</v>
      </c>
      <c r="AS69" s="31">
        <v>0</v>
      </c>
      <c r="AT69" s="31">
        <v>0</v>
      </c>
      <c r="AU69" s="18" t="s">
        <v>62</v>
      </c>
      <c r="AV69" s="32" t="s">
        <v>63</v>
      </c>
    </row>
    <row r="70" spans="1:48">
      <c r="A70" s="16" t="s">
        <v>208</v>
      </c>
      <c r="B70" s="17" t="s">
        <v>83</v>
      </c>
      <c r="C70" s="17">
        <v>0</v>
      </c>
      <c r="D70" s="18">
        <v>0</v>
      </c>
      <c r="E70" s="18">
        <v>0</v>
      </c>
      <c r="F70" s="18">
        <v>0</v>
      </c>
      <c r="G70" s="18">
        <v>0</v>
      </c>
      <c r="H70" s="18">
        <v>0</v>
      </c>
      <c r="I70" s="18">
        <v>0</v>
      </c>
      <c r="J70" s="18">
        <v>0</v>
      </c>
      <c r="K70" s="18">
        <v>0</v>
      </c>
      <c r="L70" s="18">
        <v>0</v>
      </c>
      <c r="M70" s="21">
        <v>0</v>
      </c>
      <c r="N70" s="18">
        <v>0</v>
      </c>
      <c r="O70" s="17">
        <v>0</v>
      </c>
      <c r="P70" s="17">
        <v>0</v>
      </c>
      <c r="Q70" s="17">
        <v>0</v>
      </c>
      <c r="R70" s="17">
        <v>0</v>
      </c>
      <c r="S70" s="17">
        <v>0</v>
      </c>
      <c r="T70" s="17" t="s">
        <v>54</v>
      </c>
      <c r="U70" s="17" t="s">
        <v>54</v>
      </c>
      <c r="V70" s="17" t="s">
        <v>54</v>
      </c>
      <c r="W70" s="17" t="s">
        <v>54</v>
      </c>
      <c r="X70" s="26" t="s">
        <v>54</v>
      </c>
      <c r="Y70" s="26" t="s">
        <v>54</v>
      </c>
      <c r="Z70" s="26" t="s">
        <v>54</v>
      </c>
      <c r="AA70" s="26" t="s">
        <v>54</v>
      </c>
      <c r="AB70" s="17" t="s">
        <v>54</v>
      </c>
      <c r="AC70" s="17" t="s">
        <v>54</v>
      </c>
      <c r="AD70" s="17" t="s">
        <v>54</v>
      </c>
      <c r="AE70" s="17" t="s">
        <v>54</v>
      </c>
      <c r="AF70" s="26" t="s">
        <v>61</v>
      </c>
      <c r="AG70" s="26" t="s">
        <v>61</v>
      </c>
      <c r="AH70" s="26" t="s">
        <v>61</v>
      </c>
      <c r="AI70" s="26" t="s">
        <v>61</v>
      </c>
      <c r="AJ70" s="17" t="s">
        <v>54</v>
      </c>
      <c r="AK70" s="17" t="s">
        <v>54</v>
      </c>
      <c r="AL70" s="17" t="s">
        <v>54</v>
      </c>
      <c r="AM70" s="17" t="s">
        <v>54</v>
      </c>
      <c r="AN70" s="26" t="s">
        <v>54</v>
      </c>
      <c r="AO70" s="26" t="s">
        <v>54</v>
      </c>
      <c r="AP70" s="26" t="s">
        <v>54</v>
      </c>
      <c r="AQ70" s="26" t="s">
        <v>54</v>
      </c>
      <c r="AR70" s="31">
        <v>0</v>
      </c>
      <c r="AS70" s="31">
        <v>0</v>
      </c>
      <c r="AT70" s="31">
        <v>0</v>
      </c>
      <c r="AU70" s="18" t="s">
        <v>62</v>
      </c>
      <c r="AV70" s="32" t="s">
        <v>63</v>
      </c>
    </row>
    <row r="71" spans="1:48">
      <c r="A71" s="16" t="s">
        <v>209</v>
      </c>
      <c r="B71" s="17" t="s">
        <v>188</v>
      </c>
      <c r="C71" s="17" t="s">
        <v>189</v>
      </c>
      <c r="D71" s="18">
        <v>0</v>
      </c>
      <c r="E71" s="18">
        <v>0</v>
      </c>
      <c r="F71" s="18">
        <v>0</v>
      </c>
      <c r="G71" s="18">
        <v>0</v>
      </c>
      <c r="H71" s="18">
        <v>0</v>
      </c>
      <c r="I71" s="18">
        <v>0</v>
      </c>
      <c r="J71" s="18">
        <v>0</v>
      </c>
      <c r="K71" s="18">
        <v>0</v>
      </c>
      <c r="L71" s="18">
        <v>0</v>
      </c>
      <c r="M71" s="21">
        <v>0</v>
      </c>
      <c r="N71" s="18">
        <v>0</v>
      </c>
      <c r="O71" s="17">
        <v>0</v>
      </c>
      <c r="P71" s="17">
        <v>0</v>
      </c>
      <c r="Q71" s="17">
        <v>0</v>
      </c>
      <c r="R71" s="17">
        <v>0</v>
      </c>
      <c r="S71" s="17">
        <v>0</v>
      </c>
      <c r="T71" s="17" t="s">
        <v>54</v>
      </c>
      <c r="U71" s="17" t="s">
        <v>54</v>
      </c>
      <c r="V71" s="17" t="s">
        <v>54</v>
      </c>
      <c r="W71" s="17" t="s">
        <v>54</v>
      </c>
      <c r="X71" s="26" t="s">
        <v>54</v>
      </c>
      <c r="Y71" s="26" t="s">
        <v>54</v>
      </c>
      <c r="Z71" s="26" t="s">
        <v>54</v>
      </c>
      <c r="AA71" s="26" t="s">
        <v>54</v>
      </c>
      <c r="AB71" s="17" t="s">
        <v>54</v>
      </c>
      <c r="AC71" s="17" t="s">
        <v>54</v>
      </c>
      <c r="AD71" s="17" t="s">
        <v>54</v>
      </c>
      <c r="AE71" s="17" t="s">
        <v>54</v>
      </c>
      <c r="AF71" s="26" t="s">
        <v>61</v>
      </c>
      <c r="AG71" s="26" t="s">
        <v>61</v>
      </c>
      <c r="AH71" s="26" t="s">
        <v>61</v>
      </c>
      <c r="AI71" s="26" t="s">
        <v>61</v>
      </c>
      <c r="AJ71" s="17">
        <v>0</v>
      </c>
      <c r="AK71" s="17">
        <v>0</v>
      </c>
      <c r="AL71" s="17">
        <v>93</v>
      </c>
      <c r="AM71" s="17">
        <v>193</v>
      </c>
      <c r="AN71" s="26" t="s">
        <v>54</v>
      </c>
      <c r="AO71" s="26" t="s">
        <v>54</v>
      </c>
      <c r="AP71" s="26">
        <v>0</v>
      </c>
      <c r="AQ71" s="26">
        <v>0</v>
      </c>
      <c r="AR71" s="31">
        <v>0</v>
      </c>
      <c r="AS71" s="31">
        <v>0</v>
      </c>
      <c r="AT71" s="31">
        <v>0</v>
      </c>
      <c r="AU71" s="18" t="s">
        <v>62</v>
      </c>
      <c r="AV71" s="32" t="s">
        <v>63</v>
      </c>
    </row>
    <row r="72" spans="1:48">
      <c r="A72" s="16" t="s">
        <v>210</v>
      </c>
      <c r="B72" s="17" t="s">
        <v>211</v>
      </c>
      <c r="C72" s="17">
        <v>0</v>
      </c>
      <c r="D72" s="18">
        <v>0</v>
      </c>
      <c r="E72" s="18">
        <v>0</v>
      </c>
      <c r="F72" s="18">
        <v>0</v>
      </c>
      <c r="G72" s="18">
        <v>0</v>
      </c>
      <c r="H72" s="18">
        <v>0</v>
      </c>
      <c r="I72" s="18">
        <v>0</v>
      </c>
      <c r="J72" s="18">
        <v>0</v>
      </c>
      <c r="K72" s="18">
        <v>0</v>
      </c>
      <c r="L72" s="18">
        <v>0</v>
      </c>
      <c r="M72" s="21">
        <v>0</v>
      </c>
      <c r="N72" s="18">
        <v>0</v>
      </c>
      <c r="O72" s="17">
        <v>0</v>
      </c>
      <c r="P72" s="17">
        <v>0</v>
      </c>
      <c r="Q72" s="17">
        <v>0</v>
      </c>
      <c r="R72" s="17">
        <v>0</v>
      </c>
      <c r="S72" s="17">
        <v>0</v>
      </c>
      <c r="T72" s="17" t="s">
        <v>54</v>
      </c>
      <c r="U72" s="17" t="s">
        <v>54</v>
      </c>
      <c r="V72" s="17" t="s">
        <v>54</v>
      </c>
      <c r="W72" s="17" t="s">
        <v>54</v>
      </c>
      <c r="X72" s="26" t="s">
        <v>54</v>
      </c>
      <c r="Y72" s="26" t="s">
        <v>54</v>
      </c>
      <c r="Z72" s="26" t="s">
        <v>54</v>
      </c>
      <c r="AA72" s="26" t="s">
        <v>54</v>
      </c>
      <c r="AB72" s="17" t="s">
        <v>54</v>
      </c>
      <c r="AC72" s="17" t="s">
        <v>54</v>
      </c>
      <c r="AD72" s="17" t="s">
        <v>54</v>
      </c>
      <c r="AE72" s="17" t="s">
        <v>54</v>
      </c>
      <c r="AF72" s="26" t="s">
        <v>61</v>
      </c>
      <c r="AG72" s="26" t="s">
        <v>61</v>
      </c>
      <c r="AH72" s="26" t="s">
        <v>61</v>
      </c>
      <c r="AI72" s="26" t="s">
        <v>61</v>
      </c>
      <c r="AJ72" s="17" t="s">
        <v>54</v>
      </c>
      <c r="AK72" s="17" t="s">
        <v>54</v>
      </c>
      <c r="AL72" s="17" t="s">
        <v>54</v>
      </c>
      <c r="AM72" s="17" t="s">
        <v>54</v>
      </c>
      <c r="AN72" s="26" t="s">
        <v>54</v>
      </c>
      <c r="AO72" s="26" t="s">
        <v>54</v>
      </c>
      <c r="AP72" s="26" t="s">
        <v>54</v>
      </c>
      <c r="AQ72" s="26" t="s">
        <v>54</v>
      </c>
      <c r="AR72" s="31">
        <v>0</v>
      </c>
      <c r="AS72" s="31">
        <v>0</v>
      </c>
      <c r="AT72" s="31">
        <v>0</v>
      </c>
      <c r="AU72" s="18" t="s">
        <v>62</v>
      </c>
      <c r="AV72" s="32" t="s">
        <v>63</v>
      </c>
    </row>
    <row r="73" spans="1:48">
      <c r="A73" s="16" t="s">
        <v>212</v>
      </c>
      <c r="B73" s="17" t="s">
        <v>213</v>
      </c>
      <c r="C73" s="17" t="s">
        <v>214</v>
      </c>
      <c r="D73" s="18">
        <v>0</v>
      </c>
      <c r="E73" s="18">
        <v>0</v>
      </c>
      <c r="F73" s="18">
        <v>0</v>
      </c>
      <c r="G73" s="18">
        <v>0</v>
      </c>
      <c r="H73" s="18">
        <v>0</v>
      </c>
      <c r="I73" s="18">
        <v>1</v>
      </c>
      <c r="J73" s="18">
        <v>10</v>
      </c>
      <c r="K73" s="18">
        <v>0</v>
      </c>
      <c r="L73" s="18">
        <v>0</v>
      </c>
      <c r="M73" s="21">
        <v>11</v>
      </c>
      <c r="N73" s="18">
        <v>0</v>
      </c>
      <c r="O73" s="17">
        <v>0</v>
      </c>
      <c r="P73" s="17">
        <v>0</v>
      </c>
      <c r="Q73" s="17">
        <v>0</v>
      </c>
      <c r="R73" s="17">
        <v>0</v>
      </c>
      <c r="S73" s="17">
        <v>0</v>
      </c>
      <c r="T73" s="17" t="s">
        <v>54</v>
      </c>
      <c r="U73" s="17" t="s">
        <v>54</v>
      </c>
      <c r="V73" s="17" t="s">
        <v>54</v>
      </c>
      <c r="W73" s="17" t="s">
        <v>54</v>
      </c>
      <c r="X73" s="26" t="s">
        <v>54</v>
      </c>
      <c r="Y73" s="26" t="s">
        <v>54</v>
      </c>
      <c r="Z73" s="26" t="s">
        <v>54</v>
      </c>
      <c r="AA73" s="26" t="s">
        <v>54</v>
      </c>
      <c r="AB73" s="17" t="s">
        <v>54</v>
      </c>
      <c r="AC73" s="17" t="s">
        <v>54</v>
      </c>
      <c r="AD73" s="17" t="s">
        <v>54</v>
      </c>
      <c r="AE73" s="17" t="s">
        <v>54</v>
      </c>
      <c r="AF73" s="26" t="s">
        <v>61</v>
      </c>
      <c r="AG73" s="26" t="s">
        <v>61</v>
      </c>
      <c r="AH73" s="26" t="s">
        <v>61</v>
      </c>
      <c r="AI73" s="26" t="s">
        <v>61</v>
      </c>
      <c r="AJ73" s="17">
        <v>5</v>
      </c>
      <c r="AK73" s="17">
        <v>5</v>
      </c>
      <c r="AL73" s="17">
        <v>7</v>
      </c>
      <c r="AM73" s="17">
        <v>2</v>
      </c>
      <c r="AN73" s="26">
        <v>0</v>
      </c>
      <c r="AO73" s="26">
        <v>0</v>
      </c>
      <c r="AP73" s="26">
        <v>0</v>
      </c>
      <c r="AQ73" s="26">
        <v>0</v>
      </c>
      <c r="AR73" s="31">
        <v>0</v>
      </c>
      <c r="AS73" s="31">
        <v>0</v>
      </c>
      <c r="AT73" s="31">
        <v>11</v>
      </c>
      <c r="AU73" s="18" t="s">
        <v>215</v>
      </c>
      <c r="AV73" s="32" t="s">
        <v>63</v>
      </c>
    </row>
    <row r="74" spans="1:48">
      <c r="A74" s="16" t="s">
        <v>216</v>
      </c>
      <c r="B74" s="17" t="s">
        <v>217</v>
      </c>
      <c r="C74" s="17" t="s">
        <v>218</v>
      </c>
      <c r="D74" s="18">
        <v>0</v>
      </c>
      <c r="E74" s="18">
        <v>0</v>
      </c>
      <c r="F74" s="18">
        <v>0</v>
      </c>
      <c r="G74" s="18">
        <v>0</v>
      </c>
      <c r="H74" s="18">
        <v>0</v>
      </c>
      <c r="I74" s="18">
        <v>1</v>
      </c>
      <c r="J74" s="18">
        <v>6</v>
      </c>
      <c r="K74" s="18">
        <v>0</v>
      </c>
      <c r="L74" s="18">
        <v>0</v>
      </c>
      <c r="M74" s="21">
        <v>7</v>
      </c>
      <c r="N74" s="18">
        <v>0</v>
      </c>
      <c r="O74" s="17">
        <v>1</v>
      </c>
      <c r="P74" s="17">
        <v>0</v>
      </c>
      <c r="Q74" s="17">
        <v>0</v>
      </c>
      <c r="R74" s="17">
        <v>0</v>
      </c>
      <c r="S74" s="17">
        <v>0</v>
      </c>
      <c r="T74" s="17" t="s">
        <v>54</v>
      </c>
      <c r="U74" s="17" t="s">
        <v>54</v>
      </c>
      <c r="V74" s="17" t="s">
        <v>54</v>
      </c>
      <c r="W74" s="17" t="s">
        <v>54</v>
      </c>
      <c r="X74" s="26" t="s">
        <v>54</v>
      </c>
      <c r="Y74" s="26" t="s">
        <v>54</v>
      </c>
      <c r="Z74" s="26" t="s">
        <v>54</v>
      </c>
      <c r="AA74" s="26" t="s">
        <v>54</v>
      </c>
      <c r="AB74" s="17" t="s">
        <v>54</v>
      </c>
      <c r="AC74" s="17" t="s">
        <v>54</v>
      </c>
      <c r="AD74" s="17" t="s">
        <v>54</v>
      </c>
      <c r="AE74" s="17" t="s">
        <v>54</v>
      </c>
      <c r="AF74" s="26" t="s">
        <v>61</v>
      </c>
      <c r="AG74" s="26" t="s">
        <v>61</v>
      </c>
      <c r="AH74" s="26" t="s">
        <v>61</v>
      </c>
      <c r="AI74" s="26" t="s">
        <v>61</v>
      </c>
      <c r="AJ74" s="17">
        <v>3</v>
      </c>
      <c r="AK74" s="17">
        <v>4</v>
      </c>
      <c r="AL74" s="17">
        <v>5</v>
      </c>
      <c r="AM74" s="17">
        <v>4</v>
      </c>
      <c r="AN74" s="26">
        <v>0</v>
      </c>
      <c r="AO74" s="26">
        <v>0</v>
      </c>
      <c r="AP74" s="26">
        <v>0</v>
      </c>
      <c r="AQ74" s="26">
        <v>0</v>
      </c>
      <c r="AR74" s="31">
        <v>0</v>
      </c>
      <c r="AS74" s="31">
        <v>0</v>
      </c>
      <c r="AT74" s="31">
        <v>7</v>
      </c>
      <c r="AU74" s="18" t="s">
        <v>219</v>
      </c>
      <c r="AV74" s="32" t="s">
        <v>63</v>
      </c>
    </row>
    <row r="75" spans="1:48">
      <c r="A75" s="16" t="s">
        <v>220</v>
      </c>
      <c r="B75" s="17" t="s">
        <v>221</v>
      </c>
      <c r="C75" s="17" t="s">
        <v>222</v>
      </c>
      <c r="D75" s="18">
        <v>0</v>
      </c>
      <c r="E75" s="18">
        <v>0</v>
      </c>
      <c r="F75" s="18">
        <v>0</v>
      </c>
      <c r="G75" s="18">
        <v>0</v>
      </c>
      <c r="H75" s="18">
        <v>0</v>
      </c>
      <c r="I75" s="18">
        <v>0</v>
      </c>
      <c r="J75" s="18">
        <v>14</v>
      </c>
      <c r="K75" s="18">
        <v>0</v>
      </c>
      <c r="L75" s="18">
        <v>0</v>
      </c>
      <c r="M75" s="21">
        <v>14</v>
      </c>
      <c r="N75" s="18">
        <v>0</v>
      </c>
      <c r="O75" s="17">
        <v>0</v>
      </c>
      <c r="P75" s="17">
        <v>0</v>
      </c>
      <c r="Q75" s="17">
        <v>0</v>
      </c>
      <c r="R75" s="17">
        <v>0</v>
      </c>
      <c r="S75" s="17">
        <v>0</v>
      </c>
      <c r="T75" s="17" t="s">
        <v>54</v>
      </c>
      <c r="U75" s="17" t="s">
        <v>54</v>
      </c>
      <c r="V75" s="17" t="s">
        <v>54</v>
      </c>
      <c r="W75" s="17" t="s">
        <v>54</v>
      </c>
      <c r="X75" s="26" t="s">
        <v>54</v>
      </c>
      <c r="Y75" s="26" t="s">
        <v>54</v>
      </c>
      <c r="Z75" s="26" t="s">
        <v>54</v>
      </c>
      <c r="AA75" s="26" t="s">
        <v>54</v>
      </c>
      <c r="AB75" s="17" t="s">
        <v>54</v>
      </c>
      <c r="AC75" s="17" t="s">
        <v>54</v>
      </c>
      <c r="AD75" s="17" t="s">
        <v>54</v>
      </c>
      <c r="AE75" s="17" t="s">
        <v>54</v>
      </c>
      <c r="AF75" s="26" t="s">
        <v>61</v>
      </c>
      <c r="AG75" s="26" t="s">
        <v>61</v>
      </c>
      <c r="AH75" s="26" t="s">
        <v>61</v>
      </c>
      <c r="AI75" s="26" t="s">
        <v>61</v>
      </c>
      <c r="AJ75" s="17">
        <v>0</v>
      </c>
      <c r="AK75" s="17">
        <v>0</v>
      </c>
      <c r="AL75" s="17">
        <v>7</v>
      </c>
      <c r="AM75" s="17">
        <v>4</v>
      </c>
      <c r="AN75" s="26" t="s">
        <v>54</v>
      </c>
      <c r="AO75" s="26" t="s">
        <v>54</v>
      </c>
      <c r="AP75" s="26">
        <v>0</v>
      </c>
      <c r="AQ75" s="26">
        <v>0</v>
      </c>
      <c r="AR75" s="31">
        <v>0</v>
      </c>
      <c r="AS75" s="31">
        <v>0</v>
      </c>
      <c r="AT75" s="31">
        <v>14</v>
      </c>
      <c r="AU75" s="18" t="s">
        <v>223</v>
      </c>
      <c r="AV75" s="32" t="s">
        <v>63</v>
      </c>
    </row>
    <row r="76" spans="1:48">
      <c r="A76" s="16" t="s">
        <v>224</v>
      </c>
      <c r="B76" s="17" t="s">
        <v>225</v>
      </c>
      <c r="C76" s="17" t="s">
        <v>226</v>
      </c>
      <c r="D76" s="18">
        <v>0</v>
      </c>
      <c r="E76" s="18">
        <v>0</v>
      </c>
      <c r="F76" s="18">
        <v>0</v>
      </c>
      <c r="G76" s="18">
        <v>0</v>
      </c>
      <c r="H76" s="18">
        <v>0</v>
      </c>
      <c r="I76" s="18">
        <v>3</v>
      </c>
      <c r="J76" s="18">
        <v>7</v>
      </c>
      <c r="K76" s="18">
        <v>0</v>
      </c>
      <c r="L76" s="18">
        <v>0</v>
      </c>
      <c r="M76" s="21">
        <v>10</v>
      </c>
      <c r="N76" s="18">
        <v>0</v>
      </c>
      <c r="O76" s="17">
        <v>2</v>
      </c>
      <c r="P76" s="17">
        <v>0</v>
      </c>
      <c r="Q76" s="17">
        <v>0</v>
      </c>
      <c r="R76" s="17">
        <v>0</v>
      </c>
      <c r="S76" s="17">
        <v>0</v>
      </c>
      <c r="T76" s="17" t="s">
        <v>54</v>
      </c>
      <c r="U76" s="17" t="s">
        <v>54</v>
      </c>
      <c r="V76" s="17" t="s">
        <v>54</v>
      </c>
      <c r="W76" s="17" t="s">
        <v>54</v>
      </c>
      <c r="X76" s="26" t="s">
        <v>54</v>
      </c>
      <c r="Y76" s="26" t="s">
        <v>54</v>
      </c>
      <c r="Z76" s="26" t="s">
        <v>54</v>
      </c>
      <c r="AA76" s="26" t="s">
        <v>54</v>
      </c>
      <c r="AB76" s="17" t="s">
        <v>54</v>
      </c>
      <c r="AC76" s="17" t="s">
        <v>54</v>
      </c>
      <c r="AD76" s="17" t="s">
        <v>54</v>
      </c>
      <c r="AE76" s="17" t="s">
        <v>54</v>
      </c>
      <c r="AF76" s="26" t="s">
        <v>61</v>
      </c>
      <c r="AG76" s="26" t="s">
        <v>61</v>
      </c>
      <c r="AH76" s="26" t="s">
        <v>61</v>
      </c>
      <c r="AI76" s="26" t="s">
        <v>61</v>
      </c>
      <c r="AJ76" s="17">
        <v>2</v>
      </c>
      <c r="AK76" s="17">
        <v>4</v>
      </c>
      <c r="AL76" s="17">
        <v>7</v>
      </c>
      <c r="AM76" s="17">
        <v>2</v>
      </c>
      <c r="AN76" s="26">
        <v>0</v>
      </c>
      <c r="AO76" s="26">
        <v>0</v>
      </c>
      <c r="AP76" s="26">
        <v>0</v>
      </c>
      <c r="AQ76" s="26">
        <v>0</v>
      </c>
      <c r="AR76" s="31">
        <v>0</v>
      </c>
      <c r="AS76" s="31">
        <v>0</v>
      </c>
      <c r="AT76" s="31">
        <v>10</v>
      </c>
      <c r="AU76" s="18" t="s">
        <v>227</v>
      </c>
      <c r="AV76" s="32" t="s">
        <v>63</v>
      </c>
    </row>
    <row r="77" spans="1:48">
      <c r="A77" s="16" t="s">
        <v>228</v>
      </c>
      <c r="B77" s="17" t="s">
        <v>229</v>
      </c>
      <c r="C77" s="17" t="s">
        <v>230</v>
      </c>
      <c r="D77" s="18">
        <v>0</v>
      </c>
      <c r="E77" s="18">
        <v>0</v>
      </c>
      <c r="F77" s="18">
        <v>0</v>
      </c>
      <c r="G77" s="18">
        <v>0</v>
      </c>
      <c r="H77" s="18">
        <v>0</v>
      </c>
      <c r="I77" s="18">
        <v>2</v>
      </c>
      <c r="J77" s="18">
        <v>11</v>
      </c>
      <c r="K77" s="18">
        <v>0</v>
      </c>
      <c r="L77" s="18">
        <v>0</v>
      </c>
      <c r="M77" s="21">
        <v>13</v>
      </c>
      <c r="N77" s="18">
        <v>0</v>
      </c>
      <c r="O77" s="17">
        <v>2</v>
      </c>
      <c r="P77" s="17">
        <v>0</v>
      </c>
      <c r="Q77" s="17">
        <v>0</v>
      </c>
      <c r="R77" s="17">
        <v>0</v>
      </c>
      <c r="S77" s="17">
        <v>0</v>
      </c>
      <c r="T77" s="17" t="s">
        <v>54</v>
      </c>
      <c r="U77" s="17" t="s">
        <v>54</v>
      </c>
      <c r="V77" s="17" t="s">
        <v>54</v>
      </c>
      <c r="W77" s="17" t="s">
        <v>54</v>
      </c>
      <c r="X77" s="26" t="s">
        <v>54</v>
      </c>
      <c r="Y77" s="26" t="s">
        <v>54</v>
      </c>
      <c r="Z77" s="26" t="s">
        <v>54</v>
      </c>
      <c r="AA77" s="26" t="s">
        <v>54</v>
      </c>
      <c r="AB77" s="17" t="s">
        <v>54</v>
      </c>
      <c r="AC77" s="17" t="s">
        <v>54</v>
      </c>
      <c r="AD77" s="17" t="s">
        <v>54</v>
      </c>
      <c r="AE77" s="17" t="s">
        <v>54</v>
      </c>
      <c r="AF77" s="26" t="s">
        <v>61</v>
      </c>
      <c r="AG77" s="26" t="s">
        <v>61</v>
      </c>
      <c r="AH77" s="26" t="s">
        <v>61</v>
      </c>
      <c r="AI77" s="26" t="s">
        <v>61</v>
      </c>
      <c r="AJ77" s="17">
        <v>8</v>
      </c>
      <c r="AK77" s="17">
        <v>2</v>
      </c>
      <c r="AL77" s="17">
        <v>7</v>
      </c>
      <c r="AM77" s="17">
        <v>6</v>
      </c>
      <c r="AN77" s="26">
        <v>0</v>
      </c>
      <c r="AO77" s="26">
        <v>0</v>
      </c>
      <c r="AP77" s="26">
        <v>0</v>
      </c>
      <c r="AQ77" s="26">
        <v>0</v>
      </c>
      <c r="AR77" s="31">
        <v>0</v>
      </c>
      <c r="AS77" s="31">
        <v>0</v>
      </c>
      <c r="AT77" s="31">
        <v>13</v>
      </c>
      <c r="AU77" s="18" t="s">
        <v>231</v>
      </c>
      <c r="AV77" s="32" t="s">
        <v>63</v>
      </c>
    </row>
    <row r="78" spans="1:48">
      <c r="A78" s="16" t="s">
        <v>232</v>
      </c>
      <c r="B78" s="17" t="s">
        <v>233</v>
      </c>
      <c r="C78" s="17" t="s">
        <v>234</v>
      </c>
      <c r="D78" s="18">
        <v>0</v>
      </c>
      <c r="E78" s="18">
        <v>0</v>
      </c>
      <c r="F78" s="18">
        <v>0</v>
      </c>
      <c r="G78" s="18">
        <v>0</v>
      </c>
      <c r="H78" s="18">
        <v>0</v>
      </c>
      <c r="I78" s="18">
        <v>0</v>
      </c>
      <c r="J78" s="18">
        <v>6</v>
      </c>
      <c r="K78" s="18">
        <v>0</v>
      </c>
      <c r="L78" s="18">
        <v>0</v>
      </c>
      <c r="M78" s="21">
        <v>6</v>
      </c>
      <c r="N78" s="18">
        <v>0</v>
      </c>
      <c r="O78" s="17">
        <v>0</v>
      </c>
      <c r="P78" s="17">
        <v>0</v>
      </c>
      <c r="Q78" s="17">
        <v>0</v>
      </c>
      <c r="R78" s="17">
        <v>0</v>
      </c>
      <c r="S78" s="17">
        <v>0</v>
      </c>
      <c r="T78" s="17" t="s">
        <v>54</v>
      </c>
      <c r="U78" s="17" t="s">
        <v>54</v>
      </c>
      <c r="V78" s="17" t="s">
        <v>54</v>
      </c>
      <c r="W78" s="17" t="s">
        <v>54</v>
      </c>
      <c r="X78" s="26" t="s">
        <v>54</v>
      </c>
      <c r="Y78" s="26" t="s">
        <v>54</v>
      </c>
      <c r="Z78" s="26" t="s">
        <v>54</v>
      </c>
      <c r="AA78" s="26" t="s">
        <v>54</v>
      </c>
      <c r="AB78" s="17" t="s">
        <v>54</v>
      </c>
      <c r="AC78" s="17" t="s">
        <v>54</v>
      </c>
      <c r="AD78" s="17" t="s">
        <v>54</v>
      </c>
      <c r="AE78" s="17" t="s">
        <v>54</v>
      </c>
      <c r="AF78" s="26" t="s">
        <v>61</v>
      </c>
      <c r="AG78" s="26" t="s">
        <v>61</v>
      </c>
      <c r="AH78" s="26" t="s">
        <v>61</v>
      </c>
      <c r="AI78" s="26" t="s">
        <v>61</v>
      </c>
      <c r="AJ78" s="17">
        <v>0</v>
      </c>
      <c r="AK78" s="17">
        <v>0</v>
      </c>
      <c r="AL78" s="17">
        <v>4</v>
      </c>
      <c r="AM78" s="17">
        <v>2</v>
      </c>
      <c r="AN78" s="26" t="s">
        <v>54</v>
      </c>
      <c r="AO78" s="26" t="s">
        <v>54</v>
      </c>
      <c r="AP78" s="26">
        <v>0</v>
      </c>
      <c r="AQ78" s="26">
        <v>0</v>
      </c>
      <c r="AR78" s="31">
        <v>0</v>
      </c>
      <c r="AS78" s="31">
        <v>0</v>
      </c>
      <c r="AT78" s="31">
        <v>6</v>
      </c>
      <c r="AU78" s="18" t="s">
        <v>235</v>
      </c>
      <c r="AV78" s="32" t="s">
        <v>63</v>
      </c>
    </row>
    <row r="79" spans="1:48">
      <c r="A79" s="16" t="s">
        <v>236</v>
      </c>
      <c r="B79" s="17" t="s">
        <v>237</v>
      </c>
      <c r="C79" s="17" t="s">
        <v>238</v>
      </c>
      <c r="D79" s="18">
        <v>0</v>
      </c>
      <c r="E79" s="18">
        <v>0</v>
      </c>
      <c r="F79" s="18">
        <v>0</v>
      </c>
      <c r="G79" s="18">
        <v>0</v>
      </c>
      <c r="H79" s="18">
        <v>0</v>
      </c>
      <c r="I79" s="18">
        <v>1</v>
      </c>
      <c r="J79" s="18">
        <v>1</v>
      </c>
      <c r="K79" s="18">
        <v>0</v>
      </c>
      <c r="L79" s="18">
        <v>0</v>
      </c>
      <c r="M79" s="21">
        <v>2</v>
      </c>
      <c r="N79" s="18">
        <v>0</v>
      </c>
      <c r="O79" s="17">
        <v>0</v>
      </c>
      <c r="P79" s="17">
        <v>0</v>
      </c>
      <c r="Q79" s="17">
        <v>0</v>
      </c>
      <c r="R79" s="17">
        <v>0</v>
      </c>
      <c r="S79" s="17">
        <v>0</v>
      </c>
      <c r="T79" s="17" t="s">
        <v>54</v>
      </c>
      <c r="U79" s="17" t="s">
        <v>54</v>
      </c>
      <c r="V79" s="17" t="s">
        <v>54</v>
      </c>
      <c r="W79" s="17" t="s">
        <v>54</v>
      </c>
      <c r="X79" s="26" t="s">
        <v>54</v>
      </c>
      <c r="Y79" s="26" t="s">
        <v>54</v>
      </c>
      <c r="Z79" s="26" t="s">
        <v>54</v>
      </c>
      <c r="AA79" s="26" t="s">
        <v>54</v>
      </c>
      <c r="AB79" s="17" t="s">
        <v>54</v>
      </c>
      <c r="AC79" s="17" t="s">
        <v>54</v>
      </c>
      <c r="AD79" s="17" t="s">
        <v>54</v>
      </c>
      <c r="AE79" s="17" t="s">
        <v>54</v>
      </c>
      <c r="AF79" s="26" t="s">
        <v>61</v>
      </c>
      <c r="AG79" s="26" t="s">
        <v>61</v>
      </c>
      <c r="AH79" s="26" t="s">
        <v>61</v>
      </c>
      <c r="AI79" s="26" t="s">
        <v>61</v>
      </c>
      <c r="AJ79" s="17">
        <v>7</v>
      </c>
      <c r="AK79" s="17">
        <v>14</v>
      </c>
      <c r="AL79" s="17">
        <v>6</v>
      </c>
      <c r="AM79" s="17">
        <v>2</v>
      </c>
      <c r="AN79" s="26">
        <v>0</v>
      </c>
      <c r="AO79" s="26">
        <v>0</v>
      </c>
      <c r="AP79" s="26">
        <v>0</v>
      </c>
      <c r="AQ79" s="26">
        <v>0</v>
      </c>
      <c r="AR79" s="31">
        <v>0</v>
      </c>
      <c r="AS79" s="31">
        <v>0</v>
      </c>
      <c r="AT79" s="31">
        <v>2</v>
      </c>
      <c r="AU79" s="18" t="s">
        <v>239</v>
      </c>
      <c r="AV79" s="32" t="s">
        <v>63</v>
      </c>
    </row>
    <row r="80" spans="1:48">
      <c r="A80" s="16" t="s">
        <v>240</v>
      </c>
      <c r="B80" s="17" t="s">
        <v>241</v>
      </c>
      <c r="C80" s="17" t="s">
        <v>242</v>
      </c>
      <c r="D80" s="18">
        <v>0</v>
      </c>
      <c r="E80" s="18">
        <v>0</v>
      </c>
      <c r="F80" s="18">
        <v>0</v>
      </c>
      <c r="G80" s="18">
        <v>0</v>
      </c>
      <c r="H80" s="18">
        <v>0</v>
      </c>
      <c r="I80" s="18">
        <v>0</v>
      </c>
      <c r="J80" s="18">
        <v>6</v>
      </c>
      <c r="K80" s="18">
        <v>0</v>
      </c>
      <c r="L80" s="18">
        <v>0</v>
      </c>
      <c r="M80" s="21">
        <v>6</v>
      </c>
      <c r="N80" s="18">
        <v>0</v>
      </c>
      <c r="O80" s="17">
        <v>0</v>
      </c>
      <c r="P80" s="17">
        <v>0</v>
      </c>
      <c r="Q80" s="17">
        <v>0</v>
      </c>
      <c r="R80" s="17">
        <v>0</v>
      </c>
      <c r="S80" s="17">
        <v>0</v>
      </c>
      <c r="T80" s="17" t="s">
        <v>54</v>
      </c>
      <c r="U80" s="17" t="s">
        <v>54</v>
      </c>
      <c r="V80" s="17" t="s">
        <v>54</v>
      </c>
      <c r="W80" s="17" t="s">
        <v>54</v>
      </c>
      <c r="X80" s="26" t="s">
        <v>54</v>
      </c>
      <c r="Y80" s="26" t="s">
        <v>54</v>
      </c>
      <c r="Z80" s="26" t="s">
        <v>54</v>
      </c>
      <c r="AA80" s="26" t="s">
        <v>54</v>
      </c>
      <c r="AB80" s="17" t="s">
        <v>54</v>
      </c>
      <c r="AC80" s="17" t="s">
        <v>54</v>
      </c>
      <c r="AD80" s="17" t="s">
        <v>54</v>
      </c>
      <c r="AE80" s="17" t="s">
        <v>54</v>
      </c>
      <c r="AF80" s="26" t="s">
        <v>61</v>
      </c>
      <c r="AG80" s="26" t="s">
        <v>61</v>
      </c>
      <c r="AH80" s="26" t="s">
        <v>61</v>
      </c>
      <c r="AI80" s="26" t="s">
        <v>61</v>
      </c>
      <c r="AJ80" s="17">
        <v>0</v>
      </c>
      <c r="AK80" s="17">
        <v>0</v>
      </c>
      <c r="AL80" s="17">
        <v>4</v>
      </c>
      <c r="AM80" s="17">
        <v>10</v>
      </c>
      <c r="AN80" s="26" t="s">
        <v>54</v>
      </c>
      <c r="AO80" s="26" t="s">
        <v>54</v>
      </c>
      <c r="AP80" s="26">
        <v>0</v>
      </c>
      <c r="AQ80" s="26">
        <v>0</v>
      </c>
      <c r="AR80" s="31">
        <v>0</v>
      </c>
      <c r="AS80" s="31">
        <v>0</v>
      </c>
      <c r="AT80" s="31">
        <v>6</v>
      </c>
      <c r="AU80" s="18" t="s">
        <v>235</v>
      </c>
      <c r="AV80" s="32" t="s">
        <v>63</v>
      </c>
    </row>
    <row r="81" spans="1:48">
      <c r="A81" s="16" t="s">
        <v>243</v>
      </c>
      <c r="B81" s="17" t="s">
        <v>244</v>
      </c>
      <c r="C81" s="17" t="s">
        <v>245</v>
      </c>
      <c r="D81" s="18">
        <v>0</v>
      </c>
      <c r="E81" s="18">
        <v>0</v>
      </c>
      <c r="F81" s="18">
        <v>0</v>
      </c>
      <c r="G81" s="18">
        <v>0</v>
      </c>
      <c r="H81" s="18">
        <v>0</v>
      </c>
      <c r="I81" s="18">
        <v>0</v>
      </c>
      <c r="J81" s="18">
        <v>0</v>
      </c>
      <c r="K81" s="18">
        <v>0</v>
      </c>
      <c r="L81" s="18">
        <v>0</v>
      </c>
      <c r="M81" s="21">
        <v>0</v>
      </c>
      <c r="N81" s="18">
        <v>0</v>
      </c>
      <c r="O81" s="17">
        <v>0</v>
      </c>
      <c r="P81" s="17">
        <v>0</v>
      </c>
      <c r="Q81" s="17">
        <v>0</v>
      </c>
      <c r="R81" s="17">
        <v>0</v>
      </c>
      <c r="S81" s="17">
        <v>0</v>
      </c>
      <c r="T81" s="17" t="s">
        <v>54</v>
      </c>
      <c r="U81" s="17" t="s">
        <v>54</v>
      </c>
      <c r="V81" s="17" t="s">
        <v>54</v>
      </c>
      <c r="W81" s="17" t="s">
        <v>54</v>
      </c>
      <c r="X81" s="26" t="s">
        <v>54</v>
      </c>
      <c r="Y81" s="26" t="s">
        <v>54</v>
      </c>
      <c r="Z81" s="26" t="s">
        <v>54</v>
      </c>
      <c r="AA81" s="26" t="s">
        <v>54</v>
      </c>
      <c r="AB81" s="17" t="s">
        <v>54</v>
      </c>
      <c r="AC81" s="17" t="s">
        <v>54</v>
      </c>
      <c r="AD81" s="17" t="s">
        <v>54</v>
      </c>
      <c r="AE81" s="17" t="s">
        <v>54</v>
      </c>
      <c r="AF81" s="26" t="s">
        <v>61</v>
      </c>
      <c r="AG81" s="26" t="s">
        <v>61</v>
      </c>
      <c r="AH81" s="26" t="s">
        <v>61</v>
      </c>
      <c r="AI81" s="26" t="s">
        <v>61</v>
      </c>
      <c r="AJ81" s="17">
        <v>0</v>
      </c>
      <c r="AK81" s="17">
        <v>0</v>
      </c>
      <c r="AL81" s="17">
        <v>4</v>
      </c>
      <c r="AM81" s="17">
        <v>3</v>
      </c>
      <c r="AN81" s="26" t="s">
        <v>54</v>
      </c>
      <c r="AO81" s="26" t="s">
        <v>54</v>
      </c>
      <c r="AP81" s="26">
        <v>0</v>
      </c>
      <c r="AQ81" s="26">
        <v>0</v>
      </c>
      <c r="AR81" s="31">
        <v>0</v>
      </c>
      <c r="AS81" s="31">
        <v>0</v>
      </c>
      <c r="AT81" s="31">
        <v>0</v>
      </c>
      <c r="AU81" s="18" t="s">
        <v>62</v>
      </c>
      <c r="AV81" s="32" t="s">
        <v>63</v>
      </c>
    </row>
    <row r="82" spans="1:48">
      <c r="A82" s="16" t="s">
        <v>246</v>
      </c>
      <c r="B82" s="17" t="s">
        <v>247</v>
      </c>
      <c r="C82" s="17" t="s">
        <v>248</v>
      </c>
      <c r="D82" s="18">
        <v>0</v>
      </c>
      <c r="E82" s="18">
        <v>0</v>
      </c>
      <c r="F82" s="18">
        <v>0</v>
      </c>
      <c r="G82" s="18">
        <v>0</v>
      </c>
      <c r="H82" s="18">
        <v>0</v>
      </c>
      <c r="I82" s="18">
        <v>0</v>
      </c>
      <c r="J82" s="18">
        <v>11</v>
      </c>
      <c r="K82" s="18">
        <v>0</v>
      </c>
      <c r="L82" s="18">
        <v>0</v>
      </c>
      <c r="M82" s="21">
        <v>11</v>
      </c>
      <c r="N82" s="18">
        <v>0</v>
      </c>
      <c r="O82" s="17">
        <v>0</v>
      </c>
      <c r="P82" s="17">
        <v>0</v>
      </c>
      <c r="Q82" s="17">
        <v>0</v>
      </c>
      <c r="R82" s="17">
        <v>0</v>
      </c>
      <c r="S82" s="17">
        <v>0</v>
      </c>
      <c r="T82" s="17" t="s">
        <v>54</v>
      </c>
      <c r="U82" s="17" t="s">
        <v>54</v>
      </c>
      <c r="V82" s="17" t="s">
        <v>54</v>
      </c>
      <c r="W82" s="17" t="s">
        <v>54</v>
      </c>
      <c r="X82" s="26" t="s">
        <v>54</v>
      </c>
      <c r="Y82" s="26" t="s">
        <v>54</v>
      </c>
      <c r="Z82" s="26" t="s">
        <v>54</v>
      </c>
      <c r="AA82" s="26" t="s">
        <v>54</v>
      </c>
      <c r="AB82" s="17" t="s">
        <v>54</v>
      </c>
      <c r="AC82" s="17" t="s">
        <v>54</v>
      </c>
      <c r="AD82" s="17" t="s">
        <v>54</v>
      </c>
      <c r="AE82" s="17" t="s">
        <v>54</v>
      </c>
      <c r="AF82" s="26" t="s">
        <v>61</v>
      </c>
      <c r="AG82" s="26" t="s">
        <v>61</v>
      </c>
      <c r="AH82" s="26" t="s">
        <v>61</v>
      </c>
      <c r="AI82" s="26" t="s">
        <v>61</v>
      </c>
      <c r="AJ82" s="17">
        <v>0</v>
      </c>
      <c r="AK82" s="17">
        <v>0</v>
      </c>
      <c r="AL82" s="17">
        <v>4</v>
      </c>
      <c r="AM82" s="17">
        <v>9</v>
      </c>
      <c r="AN82" s="26" t="s">
        <v>54</v>
      </c>
      <c r="AO82" s="26" t="s">
        <v>54</v>
      </c>
      <c r="AP82" s="26">
        <v>0</v>
      </c>
      <c r="AQ82" s="26">
        <v>0</v>
      </c>
      <c r="AR82" s="31">
        <v>0</v>
      </c>
      <c r="AS82" s="31">
        <v>0</v>
      </c>
      <c r="AT82" s="31">
        <v>11</v>
      </c>
      <c r="AU82" s="18" t="s">
        <v>215</v>
      </c>
      <c r="AV82" s="32" t="s">
        <v>63</v>
      </c>
    </row>
    <row r="83" spans="1:48">
      <c r="A83" s="16" t="s">
        <v>249</v>
      </c>
      <c r="B83" s="17" t="s">
        <v>250</v>
      </c>
      <c r="C83" s="17" t="s">
        <v>251</v>
      </c>
      <c r="D83" s="18">
        <v>0</v>
      </c>
      <c r="E83" s="18">
        <v>0</v>
      </c>
      <c r="F83" s="18">
        <v>0</v>
      </c>
      <c r="G83" s="18">
        <v>0</v>
      </c>
      <c r="H83" s="18">
        <v>0</v>
      </c>
      <c r="I83" s="18">
        <v>0</v>
      </c>
      <c r="J83" s="18">
        <v>4</v>
      </c>
      <c r="K83" s="18">
        <v>0</v>
      </c>
      <c r="L83" s="18">
        <v>0</v>
      </c>
      <c r="M83" s="21">
        <v>4</v>
      </c>
      <c r="N83" s="18">
        <v>0</v>
      </c>
      <c r="O83" s="17">
        <v>0</v>
      </c>
      <c r="P83" s="17">
        <v>0</v>
      </c>
      <c r="Q83" s="17">
        <v>0</v>
      </c>
      <c r="R83" s="17">
        <v>0</v>
      </c>
      <c r="S83" s="17">
        <v>0</v>
      </c>
      <c r="T83" s="17" t="s">
        <v>54</v>
      </c>
      <c r="U83" s="17" t="s">
        <v>54</v>
      </c>
      <c r="V83" s="17" t="s">
        <v>54</v>
      </c>
      <c r="W83" s="17" t="s">
        <v>54</v>
      </c>
      <c r="X83" s="26" t="s">
        <v>54</v>
      </c>
      <c r="Y83" s="26" t="s">
        <v>54</v>
      </c>
      <c r="Z83" s="26" t="s">
        <v>54</v>
      </c>
      <c r="AA83" s="26" t="s">
        <v>54</v>
      </c>
      <c r="AB83" s="17" t="s">
        <v>54</v>
      </c>
      <c r="AC83" s="17" t="s">
        <v>54</v>
      </c>
      <c r="AD83" s="17" t="s">
        <v>54</v>
      </c>
      <c r="AE83" s="17" t="s">
        <v>54</v>
      </c>
      <c r="AF83" s="26" t="s">
        <v>61</v>
      </c>
      <c r="AG83" s="26" t="s">
        <v>61</v>
      </c>
      <c r="AH83" s="26" t="s">
        <v>61</v>
      </c>
      <c r="AI83" s="26" t="s">
        <v>61</v>
      </c>
      <c r="AJ83" s="17">
        <v>0</v>
      </c>
      <c r="AK83" s="17">
        <v>0</v>
      </c>
      <c r="AL83" s="17">
        <v>4</v>
      </c>
      <c r="AM83" s="17">
        <v>3</v>
      </c>
      <c r="AN83" s="26" t="s">
        <v>54</v>
      </c>
      <c r="AO83" s="26" t="s">
        <v>54</v>
      </c>
      <c r="AP83" s="26">
        <v>0</v>
      </c>
      <c r="AQ83" s="26">
        <v>0</v>
      </c>
      <c r="AR83" s="31">
        <v>0</v>
      </c>
      <c r="AS83" s="31">
        <v>0</v>
      </c>
      <c r="AT83" s="31">
        <v>4</v>
      </c>
      <c r="AU83" s="18" t="s">
        <v>252</v>
      </c>
      <c r="AV83" s="32" t="s">
        <v>63</v>
      </c>
    </row>
    <row r="84" spans="1:48">
      <c r="A84" s="16" t="s">
        <v>253</v>
      </c>
      <c r="B84" s="17" t="s">
        <v>254</v>
      </c>
      <c r="C84" s="17" t="s">
        <v>255</v>
      </c>
      <c r="D84" s="18">
        <v>0</v>
      </c>
      <c r="E84" s="18">
        <v>0</v>
      </c>
      <c r="F84" s="18">
        <v>0</v>
      </c>
      <c r="G84" s="18">
        <v>0</v>
      </c>
      <c r="H84" s="18">
        <v>0</v>
      </c>
      <c r="I84" s="18">
        <v>2</v>
      </c>
      <c r="J84" s="18">
        <v>3</v>
      </c>
      <c r="K84" s="18">
        <v>0</v>
      </c>
      <c r="L84" s="18">
        <v>0</v>
      </c>
      <c r="M84" s="21">
        <v>5</v>
      </c>
      <c r="N84" s="18">
        <v>0</v>
      </c>
      <c r="O84" s="17">
        <v>1</v>
      </c>
      <c r="P84" s="17">
        <v>0</v>
      </c>
      <c r="Q84" s="17">
        <v>0</v>
      </c>
      <c r="R84" s="17">
        <v>0</v>
      </c>
      <c r="S84" s="17">
        <v>0</v>
      </c>
      <c r="T84" s="17" t="s">
        <v>54</v>
      </c>
      <c r="U84" s="17" t="s">
        <v>54</v>
      </c>
      <c r="V84" s="17" t="s">
        <v>54</v>
      </c>
      <c r="W84" s="17" t="s">
        <v>54</v>
      </c>
      <c r="X84" s="26" t="s">
        <v>54</v>
      </c>
      <c r="Y84" s="26" t="s">
        <v>54</v>
      </c>
      <c r="Z84" s="26" t="s">
        <v>54</v>
      </c>
      <c r="AA84" s="26" t="s">
        <v>54</v>
      </c>
      <c r="AB84" s="17" t="s">
        <v>54</v>
      </c>
      <c r="AC84" s="17" t="s">
        <v>54</v>
      </c>
      <c r="AD84" s="17" t="s">
        <v>54</v>
      </c>
      <c r="AE84" s="17" t="s">
        <v>54</v>
      </c>
      <c r="AF84" s="26" t="s">
        <v>61</v>
      </c>
      <c r="AG84" s="26" t="s">
        <v>61</v>
      </c>
      <c r="AH84" s="26" t="s">
        <v>61</v>
      </c>
      <c r="AI84" s="26" t="s">
        <v>61</v>
      </c>
      <c r="AJ84" s="17">
        <v>8</v>
      </c>
      <c r="AK84" s="17">
        <v>9</v>
      </c>
      <c r="AL84" s="17">
        <v>1</v>
      </c>
      <c r="AM84" s="17">
        <v>3</v>
      </c>
      <c r="AN84" s="26">
        <v>0</v>
      </c>
      <c r="AO84" s="26">
        <v>0</v>
      </c>
      <c r="AP84" s="26">
        <v>0</v>
      </c>
      <c r="AQ84" s="26">
        <v>0</v>
      </c>
      <c r="AR84" s="31">
        <v>0</v>
      </c>
      <c r="AS84" s="31">
        <v>0</v>
      </c>
      <c r="AT84" s="31">
        <v>5</v>
      </c>
      <c r="AU84" s="18" t="s">
        <v>256</v>
      </c>
      <c r="AV84" s="32" t="s">
        <v>63</v>
      </c>
    </row>
    <row r="85" spans="1:48">
      <c r="A85" s="16" t="s">
        <v>257</v>
      </c>
      <c r="B85" s="17" t="s">
        <v>258</v>
      </c>
      <c r="C85" s="17" t="s">
        <v>259</v>
      </c>
      <c r="D85" s="18">
        <v>0</v>
      </c>
      <c r="E85" s="18">
        <v>0</v>
      </c>
      <c r="F85" s="18">
        <v>0</v>
      </c>
      <c r="G85" s="18">
        <v>0</v>
      </c>
      <c r="H85" s="18">
        <v>0</v>
      </c>
      <c r="I85" s="18">
        <v>0</v>
      </c>
      <c r="J85" s="18">
        <v>4</v>
      </c>
      <c r="K85" s="18">
        <v>0</v>
      </c>
      <c r="L85" s="18">
        <v>0</v>
      </c>
      <c r="M85" s="21">
        <v>4</v>
      </c>
      <c r="N85" s="18">
        <v>0</v>
      </c>
      <c r="O85" s="17">
        <v>0</v>
      </c>
      <c r="P85" s="17">
        <v>0</v>
      </c>
      <c r="Q85" s="17">
        <v>0</v>
      </c>
      <c r="R85" s="17">
        <v>0</v>
      </c>
      <c r="S85" s="17">
        <v>0</v>
      </c>
      <c r="T85" s="17" t="s">
        <v>54</v>
      </c>
      <c r="U85" s="17" t="s">
        <v>54</v>
      </c>
      <c r="V85" s="17" t="s">
        <v>54</v>
      </c>
      <c r="W85" s="17" t="s">
        <v>54</v>
      </c>
      <c r="X85" s="26" t="s">
        <v>54</v>
      </c>
      <c r="Y85" s="26" t="s">
        <v>54</v>
      </c>
      <c r="Z85" s="26" t="s">
        <v>54</v>
      </c>
      <c r="AA85" s="26" t="s">
        <v>54</v>
      </c>
      <c r="AB85" s="17" t="s">
        <v>54</v>
      </c>
      <c r="AC85" s="17" t="s">
        <v>54</v>
      </c>
      <c r="AD85" s="17" t="s">
        <v>54</v>
      </c>
      <c r="AE85" s="17" t="s">
        <v>54</v>
      </c>
      <c r="AF85" s="26" t="s">
        <v>61</v>
      </c>
      <c r="AG85" s="26" t="s">
        <v>61</v>
      </c>
      <c r="AH85" s="26" t="s">
        <v>61</v>
      </c>
      <c r="AI85" s="26" t="s">
        <v>61</v>
      </c>
      <c r="AJ85" s="17">
        <v>8</v>
      </c>
      <c r="AK85" s="17">
        <v>6</v>
      </c>
      <c r="AL85" s="17">
        <v>7</v>
      </c>
      <c r="AM85" s="17">
        <v>3</v>
      </c>
      <c r="AN85" s="26">
        <v>0</v>
      </c>
      <c r="AO85" s="26">
        <v>0</v>
      </c>
      <c r="AP85" s="26">
        <v>0</v>
      </c>
      <c r="AQ85" s="26">
        <v>0</v>
      </c>
      <c r="AR85" s="31">
        <v>0</v>
      </c>
      <c r="AS85" s="31">
        <v>0</v>
      </c>
      <c r="AT85" s="31">
        <v>4</v>
      </c>
      <c r="AU85" s="18" t="s">
        <v>252</v>
      </c>
      <c r="AV85" s="32" t="s">
        <v>63</v>
      </c>
    </row>
    <row r="86" spans="1:48">
      <c r="A86" s="16" t="s">
        <v>260</v>
      </c>
      <c r="B86" s="17" t="s">
        <v>261</v>
      </c>
      <c r="C86" s="17" t="s">
        <v>262</v>
      </c>
      <c r="D86" s="18">
        <v>0</v>
      </c>
      <c r="E86" s="18">
        <v>0</v>
      </c>
      <c r="F86" s="18">
        <v>0</v>
      </c>
      <c r="G86" s="18">
        <v>0</v>
      </c>
      <c r="H86" s="18">
        <v>0</v>
      </c>
      <c r="I86" s="18">
        <v>12</v>
      </c>
      <c r="J86" s="18">
        <v>0</v>
      </c>
      <c r="K86" s="18">
        <v>0</v>
      </c>
      <c r="L86" s="18">
        <v>0</v>
      </c>
      <c r="M86" s="21">
        <v>12</v>
      </c>
      <c r="N86" s="18">
        <v>1</v>
      </c>
      <c r="O86" s="17">
        <v>0</v>
      </c>
      <c r="P86" s="17">
        <v>0</v>
      </c>
      <c r="Q86" s="17">
        <v>0</v>
      </c>
      <c r="R86" s="17">
        <v>0</v>
      </c>
      <c r="S86" s="17">
        <v>0</v>
      </c>
      <c r="T86" s="17" t="s">
        <v>54</v>
      </c>
      <c r="U86" s="17" t="s">
        <v>54</v>
      </c>
      <c r="V86" s="17" t="s">
        <v>54</v>
      </c>
      <c r="W86" s="17" t="s">
        <v>54</v>
      </c>
      <c r="X86" s="26" t="s">
        <v>54</v>
      </c>
      <c r="Y86" s="26" t="s">
        <v>54</v>
      </c>
      <c r="Z86" s="26" t="s">
        <v>54</v>
      </c>
      <c r="AA86" s="26" t="s">
        <v>54</v>
      </c>
      <c r="AB86" s="17" t="s">
        <v>54</v>
      </c>
      <c r="AC86" s="17" t="s">
        <v>54</v>
      </c>
      <c r="AD86" s="17" t="s">
        <v>54</v>
      </c>
      <c r="AE86" s="17" t="s">
        <v>54</v>
      </c>
      <c r="AF86" s="26" t="s">
        <v>61</v>
      </c>
      <c r="AG86" s="26" t="s">
        <v>61</v>
      </c>
      <c r="AH86" s="26" t="s">
        <v>61</v>
      </c>
      <c r="AI86" s="26" t="s">
        <v>61</v>
      </c>
      <c r="AJ86" s="17">
        <v>0</v>
      </c>
      <c r="AK86" s="17">
        <v>0</v>
      </c>
      <c r="AL86" s="17">
        <v>9</v>
      </c>
      <c r="AM86" s="17">
        <v>3</v>
      </c>
      <c r="AN86" s="26" t="s">
        <v>54</v>
      </c>
      <c r="AO86" s="26" t="s">
        <v>54</v>
      </c>
      <c r="AP86" s="26">
        <v>0</v>
      </c>
      <c r="AQ86" s="26">
        <v>0</v>
      </c>
      <c r="AR86" s="31">
        <v>0</v>
      </c>
      <c r="AS86" s="31">
        <v>0</v>
      </c>
      <c r="AT86" s="31">
        <v>12</v>
      </c>
      <c r="AU86" s="18" t="s">
        <v>263</v>
      </c>
      <c r="AV86" s="32" t="s">
        <v>63</v>
      </c>
    </row>
    <row r="87" spans="1:48">
      <c r="A87" s="16" t="s">
        <v>264</v>
      </c>
      <c r="B87" s="17" t="s">
        <v>265</v>
      </c>
      <c r="C87" s="17" t="s">
        <v>266</v>
      </c>
      <c r="D87" s="18">
        <v>0</v>
      </c>
      <c r="E87" s="18">
        <v>0</v>
      </c>
      <c r="F87" s="18">
        <v>0</v>
      </c>
      <c r="G87" s="18">
        <v>0</v>
      </c>
      <c r="H87" s="18">
        <v>0</v>
      </c>
      <c r="I87" s="18">
        <v>2</v>
      </c>
      <c r="J87" s="18">
        <v>6</v>
      </c>
      <c r="K87" s="18">
        <v>1</v>
      </c>
      <c r="L87" s="18">
        <v>0</v>
      </c>
      <c r="M87" s="21">
        <v>9</v>
      </c>
      <c r="N87" s="18">
        <v>0</v>
      </c>
      <c r="O87" s="17">
        <v>2</v>
      </c>
      <c r="P87" s="17">
        <v>0</v>
      </c>
      <c r="Q87" s="17">
        <v>0</v>
      </c>
      <c r="R87" s="17">
        <v>0</v>
      </c>
      <c r="S87" s="17">
        <v>0</v>
      </c>
      <c r="T87" s="17" t="s">
        <v>54</v>
      </c>
      <c r="U87" s="17" t="s">
        <v>54</v>
      </c>
      <c r="V87" s="17" t="s">
        <v>54</v>
      </c>
      <c r="W87" s="17" t="s">
        <v>54</v>
      </c>
      <c r="X87" s="26" t="s">
        <v>54</v>
      </c>
      <c r="Y87" s="26" t="s">
        <v>54</v>
      </c>
      <c r="Z87" s="26" t="s">
        <v>54</v>
      </c>
      <c r="AA87" s="26" t="s">
        <v>54</v>
      </c>
      <c r="AB87" s="17" t="s">
        <v>54</v>
      </c>
      <c r="AC87" s="17" t="s">
        <v>54</v>
      </c>
      <c r="AD87" s="17" t="s">
        <v>54</v>
      </c>
      <c r="AE87" s="17" t="s">
        <v>54</v>
      </c>
      <c r="AF87" s="26" t="s">
        <v>61</v>
      </c>
      <c r="AG87" s="26" t="s">
        <v>61</v>
      </c>
      <c r="AH87" s="26" t="s">
        <v>61</v>
      </c>
      <c r="AI87" s="26" t="s">
        <v>61</v>
      </c>
      <c r="AJ87" s="17">
        <v>8</v>
      </c>
      <c r="AK87" s="17">
        <v>4</v>
      </c>
      <c r="AL87" s="17">
        <v>1</v>
      </c>
      <c r="AM87" s="17">
        <v>2</v>
      </c>
      <c r="AN87" s="26">
        <v>0</v>
      </c>
      <c r="AO87" s="26">
        <v>0</v>
      </c>
      <c r="AP87" s="26">
        <v>0</v>
      </c>
      <c r="AQ87" s="26">
        <v>0</v>
      </c>
      <c r="AR87" s="31">
        <v>0</v>
      </c>
      <c r="AS87" s="31">
        <v>0</v>
      </c>
      <c r="AT87" s="31">
        <v>9</v>
      </c>
      <c r="AU87" s="18" t="s">
        <v>267</v>
      </c>
      <c r="AV87" s="32" t="s">
        <v>63</v>
      </c>
    </row>
    <row r="88" spans="1:48">
      <c r="A88" s="16" t="s">
        <v>268</v>
      </c>
      <c r="B88" s="17" t="s">
        <v>269</v>
      </c>
      <c r="C88" s="17" t="s">
        <v>270</v>
      </c>
      <c r="D88" s="18">
        <v>0</v>
      </c>
      <c r="E88" s="18">
        <v>0</v>
      </c>
      <c r="F88" s="18">
        <v>0</v>
      </c>
      <c r="G88" s="18">
        <v>0</v>
      </c>
      <c r="H88" s="18">
        <v>0</v>
      </c>
      <c r="I88" s="18">
        <v>0</v>
      </c>
      <c r="J88" s="18">
        <v>1</v>
      </c>
      <c r="K88" s="18">
        <v>0</v>
      </c>
      <c r="L88" s="18">
        <v>0</v>
      </c>
      <c r="M88" s="21">
        <v>1</v>
      </c>
      <c r="N88" s="18">
        <v>0</v>
      </c>
      <c r="O88" s="17">
        <v>0</v>
      </c>
      <c r="P88" s="17">
        <v>0</v>
      </c>
      <c r="Q88" s="17">
        <v>0</v>
      </c>
      <c r="R88" s="17">
        <v>0</v>
      </c>
      <c r="S88" s="17">
        <v>0</v>
      </c>
      <c r="T88" s="17" t="s">
        <v>54</v>
      </c>
      <c r="U88" s="17" t="s">
        <v>54</v>
      </c>
      <c r="V88" s="17" t="s">
        <v>54</v>
      </c>
      <c r="W88" s="17" t="s">
        <v>54</v>
      </c>
      <c r="X88" s="26" t="s">
        <v>54</v>
      </c>
      <c r="Y88" s="26" t="s">
        <v>54</v>
      </c>
      <c r="Z88" s="26" t="s">
        <v>54</v>
      </c>
      <c r="AA88" s="26" t="s">
        <v>54</v>
      </c>
      <c r="AB88" s="17" t="s">
        <v>54</v>
      </c>
      <c r="AC88" s="17" t="s">
        <v>54</v>
      </c>
      <c r="AD88" s="17" t="s">
        <v>54</v>
      </c>
      <c r="AE88" s="17" t="s">
        <v>54</v>
      </c>
      <c r="AF88" s="26" t="s">
        <v>61</v>
      </c>
      <c r="AG88" s="26" t="s">
        <v>61</v>
      </c>
      <c r="AH88" s="26" t="s">
        <v>61</v>
      </c>
      <c r="AI88" s="26" t="s">
        <v>61</v>
      </c>
      <c r="AJ88" s="17">
        <v>0</v>
      </c>
      <c r="AK88" s="17">
        <v>0</v>
      </c>
      <c r="AL88" s="17">
        <v>4</v>
      </c>
      <c r="AM88" s="17">
        <v>5</v>
      </c>
      <c r="AN88" s="26" t="s">
        <v>54</v>
      </c>
      <c r="AO88" s="26" t="s">
        <v>54</v>
      </c>
      <c r="AP88" s="26">
        <v>0</v>
      </c>
      <c r="AQ88" s="26">
        <v>0</v>
      </c>
      <c r="AR88" s="31">
        <v>0</v>
      </c>
      <c r="AS88" s="31">
        <v>0</v>
      </c>
      <c r="AT88" s="31">
        <v>1</v>
      </c>
      <c r="AU88" s="18" t="s">
        <v>95</v>
      </c>
      <c r="AV88" s="32" t="s">
        <v>63</v>
      </c>
    </row>
    <row r="89" spans="1:48">
      <c r="A89" s="16" t="s">
        <v>271</v>
      </c>
      <c r="B89" s="17" t="s">
        <v>272</v>
      </c>
      <c r="C89" s="17" t="s">
        <v>273</v>
      </c>
      <c r="D89" s="18">
        <v>0</v>
      </c>
      <c r="E89" s="18">
        <v>0</v>
      </c>
      <c r="F89" s="18">
        <v>0</v>
      </c>
      <c r="G89" s="18">
        <v>0</v>
      </c>
      <c r="H89" s="18">
        <v>0</v>
      </c>
      <c r="I89" s="18">
        <v>6</v>
      </c>
      <c r="J89" s="18">
        <v>0</v>
      </c>
      <c r="K89" s="18">
        <v>0</v>
      </c>
      <c r="L89" s="18">
        <v>0</v>
      </c>
      <c r="M89" s="21">
        <v>6</v>
      </c>
      <c r="N89" s="18">
        <v>0</v>
      </c>
      <c r="O89" s="17">
        <v>0</v>
      </c>
      <c r="P89" s="17">
        <v>0</v>
      </c>
      <c r="Q89" s="17">
        <v>0</v>
      </c>
      <c r="R89" s="17">
        <v>0</v>
      </c>
      <c r="S89" s="17">
        <v>0</v>
      </c>
      <c r="T89" s="17" t="s">
        <v>54</v>
      </c>
      <c r="U89" s="17" t="s">
        <v>54</v>
      </c>
      <c r="V89" s="17" t="s">
        <v>54</v>
      </c>
      <c r="W89" s="17" t="s">
        <v>54</v>
      </c>
      <c r="X89" s="26" t="s">
        <v>54</v>
      </c>
      <c r="Y89" s="26" t="s">
        <v>54</v>
      </c>
      <c r="Z89" s="26" t="s">
        <v>54</v>
      </c>
      <c r="AA89" s="26" t="s">
        <v>54</v>
      </c>
      <c r="AB89" s="17" t="s">
        <v>54</v>
      </c>
      <c r="AC89" s="17" t="s">
        <v>54</v>
      </c>
      <c r="AD89" s="17" t="s">
        <v>54</v>
      </c>
      <c r="AE89" s="17" t="s">
        <v>54</v>
      </c>
      <c r="AF89" s="26" t="s">
        <v>61</v>
      </c>
      <c r="AG89" s="26" t="s">
        <v>61</v>
      </c>
      <c r="AH89" s="26" t="s">
        <v>61</v>
      </c>
      <c r="AI89" s="26" t="s">
        <v>61</v>
      </c>
      <c r="AJ89" s="17">
        <v>0</v>
      </c>
      <c r="AK89" s="17">
        <v>0</v>
      </c>
      <c r="AL89" s="17">
        <v>8</v>
      </c>
      <c r="AM89" s="17">
        <v>3</v>
      </c>
      <c r="AN89" s="26" t="s">
        <v>54</v>
      </c>
      <c r="AO89" s="26" t="s">
        <v>54</v>
      </c>
      <c r="AP89" s="26">
        <v>0</v>
      </c>
      <c r="AQ89" s="26">
        <v>0</v>
      </c>
      <c r="AR89" s="31">
        <v>0</v>
      </c>
      <c r="AS89" s="31">
        <v>0</v>
      </c>
      <c r="AT89" s="31">
        <v>6</v>
      </c>
      <c r="AU89" s="18" t="s">
        <v>235</v>
      </c>
      <c r="AV89" s="32" t="s">
        <v>63</v>
      </c>
    </row>
    <row r="90" spans="1:48">
      <c r="A90" s="16" t="s">
        <v>274</v>
      </c>
      <c r="B90" s="17" t="s">
        <v>275</v>
      </c>
      <c r="C90" s="17" t="s">
        <v>276</v>
      </c>
      <c r="D90" s="18">
        <v>0</v>
      </c>
      <c r="E90" s="18">
        <v>0</v>
      </c>
      <c r="F90" s="18">
        <v>0</v>
      </c>
      <c r="G90" s="18">
        <v>0</v>
      </c>
      <c r="H90" s="18">
        <v>0</v>
      </c>
      <c r="I90" s="18">
        <v>0</v>
      </c>
      <c r="J90" s="18">
        <v>0</v>
      </c>
      <c r="K90" s="18">
        <v>0</v>
      </c>
      <c r="L90" s="18">
        <v>0</v>
      </c>
      <c r="M90" s="21">
        <v>0</v>
      </c>
      <c r="N90" s="18">
        <v>0</v>
      </c>
      <c r="O90" s="17">
        <v>0</v>
      </c>
      <c r="P90" s="17">
        <v>0</v>
      </c>
      <c r="Q90" s="17">
        <v>0</v>
      </c>
      <c r="R90" s="17">
        <v>0</v>
      </c>
      <c r="S90" s="17">
        <v>0</v>
      </c>
      <c r="T90" s="17" t="s">
        <v>54</v>
      </c>
      <c r="U90" s="17" t="s">
        <v>54</v>
      </c>
      <c r="V90" s="17" t="s">
        <v>54</v>
      </c>
      <c r="W90" s="17" t="s">
        <v>54</v>
      </c>
      <c r="X90" s="26" t="s">
        <v>54</v>
      </c>
      <c r="Y90" s="26" t="s">
        <v>54</v>
      </c>
      <c r="Z90" s="26" t="s">
        <v>54</v>
      </c>
      <c r="AA90" s="26" t="s">
        <v>54</v>
      </c>
      <c r="AB90" s="17" t="s">
        <v>54</v>
      </c>
      <c r="AC90" s="17" t="s">
        <v>54</v>
      </c>
      <c r="AD90" s="17" t="s">
        <v>54</v>
      </c>
      <c r="AE90" s="17" t="s">
        <v>54</v>
      </c>
      <c r="AF90" s="26" t="s">
        <v>61</v>
      </c>
      <c r="AG90" s="26" t="s">
        <v>61</v>
      </c>
      <c r="AH90" s="26" t="s">
        <v>61</v>
      </c>
      <c r="AI90" s="26" t="s">
        <v>61</v>
      </c>
      <c r="AJ90" s="17">
        <v>0</v>
      </c>
      <c r="AK90" s="17">
        <v>0</v>
      </c>
      <c r="AL90" s="17">
        <v>7</v>
      </c>
      <c r="AM90" s="17">
        <v>6</v>
      </c>
      <c r="AN90" s="26" t="s">
        <v>54</v>
      </c>
      <c r="AO90" s="26" t="s">
        <v>54</v>
      </c>
      <c r="AP90" s="26">
        <v>0</v>
      </c>
      <c r="AQ90" s="26">
        <v>0</v>
      </c>
      <c r="AR90" s="31">
        <v>0</v>
      </c>
      <c r="AS90" s="31">
        <v>0</v>
      </c>
      <c r="AT90" s="31">
        <v>0</v>
      </c>
      <c r="AU90" s="18" t="s">
        <v>62</v>
      </c>
      <c r="AV90" s="32" t="s">
        <v>63</v>
      </c>
    </row>
    <row r="91" spans="1:48">
      <c r="A91" s="16" t="s">
        <v>277</v>
      </c>
      <c r="B91" s="17" t="s">
        <v>278</v>
      </c>
      <c r="C91" s="17" t="s">
        <v>279</v>
      </c>
      <c r="D91" s="18">
        <v>0</v>
      </c>
      <c r="E91" s="18">
        <v>0</v>
      </c>
      <c r="F91" s="18">
        <v>0</v>
      </c>
      <c r="G91" s="18">
        <v>0</v>
      </c>
      <c r="H91" s="18">
        <v>0</v>
      </c>
      <c r="I91" s="18">
        <v>7</v>
      </c>
      <c r="J91" s="18">
        <v>0</v>
      </c>
      <c r="K91" s="18">
        <v>0</v>
      </c>
      <c r="L91" s="18">
        <v>0</v>
      </c>
      <c r="M91" s="21">
        <v>7</v>
      </c>
      <c r="N91" s="18">
        <v>0</v>
      </c>
      <c r="O91" s="17">
        <v>1</v>
      </c>
      <c r="P91" s="17">
        <v>0</v>
      </c>
      <c r="Q91" s="17">
        <v>0</v>
      </c>
      <c r="R91" s="17">
        <v>0</v>
      </c>
      <c r="S91" s="17">
        <v>0</v>
      </c>
      <c r="T91" s="17" t="s">
        <v>54</v>
      </c>
      <c r="U91" s="17" t="s">
        <v>54</v>
      </c>
      <c r="V91" s="17" t="s">
        <v>54</v>
      </c>
      <c r="W91" s="17" t="s">
        <v>54</v>
      </c>
      <c r="X91" s="26" t="s">
        <v>54</v>
      </c>
      <c r="Y91" s="26" t="s">
        <v>54</v>
      </c>
      <c r="Z91" s="26" t="s">
        <v>54</v>
      </c>
      <c r="AA91" s="26" t="s">
        <v>54</v>
      </c>
      <c r="AB91" s="17" t="s">
        <v>54</v>
      </c>
      <c r="AC91" s="17" t="s">
        <v>54</v>
      </c>
      <c r="AD91" s="17" t="s">
        <v>54</v>
      </c>
      <c r="AE91" s="17" t="s">
        <v>54</v>
      </c>
      <c r="AF91" s="26" t="s">
        <v>61</v>
      </c>
      <c r="AG91" s="26" t="s">
        <v>61</v>
      </c>
      <c r="AH91" s="26" t="s">
        <v>61</v>
      </c>
      <c r="AI91" s="26" t="s">
        <v>61</v>
      </c>
      <c r="AJ91" s="17">
        <v>5</v>
      </c>
      <c r="AK91" s="17">
        <v>7</v>
      </c>
      <c r="AL91" s="17">
        <v>8</v>
      </c>
      <c r="AM91" s="17">
        <v>4</v>
      </c>
      <c r="AN91" s="26">
        <v>0</v>
      </c>
      <c r="AO91" s="26">
        <v>0</v>
      </c>
      <c r="AP91" s="26">
        <v>0</v>
      </c>
      <c r="AQ91" s="26">
        <v>0</v>
      </c>
      <c r="AR91" s="31">
        <v>0</v>
      </c>
      <c r="AS91" s="31">
        <v>0</v>
      </c>
      <c r="AT91" s="31">
        <v>7</v>
      </c>
      <c r="AU91" s="18" t="s">
        <v>219</v>
      </c>
      <c r="AV91" s="32" t="s">
        <v>63</v>
      </c>
    </row>
    <row r="92" spans="1:48">
      <c r="A92" s="16" t="s">
        <v>280</v>
      </c>
      <c r="B92" s="17" t="s">
        <v>281</v>
      </c>
      <c r="C92" s="17" t="s">
        <v>282</v>
      </c>
      <c r="D92" s="18">
        <v>0</v>
      </c>
      <c r="E92" s="18">
        <v>0</v>
      </c>
      <c r="F92" s="18">
        <v>0</v>
      </c>
      <c r="G92" s="18">
        <v>0</v>
      </c>
      <c r="H92" s="18">
        <v>0</v>
      </c>
      <c r="I92" s="18">
        <v>6</v>
      </c>
      <c r="J92" s="18">
        <v>0</v>
      </c>
      <c r="K92" s="18">
        <v>2</v>
      </c>
      <c r="L92" s="18">
        <v>0</v>
      </c>
      <c r="M92" s="21">
        <v>8</v>
      </c>
      <c r="N92" s="18">
        <v>0</v>
      </c>
      <c r="O92" s="17">
        <v>1</v>
      </c>
      <c r="P92" s="17">
        <v>0</v>
      </c>
      <c r="Q92" s="17">
        <v>0</v>
      </c>
      <c r="R92" s="17">
        <v>0</v>
      </c>
      <c r="S92" s="17">
        <v>0</v>
      </c>
      <c r="T92" s="17" t="s">
        <v>54</v>
      </c>
      <c r="U92" s="17" t="s">
        <v>54</v>
      </c>
      <c r="V92" s="17" t="s">
        <v>54</v>
      </c>
      <c r="W92" s="17" t="s">
        <v>54</v>
      </c>
      <c r="X92" s="26" t="s">
        <v>54</v>
      </c>
      <c r="Y92" s="26" t="s">
        <v>54</v>
      </c>
      <c r="Z92" s="26" t="s">
        <v>54</v>
      </c>
      <c r="AA92" s="26" t="s">
        <v>54</v>
      </c>
      <c r="AB92" s="17" t="s">
        <v>54</v>
      </c>
      <c r="AC92" s="17" t="s">
        <v>54</v>
      </c>
      <c r="AD92" s="17" t="s">
        <v>54</v>
      </c>
      <c r="AE92" s="17" t="s">
        <v>54</v>
      </c>
      <c r="AF92" s="26" t="s">
        <v>61</v>
      </c>
      <c r="AG92" s="26" t="s">
        <v>61</v>
      </c>
      <c r="AH92" s="26" t="s">
        <v>61</v>
      </c>
      <c r="AI92" s="26" t="s">
        <v>61</v>
      </c>
      <c r="AJ92" s="17">
        <v>5</v>
      </c>
      <c r="AK92" s="17">
        <v>8</v>
      </c>
      <c r="AL92" s="17">
        <v>8</v>
      </c>
      <c r="AM92" s="17">
        <v>7</v>
      </c>
      <c r="AN92" s="26">
        <v>0</v>
      </c>
      <c r="AO92" s="26">
        <v>0</v>
      </c>
      <c r="AP92" s="26">
        <v>0</v>
      </c>
      <c r="AQ92" s="26">
        <v>0</v>
      </c>
      <c r="AR92" s="31">
        <v>0</v>
      </c>
      <c r="AS92" s="31">
        <v>0</v>
      </c>
      <c r="AT92" s="31">
        <v>8</v>
      </c>
      <c r="AU92" s="18" t="s">
        <v>67</v>
      </c>
      <c r="AV92" s="32" t="s">
        <v>63</v>
      </c>
    </row>
    <row r="93" spans="1:48">
      <c r="A93" s="16" t="s">
        <v>283</v>
      </c>
      <c r="B93" s="17" t="s">
        <v>284</v>
      </c>
      <c r="C93" s="17" t="s">
        <v>285</v>
      </c>
      <c r="D93" s="18">
        <v>0</v>
      </c>
      <c r="E93" s="18">
        <v>0</v>
      </c>
      <c r="F93" s="18">
        <v>0</v>
      </c>
      <c r="G93" s="18">
        <v>0</v>
      </c>
      <c r="H93" s="18">
        <v>0</v>
      </c>
      <c r="I93" s="18">
        <v>1</v>
      </c>
      <c r="J93" s="18">
        <v>2</v>
      </c>
      <c r="K93" s="18">
        <v>1</v>
      </c>
      <c r="L93" s="18">
        <v>0</v>
      </c>
      <c r="M93" s="21">
        <v>4</v>
      </c>
      <c r="N93" s="18">
        <v>0</v>
      </c>
      <c r="O93" s="17">
        <v>1</v>
      </c>
      <c r="P93" s="17">
        <v>0</v>
      </c>
      <c r="Q93" s="17">
        <v>0</v>
      </c>
      <c r="R93" s="17">
        <v>0</v>
      </c>
      <c r="S93" s="17">
        <v>0</v>
      </c>
      <c r="T93" s="17" t="s">
        <v>54</v>
      </c>
      <c r="U93" s="17" t="s">
        <v>54</v>
      </c>
      <c r="V93" s="17" t="s">
        <v>54</v>
      </c>
      <c r="W93" s="17" t="s">
        <v>54</v>
      </c>
      <c r="X93" s="26" t="s">
        <v>54</v>
      </c>
      <c r="Y93" s="26" t="s">
        <v>54</v>
      </c>
      <c r="Z93" s="26" t="s">
        <v>54</v>
      </c>
      <c r="AA93" s="26" t="s">
        <v>54</v>
      </c>
      <c r="AB93" s="17" t="s">
        <v>54</v>
      </c>
      <c r="AC93" s="17" t="s">
        <v>54</v>
      </c>
      <c r="AD93" s="17" t="s">
        <v>54</v>
      </c>
      <c r="AE93" s="17" t="s">
        <v>54</v>
      </c>
      <c r="AF93" s="26" t="s">
        <v>61</v>
      </c>
      <c r="AG93" s="26" t="s">
        <v>61</v>
      </c>
      <c r="AH93" s="26" t="s">
        <v>61</v>
      </c>
      <c r="AI93" s="26" t="s">
        <v>61</v>
      </c>
      <c r="AJ93" s="17">
        <v>5</v>
      </c>
      <c r="AK93" s="17">
        <v>4</v>
      </c>
      <c r="AL93" s="17">
        <v>6</v>
      </c>
      <c r="AM93" s="17">
        <v>7</v>
      </c>
      <c r="AN93" s="26">
        <v>0</v>
      </c>
      <c r="AO93" s="26">
        <v>0</v>
      </c>
      <c r="AP93" s="26">
        <v>0</v>
      </c>
      <c r="AQ93" s="26">
        <v>0</v>
      </c>
      <c r="AR93" s="31">
        <v>0</v>
      </c>
      <c r="AS93" s="31">
        <v>0</v>
      </c>
      <c r="AT93" s="31">
        <v>4</v>
      </c>
      <c r="AU93" s="18" t="s">
        <v>252</v>
      </c>
      <c r="AV93" s="32" t="s">
        <v>63</v>
      </c>
    </row>
    <row r="94" spans="1:48">
      <c r="A94" s="16" t="s">
        <v>286</v>
      </c>
      <c r="B94" s="17" t="s">
        <v>287</v>
      </c>
      <c r="C94" s="17" t="s">
        <v>288</v>
      </c>
      <c r="D94" s="18">
        <v>0</v>
      </c>
      <c r="E94" s="18">
        <v>0</v>
      </c>
      <c r="F94" s="18">
        <v>0</v>
      </c>
      <c r="G94" s="18">
        <v>0</v>
      </c>
      <c r="H94" s="18">
        <v>0</v>
      </c>
      <c r="I94" s="18">
        <v>7</v>
      </c>
      <c r="J94" s="18">
        <v>0</v>
      </c>
      <c r="K94" s="18">
        <v>0</v>
      </c>
      <c r="L94" s="18">
        <v>0</v>
      </c>
      <c r="M94" s="21">
        <v>7</v>
      </c>
      <c r="N94" s="18">
        <v>0</v>
      </c>
      <c r="O94" s="17">
        <v>0</v>
      </c>
      <c r="P94" s="17">
        <v>0</v>
      </c>
      <c r="Q94" s="17">
        <v>0</v>
      </c>
      <c r="R94" s="17">
        <v>0</v>
      </c>
      <c r="S94" s="17">
        <v>0</v>
      </c>
      <c r="T94" s="17" t="s">
        <v>54</v>
      </c>
      <c r="U94" s="17" t="s">
        <v>54</v>
      </c>
      <c r="V94" s="17" t="s">
        <v>54</v>
      </c>
      <c r="W94" s="17" t="s">
        <v>54</v>
      </c>
      <c r="X94" s="26" t="s">
        <v>54</v>
      </c>
      <c r="Y94" s="26" t="s">
        <v>54</v>
      </c>
      <c r="Z94" s="26" t="s">
        <v>54</v>
      </c>
      <c r="AA94" s="26" t="s">
        <v>54</v>
      </c>
      <c r="AB94" s="17" t="s">
        <v>54</v>
      </c>
      <c r="AC94" s="17" t="s">
        <v>54</v>
      </c>
      <c r="AD94" s="17" t="s">
        <v>54</v>
      </c>
      <c r="AE94" s="17" t="s">
        <v>54</v>
      </c>
      <c r="AF94" s="26" t="s">
        <v>61</v>
      </c>
      <c r="AG94" s="26" t="s">
        <v>61</v>
      </c>
      <c r="AH94" s="26" t="s">
        <v>61</v>
      </c>
      <c r="AI94" s="26" t="s">
        <v>61</v>
      </c>
      <c r="AJ94" s="17">
        <v>0</v>
      </c>
      <c r="AK94" s="17">
        <v>0</v>
      </c>
      <c r="AL94" s="17">
        <v>9</v>
      </c>
      <c r="AM94" s="17">
        <v>2</v>
      </c>
      <c r="AN94" s="26" t="s">
        <v>54</v>
      </c>
      <c r="AO94" s="26" t="s">
        <v>54</v>
      </c>
      <c r="AP94" s="26">
        <v>0</v>
      </c>
      <c r="AQ94" s="26">
        <v>0</v>
      </c>
      <c r="AR94" s="31">
        <v>0</v>
      </c>
      <c r="AS94" s="31">
        <v>0</v>
      </c>
      <c r="AT94" s="31">
        <v>7</v>
      </c>
      <c r="AU94" s="18" t="s">
        <v>219</v>
      </c>
      <c r="AV94" s="32" t="s">
        <v>63</v>
      </c>
    </row>
    <row r="95" spans="1:48">
      <c r="A95" s="16" t="s">
        <v>289</v>
      </c>
      <c r="B95" s="17" t="s">
        <v>290</v>
      </c>
      <c r="C95" s="17" t="s">
        <v>291</v>
      </c>
      <c r="D95" s="18">
        <v>0</v>
      </c>
      <c r="E95" s="18">
        <v>0</v>
      </c>
      <c r="F95" s="18">
        <v>0</v>
      </c>
      <c r="G95" s="18">
        <v>0</v>
      </c>
      <c r="H95" s="18">
        <v>0</v>
      </c>
      <c r="I95" s="18">
        <v>2</v>
      </c>
      <c r="J95" s="18">
        <v>9</v>
      </c>
      <c r="K95" s="18">
        <v>0</v>
      </c>
      <c r="L95" s="18">
        <v>0</v>
      </c>
      <c r="M95" s="21">
        <v>11</v>
      </c>
      <c r="N95" s="18">
        <v>0</v>
      </c>
      <c r="O95" s="17">
        <v>2</v>
      </c>
      <c r="P95" s="17">
        <v>0</v>
      </c>
      <c r="Q95" s="17">
        <v>0</v>
      </c>
      <c r="R95" s="17">
        <v>0</v>
      </c>
      <c r="S95" s="17">
        <v>0</v>
      </c>
      <c r="T95" s="17" t="s">
        <v>54</v>
      </c>
      <c r="U95" s="17" t="s">
        <v>54</v>
      </c>
      <c r="V95" s="17" t="s">
        <v>54</v>
      </c>
      <c r="W95" s="17" t="s">
        <v>54</v>
      </c>
      <c r="X95" s="26" t="s">
        <v>54</v>
      </c>
      <c r="Y95" s="26" t="s">
        <v>54</v>
      </c>
      <c r="Z95" s="26" t="s">
        <v>54</v>
      </c>
      <c r="AA95" s="26" t="s">
        <v>54</v>
      </c>
      <c r="AB95" s="17" t="s">
        <v>54</v>
      </c>
      <c r="AC95" s="17" t="s">
        <v>54</v>
      </c>
      <c r="AD95" s="17" t="s">
        <v>54</v>
      </c>
      <c r="AE95" s="17" t="s">
        <v>54</v>
      </c>
      <c r="AF95" s="26" t="s">
        <v>61</v>
      </c>
      <c r="AG95" s="26" t="s">
        <v>61</v>
      </c>
      <c r="AH95" s="26" t="s">
        <v>61</v>
      </c>
      <c r="AI95" s="26" t="s">
        <v>61</v>
      </c>
      <c r="AJ95" s="17">
        <v>4</v>
      </c>
      <c r="AK95" s="17">
        <v>3</v>
      </c>
      <c r="AL95" s="17">
        <v>7</v>
      </c>
      <c r="AM95" s="17">
        <v>1</v>
      </c>
      <c r="AN95" s="26">
        <v>0</v>
      </c>
      <c r="AO95" s="26">
        <v>0</v>
      </c>
      <c r="AP95" s="26">
        <v>0</v>
      </c>
      <c r="AQ95" s="26">
        <v>0</v>
      </c>
      <c r="AR95" s="31">
        <v>0</v>
      </c>
      <c r="AS95" s="31">
        <v>0</v>
      </c>
      <c r="AT95" s="31">
        <v>11</v>
      </c>
      <c r="AU95" s="18" t="s">
        <v>215</v>
      </c>
      <c r="AV95" s="32" t="s">
        <v>63</v>
      </c>
    </row>
    <row r="96" spans="1:48">
      <c r="A96" s="16" t="s">
        <v>292</v>
      </c>
      <c r="B96" s="17" t="s">
        <v>293</v>
      </c>
      <c r="C96" s="17" t="s">
        <v>294</v>
      </c>
      <c r="D96" s="18">
        <v>0</v>
      </c>
      <c r="E96" s="18">
        <v>0</v>
      </c>
      <c r="F96" s="18">
        <v>0</v>
      </c>
      <c r="G96" s="18">
        <v>0</v>
      </c>
      <c r="H96" s="18">
        <v>0</v>
      </c>
      <c r="I96" s="18">
        <v>13</v>
      </c>
      <c r="J96" s="18">
        <v>0</v>
      </c>
      <c r="K96" s="18">
        <v>0</v>
      </c>
      <c r="L96" s="18">
        <v>0</v>
      </c>
      <c r="M96" s="21">
        <v>13</v>
      </c>
      <c r="N96" s="18">
        <v>0</v>
      </c>
      <c r="O96" s="17">
        <v>0</v>
      </c>
      <c r="P96" s="17">
        <v>0</v>
      </c>
      <c r="Q96" s="17">
        <v>0</v>
      </c>
      <c r="R96" s="17">
        <v>0</v>
      </c>
      <c r="S96" s="17">
        <v>0</v>
      </c>
      <c r="T96" s="17" t="s">
        <v>54</v>
      </c>
      <c r="U96" s="17" t="s">
        <v>54</v>
      </c>
      <c r="V96" s="17" t="s">
        <v>54</v>
      </c>
      <c r="W96" s="17" t="s">
        <v>54</v>
      </c>
      <c r="X96" s="26" t="s">
        <v>54</v>
      </c>
      <c r="Y96" s="26" t="s">
        <v>54</v>
      </c>
      <c r="Z96" s="26" t="s">
        <v>54</v>
      </c>
      <c r="AA96" s="26" t="s">
        <v>54</v>
      </c>
      <c r="AB96" s="17" t="s">
        <v>54</v>
      </c>
      <c r="AC96" s="17" t="s">
        <v>54</v>
      </c>
      <c r="AD96" s="17" t="s">
        <v>54</v>
      </c>
      <c r="AE96" s="17" t="s">
        <v>54</v>
      </c>
      <c r="AF96" s="26" t="s">
        <v>61</v>
      </c>
      <c r="AG96" s="26" t="s">
        <v>61</v>
      </c>
      <c r="AH96" s="26" t="s">
        <v>61</v>
      </c>
      <c r="AI96" s="26" t="s">
        <v>61</v>
      </c>
      <c r="AJ96" s="17">
        <v>12</v>
      </c>
      <c r="AK96" s="17">
        <v>7</v>
      </c>
      <c r="AL96" s="17">
        <v>6</v>
      </c>
      <c r="AM96" s="17">
        <v>3</v>
      </c>
      <c r="AN96" s="26">
        <v>0</v>
      </c>
      <c r="AO96" s="26">
        <v>0</v>
      </c>
      <c r="AP96" s="26">
        <v>0</v>
      </c>
      <c r="AQ96" s="26">
        <v>0</v>
      </c>
      <c r="AR96" s="31">
        <v>0</v>
      </c>
      <c r="AS96" s="31">
        <v>0</v>
      </c>
      <c r="AT96" s="31">
        <v>13</v>
      </c>
      <c r="AU96" s="18" t="s">
        <v>231</v>
      </c>
      <c r="AV96" s="32" t="s">
        <v>63</v>
      </c>
    </row>
    <row r="97" spans="1:48">
      <c r="A97" s="16" t="s">
        <v>295</v>
      </c>
      <c r="B97" s="17" t="s">
        <v>296</v>
      </c>
      <c r="C97" s="17" t="s">
        <v>297</v>
      </c>
      <c r="D97" s="18">
        <v>0</v>
      </c>
      <c r="E97" s="18">
        <v>0</v>
      </c>
      <c r="F97" s="18">
        <v>0</v>
      </c>
      <c r="G97" s="18">
        <v>0</v>
      </c>
      <c r="H97" s="18">
        <v>0</v>
      </c>
      <c r="I97" s="18">
        <v>9</v>
      </c>
      <c r="J97" s="18">
        <v>0</v>
      </c>
      <c r="K97" s="18">
        <v>0</v>
      </c>
      <c r="L97" s="18">
        <v>0</v>
      </c>
      <c r="M97" s="21">
        <v>9</v>
      </c>
      <c r="N97" s="18">
        <v>0</v>
      </c>
      <c r="O97" s="17">
        <v>0</v>
      </c>
      <c r="P97" s="17">
        <v>0</v>
      </c>
      <c r="Q97" s="17">
        <v>0</v>
      </c>
      <c r="R97" s="17">
        <v>0</v>
      </c>
      <c r="S97" s="17">
        <v>0</v>
      </c>
      <c r="T97" s="17" t="s">
        <v>54</v>
      </c>
      <c r="U97" s="17" t="s">
        <v>54</v>
      </c>
      <c r="V97" s="17" t="s">
        <v>54</v>
      </c>
      <c r="W97" s="17" t="s">
        <v>54</v>
      </c>
      <c r="X97" s="26" t="s">
        <v>54</v>
      </c>
      <c r="Y97" s="26" t="s">
        <v>54</v>
      </c>
      <c r="Z97" s="26" t="s">
        <v>54</v>
      </c>
      <c r="AA97" s="26" t="s">
        <v>54</v>
      </c>
      <c r="AB97" s="17" t="s">
        <v>54</v>
      </c>
      <c r="AC97" s="17" t="s">
        <v>54</v>
      </c>
      <c r="AD97" s="17" t="s">
        <v>54</v>
      </c>
      <c r="AE97" s="17" t="s">
        <v>54</v>
      </c>
      <c r="AF97" s="26" t="s">
        <v>61</v>
      </c>
      <c r="AG97" s="26" t="s">
        <v>61</v>
      </c>
      <c r="AH97" s="26" t="s">
        <v>61</v>
      </c>
      <c r="AI97" s="26" t="s">
        <v>61</v>
      </c>
      <c r="AJ97" s="17">
        <v>1</v>
      </c>
      <c r="AK97" s="17">
        <v>0</v>
      </c>
      <c r="AL97" s="17">
        <v>7</v>
      </c>
      <c r="AM97" s="17">
        <v>3</v>
      </c>
      <c r="AN97" s="26">
        <v>0</v>
      </c>
      <c r="AO97" s="26" t="s">
        <v>54</v>
      </c>
      <c r="AP97" s="26">
        <v>0</v>
      </c>
      <c r="AQ97" s="26">
        <v>0</v>
      </c>
      <c r="AR97" s="31">
        <v>0</v>
      </c>
      <c r="AS97" s="31">
        <v>0</v>
      </c>
      <c r="AT97" s="31">
        <v>9</v>
      </c>
      <c r="AU97" s="18" t="s">
        <v>267</v>
      </c>
      <c r="AV97" s="32" t="s">
        <v>63</v>
      </c>
    </row>
    <row r="98" spans="1:48">
      <c r="A98" s="16" t="s">
        <v>298</v>
      </c>
      <c r="B98" s="17" t="s">
        <v>299</v>
      </c>
      <c r="C98" s="17" t="s">
        <v>300</v>
      </c>
      <c r="D98" s="18">
        <v>0</v>
      </c>
      <c r="E98" s="18">
        <v>0</v>
      </c>
      <c r="F98" s="18">
        <v>0</v>
      </c>
      <c r="G98" s="18">
        <v>0</v>
      </c>
      <c r="H98" s="18">
        <v>0</v>
      </c>
      <c r="I98" s="18">
        <v>0</v>
      </c>
      <c r="J98" s="18">
        <v>9</v>
      </c>
      <c r="K98" s="18">
        <v>0</v>
      </c>
      <c r="L98" s="18">
        <v>0</v>
      </c>
      <c r="M98" s="21">
        <v>9</v>
      </c>
      <c r="N98" s="18">
        <v>0</v>
      </c>
      <c r="O98" s="17">
        <v>0</v>
      </c>
      <c r="P98" s="17">
        <v>0</v>
      </c>
      <c r="Q98" s="17">
        <v>0</v>
      </c>
      <c r="R98" s="17">
        <v>0</v>
      </c>
      <c r="S98" s="17">
        <v>0</v>
      </c>
      <c r="T98" s="17" t="s">
        <v>54</v>
      </c>
      <c r="U98" s="17" t="s">
        <v>54</v>
      </c>
      <c r="V98" s="17" t="s">
        <v>54</v>
      </c>
      <c r="W98" s="17" t="s">
        <v>54</v>
      </c>
      <c r="X98" s="26" t="s">
        <v>54</v>
      </c>
      <c r="Y98" s="26" t="s">
        <v>54</v>
      </c>
      <c r="Z98" s="26" t="s">
        <v>54</v>
      </c>
      <c r="AA98" s="26" t="s">
        <v>54</v>
      </c>
      <c r="AB98" s="17" t="s">
        <v>54</v>
      </c>
      <c r="AC98" s="17" t="s">
        <v>54</v>
      </c>
      <c r="AD98" s="17" t="s">
        <v>54</v>
      </c>
      <c r="AE98" s="17" t="s">
        <v>54</v>
      </c>
      <c r="AF98" s="26" t="s">
        <v>61</v>
      </c>
      <c r="AG98" s="26" t="s">
        <v>61</v>
      </c>
      <c r="AH98" s="26" t="s">
        <v>61</v>
      </c>
      <c r="AI98" s="26" t="s">
        <v>61</v>
      </c>
      <c r="AJ98" s="17">
        <v>0</v>
      </c>
      <c r="AK98" s="17">
        <v>0</v>
      </c>
      <c r="AL98" s="17">
        <v>10</v>
      </c>
      <c r="AM98" s="17">
        <v>7</v>
      </c>
      <c r="AN98" s="26" t="s">
        <v>54</v>
      </c>
      <c r="AO98" s="26" t="s">
        <v>54</v>
      </c>
      <c r="AP98" s="26">
        <v>0</v>
      </c>
      <c r="AQ98" s="26">
        <v>0</v>
      </c>
      <c r="AR98" s="31">
        <v>0</v>
      </c>
      <c r="AS98" s="31">
        <v>0</v>
      </c>
      <c r="AT98" s="31">
        <v>9</v>
      </c>
      <c r="AU98" s="18" t="s">
        <v>267</v>
      </c>
      <c r="AV98" s="32" t="s">
        <v>63</v>
      </c>
    </row>
    <row r="99" spans="1:48">
      <c r="A99" s="16" t="s">
        <v>301</v>
      </c>
      <c r="B99" s="17" t="s">
        <v>302</v>
      </c>
      <c r="C99" s="17" t="s">
        <v>303</v>
      </c>
      <c r="D99" s="18">
        <v>0</v>
      </c>
      <c r="E99" s="18">
        <v>0</v>
      </c>
      <c r="F99" s="18">
        <v>0</v>
      </c>
      <c r="G99" s="18">
        <v>0</v>
      </c>
      <c r="H99" s="18">
        <v>0</v>
      </c>
      <c r="I99" s="18">
        <v>2</v>
      </c>
      <c r="J99" s="18">
        <v>9</v>
      </c>
      <c r="K99" s="18">
        <v>0</v>
      </c>
      <c r="L99" s="18">
        <v>0</v>
      </c>
      <c r="M99" s="21">
        <v>11</v>
      </c>
      <c r="N99" s="18">
        <v>0</v>
      </c>
      <c r="O99" s="17">
        <v>1</v>
      </c>
      <c r="P99" s="17">
        <v>0</v>
      </c>
      <c r="Q99" s="17">
        <v>0</v>
      </c>
      <c r="R99" s="17">
        <v>0</v>
      </c>
      <c r="S99" s="17">
        <v>0</v>
      </c>
      <c r="T99" s="17" t="s">
        <v>54</v>
      </c>
      <c r="U99" s="17" t="s">
        <v>54</v>
      </c>
      <c r="V99" s="17" t="s">
        <v>54</v>
      </c>
      <c r="W99" s="17" t="s">
        <v>54</v>
      </c>
      <c r="X99" s="26" t="s">
        <v>54</v>
      </c>
      <c r="Y99" s="26" t="s">
        <v>54</v>
      </c>
      <c r="Z99" s="26" t="s">
        <v>54</v>
      </c>
      <c r="AA99" s="26" t="s">
        <v>54</v>
      </c>
      <c r="AB99" s="17" t="s">
        <v>54</v>
      </c>
      <c r="AC99" s="17" t="s">
        <v>54</v>
      </c>
      <c r="AD99" s="17" t="s">
        <v>54</v>
      </c>
      <c r="AE99" s="17" t="s">
        <v>54</v>
      </c>
      <c r="AF99" s="26" t="s">
        <v>61</v>
      </c>
      <c r="AG99" s="26" t="s">
        <v>61</v>
      </c>
      <c r="AH99" s="26" t="s">
        <v>61</v>
      </c>
      <c r="AI99" s="26" t="s">
        <v>61</v>
      </c>
      <c r="AJ99" s="17">
        <v>6</v>
      </c>
      <c r="AK99" s="17">
        <v>5</v>
      </c>
      <c r="AL99" s="17">
        <v>6</v>
      </c>
      <c r="AM99" s="17">
        <v>3</v>
      </c>
      <c r="AN99" s="26">
        <v>0</v>
      </c>
      <c r="AO99" s="26">
        <v>0</v>
      </c>
      <c r="AP99" s="26">
        <v>0</v>
      </c>
      <c r="AQ99" s="26">
        <v>0</v>
      </c>
      <c r="AR99" s="31">
        <v>0</v>
      </c>
      <c r="AS99" s="31">
        <v>0</v>
      </c>
      <c r="AT99" s="31">
        <v>11</v>
      </c>
      <c r="AU99" s="18" t="s">
        <v>215</v>
      </c>
      <c r="AV99" s="32" t="s">
        <v>63</v>
      </c>
    </row>
    <row r="100" spans="1:48">
      <c r="A100" s="16" t="s">
        <v>304</v>
      </c>
      <c r="B100" s="17" t="s">
        <v>305</v>
      </c>
      <c r="C100" s="17" t="s">
        <v>306</v>
      </c>
      <c r="D100" s="18">
        <v>0</v>
      </c>
      <c r="E100" s="18">
        <v>0</v>
      </c>
      <c r="F100" s="18">
        <v>0</v>
      </c>
      <c r="G100" s="18">
        <v>0</v>
      </c>
      <c r="H100" s="18">
        <v>0</v>
      </c>
      <c r="I100" s="18">
        <v>0</v>
      </c>
      <c r="J100" s="18">
        <v>12</v>
      </c>
      <c r="K100" s="18">
        <v>0</v>
      </c>
      <c r="L100" s="18">
        <v>0</v>
      </c>
      <c r="M100" s="21">
        <v>12</v>
      </c>
      <c r="N100" s="18">
        <v>0</v>
      </c>
      <c r="O100" s="17">
        <v>0</v>
      </c>
      <c r="P100" s="17">
        <v>0</v>
      </c>
      <c r="Q100" s="17">
        <v>0</v>
      </c>
      <c r="R100" s="17">
        <v>0</v>
      </c>
      <c r="S100" s="17">
        <v>0</v>
      </c>
      <c r="T100" s="17" t="s">
        <v>54</v>
      </c>
      <c r="U100" s="17" t="s">
        <v>54</v>
      </c>
      <c r="V100" s="17" t="s">
        <v>54</v>
      </c>
      <c r="W100" s="17" t="s">
        <v>54</v>
      </c>
      <c r="X100" s="26" t="s">
        <v>54</v>
      </c>
      <c r="Y100" s="26" t="s">
        <v>54</v>
      </c>
      <c r="Z100" s="26" t="s">
        <v>54</v>
      </c>
      <c r="AA100" s="26" t="s">
        <v>54</v>
      </c>
      <c r="AB100" s="17" t="s">
        <v>54</v>
      </c>
      <c r="AC100" s="17" t="s">
        <v>54</v>
      </c>
      <c r="AD100" s="17" t="s">
        <v>54</v>
      </c>
      <c r="AE100" s="17" t="s">
        <v>54</v>
      </c>
      <c r="AF100" s="26" t="s">
        <v>61</v>
      </c>
      <c r="AG100" s="26" t="s">
        <v>61</v>
      </c>
      <c r="AH100" s="26" t="s">
        <v>61</v>
      </c>
      <c r="AI100" s="26" t="s">
        <v>61</v>
      </c>
      <c r="AJ100" s="17">
        <v>0</v>
      </c>
      <c r="AK100" s="17">
        <v>0</v>
      </c>
      <c r="AL100" s="17">
        <v>12</v>
      </c>
      <c r="AM100" s="17">
        <v>4</v>
      </c>
      <c r="AN100" s="26" t="s">
        <v>54</v>
      </c>
      <c r="AO100" s="26" t="s">
        <v>54</v>
      </c>
      <c r="AP100" s="26">
        <v>0</v>
      </c>
      <c r="AQ100" s="26">
        <v>0</v>
      </c>
      <c r="AR100" s="31">
        <v>0</v>
      </c>
      <c r="AS100" s="31">
        <v>0</v>
      </c>
      <c r="AT100" s="31">
        <v>12</v>
      </c>
      <c r="AU100" s="18" t="s">
        <v>263</v>
      </c>
      <c r="AV100" s="32" t="s">
        <v>63</v>
      </c>
    </row>
    <row r="101" spans="1:48">
      <c r="A101" s="16" t="s">
        <v>307</v>
      </c>
      <c r="B101" s="17" t="s">
        <v>308</v>
      </c>
      <c r="C101" s="17" t="s">
        <v>309</v>
      </c>
      <c r="D101" s="18">
        <v>0</v>
      </c>
      <c r="E101" s="18">
        <v>0</v>
      </c>
      <c r="F101" s="18">
        <v>0</v>
      </c>
      <c r="G101" s="18">
        <v>0</v>
      </c>
      <c r="H101" s="18">
        <v>0</v>
      </c>
      <c r="I101" s="18">
        <v>0</v>
      </c>
      <c r="J101" s="18">
        <v>5</v>
      </c>
      <c r="K101" s="18">
        <v>0</v>
      </c>
      <c r="L101" s="18">
        <v>0</v>
      </c>
      <c r="M101" s="21">
        <v>5</v>
      </c>
      <c r="N101" s="18">
        <v>0</v>
      </c>
      <c r="O101" s="17">
        <v>0</v>
      </c>
      <c r="P101" s="17">
        <v>0</v>
      </c>
      <c r="Q101" s="17">
        <v>0</v>
      </c>
      <c r="R101" s="17">
        <v>0</v>
      </c>
      <c r="S101" s="17">
        <v>0</v>
      </c>
      <c r="T101" s="17" t="s">
        <v>54</v>
      </c>
      <c r="U101" s="17" t="s">
        <v>54</v>
      </c>
      <c r="V101" s="17" t="s">
        <v>54</v>
      </c>
      <c r="W101" s="17" t="s">
        <v>54</v>
      </c>
      <c r="X101" s="26" t="s">
        <v>54</v>
      </c>
      <c r="Y101" s="26" t="s">
        <v>54</v>
      </c>
      <c r="Z101" s="26" t="s">
        <v>54</v>
      </c>
      <c r="AA101" s="26" t="s">
        <v>54</v>
      </c>
      <c r="AB101" s="17" t="s">
        <v>54</v>
      </c>
      <c r="AC101" s="17" t="s">
        <v>54</v>
      </c>
      <c r="AD101" s="17" t="s">
        <v>54</v>
      </c>
      <c r="AE101" s="17" t="s">
        <v>54</v>
      </c>
      <c r="AF101" s="26" t="s">
        <v>61</v>
      </c>
      <c r="AG101" s="26" t="s">
        <v>61</v>
      </c>
      <c r="AH101" s="26" t="s">
        <v>61</v>
      </c>
      <c r="AI101" s="26" t="s">
        <v>61</v>
      </c>
      <c r="AJ101" s="17">
        <v>0</v>
      </c>
      <c r="AK101" s="17">
        <v>0</v>
      </c>
      <c r="AL101" s="17">
        <v>3</v>
      </c>
      <c r="AM101" s="17">
        <v>2</v>
      </c>
      <c r="AN101" s="26" t="s">
        <v>54</v>
      </c>
      <c r="AO101" s="26" t="s">
        <v>54</v>
      </c>
      <c r="AP101" s="26">
        <v>0</v>
      </c>
      <c r="AQ101" s="26">
        <v>0</v>
      </c>
      <c r="AR101" s="31">
        <v>0</v>
      </c>
      <c r="AS101" s="31">
        <v>0</v>
      </c>
      <c r="AT101" s="31">
        <v>5</v>
      </c>
      <c r="AU101" s="18" t="s">
        <v>256</v>
      </c>
      <c r="AV101" s="32" t="s">
        <v>63</v>
      </c>
    </row>
    <row r="102" spans="1:48">
      <c r="A102" s="16" t="s">
        <v>310</v>
      </c>
      <c r="B102" s="17" t="s">
        <v>311</v>
      </c>
      <c r="C102" s="17" t="s">
        <v>312</v>
      </c>
      <c r="D102" s="18">
        <v>0</v>
      </c>
      <c r="E102" s="18">
        <v>0</v>
      </c>
      <c r="F102" s="18">
        <v>0</v>
      </c>
      <c r="G102" s="18">
        <v>0</v>
      </c>
      <c r="H102" s="18">
        <v>0</v>
      </c>
      <c r="I102" s="18">
        <v>0</v>
      </c>
      <c r="J102" s="18">
        <v>3</v>
      </c>
      <c r="K102" s="18">
        <v>0</v>
      </c>
      <c r="L102" s="18">
        <v>0</v>
      </c>
      <c r="M102" s="21">
        <v>3</v>
      </c>
      <c r="N102" s="18">
        <v>0</v>
      </c>
      <c r="O102" s="17">
        <v>0</v>
      </c>
      <c r="P102" s="17">
        <v>0</v>
      </c>
      <c r="Q102" s="17">
        <v>0</v>
      </c>
      <c r="R102" s="17">
        <v>0</v>
      </c>
      <c r="S102" s="17">
        <v>0</v>
      </c>
      <c r="T102" s="17" t="s">
        <v>54</v>
      </c>
      <c r="U102" s="17" t="s">
        <v>54</v>
      </c>
      <c r="V102" s="17" t="s">
        <v>54</v>
      </c>
      <c r="W102" s="17" t="s">
        <v>54</v>
      </c>
      <c r="X102" s="26" t="s">
        <v>54</v>
      </c>
      <c r="Y102" s="26" t="s">
        <v>54</v>
      </c>
      <c r="Z102" s="26" t="s">
        <v>54</v>
      </c>
      <c r="AA102" s="26" t="s">
        <v>54</v>
      </c>
      <c r="AB102" s="17" t="s">
        <v>54</v>
      </c>
      <c r="AC102" s="17" t="s">
        <v>54</v>
      </c>
      <c r="AD102" s="17" t="s">
        <v>54</v>
      </c>
      <c r="AE102" s="17" t="s">
        <v>54</v>
      </c>
      <c r="AF102" s="26" t="s">
        <v>61</v>
      </c>
      <c r="AG102" s="26" t="s">
        <v>61</v>
      </c>
      <c r="AH102" s="26" t="s">
        <v>61</v>
      </c>
      <c r="AI102" s="26" t="s">
        <v>61</v>
      </c>
      <c r="AJ102" s="17">
        <v>0</v>
      </c>
      <c r="AK102" s="17">
        <v>0</v>
      </c>
      <c r="AL102" s="17">
        <v>5</v>
      </c>
      <c r="AM102" s="17">
        <v>4</v>
      </c>
      <c r="AN102" s="26" t="s">
        <v>54</v>
      </c>
      <c r="AO102" s="26" t="s">
        <v>54</v>
      </c>
      <c r="AP102" s="26">
        <v>0</v>
      </c>
      <c r="AQ102" s="26">
        <v>0</v>
      </c>
      <c r="AR102" s="31">
        <v>0</v>
      </c>
      <c r="AS102" s="31">
        <v>0</v>
      </c>
      <c r="AT102" s="31">
        <v>3</v>
      </c>
      <c r="AU102" s="18" t="s">
        <v>313</v>
      </c>
      <c r="AV102" s="32" t="s">
        <v>63</v>
      </c>
    </row>
    <row r="103" spans="1:48">
      <c r="A103" s="16" t="s">
        <v>314</v>
      </c>
      <c r="B103" s="17" t="s">
        <v>315</v>
      </c>
      <c r="C103" s="17" t="s">
        <v>316</v>
      </c>
      <c r="D103" s="18">
        <v>0</v>
      </c>
      <c r="E103" s="18">
        <v>0</v>
      </c>
      <c r="F103" s="18">
        <v>0</v>
      </c>
      <c r="G103" s="18">
        <v>0</v>
      </c>
      <c r="H103" s="18">
        <v>0</v>
      </c>
      <c r="I103" s="18">
        <v>0</v>
      </c>
      <c r="J103" s="18">
        <v>8</v>
      </c>
      <c r="K103" s="18">
        <v>0</v>
      </c>
      <c r="L103" s="18">
        <v>0</v>
      </c>
      <c r="M103" s="21">
        <v>8</v>
      </c>
      <c r="N103" s="18">
        <v>0</v>
      </c>
      <c r="O103" s="17">
        <v>0</v>
      </c>
      <c r="P103" s="17">
        <v>0</v>
      </c>
      <c r="Q103" s="17">
        <v>0</v>
      </c>
      <c r="R103" s="17">
        <v>0</v>
      </c>
      <c r="S103" s="17">
        <v>0</v>
      </c>
      <c r="T103" s="17" t="s">
        <v>54</v>
      </c>
      <c r="U103" s="17" t="s">
        <v>54</v>
      </c>
      <c r="V103" s="17" t="s">
        <v>54</v>
      </c>
      <c r="W103" s="17" t="s">
        <v>54</v>
      </c>
      <c r="X103" s="26" t="s">
        <v>54</v>
      </c>
      <c r="Y103" s="26" t="s">
        <v>54</v>
      </c>
      <c r="Z103" s="26" t="s">
        <v>54</v>
      </c>
      <c r="AA103" s="26" t="s">
        <v>54</v>
      </c>
      <c r="AB103" s="17" t="s">
        <v>54</v>
      </c>
      <c r="AC103" s="17" t="s">
        <v>54</v>
      </c>
      <c r="AD103" s="17" t="s">
        <v>54</v>
      </c>
      <c r="AE103" s="17" t="s">
        <v>54</v>
      </c>
      <c r="AF103" s="26" t="s">
        <v>61</v>
      </c>
      <c r="AG103" s="26" t="s">
        <v>61</v>
      </c>
      <c r="AH103" s="26" t="s">
        <v>61</v>
      </c>
      <c r="AI103" s="26" t="s">
        <v>61</v>
      </c>
      <c r="AJ103" s="17">
        <v>0</v>
      </c>
      <c r="AK103" s="17">
        <v>0</v>
      </c>
      <c r="AL103" s="17">
        <v>4</v>
      </c>
      <c r="AM103" s="17">
        <v>4</v>
      </c>
      <c r="AN103" s="26" t="s">
        <v>54</v>
      </c>
      <c r="AO103" s="26" t="s">
        <v>54</v>
      </c>
      <c r="AP103" s="26">
        <v>0</v>
      </c>
      <c r="AQ103" s="26">
        <v>0</v>
      </c>
      <c r="AR103" s="31">
        <v>0</v>
      </c>
      <c r="AS103" s="31">
        <v>0</v>
      </c>
      <c r="AT103" s="31">
        <v>8</v>
      </c>
      <c r="AU103" s="18" t="s">
        <v>67</v>
      </c>
      <c r="AV103" s="32" t="s">
        <v>63</v>
      </c>
    </row>
    <row r="104" spans="1:48">
      <c r="A104" s="16" t="s">
        <v>317</v>
      </c>
      <c r="B104" s="17" t="s">
        <v>318</v>
      </c>
      <c r="C104" s="17" t="s">
        <v>319</v>
      </c>
      <c r="D104" s="18">
        <v>0</v>
      </c>
      <c r="E104" s="18">
        <v>0</v>
      </c>
      <c r="F104" s="18">
        <v>0</v>
      </c>
      <c r="G104" s="18">
        <v>0</v>
      </c>
      <c r="H104" s="18">
        <v>0</v>
      </c>
      <c r="I104" s="18">
        <v>0</v>
      </c>
      <c r="J104" s="18">
        <v>6</v>
      </c>
      <c r="K104" s="18">
        <v>0</v>
      </c>
      <c r="L104" s="18">
        <v>0</v>
      </c>
      <c r="M104" s="21">
        <v>6</v>
      </c>
      <c r="N104" s="18">
        <v>0</v>
      </c>
      <c r="O104" s="17">
        <v>0</v>
      </c>
      <c r="P104" s="17">
        <v>0</v>
      </c>
      <c r="Q104" s="17">
        <v>0</v>
      </c>
      <c r="R104" s="17">
        <v>0</v>
      </c>
      <c r="S104" s="17">
        <v>0</v>
      </c>
      <c r="T104" s="17" t="s">
        <v>54</v>
      </c>
      <c r="U104" s="17" t="s">
        <v>54</v>
      </c>
      <c r="V104" s="17" t="s">
        <v>54</v>
      </c>
      <c r="W104" s="17" t="s">
        <v>54</v>
      </c>
      <c r="X104" s="26" t="s">
        <v>54</v>
      </c>
      <c r="Y104" s="26" t="s">
        <v>54</v>
      </c>
      <c r="Z104" s="26" t="s">
        <v>54</v>
      </c>
      <c r="AA104" s="26" t="s">
        <v>54</v>
      </c>
      <c r="AB104" s="17" t="s">
        <v>54</v>
      </c>
      <c r="AC104" s="17" t="s">
        <v>54</v>
      </c>
      <c r="AD104" s="17" t="s">
        <v>54</v>
      </c>
      <c r="AE104" s="17" t="s">
        <v>54</v>
      </c>
      <c r="AF104" s="26" t="s">
        <v>61</v>
      </c>
      <c r="AG104" s="26" t="s">
        <v>61</v>
      </c>
      <c r="AH104" s="26" t="s">
        <v>61</v>
      </c>
      <c r="AI104" s="26" t="s">
        <v>61</v>
      </c>
      <c r="AJ104" s="17">
        <v>0</v>
      </c>
      <c r="AK104" s="17">
        <v>0</v>
      </c>
      <c r="AL104" s="17">
        <v>13</v>
      </c>
      <c r="AM104" s="17">
        <v>3</v>
      </c>
      <c r="AN104" s="26" t="s">
        <v>54</v>
      </c>
      <c r="AO104" s="26" t="s">
        <v>54</v>
      </c>
      <c r="AP104" s="26">
        <v>0</v>
      </c>
      <c r="AQ104" s="26">
        <v>0</v>
      </c>
      <c r="AR104" s="31">
        <v>0</v>
      </c>
      <c r="AS104" s="31">
        <v>0</v>
      </c>
      <c r="AT104" s="31">
        <v>6</v>
      </c>
      <c r="AU104" s="18" t="s">
        <v>235</v>
      </c>
      <c r="AV104" s="32" t="s">
        <v>63</v>
      </c>
    </row>
    <row r="105" spans="1:48">
      <c r="A105" s="16" t="s">
        <v>320</v>
      </c>
      <c r="B105" s="17" t="s">
        <v>321</v>
      </c>
      <c r="C105" s="17" t="s">
        <v>322</v>
      </c>
      <c r="D105" s="18">
        <v>0</v>
      </c>
      <c r="E105" s="18">
        <v>0</v>
      </c>
      <c r="F105" s="18">
        <v>0</v>
      </c>
      <c r="G105" s="18">
        <v>0</v>
      </c>
      <c r="H105" s="18">
        <v>0</v>
      </c>
      <c r="I105" s="18">
        <v>2</v>
      </c>
      <c r="J105" s="18">
        <v>0</v>
      </c>
      <c r="K105" s="18">
        <v>0</v>
      </c>
      <c r="L105" s="18">
        <v>0</v>
      </c>
      <c r="M105" s="21">
        <v>2</v>
      </c>
      <c r="N105" s="18">
        <v>0</v>
      </c>
      <c r="O105" s="17">
        <v>2</v>
      </c>
      <c r="P105" s="17">
        <v>0</v>
      </c>
      <c r="Q105" s="17">
        <v>0</v>
      </c>
      <c r="R105" s="17">
        <v>0</v>
      </c>
      <c r="S105" s="17">
        <v>0</v>
      </c>
      <c r="T105" s="17" t="s">
        <v>54</v>
      </c>
      <c r="U105" s="17" t="s">
        <v>54</v>
      </c>
      <c r="V105" s="17" t="s">
        <v>54</v>
      </c>
      <c r="W105" s="17" t="s">
        <v>54</v>
      </c>
      <c r="X105" s="26" t="s">
        <v>54</v>
      </c>
      <c r="Y105" s="26" t="s">
        <v>54</v>
      </c>
      <c r="Z105" s="26" t="s">
        <v>54</v>
      </c>
      <c r="AA105" s="26" t="s">
        <v>54</v>
      </c>
      <c r="AB105" s="17" t="s">
        <v>54</v>
      </c>
      <c r="AC105" s="17" t="s">
        <v>54</v>
      </c>
      <c r="AD105" s="17" t="s">
        <v>54</v>
      </c>
      <c r="AE105" s="17" t="s">
        <v>54</v>
      </c>
      <c r="AF105" s="26" t="s">
        <v>61</v>
      </c>
      <c r="AG105" s="26" t="s">
        <v>61</v>
      </c>
      <c r="AH105" s="26" t="s">
        <v>61</v>
      </c>
      <c r="AI105" s="26" t="s">
        <v>61</v>
      </c>
      <c r="AJ105" s="17">
        <v>7</v>
      </c>
      <c r="AK105" s="17">
        <v>7</v>
      </c>
      <c r="AL105" s="17">
        <v>7</v>
      </c>
      <c r="AM105" s="17">
        <v>5</v>
      </c>
      <c r="AN105" s="26">
        <v>0</v>
      </c>
      <c r="AO105" s="26">
        <v>0</v>
      </c>
      <c r="AP105" s="26">
        <v>0</v>
      </c>
      <c r="AQ105" s="26">
        <v>0</v>
      </c>
      <c r="AR105" s="31">
        <v>0</v>
      </c>
      <c r="AS105" s="31">
        <v>0</v>
      </c>
      <c r="AT105" s="31">
        <v>2</v>
      </c>
      <c r="AU105" s="18" t="s">
        <v>239</v>
      </c>
      <c r="AV105" s="32" t="s">
        <v>63</v>
      </c>
    </row>
    <row r="106" spans="1:48">
      <c r="A106" s="16" t="s">
        <v>323</v>
      </c>
      <c r="B106" s="17" t="s">
        <v>324</v>
      </c>
      <c r="C106" s="17" t="s">
        <v>325</v>
      </c>
      <c r="D106" s="18">
        <v>0</v>
      </c>
      <c r="E106" s="18">
        <v>0</v>
      </c>
      <c r="F106" s="18">
        <v>0</v>
      </c>
      <c r="G106" s="18">
        <v>0</v>
      </c>
      <c r="H106" s="18">
        <v>0</v>
      </c>
      <c r="I106" s="18">
        <v>0</v>
      </c>
      <c r="J106" s="18">
        <v>6</v>
      </c>
      <c r="K106" s="18">
        <v>0</v>
      </c>
      <c r="L106" s="18">
        <v>0</v>
      </c>
      <c r="M106" s="21">
        <v>6</v>
      </c>
      <c r="N106" s="18">
        <v>0</v>
      </c>
      <c r="O106" s="17">
        <v>0</v>
      </c>
      <c r="P106" s="17">
        <v>0</v>
      </c>
      <c r="Q106" s="17">
        <v>0</v>
      </c>
      <c r="R106" s="17">
        <v>0</v>
      </c>
      <c r="S106" s="17">
        <v>0</v>
      </c>
      <c r="T106" s="17" t="s">
        <v>54</v>
      </c>
      <c r="U106" s="17" t="s">
        <v>54</v>
      </c>
      <c r="V106" s="17" t="s">
        <v>54</v>
      </c>
      <c r="W106" s="17" t="s">
        <v>54</v>
      </c>
      <c r="X106" s="26" t="s">
        <v>54</v>
      </c>
      <c r="Y106" s="26" t="s">
        <v>54</v>
      </c>
      <c r="Z106" s="26" t="s">
        <v>54</v>
      </c>
      <c r="AA106" s="26" t="s">
        <v>54</v>
      </c>
      <c r="AB106" s="17" t="s">
        <v>54</v>
      </c>
      <c r="AC106" s="17" t="s">
        <v>54</v>
      </c>
      <c r="AD106" s="17" t="s">
        <v>54</v>
      </c>
      <c r="AE106" s="17" t="s">
        <v>54</v>
      </c>
      <c r="AF106" s="26" t="s">
        <v>61</v>
      </c>
      <c r="AG106" s="26" t="s">
        <v>61</v>
      </c>
      <c r="AH106" s="26" t="s">
        <v>61</v>
      </c>
      <c r="AI106" s="26" t="s">
        <v>61</v>
      </c>
      <c r="AJ106" s="17">
        <v>0</v>
      </c>
      <c r="AK106" s="17">
        <v>0</v>
      </c>
      <c r="AL106" s="17">
        <v>5</v>
      </c>
      <c r="AM106" s="17">
        <v>3</v>
      </c>
      <c r="AN106" s="26" t="s">
        <v>54</v>
      </c>
      <c r="AO106" s="26" t="s">
        <v>54</v>
      </c>
      <c r="AP106" s="26">
        <v>0</v>
      </c>
      <c r="AQ106" s="26">
        <v>0</v>
      </c>
      <c r="AR106" s="31">
        <v>0</v>
      </c>
      <c r="AS106" s="31">
        <v>0</v>
      </c>
      <c r="AT106" s="31">
        <v>6</v>
      </c>
      <c r="AU106" s="18" t="s">
        <v>235</v>
      </c>
      <c r="AV106" s="32" t="s">
        <v>63</v>
      </c>
    </row>
    <row r="107" spans="1:48">
      <c r="A107" s="16" t="s">
        <v>326</v>
      </c>
      <c r="B107" s="17" t="s">
        <v>327</v>
      </c>
      <c r="C107" s="17" t="s">
        <v>328</v>
      </c>
      <c r="D107" s="18">
        <v>0</v>
      </c>
      <c r="E107" s="18">
        <v>0</v>
      </c>
      <c r="F107" s="18">
        <v>0</v>
      </c>
      <c r="G107" s="18">
        <v>0</v>
      </c>
      <c r="H107" s="18">
        <v>0</v>
      </c>
      <c r="I107" s="18">
        <v>0</v>
      </c>
      <c r="J107" s="18">
        <v>8</v>
      </c>
      <c r="K107" s="18">
        <v>0</v>
      </c>
      <c r="L107" s="18">
        <v>0</v>
      </c>
      <c r="M107" s="21">
        <v>8</v>
      </c>
      <c r="N107" s="18">
        <v>0</v>
      </c>
      <c r="O107" s="17">
        <v>0</v>
      </c>
      <c r="P107" s="17">
        <v>0</v>
      </c>
      <c r="Q107" s="17">
        <v>0</v>
      </c>
      <c r="R107" s="17">
        <v>0</v>
      </c>
      <c r="S107" s="17">
        <v>0</v>
      </c>
      <c r="T107" s="17" t="s">
        <v>54</v>
      </c>
      <c r="U107" s="17" t="s">
        <v>54</v>
      </c>
      <c r="V107" s="17" t="s">
        <v>54</v>
      </c>
      <c r="W107" s="17" t="s">
        <v>54</v>
      </c>
      <c r="X107" s="26" t="s">
        <v>54</v>
      </c>
      <c r="Y107" s="26" t="s">
        <v>54</v>
      </c>
      <c r="Z107" s="26" t="s">
        <v>54</v>
      </c>
      <c r="AA107" s="26" t="s">
        <v>54</v>
      </c>
      <c r="AB107" s="17" t="s">
        <v>54</v>
      </c>
      <c r="AC107" s="17" t="s">
        <v>54</v>
      </c>
      <c r="AD107" s="17" t="s">
        <v>54</v>
      </c>
      <c r="AE107" s="17" t="s">
        <v>54</v>
      </c>
      <c r="AF107" s="26" t="s">
        <v>61</v>
      </c>
      <c r="AG107" s="26" t="s">
        <v>61</v>
      </c>
      <c r="AH107" s="26" t="s">
        <v>61</v>
      </c>
      <c r="AI107" s="26" t="s">
        <v>61</v>
      </c>
      <c r="AJ107" s="17">
        <v>0</v>
      </c>
      <c r="AK107" s="17">
        <v>0</v>
      </c>
      <c r="AL107" s="17">
        <v>7</v>
      </c>
      <c r="AM107" s="17">
        <v>7</v>
      </c>
      <c r="AN107" s="26" t="s">
        <v>54</v>
      </c>
      <c r="AO107" s="26" t="s">
        <v>54</v>
      </c>
      <c r="AP107" s="26">
        <v>0</v>
      </c>
      <c r="AQ107" s="26">
        <v>0</v>
      </c>
      <c r="AR107" s="31">
        <v>0</v>
      </c>
      <c r="AS107" s="31">
        <v>0</v>
      </c>
      <c r="AT107" s="31">
        <v>8</v>
      </c>
      <c r="AU107" s="18" t="s">
        <v>67</v>
      </c>
      <c r="AV107" s="32" t="s">
        <v>63</v>
      </c>
    </row>
    <row r="108" spans="1:48">
      <c r="A108" s="16" t="s">
        <v>329</v>
      </c>
      <c r="B108" s="17" t="s">
        <v>213</v>
      </c>
      <c r="C108" s="17" t="s">
        <v>214</v>
      </c>
      <c r="D108" s="18">
        <v>0</v>
      </c>
      <c r="E108" s="18">
        <v>0</v>
      </c>
      <c r="F108" s="18">
        <v>0</v>
      </c>
      <c r="G108" s="18">
        <v>0</v>
      </c>
      <c r="H108" s="18">
        <v>0</v>
      </c>
      <c r="I108" s="18">
        <v>1</v>
      </c>
      <c r="J108" s="18">
        <v>10</v>
      </c>
      <c r="K108" s="18">
        <v>0</v>
      </c>
      <c r="L108" s="18">
        <v>0</v>
      </c>
      <c r="M108" s="21">
        <v>11</v>
      </c>
      <c r="N108" s="18">
        <v>0</v>
      </c>
      <c r="O108" s="17">
        <v>0</v>
      </c>
      <c r="P108" s="17">
        <v>0</v>
      </c>
      <c r="Q108" s="17">
        <v>0</v>
      </c>
      <c r="R108" s="17">
        <v>0</v>
      </c>
      <c r="S108" s="17">
        <v>0</v>
      </c>
      <c r="T108" s="17" t="s">
        <v>54</v>
      </c>
      <c r="U108" s="17" t="s">
        <v>54</v>
      </c>
      <c r="V108" s="17" t="s">
        <v>54</v>
      </c>
      <c r="W108" s="17" t="s">
        <v>54</v>
      </c>
      <c r="X108" s="26" t="s">
        <v>54</v>
      </c>
      <c r="Y108" s="26" t="s">
        <v>54</v>
      </c>
      <c r="Z108" s="26" t="s">
        <v>54</v>
      </c>
      <c r="AA108" s="26" t="s">
        <v>54</v>
      </c>
      <c r="AB108" s="17" t="s">
        <v>54</v>
      </c>
      <c r="AC108" s="17" t="s">
        <v>54</v>
      </c>
      <c r="AD108" s="17" t="s">
        <v>54</v>
      </c>
      <c r="AE108" s="17" t="s">
        <v>54</v>
      </c>
      <c r="AF108" s="26" t="s">
        <v>61</v>
      </c>
      <c r="AG108" s="26" t="s">
        <v>61</v>
      </c>
      <c r="AH108" s="26" t="s">
        <v>61</v>
      </c>
      <c r="AI108" s="26" t="s">
        <v>61</v>
      </c>
      <c r="AJ108" s="17">
        <v>5</v>
      </c>
      <c r="AK108" s="17">
        <v>5</v>
      </c>
      <c r="AL108" s="17">
        <v>7</v>
      </c>
      <c r="AM108" s="17">
        <v>2</v>
      </c>
      <c r="AN108" s="26">
        <v>0</v>
      </c>
      <c r="AO108" s="26">
        <v>0</v>
      </c>
      <c r="AP108" s="26">
        <v>0</v>
      </c>
      <c r="AQ108" s="26">
        <v>0</v>
      </c>
      <c r="AR108" s="31">
        <v>0</v>
      </c>
      <c r="AS108" s="31">
        <v>0</v>
      </c>
      <c r="AT108" s="31">
        <v>11</v>
      </c>
      <c r="AU108" s="18" t="s">
        <v>215</v>
      </c>
      <c r="AV108" s="32" t="s">
        <v>63</v>
      </c>
    </row>
    <row r="109" spans="1:48">
      <c r="A109" s="16" t="s">
        <v>330</v>
      </c>
      <c r="B109" s="17" t="s">
        <v>217</v>
      </c>
      <c r="C109" s="17" t="s">
        <v>218</v>
      </c>
      <c r="D109" s="18">
        <v>0</v>
      </c>
      <c r="E109" s="18">
        <v>0</v>
      </c>
      <c r="F109" s="18">
        <v>0</v>
      </c>
      <c r="G109" s="18">
        <v>0</v>
      </c>
      <c r="H109" s="18">
        <v>0</v>
      </c>
      <c r="I109" s="18">
        <v>1</v>
      </c>
      <c r="J109" s="18">
        <v>6</v>
      </c>
      <c r="K109" s="18">
        <v>0</v>
      </c>
      <c r="L109" s="18">
        <v>0</v>
      </c>
      <c r="M109" s="21">
        <v>7</v>
      </c>
      <c r="N109" s="18">
        <v>0</v>
      </c>
      <c r="O109" s="17">
        <v>1</v>
      </c>
      <c r="P109" s="17">
        <v>0</v>
      </c>
      <c r="Q109" s="17">
        <v>0</v>
      </c>
      <c r="R109" s="17">
        <v>0</v>
      </c>
      <c r="S109" s="17">
        <v>0</v>
      </c>
      <c r="T109" s="17" t="s">
        <v>54</v>
      </c>
      <c r="U109" s="17" t="s">
        <v>54</v>
      </c>
      <c r="V109" s="17" t="s">
        <v>54</v>
      </c>
      <c r="W109" s="17" t="s">
        <v>54</v>
      </c>
      <c r="X109" s="26" t="s">
        <v>54</v>
      </c>
      <c r="Y109" s="26" t="s">
        <v>54</v>
      </c>
      <c r="Z109" s="26" t="s">
        <v>54</v>
      </c>
      <c r="AA109" s="26" t="s">
        <v>54</v>
      </c>
      <c r="AB109" s="17" t="s">
        <v>54</v>
      </c>
      <c r="AC109" s="17" t="s">
        <v>54</v>
      </c>
      <c r="AD109" s="17" t="s">
        <v>54</v>
      </c>
      <c r="AE109" s="17" t="s">
        <v>54</v>
      </c>
      <c r="AF109" s="26" t="s">
        <v>61</v>
      </c>
      <c r="AG109" s="26" t="s">
        <v>61</v>
      </c>
      <c r="AH109" s="26" t="s">
        <v>61</v>
      </c>
      <c r="AI109" s="26" t="s">
        <v>61</v>
      </c>
      <c r="AJ109" s="17">
        <v>3</v>
      </c>
      <c r="AK109" s="17">
        <v>4</v>
      </c>
      <c r="AL109" s="17">
        <v>5</v>
      </c>
      <c r="AM109" s="17">
        <v>4</v>
      </c>
      <c r="AN109" s="26">
        <v>0</v>
      </c>
      <c r="AO109" s="26">
        <v>0</v>
      </c>
      <c r="AP109" s="26">
        <v>0</v>
      </c>
      <c r="AQ109" s="26">
        <v>0</v>
      </c>
      <c r="AR109" s="31">
        <v>0</v>
      </c>
      <c r="AS109" s="31">
        <v>0</v>
      </c>
      <c r="AT109" s="31">
        <v>7</v>
      </c>
      <c r="AU109" s="18" t="s">
        <v>219</v>
      </c>
      <c r="AV109" s="32" t="s">
        <v>63</v>
      </c>
    </row>
    <row r="110" spans="1:48">
      <c r="A110" s="16" t="s">
        <v>331</v>
      </c>
      <c r="B110" s="17" t="s">
        <v>221</v>
      </c>
      <c r="C110" s="17" t="s">
        <v>222</v>
      </c>
      <c r="D110" s="18">
        <v>0</v>
      </c>
      <c r="E110" s="18">
        <v>0</v>
      </c>
      <c r="F110" s="18">
        <v>0</v>
      </c>
      <c r="G110" s="18">
        <v>0</v>
      </c>
      <c r="H110" s="18">
        <v>0</v>
      </c>
      <c r="I110" s="18">
        <v>0</v>
      </c>
      <c r="J110" s="18">
        <v>14</v>
      </c>
      <c r="K110" s="18">
        <v>0</v>
      </c>
      <c r="L110" s="18">
        <v>0</v>
      </c>
      <c r="M110" s="21">
        <v>14</v>
      </c>
      <c r="N110" s="18">
        <v>0</v>
      </c>
      <c r="O110" s="17">
        <v>0</v>
      </c>
      <c r="P110" s="17">
        <v>0</v>
      </c>
      <c r="Q110" s="17">
        <v>0</v>
      </c>
      <c r="R110" s="17">
        <v>0</v>
      </c>
      <c r="S110" s="17">
        <v>0</v>
      </c>
      <c r="T110" s="17" t="s">
        <v>54</v>
      </c>
      <c r="U110" s="17" t="s">
        <v>54</v>
      </c>
      <c r="V110" s="17" t="s">
        <v>54</v>
      </c>
      <c r="W110" s="17" t="s">
        <v>54</v>
      </c>
      <c r="X110" s="26" t="s">
        <v>54</v>
      </c>
      <c r="Y110" s="26" t="s">
        <v>54</v>
      </c>
      <c r="Z110" s="26" t="s">
        <v>54</v>
      </c>
      <c r="AA110" s="26" t="s">
        <v>54</v>
      </c>
      <c r="AB110" s="17" t="s">
        <v>54</v>
      </c>
      <c r="AC110" s="17" t="s">
        <v>54</v>
      </c>
      <c r="AD110" s="17" t="s">
        <v>54</v>
      </c>
      <c r="AE110" s="17" t="s">
        <v>54</v>
      </c>
      <c r="AF110" s="26" t="s">
        <v>61</v>
      </c>
      <c r="AG110" s="26" t="s">
        <v>61</v>
      </c>
      <c r="AH110" s="26" t="s">
        <v>61</v>
      </c>
      <c r="AI110" s="26" t="s">
        <v>61</v>
      </c>
      <c r="AJ110" s="17">
        <v>0</v>
      </c>
      <c r="AK110" s="17">
        <v>0</v>
      </c>
      <c r="AL110" s="17">
        <v>7</v>
      </c>
      <c r="AM110" s="17">
        <v>4</v>
      </c>
      <c r="AN110" s="26" t="s">
        <v>54</v>
      </c>
      <c r="AO110" s="26" t="s">
        <v>54</v>
      </c>
      <c r="AP110" s="26">
        <v>0</v>
      </c>
      <c r="AQ110" s="26">
        <v>0</v>
      </c>
      <c r="AR110" s="31">
        <v>0</v>
      </c>
      <c r="AS110" s="31">
        <v>0</v>
      </c>
      <c r="AT110" s="31">
        <v>14</v>
      </c>
      <c r="AU110" s="18" t="s">
        <v>223</v>
      </c>
      <c r="AV110" s="32" t="s">
        <v>63</v>
      </c>
    </row>
    <row r="111" spans="1:48">
      <c r="A111" s="16" t="s">
        <v>332</v>
      </c>
      <c r="B111" s="17" t="s">
        <v>225</v>
      </c>
      <c r="C111" s="17" t="s">
        <v>226</v>
      </c>
      <c r="D111" s="18">
        <v>0</v>
      </c>
      <c r="E111" s="18">
        <v>0</v>
      </c>
      <c r="F111" s="18">
        <v>0</v>
      </c>
      <c r="G111" s="18">
        <v>0</v>
      </c>
      <c r="H111" s="18">
        <v>0</v>
      </c>
      <c r="I111" s="18">
        <v>3</v>
      </c>
      <c r="J111" s="18">
        <v>7</v>
      </c>
      <c r="K111" s="18">
        <v>0</v>
      </c>
      <c r="L111" s="18">
        <v>0</v>
      </c>
      <c r="M111" s="21">
        <v>10</v>
      </c>
      <c r="N111" s="18">
        <v>0</v>
      </c>
      <c r="O111" s="17">
        <v>2</v>
      </c>
      <c r="P111" s="17">
        <v>0</v>
      </c>
      <c r="Q111" s="17">
        <v>0</v>
      </c>
      <c r="R111" s="17">
        <v>0</v>
      </c>
      <c r="S111" s="17">
        <v>0</v>
      </c>
      <c r="T111" s="17" t="s">
        <v>54</v>
      </c>
      <c r="U111" s="17" t="s">
        <v>54</v>
      </c>
      <c r="V111" s="17" t="s">
        <v>54</v>
      </c>
      <c r="W111" s="17" t="s">
        <v>54</v>
      </c>
      <c r="X111" s="26" t="s">
        <v>54</v>
      </c>
      <c r="Y111" s="26" t="s">
        <v>54</v>
      </c>
      <c r="Z111" s="26" t="s">
        <v>54</v>
      </c>
      <c r="AA111" s="26" t="s">
        <v>54</v>
      </c>
      <c r="AB111" s="17" t="s">
        <v>54</v>
      </c>
      <c r="AC111" s="17" t="s">
        <v>54</v>
      </c>
      <c r="AD111" s="17" t="s">
        <v>54</v>
      </c>
      <c r="AE111" s="17" t="s">
        <v>54</v>
      </c>
      <c r="AF111" s="26" t="s">
        <v>61</v>
      </c>
      <c r="AG111" s="26" t="s">
        <v>61</v>
      </c>
      <c r="AH111" s="26" t="s">
        <v>61</v>
      </c>
      <c r="AI111" s="26" t="s">
        <v>61</v>
      </c>
      <c r="AJ111" s="17">
        <v>2</v>
      </c>
      <c r="AK111" s="17">
        <v>4</v>
      </c>
      <c r="AL111" s="17">
        <v>7</v>
      </c>
      <c r="AM111" s="17">
        <v>2</v>
      </c>
      <c r="AN111" s="26">
        <v>0</v>
      </c>
      <c r="AO111" s="26">
        <v>0</v>
      </c>
      <c r="AP111" s="26">
        <v>0</v>
      </c>
      <c r="AQ111" s="26">
        <v>0</v>
      </c>
      <c r="AR111" s="31">
        <v>0</v>
      </c>
      <c r="AS111" s="31">
        <v>0</v>
      </c>
      <c r="AT111" s="31">
        <v>10</v>
      </c>
      <c r="AU111" s="18" t="s">
        <v>227</v>
      </c>
      <c r="AV111" s="32" t="s">
        <v>63</v>
      </c>
    </row>
    <row r="112" spans="1:48">
      <c r="A112" s="16" t="s">
        <v>333</v>
      </c>
      <c r="B112" s="17" t="s">
        <v>229</v>
      </c>
      <c r="C112" s="17" t="s">
        <v>230</v>
      </c>
      <c r="D112" s="18">
        <v>0</v>
      </c>
      <c r="E112" s="18">
        <v>0</v>
      </c>
      <c r="F112" s="18">
        <v>0</v>
      </c>
      <c r="G112" s="18">
        <v>0</v>
      </c>
      <c r="H112" s="18">
        <v>0</v>
      </c>
      <c r="I112" s="18">
        <v>2</v>
      </c>
      <c r="J112" s="18">
        <v>11</v>
      </c>
      <c r="K112" s="18">
        <v>0</v>
      </c>
      <c r="L112" s="18">
        <v>0</v>
      </c>
      <c r="M112" s="21">
        <v>13</v>
      </c>
      <c r="N112" s="18">
        <v>0</v>
      </c>
      <c r="O112" s="17">
        <v>2</v>
      </c>
      <c r="P112" s="17">
        <v>0</v>
      </c>
      <c r="Q112" s="17">
        <v>0</v>
      </c>
      <c r="R112" s="17">
        <v>0</v>
      </c>
      <c r="S112" s="17">
        <v>0</v>
      </c>
      <c r="T112" s="17" t="s">
        <v>54</v>
      </c>
      <c r="U112" s="17" t="s">
        <v>54</v>
      </c>
      <c r="V112" s="17" t="s">
        <v>54</v>
      </c>
      <c r="W112" s="17" t="s">
        <v>54</v>
      </c>
      <c r="X112" s="26" t="s">
        <v>54</v>
      </c>
      <c r="Y112" s="26" t="s">
        <v>54</v>
      </c>
      <c r="Z112" s="26" t="s">
        <v>54</v>
      </c>
      <c r="AA112" s="26" t="s">
        <v>54</v>
      </c>
      <c r="AB112" s="17" t="s">
        <v>54</v>
      </c>
      <c r="AC112" s="17" t="s">
        <v>54</v>
      </c>
      <c r="AD112" s="17" t="s">
        <v>54</v>
      </c>
      <c r="AE112" s="17" t="s">
        <v>54</v>
      </c>
      <c r="AF112" s="26" t="s">
        <v>61</v>
      </c>
      <c r="AG112" s="26" t="s">
        <v>61</v>
      </c>
      <c r="AH112" s="26" t="s">
        <v>61</v>
      </c>
      <c r="AI112" s="26" t="s">
        <v>61</v>
      </c>
      <c r="AJ112" s="17">
        <v>8</v>
      </c>
      <c r="AK112" s="17">
        <v>2</v>
      </c>
      <c r="AL112" s="17">
        <v>7</v>
      </c>
      <c r="AM112" s="17">
        <v>6</v>
      </c>
      <c r="AN112" s="26">
        <v>0</v>
      </c>
      <c r="AO112" s="26">
        <v>0</v>
      </c>
      <c r="AP112" s="26">
        <v>0</v>
      </c>
      <c r="AQ112" s="26">
        <v>0</v>
      </c>
      <c r="AR112" s="31">
        <v>0</v>
      </c>
      <c r="AS112" s="31">
        <v>0</v>
      </c>
      <c r="AT112" s="31">
        <v>13</v>
      </c>
      <c r="AU112" s="18" t="s">
        <v>231</v>
      </c>
      <c r="AV112" s="32" t="s">
        <v>63</v>
      </c>
    </row>
    <row r="113" spans="1:48">
      <c r="A113" s="16" t="s">
        <v>334</v>
      </c>
      <c r="B113" s="17" t="s">
        <v>233</v>
      </c>
      <c r="C113" s="17" t="s">
        <v>234</v>
      </c>
      <c r="D113" s="18">
        <v>0</v>
      </c>
      <c r="E113" s="18">
        <v>0</v>
      </c>
      <c r="F113" s="18">
        <v>0</v>
      </c>
      <c r="G113" s="18">
        <v>0</v>
      </c>
      <c r="H113" s="18">
        <v>0</v>
      </c>
      <c r="I113" s="18">
        <v>0</v>
      </c>
      <c r="J113" s="18">
        <v>6</v>
      </c>
      <c r="K113" s="18">
        <v>0</v>
      </c>
      <c r="L113" s="18">
        <v>0</v>
      </c>
      <c r="M113" s="21">
        <v>6</v>
      </c>
      <c r="N113" s="18">
        <v>0</v>
      </c>
      <c r="O113" s="17">
        <v>0</v>
      </c>
      <c r="P113" s="17">
        <v>0</v>
      </c>
      <c r="Q113" s="17">
        <v>0</v>
      </c>
      <c r="R113" s="17">
        <v>0</v>
      </c>
      <c r="S113" s="17">
        <v>0</v>
      </c>
      <c r="T113" s="17" t="s">
        <v>54</v>
      </c>
      <c r="U113" s="17" t="s">
        <v>54</v>
      </c>
      <c r="V113" s="17" t="s">
        <v>54</v>
      </c>
      <c r="W113" s="17" t="s">
        <v>54</v>
      </c>
      <c r="X113" s="26" t="s">
        <v>54</v>
      </c>
      <c r="Y113" s="26" t="s">
        <v>54</v>
      </c>
      <c r="Z113" s="26" t="s">
        <v>54</v>
      </c>
      <c r="AA113" s="26" t="s">
        <v>54</v>
      </c>
      <c r="AB113" s="17" t="s">
        <v>54</v>
      </c>
      <c r="AC113" s="17" t="s">
        <v>54</v>
      </c>
      <c r="AD113" s="17" t="s">
        <v>54</v>
      </c>
      <c r="AE113" s="17" t="s">
        <v>54</v>
      </c>
      <c r="AF113" s="26" t="s">
        <v>61</v>
      </c>
      <c r="AG113" s="26" t="s">
        <v>61</v>
      </c>
      <c r="AH113" s="26" t="s">
        <v>61</v>
      </c>
      <c r="AI113" s="26" t="s">
        <v>61</v>
      </c>
      <c r="AJ113" s="17">
        <v>0</v>
      </c>
      <c r="AK113" s="17">
        <v>0</v>
      </c>
      <c r="AL113" s="17">
        <v>4</v>
      </c>
      <c r="AM113" s="17">
        <v>2</v>
      </c>
      <c r="AN113" s="26" t="s">
        <v>54</v>
      </c>
      <c r="AO113" s="26" t="s">
        <v>54</v>
      </c>
      <c r="AP113" s="26">
        <v>0</v>
      </c>
      <c r="AQ113" s="26">
        <v>0</v>
      </c>
      <c r="AR113" s="31">
        <v>0</v>
      </c>
      <c r="AS113" s="31">
        <v>0</v>
      </c>
      <c r="AT113" s="31">
        <v>6</v>
      </c>
      <c r="AU113" s="18" t="s">
        <v>235</v>
      </c>
      <c r="AV113" s="32" t="s">
        <v>63</v>
      </c>
    </row>
    <row r="114" spans="1:48">
      <c r="A114" s="16" t="s">
        <v>335</v>
      </c>
      <c r="B114" s="17" t="s">
        <v>237</v>
      </c>
      <c r="C114" s="17" t="s">
        <v>238</v>
      </c>
      <c r="D114" s="18">
        <v>0</v>
      </c>
      <c r="E114" s="18">
        <v>0</v>
      </c>
      <c r="F114" s="18">
        <v>0</v>
      </c>
      <c r="G114" s="18">
        <v>0</v>
      </c>
      <c r="H114" s="18">
        <v>0</v>
      </c>
      <c r="I114" s="18">
        <v>1</v>
      </c>
      <c r="J114" s="18">
        <v>1</v>
      </c>
      <c r="K114" s="18">
        <v>0</v>
      </c>
      <c r="L114" s="18">
        <v>0</v>
      </c>
      <c r="M114" s="21">
        <v>2</v>
      </c>
      <c r="N114" s="18">
        <v>0</v>
      </c>
      <c r="O114" s="17">
        <v>0</v>
      </c>
      <c r="P114" s="17">
        <v>0</v>
      </c>
      <c r="Q114" s="17">
        <v>0</v>
      </c>
      <c r="R114" s="17">
        <v>0</v>
      </c>
      <c r="S114" s="17">
        <v>0</v>
      </c>
      <c r="T114" s="17" t="s">
        <v>54</v>
      </c>
      <c r="U114" s="17" t="s">
        <v>54</v>
      </c>
      <c r="V114" s="17" t="s">
        <v>54</v>
      </c>
      <c r="W114" s="17" t="s">
        <v>54</v>
      </c>
      <c r="X114" s="26" t="s">
        <v>54</v>
      </c>
      <c r="Y114" s="26" t="s">
        <v>54</v>
      </c>
      <c r="Z114" s="26" t="s">
        <v>54</v>
      </c>
      <c r="AA114" s="26" t="s">
        <v>54</v>
      </c>
      <c r="AB114" s="17" t="s">
        <v>54</v>
      </c>
      <c r="AC114" s="17" t="s">
        <v>54</v>
      </c>
      <c r="AD114" s="17" t="s">
        <v>54</v>
      </c>
      <c r="AE114" s="17" t="s">
        <v>54</v>
      </c>
      <c r="AF114" s="26" t="s">
        <v>61</v>
      </c>
      <c r="AG114" s="26" t="s">
        <v>61</v>
      </c>
      <c r="AH114" s="26" t="s">
        <v>61</v>
      </c>
      <c r="AI114" s="26" t="s">
        <v>61</v>
      </c>
      <c r="AJ114" s="17">
        <v>7</v>
      </c>
      <c r="AK114" s="17">
        <v>14</v>
      </c>
      <c r="AL114" s="17">
        <v>6</v>
      </c>
      <c r="AM114" s="17">
        <v>2</v>
      </c>
      <c r="AN114" s="26">
        <v>0</v>
      </c>
      <c r="AO114" s="26">
        <v>0</v>
      </c>
      <c r="AP114" s="26">
        <v>0</v>
      </c>
      <c r="AQ114" s="26">
        <v>0</v>
      </c>
      <c r="AR114" s="31">
        <v>0</v>
      </c>
      <c r="AS114" s="31">
        <v>0</v>
      </c>
      <c r="AT114" s="31">
        <v>2</v>
      </c>
      <c r="AU114" s="18" t="s">
        <v>239</v>
      </c>
      <c r="AV114" s="32" t="s">
        <v>63</v>
      </c>
    </row>
    <row r="115" spans="1:48">
      <c r="A115" s="16" t="s">
        <v>336</v>
      </c>
      <c r="B115" s="17" t="s">
        <v>241</v>
      </c>
      <c r="C115" s="17" t="s">
        <v>242</v>
      </c>
      <c r="D115" s="18">
        <v>0</v>
      </c>
      <c r="E115" s="18">
        <v>0</v>
      </c>
      <c r="F115" s="18">
        <v>0</v>
      </c>
      <c r="G115" s="18">
        <v>0</v>
      </c>
      <c r="H115" s="18">
        <v>0</v>
      </c>
      <c r="I115" s="18">
        <v>0</v>
      </c>
      <c r="J115" s="18">
        <v>6</v>
      </c>
      <c r="K115" s="18">
        <v>0</v>
      </c>
      <c r="L115" s="18">
        <v>0</v>
      </c>
      <c r="M115" s="21">
        <v>6</v>
      </c>
      <c r="N115" s="18">
        <v>0</v>
      </c>
      <c r="O115" s="17">
        <v>0</v>
      </c>
      <c r="P115" s="17">
        <v>0</v>
      </c>
      <c r="Q115" s="17">
        <v>0</v>
      </c>
      <c r="R115" s="17">
        <v>0</v>
      </c>
      <c r="S115" s="17">
        <v>0</v>
      </c>
      <c r="T115" s="17" t="s">
        <v>54</v>
      </c>
      <c r="U115" s="17" t="s">
        <v>54</v>
      </c>
      <c r="V115" s="17" t="s">
        <v>54</v>
      </c>
      <c r="W115" s="17" t="s">
        <v>54</v>
      </c>
      <c r="X115" s="26" t="s">
        <v>54</v>
      </c>
      <c r="Y115" s="26" t="s">
        <v>54</v>
      </c>
      <c r="Z115" s="26" t="s">
        <v>54</v>
      </c>
      <c r="AA115" s="26" t="s">
        <v>54</v>
      </c>
      <c r="AB115" s="17" t="s">
        <v>54</v>
      </c>
      <c r="AC115" s="17" t="s">
        <v>54</v>
      </c>
      <c r="AD115" s="17" t="s">
        <v>54</v>
      </c>
      <c r="AE115" s="17" t="s">
        <v>54</v>
      </c>
      <c r="AF115" s="26" t="s">
        <v>61</v>
      </c>
      <c r="AG115" s="26" t="s">
        <v>61</v>
      </c>
      <c r="AH115" s="26" t="s">
        <v>61</v>
      </c>
      <c r="AI115" s="26" t="s">
        <v>61</v>
      </c>
      <c r="AJ115" s="17">
        <v>0</v>
      </c>
      <c r="AK115" s="17">
        <v>0</v>
      </c>
      <c r="AL115" s="17">
        <v>4</v>
      </c>
      <c r="AM115" s="17">
        <v>10</v>
      </c>
      <c r="AN115" s="26" t="s">
        <v>54</v>
      </c>
      <c r="AO115" s="26" t="s">
        <v>54</v>
      </c>
      <c r="AP115" s="26">
        <v>0</v>
      </c>
      <c r="AQ115" s="26">
        <v>0</v>
      </c>
      <c r="AR115" s="31">
        <v>0</v>
      </c>
      <c r="AS115" s="31">
        <v>0</v>
      </c>
      <c r="AT115" s="31">
        <v>6</v>
      </c>
      <c r="AU115" s="18" t="s">
        <v>235</v>
      </c>
      <c r="AV115" s="32" t="s">
        <v>63</v>
      </c>
    </row>
    <row r="116" spans="1:48">
      <c r="A116" s="16" t="s">
        <v>337</v>
      </c>
      <c r="B116" s="17" t="s">
        <v>244</v>
      </c>
      <c r="C116" s="17" t="s">
        <v>245</v>
      </c>
      <c r="D116" s="18">
        <v>0</v>
      </c>
      <c r="E116" s="18">
        <v>0</v>
      </c>
      <c r="F116" s="18">
        <v>0</v>
      </c>
      <c r="G116" s="18">
        <v>0</v>
      </c>
      <c r="H116" s="18">
        <v>0</v>
      </c>
      <c r="I116" s="18">
        <v>0</v>
      </c>
      <c r="J116" s="18">
        <v>0</v>
      </c>
      <c r="K116" s="18">
        <v>0</v>
      </c>
      <c r="L116" s="18">
        <v>0</v>
      </c>
      <c r="M116" s="21">
        <v>0</v>
      </c>
      <c r="N116" s="18">
        <v>0</v>
      </c>
      <c r="O116" s="17">
        <v>0</v>
      </c>
      <c r="P116" s="17">
        <v>0</v>
      </c>
      <c r="Q116" s="17">
        <v>0</v>
      </c>
      <c r="R116" s="17">
        <v>0</v>
      </c>
      <c r="S116" s="17">
        <v>0</v>
      </c>
      <c r="T116" s="17" t="s">
        <v>54</v>
      </c>
      <c r="U116" s="17" t="s">
        <v>54</v>
      </c>
      <c r="V116" s="17" t="s">
        <v>54</v>
      </c>
      <c r="W116" s="17" t="s">
        <v>54</v>
      </c>
      <c r="X116" s="26" t="s">
        <v>54</v>
      </c>
      <c r="Y116" s="26" t="s">
        <v>54</v>
      </c>
      <c r="Z116" s="26" t="s">
        <v>54</v>
      </c>
      <c r="AA116" s="26" t="s">
        <v>54</v>
      </c>
      <c r="AB116" s="17" t="s">
        <v>54</v>
      </c>
      <c r="AC116" s="17" t="s">
        <v>54</v>
      </c>
      <c r="AD116" s="17" t="s">
        <v>54</v>
      </c>
      <c r="AE116" s="17" t="s">
        <v>54</v>
      </c>
      <c r="AF116" s="26" t="s">
        <v>61</v>
      </c>
      <c r="AG116" s="26" t="s">
        <v>61</v>
      </c>
      <c r="AH116" s="26" t="s">
        <v>61</v>
      </c>
      <c r="AI116" s="26" t="s">
        <v>61</v>
      </c>
      <c r="AJ116" s="17">
        <v>0</v>
      </c>
      <c r="AK116" s="17">
        <v>0</v>
      </c>
      <c r="AL116" s="17">
        <v>4</v>
      </c>
      <c r="AM116" s="17">
        <v>3</v>
      </c>
      <c r="AN116" s="26" t="s">
        <v>54</v>
      </c>
      <c r="AO116" s="26" t="s">
        <v>54</v>
      </c>
      <c r="AP116" s="26">
        <v>0</v>
      </c>
      <c r="AQ116" s="26">
        <v>0</v>
      </c>
      <c r="AR116" s="31">
        <v>0</v>
      </c>
      <c r="AS116" s="31">
        <v>0</v>
      </c>
      <c r="AT116" s="31">
        <v>0</v>
      </c>
      <c r="AU116" s="18" t="s">
        <v>62</v>
      </c>
      <c r="AV116" s="32" t="s">
        <v>63</v>
      </c>
    </row>
    <row r="117" spans="1:48">
      <c r="A117" s="16" t="s">
        <v>338</v>
      </c>
      <c r="B117" s="17" t="s">
        <v>247</v>
      </c>
      <c r="C117" s="17" t="s">
        <v>248</v>
      </c>
      <c r="D117" s="18">
        <v>0</v>
      </c>
      <c r="E117" s="18">
        <v>0</v>
      </c>
      <c r="F117" s="18">
        <v>0</v>
      </c>
      <c r="G117" s="18">
        <v>0</v>
      </c>
      <c r="H117" s="18">
        <v>0</v>
      </c>
      <c r="I117" s="18">
        <v>0</v>
      </c>
      <c r="J117" s="18">
        <v>11</v>
      </c>
      <c r="K117" s="18">
        <v>0</v>
      </c>
      <c r="L117" s="18">
        <v>0</v>
      </c>
      <c r="M117" s="21">
        <v>11</v>
      </c>
      <c r="N117" s="18">
        <v>0</v>
      </c>
      <c r="O117" s="17">
        <v>0</v>
      </c>
      <c r="P117" s="17">
        <v>0</v>
      </c>
      <c r="Q117" s="17">
        <v>0</v>
      </c>
      <c r="R117" s="17">
        <v>0</v>
      </c>
      <c r="S117" s="17">
        <v>0</v>
      </c>
      <c r="T117" s="17" t="s">
        <v>54</v>
      </c>
      <c r="U117" s="17" t="s">
        <v>54</v>
      </c>
      <c r="V117" s="17" t="s">
        <v>54</v>
      </c>
      <c r="W117" s="17" t="s">
        <v>54</v>
      </c>
      <c r="X117" s="26" t="s">
        <v>54</v>
      </c>
      <c r="Y117" s="26" t="s">
        <v>54</v>
      </c>
      <c r="Z117" s="26" t="s">
        <v>54</v>
      </c>
      <c r="AA117" s="26" t="s">
        <v>54</v>
      </c>
      <c r="AB117" s="17" t="s">
        <v>54</v>
      </c>
      <c r="AC117" s="17" t="s">
        <v>54</v>
      </c>
      <c r="AD117" s="17" t="s">
        <v>54</v>
      </c>
      <c r="AE117" s="17" t="s">
        <v>54</v>
      </c>
      <c r="AF117" s="26" t="s">
        <v>61</v>
      </c>
      <c r="AG117" s="26" t="s">
        <v>61</v>
      </c>
      <c r="AH117" s="26" t="s">
        <v>61</v>
      </c>
      <c r="AI117" s="26" t="s">
        <v>61</v>
      </c>
      <c r="AJ117" s="17">
        <v>0</v>
      </c>
      <c r="AK117" s="17">
        <v>0</v>
      </c>
      <c r="AL117" s="17">
        <v>4</v>
      </c>
      <c r="AM117" s="17">
        <v>9</v>
      </c>
      <c r="AN117" s="26" t="s">
        <v>54</v>
      </c>
      <c r="AO117" s="26" t="s">
        <v>54</v>
      </c>
      <c r="AP117" s="26">
        <v>0</v>
      </c>
      <c r="AQ117" s="26">
        <v>0</v>
      </c>
      <c r="AR117" s="31">
        <v>0</v>
      </c>
      <c r="AS117" s="31">
        <v>0</v>
      </c>
      <c r="AT117" s="31">
        <v>11</v>
      </c>
      <c r="AU117" s="18" t="s">
        <v>215</v>
      </c>
      <c r="AV117" s="32" t="s">
        <v>63</v>
      </c>
    </row>
    <row r="118" spans="1:48">
      <c r="A118" s="16" t="s">
        <v>339</v>
      </c>
      <c r="B118" s="17" t="s">
        <v>340</v>
      </c>
      <c r="C118" s="17" t="s">
        <v>341</v>
      </c>
      <c r="D118" s="18">
        <v>0</v>
      </c>
      <c r="E118" s="18">
        <v>0</v>
      </c>
      <c r="F118" s="18">
        <v>0</v>
      </c>
      <c r="G118" s="18">
        <v>0</v>
      </c>
      <c r="H118" s="18">
        <v>0</v>
      </c>
      <c r="I118" s="18">
        <v>0</v>
      </c>
      <c r="J118" s="18">
        <v>0</v>
      </c>
      <c r="K118" s="18">
        <v>0</v>
      </c>
      <c r="L118" s="18">
        <v>0</v>
      </c>
      <c r="M118" s="21">
        <v>0</v>
      </c>
      <c r="N118" s="18">
        <v>1</v>
      </c>
      <c r="O118" s="17">
        <v>0</v>
      </c>
      <c r="P118" s="17">
        <v>0</v>
      </c>
      <c r="Q118" s="17">
        <v>0</v>
      </c>
      <c r="R118" s="17">
        <v>0</v>
      </c>
      <c r="S118" s="17">
        <v>0</v>
      </c>
      <c r="T118" s="17" t="s">
        <v>54</v>
      </c>
      <c r="U118" s="17" t="s">
        <v>54</v>
      </c>
      <c r="V118" s="17" t="s">
        <v>54</v>
      </c>
      <c r="W118" s="17" t="s">
        <v>54</v>
      </c>
      <c r="X118" s="26" t="s">
        <v>54</v>
      </c>
      <c r="Y118" s="26" t="s">
        <v>54</v>
      </c>
      <c r="Z118" s="26" t="s">
        <v>54</v>
      </c>
      <c r="AA118" s="26" t="s">
        <v>54</v>
      </c>
      <c r="AB118" s="17" t="s">
        <v>54</v>
      </c>
      <c r="AC118" s="17" t="s">
        <v>54</v>
      </c>
      <c r="AD118" s="17" t="s">
        <v>54</v>
      </c>
      <c r="AE118" s="17" t="s">
        <v>54</v>
      </c>
      <c r="AF118" s="26" t="s">
        <v>61</v>
      </c>
      <c r="AG118" s="26" t="s">
        <v>61</v>
      </c>
      <c r="AH118" s="26" t="s">
        <v>61</v>
      </c>
      <c r="AI118" s="26" t="s">
        <v>61</v>
      </c>
      <c r="AJ118" s="17" t="s">
        <v>54</v>
      </c>
      <c r="AK118" s="17" t="s">
        <v>54</v>
      </c>
      <c r="AL118" s="17" t="s">
        <v>54</v>
      </c>
      <c r="AM118" s="17" t="s">
        <v>54</v>
      </c>
      <c r="AN118" s="26" t="s">
        <v>54</v>
      </c>
      <c r="AO118" s="26" t="s">
        <v>54</v>
      </c>
      <c r="AP118" s="26" t="s">
        <v>54</v>
      </c>
      <c r="AQ118" s="26" t="s">
        <v>54</v>
      </c>
      <c r="AR118" s="31">
        <v>0</v>
      </c>
      <c r="AS118" s="31">
        <v>0</v>
      </c>
      <c r="AT118" s="31">
        <v>0</v>
      </c>
      <c r="AU118" s="18" t="s">
        <v>62</v>
      </c>
      <c r="AV118" s="32" t="s">
        <v>63</v>
      </c>
    </row>
    <row r="119" spans="1:48">
      <c r="A119" s="16" t="s">
        <v>342</v>
      </c>
      <c r="B119" s="17" t="s">
        <v>343</v>
      </c>
      <c r="C119" s="17" t="s">
        <v>344</v>
      </c>
      <c r="D119" s="18">
        <v>0</v>
      </c>
      <c r="E119" s="18">
        <v>0</v>
      </c>
      <c r="F119" s="18">
        <v>0</v>
      </c>
      <c r="G119" s="18">
        <v>0</v>
      </c>
      <c r="H119" s="18">
        <v>0</v>
      </c>
      <c r="I119" s="18">
        <v>1</v>
      </c>
      <c r="J119" s="18">
        <v>0</v>
      </c>
      <c r="K119" s="18">
        <v>0</v>
      </c>
      <c r="L119" s="18">
        <v>0</v>
      </c>
      <c r="M119" s="21">
        <v>1</v>
      </c>
      <c r="N119" s="18">
        <v>1</v>
      </c>
      <c r="O119" s="17">
        <v>0</v>
      </c>
      <c r="P119" s="17">
        <v>0</v>
      </c>
      <c r="Q119" s="17">
        <v>0</v>
      </c>
      <c r="R119" s="17">
        <v>0</v>
      </c>
      <c r="S119" s="17">
        <v>0</v>
      </c>
      <c r="T119" s="17" t="s">
        <v>54</v>
      </c>
      <c r="U119" s="17" t="s">
        <v>54</v>
      </c>
      <c r="V119" s="17" t="s">
        <v>54</v>
      </c>
      <c r="W119" s="17" t="s">
        <v>54</v>
      </c>
      <c r="X119" s="26" t="s">
        <v>54</v>
      </c>
      <c r="Y119" s="26" t="s">
        <v>54</v>
      </c>
      <c r="Z119" s="26" t="s">
        <v>54</v>
      </c>
      <c r="AA119" s="26" t="s">
        <v>54</v>
      </c>
      <c r="AB119" s="17" t="s">
        <v>54</v>
      </c>
      <c r="AC119" s="17" t="s">
        <v>54</v>
      </c>
      <c r="AD119" s="17" t="s">
        <v>54</v>
      </c>
      <c r="AE119" s="17" t="s">
        <v>54</v>
      </c>
      <c r="AF119" s="26" t="s">
        <v>61</v>
      </c>
      <c r="AG119" s="26" t="s">
        <v>61</v>
      </c>
      <c r="AH119" s="26" t="s">
        <v>61</v>
      </c>
      <c r="AI119" s="26" t="s">
        <v>61</v>
      </c>
      <c r="AJ119" s="17">
        <v>4</v>
      </c>
      <c r="AK119" s="17">
        <v>3</v>
      </c>
      <c r="AL119" s="17">
        <v>0</v>
      </c>
      <c r="AM119" s="17">
        <v>0</v>
      </c>
      <c r="AN119" s="26">
        <v>0</v>
      </c>
      <c r="AO119" s="26">
        <v>0</v>
      </c>
      <c r="AP119" s="26" t="s">
        <v>54</v>
      </c>
      <c r="AQ119" s="26" t="s">
        <v>54</v>
      </c>
      <c r="AR119" s="31">
        <v>0</v>
      </c>
      <c r="AS119" s="31">
        <v>0</v>
      </c>
      <c r="AT119" s="31">
        <v>1</v>
      </c>
      <c r="AU119" s="18" t="s">
        <v>95</v>
      </c>
      <c r="AV119" s="32" t="s">
        <v>63</v>
      </c>
    </row>
    <row r="120" spans="1:48">
      <c r="A120" s="16" t="s">
        <v>345</v>
      </c>
      <c r="B120" s="17" t="s">
        <v>250</v>
      </c>
      <c r="C120" s="17" t="s">
        <v>251</v>
      </c>
      <c r="D120" s="18">
        <v>0</v>
      </c>
      <c r="E120" s="18">
        <v>0</v>
      </c>
      <c r="F120" s="18">
        <v>0</v>
      </c>
      <c r="G120" s="18">
        <v>0</v>
      </c>
      <c r="H120" s="18">
        <v>0</v>
      </c>
      <c r="I120" s="18">
        <v>0</v>
      </c>
      <c r="J120" s="18">
        <v>4</v>
      </c>
      <c r="K120" s="18">
        <v>0</v>
      </c>
      <c r="L120" s="18">
        <v>0</v>
      </c>
      <c r="M120" s="21">
        <v>4</v>
      </c>
      <c r="N120" s="18">
        <v>0</v>
      </c>
      <c r="O120" s="17">
        <v>0</v>
      </c>
      <c r="P120" s="17">
        <v>0</v>
      </c>
      <c r="Q120" s="17">
        <v>0</v>
      </c>
      <c r="R120" s="17">
        <v>0</v>
      </c>
      <c r="S120" s="17">
        <v>0</v>
      </c>
      <c r="T120" s="17" t="s">
        <v>54</v>
      </c>
      <c r="U120" s="17" t="s">
        <v>54</v>
      </c>
      <c r="V120" s="17" t="s">
        <v>54</v>
      </c>
      <c r="W120" s="17" t="s">
        <v>54</v>
      </c>
      <c r="X120" s="26" t="s">
        <v>54</v>
      </c>
      <c r="Y120" s="26" t="s">
        <v>54</v>
      </c>
      <c r="Z120" s="26" t="s">
        <v>54</v>
      </c>
      <c r="AA120" s="26" t="s">
        <v>54</v>
      </c>
      <c r="AB120" s="17" t="s">
        <v>54</v>
      </c>
      <c r="AC120" s="17" t="s">
        <v>54</v>
      </c>
      <c r="AD120" s="17" t="s">
        <v>54</v>
      </c>
      <c r="AE120" s="17" t="s">
        <v>54</v>
      </c>
      <c r="AF120" s="26" t="s">
        <v>61</v>
      </c>
      <c r="AG120" s="26" t="s">
        <v>61</v>
      </c>
      <c r="AH120" s="26" t="s">
        <v>61</v>
      </c>
      <c r="AI120" s="26" t="s">
        <v>61</v>
      </c>
      <c r="AJ120" s="17">
        <v>0</v>
      </c>
      <c r="AK120" s="17">
        <v>0</v>
      </c>
      <c r="AL120" s="17">
        <v>4</v>
      </c>
      <c r="AM120" s="17">
        <v>3</v>
      </c>
      <c r="AN120" s="26" t="s">
        <v>54</v>
      </c>
      <c r="AO120" s="26" t="s">
        <v>54</v>
      </c>
      <c r="AP120" s="26">
        <v>0</v>
      </c>
      <c r="AQ120" s="26">
        <v>0</v>
      </c>
      <c r="AR120" s="31">
        <v>0</v>
      </c>
      <c r="AS120" s="31">
        <v>0</v>
      </c>
      <c r="AT120" s="31">
        <v>4</v>
      </c>
      <c r="AU120" s="18" t="s">
        <v>252</v>
      </c>
      <c r="AV120" s="32" t="s">
        <v>63</v>
      </c>
    </row>
    <row r="121" spans="1:48">
      <c r="A121" s="16" t="s">
        <v>346</v>
      </c>
      <c r="B121" s="17" t="s">
        <v>254</v>
      </c>
      <c r="C121" s="17" t="s">
        <v>255</v>
      </c>
      <c r="D121" s="18">
        <v>2</v>
      </c>
      <c r="E121" s="18">
        <v>0</v>
      </c>
      <c r="F121" s="18">
        <v>0</v>
      </c>
      <c r="G121" s="18">
        <v>0</v>
      </c>
      <c r="H121" s="18">
        <v>34.39</v>
      </c>
      <c r="I121" s="18">
        <v>2</v>
      </c>
      <c r="J121" s="18">
        <v>3</v>
      </c>
      <c r="K121" s="18">
        <v>0</v>
      </c>
      <c r="L121" s="18">
        <v>0</v>
      </c>
      <c r="M121" s="21">
        <v>5</v>
      </c>
      <c r="N121" s="18">
        <v>0</v>
      </c>
      <c r="O121" s="17">
        <v>1</v>
      </c>
      <c r="P121" s="17">
        <v>0</v>
      </c>
      <c r="Q121" s="17">
        <v>0</v>
      </c>
      <c r="R121" s="17">
        <v>0</v>
      </c>
      <c r="S121" s="17">
        <v>0</v>
      </c>
      <c r="T121" s="17" t="s">
        <v>54</v>
      </c>
      <c r="U121" s="17" t="s">
        <v>54</v>
      </c>
      <c r="V121" s="17" t="s">
        <v>54</v>
      </c>
      <c r="W121" s="17" t="s">
        <v>54</v>
      </c>
      <c r="X121" s="26" t="s">
        <v>54</v>
      </c>
      <c r="Y121" s="26" t="s">
        <v>54</v>
      </c>
      <c r="Z121" s="26" t="s">
        <v>54</v>
      </c>
      <c r="AA121" s="26" t="s">
        <v>54</v>
      </c>
      <c r="AB121" s="17" t="s">
        <v>54</v>
      </c>
      <c r="AC121" s="17" t="s">
        <v>54</v>
      </c>
      <c r="AD121" s="17" t="s">
        <v>54</v>
      </c>
      <c r="AE121" s="17" t="s">
        <v>54</v>
      </c>
      <c r="AF121" s="26" t="s">
        <v>54</v>
      </c>
      <c r="AG121" s="26" t="s">
        <v>61</v>
      </c>
      <c r="AH121" s="26" t="s">
        <v>61</v>
      </c>
      <c r="AI121" s="26" t="s">
        <v>61</v>
      </c>
      <c r="AJ121" s="17">
        <v>8</v>
      </c>
      <c r="AK121" s="17">
        <v>9</v>
      </c>
      <c r="AL121" s="17">
        <v>1</v>
      </c>
      <c r="AM121" s="17">
        <v>3</v>
      </c>
      <c r="AN121" s="26">
        <v>0.25</v>
      </c>
      <c r="AO121" s="26">
        <v>0</v>
      </c>
      <c r="AP121" s="26">
        <v>0</v>
      </c>
      <c r="AQ121" s="26">
        <v>0</v>
      </c>
      <c r="AR121" s="31">
        <v>0.285714285714286</v>
      </c>
      <c r="AS121" s="31">
        <v>17.1428571428571</v>
      </c>
      <c r="AT121" s="31">
        <v>-12.1428571428571</v>
      </c>
      <c r="AU121" s="18">
        <v>17</v>
      </c>
      <c r="AV121" s="32">
        <v>43356</v>
      </c>
    </row>
    <row r="122" spans="1:48">
      <c r="A122" s="16" t="s">
        <v>347</v>
      </c>
      <c r="B122" s="17" t="s">
        <v>258</v>
      </c>
      <c r="C122" s="17" t="s">
        <v>259</v>
      </c>
      <c r="D122" s="18">
        <v>1</v>
      </c>
      <c r="E122" s="18">
        <v>0</v>
      </c>
      <c r="F122" s="18">
        <v>0</v>
      </c>
      <c r="G122" s="18">
        <v>0</v>
      </c>
      <c r="H122" s="18">
        <v>42.49</v>
      </c>
      <c r="I122" s="18">
        <v>0</v>
      </c>
      <c r="J122" s="18">
        <v>4</v>
      </c>
      <c r="K122" s="18">
        <v>0</v>
      </c>
      <c r="L122" s="18">
        <v>0</v>
      </c>
      <c r="M122" s="21">
        <v>4</v>
      </c>
      <c r="N122" s="18">
        <v>0</v>
      </c>
      <c r="O122" s="17">
        <v>0</v>
      </c>
      <c r="P122" s="17">
        <v>0</v>
      </c>
      <c r="Q122" s="17">
        <v>0</v>
      </c>
      <c r="R122" s="17">
        <v>0</v>
      </c>
      <c r="S122" s="17">
        <v>0</v>
      </c>
      <c r="T122" s="17" t="s">
        <v>54</v>
      </c>
      <c r="U122" s="17" t="s">
        <v>54</v>
      </c>
      <c r="V122" s="17" t="s">
        <v>54</v>
      </c>
      <c r="W122" s="17" t="s">
        <v>54</v>
      </c>
      <c r="X122" s="26" t="s">
        <v>54</v>
      </c>
      <c r="Y122" s="26" t="s">
        <v>54</v>
      </c>
      <c r="Z122" s="26" t="s">
        <v>54</v>
      </c>
      <c r="AA122" s="26" t="s">
        <v>54</v>
      </c>
      <c r="AB122" s="17" t="s">
        <v>54</v>
      </c>
      <c r="AC122" s="17" t="s">
        <v>54</v>
      </c>
      <c r="AD122" s="17" t="s">
        <v>54</v>
      </c>
      <c r="AE122" s="17" t="s">
        <v>54</v>
      </c>
      <c r="AF122" s="26" t="s">
        <v>54</v>
      </c>
      <c r="AG122" s="26" t="s">
        <v>61</v>
      </c>
      <c r="AH122" s="26" t="s">
        <v>61</v>
      </c>
      <c r="AI122" s="26" t="s">
        <v>61</v>
      </c>
      <c r="AJ122" s="17">
        <v>8</v>
      </c>
      <c r="AK122" s="17">
        <v>6</v>
      </c>
      <c r="AL122" s="17">
        <v>7</v>
      </c>
      <c r="AM122" s="17">
        <v>3</v>
      </c>
      <c r="AN122" s="26">
        <v>0.125</v>
      </c>
      <c r="AO122" s="26">
        <v>0</v>
      </c>
      <c r="AP122" s="26">
        <v>0</v>
      </c>
      <c r="AQ122" s="26">
        <v>0</v>
      </c>
      <c r="AR122" s="31">
        <v>0.142857142857143</v>
      </c>
      <c r="AS122" s="31">
        <v>8.57142857142857</v>
      </c>
      <c r="AT122" s="31">
        <v>-4.57142857142857</v>
      </c>
      <c r="AU122" s="18">
        <v>28</v>
      </c>
      <c r="AV122" s="32">
        <v>43367</v>
      </c>
    </row>
    <row r="123" spans="1:48">
      <c r="A123" s="16" t="s">
        <v>348</v>
      </c>
      <c r="B123" s="17" t="s">
        <v>261</v>
      </c>
      <c r="C123" s="17" t="s">
        <v>262</v>
      </c>
      <c r="D123" s="18">
        <v>0</v>
      </c>
      <c r="E123" s="18">
        <v>0</v>
      </c>
      <c r="F123" s="18">
        <v>0</v>
      </c>
      <c r="G123" s="18">
        <v>0</v>
      </c>
      <c r="H123" s="18">
        <v>0</v>
      </c>
      <c r="I123" s="18">
        <v>12</v>
      </c>
      <c r="J123" s="18">
        <v>0</v>
      </c>
      <c r="K123" s="18">
        <v>0</v>
      </c>
      <c r="L123" s="18">
        <v>0</v>
      </c>
      <c r="M123" s="21">
        <v>12</v>
      </c>
      <c r="N123" s="18">
        <v>1</v>
      </c>
      <c r="O123" s="17">
        <v>0</v>
      </c>
      <c r="P123" s="17">
        <v>0</v>
      </c>
      <c r="Q123" s="17">
        <v>0</v>
      </c>
      <c r="R123" s="17">
        <v>0</v>
      </c>
      <c r="S123" s="17">
        <v>0</v>
      </c>
      <c r="T123" s="17" t="s">
        <v>54</v>
      </c>
      <c r="U123" s="17" t="s">
        <v>54</v>
      </c>
      <c r="V123" s="17" t="s">
        <v>54</v>
      </c>
      <c r="W123" s="17" t="s">
        <v>54</v>
      </c>
      <c r="X123" s="26" t="s">
        <v>54</v>
      </c>
      <c r="Y123" s="26" t="s">
        <v>54</v>
      </c>
      <c r="Z123" s="26" t="s">
        <v>54</v>
      </c>
      <c r="AA123" s="26" t="s">
        <v>54</v>
      </c>
      <c r="AB123" s="17" t="s">
        <v>54</v>
      </c>
      <c r="AC123" s="17" t="s">
        <v>54</v>
      </c>
      <c r="AD123" s="17" t="s">
        <v>54</v>
      </c>
      <c r="AE123" s="17" t="s">
        <v>54</v>
      </c>
      <c r="AF123" s="26" t="s">
        <v>61</v>
      </c>
      <c r="AG123" s="26" t="s">
        <v>61</v>
      </c>
      <c r="AH123" s="26" t="s">
        <v>61</v>
      </c>
      <c r="AI123" s="26" t="s">
        <v>61</v>
      </c>
      <c r="AJ123" s="17">
        <v>0</v>
      </c>
      <c r="AK123" s="17">
        <v>0</v>
      </c>
      <c r="AL123" s="17">
        <v>9</v>
      </c>
      <c r="AM123" s="17">
        <v>3</v>
      </c>
      <c r="AN123" s="26" t="s">
        <v>54</v>
      </c>
      <c r="AO123" s="26" t="s">
        <v>54</v>
      </c>
      <c r="AP123" s="26">
        <v>0</v>
      </c>
      <c r="AQ123" s="26">
        <v>0</v>
      </c>
      <c r="AR123" s="31">
        <v>0</v>
      </c>
      <c r="AS123" s="31">
        <v>0</v>
      </c>
      <c r="AT123" s="31">
        <v>12</v>
      </c>
      <c r="AU123" s="18" t="s">
        <v>263</v>
      </c>
      <c r="AV123" s="32" t="s">
        <v>63</v>
      </c>
    </row>
    <row r="124" spans="1:48">
      <c r="A124" s="16" t="s">
        <v>349</v>
      </c>
      <c r="B124" s="17" t="s">
        <v>265</v>
      </c>
      <c r="C124" s="17" t="s">
        <v>266</v>
      </c>
      <c r="D124" s="18">
        <v>0</v>
      </c>
      <c r="E124" s="18">
        <v>0</v>
      </c>
      <c r="F124" s="18">
        <v>0</v>
      </c>
      <c r="G124" s="18">
        <v>0</v>
      </c>
      <c r="H124" s="18">
        <v>0</v>
      </c>
      <c r="I124" s="18">
        <v>2</v>
      </c>
      <c r="J124" s="18">
        <v>6</v>
      </c>
      <c r="K124" s="18">
        <v>1</v>
      </c>
      <c r="L124" s="18">
        <v>0</v>
      </c>
      <c r="M124" s="21">
        <v>9</v>
      </c>
      <c r="N124" s="18">
        <v>0</v>
      </c>
      <c r="O124" s="17">
        <v>2</v>
      </c>
      <c r="P124" s="17">
        <v>0</v>
      </c>
      <c r="Q124" s="17">
        <v>0</v>
      </c>
      <c r="R124" s="17">
        <v>0</v>
      </c>
      <c r="S124" s="17">
        <v>0</v>
      </c>
      <c r="T124" s="17" t="s">
        <v>54</v>
      </c>
      <c r="U124" s="17" t="s">
        <v>54</v>
      </c>
      <c r="V124" s="17" t="s">
        <v>54</v>
      </c>
      <c r="W124" s="17" t="s">
        <v>54</v>
      </c>
      <c r="X124" s="26" t="s">
        <v>54</v>
      </c>
      <c r="Y124" s="26" t="s">
        <v>54</v>
      </c>
      <c r="Z124" s="26" t="s">
        <v>54</v>
      </c>
      <c r="AA124" s="26" t="s">
        <v>54</v>
      </c>
      <c r="AB124" s="17" t="s">
        <v>54</v>
      </c>
      <c r="AC124" s="17" t="s">
        <v>54</v>
      </c>
      <c r="AD124" s="17" t="s">
        <v>54</v>
      </c>
      <c r="AE124" s="17" t="s">
        <v>54</v>
      </c>
      <c r="AF124" s="26" t="s">
        <v>61</v>
      </c>
      <c r="AG124" s="26" t="s">
        <v>61</v>
      </c>
      <c r="AH124" s="26" t="s">
        <v>61</v>
      </c>
      <c r="AI124" s="26" t="s">
        <v>61</v>
      </c>
      <c r="AJ124" s="17">
        <v>8</v>
      </c>
      <c r="AK124" s="17">
        <v>4</v>
      </c>
      <c r="AL124" s="17">
        <v>1</v>
      </c>
      <c r="AM124" s="17">
        <v>2</v>
      </c>
      <c r="AN124" s="26">
        <v>0</v>
      </c>
      <c r="AO124" s="26">
        <v>0</v>
      </c>
      <c r="AP124" s="26">
        <v>0</v>
      </c>
      <c r="AQ124" s="26">
        <v>0</v>
      </c>
      <c r="AR124" s="31">
        <v>0</v>
      </c>
      <c r="AS124" s="31">
        <v>0</v>
      </c>
      <c r="AT124" s="31">
        <v>9</v>
      </c>
      <c r="AU124" s="18" t="s">
        <v>267</v>
      </c>
      <c r="AV124" s="32" t="s">
        <v>63</v>
      </c>
    </row>
    <row r="125" spans="1:48">
      <c r="A125" s="16" t="s">
        <v>350</v>
      </c>
      <c r="B125" s="17" t="s">
        <v>269</v>
      </c>
      <c r="C125" s="17" t="s">
        <v>270</v>
      </c>
      <c r="D125" s="18">
        <v>0</v>
      </c>
      <c r="E125" s="18">
        <v>0</v>
      </c>
      <c r="F125" s="18">
        <v>0</v>
      </c>
      <c r="G125" s="18">
        <v>0</v>
      </c>
      <c r="H125" s="18">
        <v>0</v>
      </c>
      <c r="I125" s="18">
        <v>0</v>
      </c>
      <c r="J125" s="18">
        <v>1</v>
      </c>
      <c r="K125" s="18">
        <v>0</v>
      </c>
      <c r="L125" s="18">
        <v>0</v>
      </c>
      <c r="M125" s="21">
        <v>1</v>
      </c>
      <c r="N125" s="18">
        <v>0</v>
      </c>
      <c r="O125" s="17">
        <v>0</v>
      </c>
      <c r="P125" s="17">
        <v>0</v>
      </c>
      <c r="Q125" s="17">
        <v>0</v>
      </c>
      <c r="R125" s="17">
        <v>0</v>
      </c>
      <c r="S125" s="17">
        <v>0</v>
      </c>
      <c r="T125" s="17" t="s">
        <v>54</v>
      </c>
      <c r="U125" s="17" t="s">
        <v>54</v>
      </c>
      <c r="V125" s="17" t="s">
        <v>54</v>
      </c>
      <c r="W125" s="17" t="s">
        <v>54</v>
      </c>
      <c r="X125" s="26" t="s">
        <v>54</v>
      </c>
      <c r="Y125" s="26" t="s">
        <v>54</v>
      </c>
      <c r="Z125" s="26" t="s">
        <v>54</v>
      </c>
      <c r="AA125" s="26" t="s">
        <v>54</v>
      </c>
      <c r="AB125" s="17" t="s">
        <v>54</v>
      </c>
      <c r="AC125" s="17" t="s">
        <v>54</v>
      </c>
      <c r="AD125" s="17" t="s">
        <v>54</v>
      </c>
      <c r="AE125" s="17" t="s">
        <v>54</v>
      </c>
      <c r="AF125" s="26" t="s">
        <v>61</v>
      </c>
      <c r="AG125" s="26" t="s">
        <v>61</v>
      </c>
      <c r="AH125" s="26" t="s">
        <v>61</v>
      </c>
      <c r="AI125" s="26" t="s">
        <v>61</v>
      </c>
      <c r="AJ125" s="17">
        <v>0</v>
      </c>
      <c r="AK125" s="17">
        <v>0</v>
      </c>
      <c r="AL125" s="17">
        <v>4</v>
      </c>
      <c r="AM125" s="17">
        <v>5</v>
      </c>
      <c r="AN125" s="26" t="s">
        <v>54</v>
      </c>
      <c r="AO125" s="26" t="s">
        <v>54</v>
      </c>
      <c r="AP125" s="26">
        <v>0</v>
      </c>
      <c r="AQ125" s="26">
        <v>0</v>
      </c>
      <c r="AR125" s="31">
        <v>0</v>
      </c>
      <c r="AS125" s="31">
        <v>0</v>
      </c>
      <c r="AT125" s="31">
        <v>1</v>
      </c>
      <c r="AU125" s="18" t="s">
        <v>95</v>
      </c>
      <c r="AV125" s="32" t="s">
        <v>63</v>
      </c>
    </row>
    <row r="126" spans="1:48">
      <c r="A126" s="16" t="s">
        <v>351</v>
      </c>
      <c r="B126" s="17" t="s">
        <v>352</v>
      </c>
      <c r="C126" s="17" t="s">
        <v>353</v>
      </c>
      <c r="D126" s="18">
        <v>1</v>
      </c>
      <c r="E126" s="18">
        <v>0</v>
      </c>
      <c r="F126" s="18">
        <v>0</v>
      </c>
      <c r="G126" s="18">
        <v>0</v>
      </c>
      <c r="H126" s="18">
        <v>42.99</v>
      </c>
      <c r="I126" s="18">
        <v>6</v>
      </c>
      <c r="J126" s="18">
        <v>0</v>
      </c>
      <c r="K126" s="18">
        <v>0</v>
      </c>
      <c r="L126" s="18">
        <v>0</v>
      </c>
      <c r="M126" s="21">
        <v>6</v>
      </c>
      <c r="N126" s="18">
        <v>0</v>
      </c>
      <c r="O126" s="17">
        <v>6</v>
      </c>
      <c r="P126" s="17">
        <v>0</v>
      </c>
      <c r="Q126" s="17">
        <v>0</v>
      </c>
      <c r="R126" s="17">
        <v>0</v>
      </c>
      <c r="S126" s="17">
        <v>0</v>
      </c>
      <c r="T126" s="17" t="s">
        <v>54</v>
      </c>
      <c r="U126" s="17" t="s">
        <v>54</v>
      </c>
      <c r="V126" s="17" t="s">
        <v>54</v>
      </c>
      <c r="W126" s="17" t="s">
        <v>54</v>
      </c>
      <c r="X126" s="26" t="s">
        <v>54</v>
      </c>
      <c r="Y126" s="26" t="s">
        <v>54</v>
      </c>
      <c r="Z126" s="26" t="s">
        <v>54</v>
      </c>
      <c r="AA126" s="26" t="s">
        <v>54</v>
      </c>
      <c r="AB126" s="17" t="s">
        <v>54</v>
      </c>
      <c r="AC126" s="17" t="s">
        <v>54</v>
      </c>
      <c r="AD126" s="17" t="s">
        <v>54</v>
      </c>
      <c r="AE126" s="17" t="s">
        <v>54</v>
      </c>
      <c r="AF126" s="26" t="s">
        <v>54</v>
      </c>
      <c r="AG126" s="26" t="s">
        <v>61</v>
      </c>
      <c r="AH126" s="26" t="s">
        <v>61</v>
      </c>
      <c r="AI126" s="26" t="s">
        <v>61</v>
      </c>
      <c r="AJ126" s="17">
        <v>4</v>
      </c>
      <c r="AK126" s="17">
        <v>6</v>
      </c>
      <c r="AL126" s="17">
        <v>9</v>
      </c>
      <c r="AM126" s="17">
        <v>3</v>
      </c>
      <c r="AN126" s="26">
        <v>0.25</v>
      </c>
      <c r="AO126" s="26">
        <v>0</v>
      </c>
      <c r="AP126" s="26">
        <v>0</v>
      </c>
      <c r="AQ126" s="26">
        <v>0</v>
      </c>
      <c r="AR126" s="31">
        <v>0.142857142857143</v>
      </c>
      <c r="AS126" s="31">
        <v>8.57142857142857</v>
      </c>
      <c r="AT126" s="31">
        <v>-2.57142857142857</v>
      </c>
      <c r="AU126" s="18">
        <v>42</v>
      </c>
      <c r="AV126" s="32">
        <v>43381</v>
      </c>
    </row>
    <row r="127" spans="1:48">
      <c r="A127" s="16" t="s">
        <v>354</v>
      </c>
      <c r="B127" s="17" t="s">
        <v>355</v>
      </c>
      <c r="C127" s="17" t="s">
        <v>356</v>
      </c>
      <c r="D127" s="18">
        <v>1</v>
      </c>
      <c r="E127" s="18">
        <v>0</v>
      </c>
      <c r="F127" s="18">
        <v>0</v>
      </c>
      <c r="G127" s="18">
        <v>0</v>
      </c>
      <c r="H127" s="18">
        <v>42.99</v>
      </c>
      <c r="I127" s="18">
        <v>0</v>
      </c>
      <c r="J127" s="18">
        <v>0</v>
      </c>
      <c r="K127" s="18">
        <v>0</v>
      </c>
      <c r="L127" s="18">
        <v>0</v>
      </c>
      <c r="M127" s="21">
        <v>0</v>
      </c>
      <c r="N127" s="18">
        <v>0</v>
      </c>
      <c r="O127" s="17">
        <v>0</v>
      </c>
      <c r="P127" s="17">
        <v>0</v>
      </c>
      <c r="Q127" s="17">
        <v>0</v>
      </c>
      <c r="R127" s="17">
        <v>0</v>
      </c>
      <c r="S127" s="17">
        <v>0</v>
      </c>
      <c r="T127" s="17" t="s">
        <v>54</v>
      </c>
      <c r="U127" s="17" t="s">
        <v>54</v>
      </c>
      <c r="V127" s="17" t="s">
        <v>54</v>
      </c>
      <c r="W127" s="17" t="s">
        <v>54</v>
      </c>
      <c r="X127" s="26" t="s">
        <v>54</v>
      </c>
      <c r="Y127" s="26" t="s">
        <v>54</v>
      </c>
      <c r="Z127" s="26" t="s">
        <v>54</v>
      </c>
      <c r="AA127" s="26" t="s">
        <v>54</v>
      </c>
      <c r="AB127" s="17" t="s">
        <v>54</v>
      </c>
      <c r="AC127" s="17" t="s">
        <v>54</v>
      </c>
      <c r="AD127" s="17" t="s">
        <v>54</v>
      </c>
      <c r="AE127" s="17" t="s">
        <v>54</v>
      </c>
      <c r="AF127" s="26" t="s">
        <v>54</v>
      </c>
      <c r="AG127" s="26" t="s">
        <v>61</v>
      </c>
      <c r="AH127" s="26" t="s">
        <v>61</v>
      </c>
      <c r="AI127" s="26" t="s">
        <v>61</v>
      </c>
      <c r="AJ127" s="17">
        <v>6</v>
      </c>
      <c r="AK127" s="17">
        <v>2</v>
      </c>
      <c r="AL127" s="17">
        <v>5</v>
      </c>
      <c r="AM127" s="17">
        <v>2</v>
      </c>
      <c r="AN127" s="26">
        <v>0.166666666666667</v>
      </c>
      <c r="AO127" s="26">
        <v>0</v>
      </c>
      <c r="AP127" s="26">
        <v>0</v>
      </c>
      <c r="AQ127" s="26">
        <v>0</v>
      </c>
      <c r="AR127" s="31">
        <v>0.142857142857143</v>
      </c>
      <c r="AS127" s="31">
        <v>8.57142857142857</v>
      </c>
      <c r="AT127" s="31">
        <v>-8.57142857142857</v>
      </c>
      <c r="AU127" s="18">
        <v>0</v>
      </c>
      <c r="AV127" s="32">
        <v>43339</v>
      </c>
    </row>
    <row r="128" spans="1:48">
      <c r="A128" s="16" t="s">
        <v>357</v>
      </c>
      <c r="B128" s="17" t="s">
        <v>272</v>
      </c>
      <c r="C128" s="17" t="s">
        <v>273</v>
      </c>
      <c r="D128" s="18">
        <v>0</v>
      </c>
      <c r="E128" s="18">
        <v>0</v>
      </c>
      <c r="F128" s="18">
        <v>0</v>
      </c>
      <c r="G128" s="18">
        <v>0</v>
      </c>
      <c r="H128" s="18">
        <v>0</v>
      </c>
      <c r="I128" s="18">
        <v>6</v>
      </c>
      <c r="J128" s="18">
        <v>0</v>
      </c>
      <c r="K128" s="18">
        <v>0</v>
      </c>
      <c r="L128" s="18">
        <v>0</v>
      </c>
      <c r="M128" s="21">
        <v>6</v>
      </c>
      <c r="N128" s="18">
        <v>0</v>
      </c>
      <c r="O128" s="17">
        <v>0</v>
      </c>
      <c r="P128" s="17">
        <v>0</v>
      </c>
      <c r="Q128" s="17">
        <v>0</v>
      </c>
      <c r="R128" s="17">
        <v>0</v>
      </c>
      <c r="S128" s="17">
        <v>0</v>
      </c>
      <c r="T128" s="17" t="s">
        <v>54</v>
      </c>
      <c r="U128" s="17" t="s">
        <v>54</v>
      </c>
      <c r="V128" s="17" t="s">
        <v>54</v>
      </c>
      <c r="W128" s="17" t="s">
        <v>54</v>
      </c>
      <c r="X128" s="26" t="s">
        <v>54</v>
      </c>
      <c r="Y128" s="26" t="s">
        <v>54</v>
      </c>
      <c r="Z128" s="26" t="s">
        <v>54</v>
      </c>
      <c r="AA128" s="26" t="s">
        <v>54</v>
      </c>
      <c r="AB128" s="17" t="s">
        <v>54</v>
      </c>
      <c r="AC128" s="17" t="s">
        <v>54</v>
      </c>
      <c r="AD128" s="17" t="s">
        <v>54</v>
      </c>
      <c r="AE128" s="17" t="s">
        <v>54</v>
      </c>
      <c r="AF128" s="26" t="s">
        <v>61</v>
      </c>
      <c r="AG128" s="26" t="s">
        <v>61</v>
      </c>
      <c r="AH128" s="26" t="s">
        <v>61</v>
      </c>
      <c r="AI128" s="26" t="s">
        <v>61</v>
      </c>
      <c r="AJ128" s="17">
        <v>0</v>
      </c>
      <c r="AK128" s="17">
        <v>0</v>
      </c>
      <c r="AL128" s="17">
        <v>8</v>
      </c>
      <c r="AM128" s="17">
        <v>3</v>
      </c>
      <c r="AN128" s="26" t="s">
        <v>54</v>
      </c>
      <c r="AO128" s="26" t="s">
        <v>54</v>
      </c>
      <c r="AP128" s="26">
        <v>0</v>
      </c>
      <c r="AQ128" s="26">
        <v>0</v>
      </c>
      <c r="AR128" s="31">
        <v>0</v>
      </c>
      <c r="AS128" s="31">
        <v>0</v>
      </c>
      <c r="AT128" s="31">
        <v>6</v>
      </c>
      <c r="AU128" s="18" t="s">
        <v>235</v>
      </c>
      <c r="AV128" s="32" t="s">
        <v>63</v>
      </c>
    </row>
    <row r="129" spans="1:48">
      <c r="A129" s="16" t="s">
        <v>358</v>
      </c>
      <c r="B129" s="17" t="s">
        <v>275</v>
      </c>
      <c r="C129" s="17" t="s">
        <v>276</v>
      </c>
      <c r="D129" s="18">
        <v>0</v>
      </c>
      <c r="E129" s="18">
        <v>0</v>
      </c>
      <c r="F129" s="18">
        <v>0</v>
      </c>
      <c r="G129" s="18">
        <v>0</v>
      </c>
      <c r="H129" s="18">
        <v>0</v>
      </c>
      <c r="I129" s="18">
        <v>0</v>
      </c>
      <c r="J129" s="18">
        <v>0</v>
      </c>
      <c r="K129" s="18">
        <v>0</v>
      </c>
      <c r="L129" s="18">
        <v>0</v>
      </c>
      <c r="M129" s="21">
        <v>0</v>
      </c>
      <c r="N129" s="18">
        <v>0</v>
      </c>
      <c r="O129" s="17">
        <v>0</v>
      </c>
      <c r="P129" s="17">
        <v>0</v>
      </c>
      <c r="Q129" s="17">
        <v>0</v>
      </c>
      <c r="R129" s="17">
        <v>0</v>
      </c>
      <c r="S129" s="17">
        <v>0</v>
      </c>
      <c r="T129" s="17" t="s">
        <v>54</v>
      </c>
      <c r="U129" s="17" t="s">
        <v>54</v>
      </c>
      <c r="V129" s="17" t="s">
        <v>54</v>
      </c>
      <c r="W129" s="17" t="s">
        <v>54</v>
      </c>
      <c r="X129" s="26" t="s">
        <v>54</v>
      </c>
      <c r="Y129" s="26" t="s">
        <v>54</v>
      </c>
      <c r="Z129" s="26" t="s">
        <v>54</v>
      </c>
      <c r="AA129" s="26" t="s">
        <v>54</v>
      </c>
      <c r="AB129" s="17" t="s">
        <v>54</v>
      </c>
      <c r="AC129" s="17" t="s">
        <v>54</v>
      </c>
      <c r="AD129" s="17" t="s">
        <v>54</v>
      </c>
      <c r="AE129" s="17" t="s">
        <v>54</v>
      </c>
      <c r="AF129" s="26" t="s">
        <v>61</v>
      </c>
      <c r="AG129" s="26" t="s">
        <v>61</v>
      </c>
      <c r="AH129" s="26" t="s">
        <v>61</v>
      </c>
      <c r="AI129" s="26" t="s">
        <v>61</v>
      </c>
      <c r="AJ129" s="17">
        <v>0</v>
      </c>
      <c r="AK129" s="17">
        <v>0</v>
      </c>
      <c r="AL129" s="17">
        <v>7</v>
      </c>
      <c r="AM129" s="17">
        <v>6</v>
      </c>
      <c r="AN129" s="26" t="s">
        <v>54</v>
      </c>
      <c r="AO129" s="26" t="s">
        <v>54</v>
      </c>
      <c r="AP129" s="26">
        <v>0</v>
      </c>
      <c r="AQ129" s="26">
        <v>0</v>
      </c>
      <c r="AR129" s="31">
        <v>0</v>
      </c>
      <c r="AS129" s="31">
        <v>0</v>
      </c>
      <c r="AT129" s="31">
        <v>0</v>
      </c>
      <c r="AU129" s="18" t="s">
        <v>62</v>
      </c>
      <c r="AV129" s="32" t="s">
        <v>63</v>
      </c>
    </row>
    <row r="130" spans="1:48">
      <c r="A130" s="16" t="s">
        <v>359</v>
      </c>
      <c r="B130" s="17" t="s">
        <v>278</v>
      </c>
      <c r="C130" s="17" t="s">
        <v>279</v>
      </c>
      <c r="D130" s="18">
        <v>0</v>
      </c>
      <c r="E130" s="18">
        <v>0</v>
      </c>
      <c r="F130" s="18">
        <v>0</v>
      </c>
      <c r="G130" s="18">
        <v>0</v>
      </c>
      <c r="H130" s="18">
        <v>0</v>
      </c>
      <c r="I130" s="18">
        <v>7</v>
      </c>
      <c r="J130" s="18">
        <v>0</v>
      </c>
      <c r="K130" s="18">
        <v>0</v>
      </c>
      <c r="L130" s="18">
        <v>0</v>
      </c>
      <c r="M130" s="21">
        <v>7</v>
      </c>
      <c r="N130" s="18">
        <v>0</v>
      </c>
      <c r="O130" s="17">
        <v>1</v>
      </c>
      <c r="P130" s="17">
        <v>0</v>
      </c>
      <c r="Q130" s="17">
        <v>0</v>
      </c>
      <c r="R130" s="17">
        <v>0</v>
      </c>
      <c r="S130" s="17">
        <v>0</v>
      </c>
      <c r="T130" s="17" t="s">
        <v>54</v>
      </c>
      <c r="U130" s="17" t="s">
        <v>54</v>
      </c>
      <c r="V130" s="17" t="s">
        <v>54</v>
      </c>
      <c r="W130" s="17" t="s">
        <v>54</v>
      </c>
      <c r="X130" s="26" t="s">
        <v>54</v>
      </c>
      <c r="Y130" s="26" t="s">
        <v>54</v>
      </c>
      <c r="Z130" s="26" t="s">
        <v>54</v>
      </c>
      <c r="AA130" s="26" t="s">
        <v>54</v>
      </c>
      <c r="AB130" s="17" t="s">
        <v>54</v>
      </c>
      <c r="AC130" s="17" t="s">
        <v>54</v>
      </c>
      <c r="AD130" s="17" t="s">
        <v>54</v>
      </c>
      <c r="AE130" s="17" t="s">
        <v>54</v>
      </c>
      <c r="AF130" s="26" t="s">
        <v>61</v>
      </c>
      <c r="AG130" s="26" t="s">
        <v>61</v>
      </c>
      <c r="AH130" s="26" t="s">
        <v>61</v>
      </c>
      <c r="AI130" s="26" t="s">
        <v>61</v>
      </c>
      <c r="AJ130" s="17">
        <v>5</v>
      </c>
      <c r="AK130" s="17">
        <v>7</v>
      </c>
      <c r="AL130" s="17">
        <v>8</v>
      </c>
      <c r="AM130" s="17">
        <v>4</v>
      </c>
      <c r="AN130" s="26">
        <v>0</v>
      </c>
      <c r="AO130" s="26">
        <v>0</v>
      </c>
      <c r="AP130" s="26">
        <v>0</v>
      </c>
      <c r="AQ130" s="26">
        <v>0</v>
      </c>
      <c r="AR130" s="31">
        <v>0</v>
      </c>
      <c r="AS130" s="31">
        <v>0</v>
      </c>
      <c r="AT130" s="31">
        <v>7</v>
      </c>
      <c r="AU130" s="18" t="s">
        <v>219</v>
      </c>
      <c r="AV130" s="32" t="s">
        <v>63</v>
      </c>
    </row>
    <row r="131" spans="1:48">
      <c r="A131" s="16" t="s">
        <v>360</v>
      </c>
      <c r="B131" s="17" t="s">
        <v>281</v>
      </c>
      <c r="C131" s="17" t="s">
        <v>282</v>
      </c>
      <c r="D131" s="18">
        <v>1</v>
      </c>
      <c r="E131" s="18">
        <v>0</v>
      </c>
      <c r="F131" s="18">
        <v>0</v>
      </c>
      <c r="G131" s="18">
        <v>0</v>
      </c>
      <c r="H131" s="18">
        <v>42.99</v>
      </c>
      <c r="I131" s="18">
        <v>6</v>
      </c>
      <c r="J131" s="18">
        <v>0</v>
      </c>
      <c r="K131" s="18">
        <v>2</v>
      </c>
      <c r="L131" s="18">
        <v>0</v>
      </c>
      <c r="M131" s="21">
        <v>8</v>
      </c>
      <c r="N131" s="18">
        <v>0</v>
      </c>
      <c r="O131" s="17">
        <v>1</v>
      </c>
      <c r="P131" s="17">
        <v>0</v>
      </c>
      <c r="Q131" s="17">
        <v>0</v>
      </c>
      <c r="R131" s="17">
        <v>0</v>
      </c>
      <c r="S131" s="17">
        <v>0</v>
      </c>
      <c r="T131" s="17" t="s">
        <v>54</v>
      </c>
      <c r="U131" s="17" t="s">
        <v>54</v>
      </c>
      <c r="V131" s="17" t="s">
        <v>54</v>
      </c>
      <c r="W131" s="17" t="s">
        <v>54</v>
      </c>
      <c r="X131" s="26" t="s">
        <v>54</v>
      </c>
      <c r="Y131" s="26" t="s">
        <v>54</v>
      </c>
      <c r="Z131" s="26" t="s">
        <v>54</v>
      </c>
      <c r="AA131" s="26" t="s">
        <v>54</v>
      </c>
      <c r="AB131" s="17" t="s">
        <v>54</v>
      </c>
      <c r="AC131" s="17" t="s">
        <v>54</v>
      </c>
      <c r="AD131" s="17" t="s">
        <v>54</v>
      </c>
      <c r="AE131" s="17" t="s">
        <v>54</v>
      </c>
      <c r="AF131" s="26" t="s">
        <v>54</v>
      </c>
      <c r="AG131" s="26" t="s">
        <v>61</v>
      </c>
      <c r="AH131" s="26" t="s">
        <v>61</v>
      </c>
      <c r="AI131" s="26" t="s">
        <v>61</v>
      </c>
      <c r="AJ131" s="17">
        <v>5</v>
      </c>
      <c r="AK131" s="17">
        <v>8</v>
      </c>
      <c r="AL131" s="17">
        <v>8</v>
      </c>
      <c r="AM131" s="17">
        <v>7</v>
      </c>
      <c r="AN131" s="26">
        <v>0.2</v>
      </c>
      <c r="AO131" s="26">
        <v>0</v>
      </c>
      <c r="AP131" s="26">
        <v>0</v>
      </c>
      <c r="AQ131" s="26">
        <v>0</v>
      </c>
      <c r="AR131" s="31">
        <v>0.142857142857143</v>
      </c>
      <c r="AS131" s="31">
        <v>8.57142857142857</v>
      </c>
      <c r="AT131" s="31">
        <v>-0.571428571428571</v>
      </c>
      <c r="AU131" s="18">
        <v>56</v>
      </c>
      <c r="AV131" s="32">
        <v>43395</v>
      </c>
    </row>
    <row r="132" spans="1:48">
      <c r="A132" s="16" t="s">
        <v>361</v>
      </c>
      <c r="B132" s="17" t="s">
        <v>362</v>
      </c>
      <c r="C132" s="17" t="s">
        <v>363</v>
      </c>
      <c r="D132" s="18">
        <v>0</v>
      </c>
      <c r="E132" s="18">
        <v>0</v>
      </c>
      <c r="F132" s="18">
        <v>0</v>
      </c>
      <c r="G132" s="18">
        <v>0</v>
      </c>
      <c r="H132" s="18">
        <v>0</v>
      </c>
      <c r="I132" s="18">
        <v>1</v>
      </c>
      <c r="J132" s="18">
        <v>0</v>
      </c>
      <c r="K132" s="18">
        <v>0</v>
      </c>
      <c r="L132" s="18">
        <v>0</v>
      </c>
      <c r="M132" s="21">
        <v>1</v>
      </c>
      <c r="N132" s="18">
        <v>0</v>
      </c>
      <c r="O132" s="17">
        <v>0</v>
      </c>
      <c r="P132" s="17">
        <v>0</v>
      </c>
      <c r="Q132" s="17">
        <v>0</v>
      </c>
      <c r="R132" s="17">
        <v>0</v>
      </c>
      <c r="S132" s="17">
        <v>0</v>
      </c>
      <c r="T132" s="17" t="s">
        <v>54</v>
      </c>
      <c r="U132" s="17" t="s">
        <v>54</v>
      </c>
      <c r="V132" s="17" t="s">
        <v>54</v>
      </c>
      <c r="W132" s="17" t="s">
        <v>54</v>
      </c>
      <c r="X132" s="26" t="s">
        <v>54</v>
      </c>
      <c r="Y132" s="26" t="s">
        <v>54</v>
      </c>
      <c r="Z132" s="26" t="s">
        <v>54</v>
      </c>
      <c r="AA132" s="26" t="s">
        <v>54</v>
      </c>
      <c r="AB132" s="17" t="s">
        <v>54</v>
      </c>
      <c r="AC132" s="17" t="s">
        <v>54</v>
      </c>
      <c r="AD132" s="17" t="s">
        <v>54</v>
      </c>
      <c r="AE132" s="17" t="s">
        <v>54</v>
      </c>
      <c r="AF132" s="26" t="s">
        <v>61</v>
      </c>
      <c r="AG132" s="26" t="s">
        <v>61</v>
      </c>
      <c r="AH132" s="26" t="s">
        <v>61</v>
      </c>
      <c r="AI132" s="26" t="s">
        <v>61</v>
      </c>
      <c r="AJ132" s="17">
        <v>4</v>
      </c>
      <c r="AK132" s="17">
        <v>6</v>
      </c>
      <c r="AL132" s="17">
        <v>2</v>
      </c>
      <c r="AM132" s="17">
        <v>5</v>
      </c>
      <c r="AN132" s="26">
        <v>0</v>
      </c>
      <c r="AO132" s="26">
        <v>0</v>
      </c>
      <c r="AP132" s="26">
        <v>0</v>
      </c>
      <c r="AQ132" s="26">
        <v>0</v>
      </c>
      <c r="AR132" s="31">
        <v>0</v>
      </c>
      <c r="AS132" s="31">
        <v>0</v>
      </c>
      <c r="AT132" s="31">
        <v>1</v>
      </c>
      <c r="AU132" s="18" t="s">
        <v>95</v>
      </c>
      <c r="AV132" s="32" t="s">
        <v>63</v>
      </c>
    </row>
    <row r="133" spans="1:48">
      <c r="A133" s="16" t="s">
        <v>364</v>
      </c>
      <c r="B133" s="17" t="s">
        <v>365</v>
      </c>
      <c r="C133" s="17" t="s">
        <v>366</v>
      </c>
      <c r="D133" s="18">
        <v>0</v>
      </c>
      <c r="E133" s="18">
        <v>0</v>
      </c>
      <c r="F133" s="18">
        <v>0</v>
      </c>
      <c r="G133" s="18">
        <v>0</v>
      </c>
      <c r="H133" s="18">
        <v>0</v>
      </c>
      <c r="I133" s="18">
        <v>1</v>
      </c>
      <c r="J133" s="18">
        <v>0</v>
      </c>
      <c r="K133" s="18">
        <v>0</v>
      </c>
      <c r="L133" s="18">
        <v>0</v>
      </c>
      <c r="M133" s="21">
        <v>1</v>
      </c>
      <c r="N133" s="18">
        <v>0</v>
      </c>
      <c r="O133" s="17">
        <v>0</v>
      </c>
      <c r="P133" s="17">
        <v>0</v>
      </c>
      <c r="Q133" s="17">
        <v>0</v>
      </c>
      <c r="R133" s="17">
        <v>0</v>
      </c>
      <c r="S133" s="17">
        <v>0</v>
      </c>
      <c r="T133" s="17" t="s">
        <v>54</v>
      </c>
      <c r="U133" s="17" t="s">
        <v>54</v>
      </c>
      <c r="V133" s="17" t="s">
        <v>54</v>
      </c>
      <c r="W133" s="17" t="s">
        <v>54</v>
      </c>
      <c r="X133" s="26" t="s">
        <v>54</v>
      </c>
      <c r="Y133" s="26" t="s">
        <v>54</v>
      </c>
      <c r="Z133" s="26" t="s">
        <v>54</v>
      </c>
      <c r="AA133" s="26" t="s">
        <v>54</v>
      </c>
      <c r="AB133" s="17" t="s">
        <v>54</v>
      </c>
      <c r="AC133" s="17" t="s">
        <v>54</v>
      </c>
      <c r="AD133" s="17" t="s">
        <v>54</v>
      </c>
      <c r="AE133" s="17" t="s">
        <v>54</v>
      </c>
      <c r="AF133" s="26" t="s">
        <v>61</v>
      </c>
      <c r="AG133" s="26" t="s">
        <v>61</v>
      </c>
      <c r="AH133" s="26" t="s">
        <v>61</v>
      </c>
      <c r="AI133" s="26" t="s">
        <v>61</v>
      </c>
      <c r="AJ133" s="17">
        <v>1</v>
      </c>
      <c r="AK133" s="17">
        <v>2</v>
      </c>
      <c r="AL133" s="17">
        <v>5</v>
      </c>
      <c r="AM133" s="17">
        <v>0</v>
      </c>
      <c r="AN133" s="26">
        <v>0</v>
      </c>
      <c r="AO133" s="26">
        <v>0</v>
      </c>
      <c r="AP133" s="26">
        <v>0</v>
      </c>
      <c r="AQ133" s="26" t="s">
        <v>54</v>
      </c>
      <c r="AR133" s="31">
        <v>0</v>
      </c>
      <c r="AS133" s="31">
        <v>0</v>
      </c>
      <c r="AT133" s="31">
        <v>1</v>
      </c>
      <c r="AU133" s="18" t="s">
        <v>95</v>
      </c>
      <c r="AV133" s="32" t="s">
        <v>63</v>
      </c>
    </row>
    <row r="134" spans="1:48">
      <c r="A134" s="16" t="s">
        <v>367</v>
      </c>
      <c r="B134" s="17" t="s">
        <v>284</v>
      </c>
      <c r="C134" s="17" t="s">
        <v>285</v>
      </c>
      <c r="D134" s="18">
        <v>0</v>
      </c>
      <c r="E134" s="18">
        <v>0</v>
      </c>
      <c r="F134" s="18">
        <v>0</v>
      </c>
      <c r="G134" s="18">
        <v>1</v>
      </c>
      <c r="H134" s="18">
        <v>42.49</v>
      </c>
      <c r="I134" s="18">
        <v>1</v>
      </c>
      <c r="J134" s="18">
        <v>2</v>
      </c>
      <c r="K134" s="18">
        <v>1</v>
      </c>
      <c r="L134" s="18">
        <v>0</v>
      </c>
      <c r="M134" s="21">
        <v>4</v>
      </c>
      <c r="N134" s="18">
        <v>0</v>
      </c>
      <c r="O134" s="17">
        <v>1</v>
      </c>
      <c r="P134" s="17">
        <v>0</v>
      </c>
      <c r="Q134" s="17">
        <v>0</v>
      </c>
      <c r="R134" s="17">
        <v>0</v>
      </c>
      <c r="S134" s="17">
        <v>0</v>
      </c>
      <c r="T134" s="17" t="s">
        <v>54</v>
      </c>
      <c r="U134" s="17" t="s">
        <v>54</v>
      </c>
      <c r="V134" s="17" t="s">
        <v>54</v>
      </c>
      <c r="W134" s="17" t="s">
        <v>54</v>
      </c>
      <c r="X134" s="26" t="s">
        <v>54</v>
      </c>
      <c r="Y134" s="26" t="s">
        <v>54</v>
      </c>
      <c r="Z134" s="26" t="s">
        <v>54</v>
      </c>
      <c r="AA134" s="26" t="s">
        <v>54</v>
      </c>
      <c r="AB134" s="17" t="s">
        <v>54</v>
      </c>
      <c r="AC134" s="17" t="s">
        <v>54</v>
      </c>
      <c r="AD134" s="17" t="s">
        <v>54</v>
      </c>
      <c r="AE134" s="17" t="s">
        <v>54</v>
      </c>
      <c r="AF134" s="26" t="s">
        <v>61</v>
      </c>
      <c r="AG134" s="26" t="s">
        <v>61</v>
      </c>
      <c r="AH134" s="26" t="s">
        <v>61</v>
      </c>
      <c r="AI134" s="26" t="s">
        <v>54</v>
      </c>
      <c r="AJ134" s="17">
        <v>5</v>
      </c>
      <c r="AK134" s="17">
        <v>4</v>
      </c>
      <c r="AL134" s="17">
        <v>6</v>
      </c>
      <c r="AM134" s="17">
        <v>7</v>
      </c>
      <c r="AN134" s="26">
        <v>0</v>
      </c>
      <c r="AO134" s="26">
        <v>0</v>
      </c>
      <c r="AP134" s="26">
        <v>0</v>
      </c>
      <c r="AQ134" s="26">
        <v>0.142857142857143</v>
      </c>
      <c r="AR134" s="31">
        <v>0</v>
      </c>
      <c r="AS134" s="31">
        <v>0</v>
      </c>
      <c r="AT134" s="31">
        <v>4</v>
      </c>
      <c r="AU134" s="18" t="s">
        <v>252</v>
      </c>
      <c r="AV134" s="32" t="s">
        <v>63</v>
      </c>
    </row>
    <row r="135" spans="1:48">
      <c r="A135" s="16" t="s">
        <v>368</v>
      </c>
      <c r="B135" s="17" t="s">
        <v>287</v>
      </c>
      <c r="C135" s="17" t="s">
        <v>288</v>
      </c>
      <c r="D135" s="18">
        <v>0</v>
      </c>
      <c r="E135" s="18">
        <v>0</v>
      </c>
      <c r="F135" s="18">
        <v>0</v>
      </c>
      <c r="G135" s="18">
        <v>0</v>
      </c>
      <c r="H135" s="18">
        <v>0</v>
      </c>
      <c r="I135" s="18">
        <v>7</v>
      </c>
      <c r="J135" s="18">
        <v>0</v>
      </c>
      <c r="K135" s="18">
        <v>0</v>
      </c>
      <c r="L135" s="18">
        <v>0</v>
      </c>
      <c r="M135" s="21">
        <v>7</v>
      </c>
      <c r="N135" s="18">
        <v>0</v>
      </c>
      <c r="O135" s="17">
        <v>0</v>
      </c>
      <c r="P135" s="17">
        <v>0</v>
      </c>
      <c r="Q135" s="17">
        <v>0</v>
      </c>
      <c r="R135" s="17">
        <v>0</v>
      </c>
      <c r="S135" s="17">
        <v>0</v>
      </c>
      <c r="T135" s="17" t="s">
        <v>54</v>
      </c>
      <c r="U135" s="17" t="s">
        <v>54</v>
      </c>
      <c r="V135" s="17" t="s">
        <v>54</v>
      </c>
      <c r="W135" s="17" t="s">
        <v>54</v>
      </c>
      <c r="X135" s="26" t="s">
        <v>54</v>
      </c>
      <c r="Y135" s="26" t="s">
        <v>54</v>
      </c>
      <c r="Z135" s="26" t="s">
        <v>54</v>
      </c>
      <c r="AA135" s="26" t="s">
        <v>54</v>
      </c>
      <c r="AB135" s="17" t="s">
        <v>54</v>
      </c>
      <c r="AC135" s="17" t="s">
        <v>54</v>
      </c>
      <c r="AD135" s="17" t="s">
        <v>54</v>
      </c>
      <c r="AE135" s="17" t="s">
        <v>54</v>
      </c>
      <c r="AF135" s="26" t="s">
        <v>61</v>
      </c>
      <c r="AG135" s="26" t="s">
        <v>61</v>
      </c>
      <c r="AH135" s="26" t="s">
        <v>61</v>
      </c>
      <c r="AI135" s="26" t="s">
        <v>61</v>
      </c>
      <c r="AJ135" s="17">
        <v>0</v>
      </c>
      <c r="AK135" s="17">
        <v>0</v>
      </c>
      <c r="AL135" s="17">
        <v>9</v>
      </c>
      <c r="AM135" s="17">
        <v>2</v>
      </c>
      <c r="AN135" s="26" t="s">
        <v>54</v>
      </c>
      <c r="AO135" s="26" t="s">
        <v>54</v>
      </c>
      <c r="AP135" s="26">
        <v>0</v>
      </c>
      <c r="AQ135" s="26">
        <v>0</v>
      </c>
      <c r="AR135" s="31">
        <v>0</v>
      </c>
      <c r="AS135" s="31">
        <v>0</v>
      </c>
      <c r="AT135" s="31">
        <v>7</v>
      </c>
      <c r="AU135" s="18" t="s">
        <v>219</v>
      </c>
      <c r="AV135" s="32" t="s">
        <v>63</v>
      </c>
    </row>
    <row r="136" spans="1:48">
      <c r="A136" s="16" t="s">
        <v>369</v>
      </c>
      <c r="B136" s="17" t="s">
        <v>370</v>
      </c>
      <c r="C136" s="17" t="s">
        <v>371</v>
      </c>
      <c r="D136" s="18">
        <v>0</v>
      </c>
      <c r="E136" s="18">
        <v>0</v>
      </c>
      <c r="F136" s="18">
        <v>0</v>
      </c>
      <c r="G136" s="18">
        <v>0</v>
      </c>
      <c r="H136" s="18">
        <v>0</v>
      </c>
      <c r="I136" s="18">
        <v>1</v>
      </c>
      <c r="J136" s="18">
        <v>0</v>
      </c>
      <c r="K136" s="18">
        <v>0</v>
      </c>
      <c r="L136" s="18">
        <v>0</v>
      </c>
      <c r="M136" s="21">
        <v>1</v>
      </c>
      <c r="N136" s="18">
        <v>0</v>
      </c>
      <c r="O136" s="17">
        <v>0</v>
      </c>
      <c r="P136" s="17">
        <v>0</v>
      </c>
      <c r="Q136" s="17">
        <v>0</v>
      </c>
      <c r="R136" s="17">
        <v>0</v>
      </c>
      <c r="S136" s="17">
        <v>0</v>
      </c>
      <c r="T136" s="17" t="s">
        <v>54</v>
      </c>
      <c r="U136" s="17" t="s">
        <v>54</v>
      </c>
      <c r="V136" s="17" t="s">
        <v>54</v>
      </c>
      <c r="W136" s="17" t="s">
        <v>54</v>
      </c>
      <c r="X136" s="26" t="s">
        <v>54</v>
      </c>
      <c r="Y136" s="26" t="s">
        <v>54</v>
      </c>
      <c r="Z136" s="26" t="s">
        <v>54</v>
      </c>
      <c r="AA136" s="26" t="s">
        <v>54</v>
      </c>
      <c r="AB136" s="17" t="s">
        <v>54</v>
      </c>
      <c r="AC136" s="17" t="s">
        <v>54</v>
      </c>
      <c r="AD136" s="17" t="s">
        <v>54</v>
      </c>
      <c r="AE136" s="17" t="s">
        <v>54</v>
      </c>
      <c r="AF136" s="26" t="s">
        <v>61</v>
      </c>
      <c r="AG136" s="26" t="s">
        <v>61</v>
      </c>
      <c r="AH136" s="26" t="s">
        <v>61</v>
      </c>
      <c r="AI136" s="26" t="s">
        <v>61</v>
      </c>
      <c r="AJ136" s="17">
        <v>3</v>
      </c>
      <c r="AK136" s="17">
        <v>3</v>
      </c>
      <c r="AL136" s="17">
        <v>8</v>
      </c>
      <c r="AM136" s="17">
        <v>3</v>
      </c>
      <c r="AN136" s="26">
        <v>0</v>
      </c>
      <c r="AO136" s="26">
        <v>0</v>
      </c>
      <c r="AP136" s="26">
        <v>0</v>
      </c>
      <c r="AQ136" s="26">
        <v>0</v>
      </c>
      <c r="AR136" s="31">
        <v>0</v>
      </c>
      <c r="AS136" s="31">
        <v>0</v>
      </c>
      <c r="AT136" s="31">
        <v>1</v>
      </c>
      <c r="AU136" s="18" t="s">
        <v>95</v>
      </c>
      <c r="AV136" s="32" t="s">
        <v>63</v>
      </c>
    </row>
    <row r="137" spans="1:48">
      <c r="A137" s="16" t="s">
        <v>372</v>
      </c>
      <c r="B137" s="17" t="s">
        <v>373</v>
      </c>
      <c r="C137" s="17" t="s">
        <v>374</v>
      </c>
      <c r="D137" s="18">
        <v>0</v>
      </c>
      <c r="E137" s="18">
        <v>1</v>
      </c>
      <c r="F137" s="18">
        <v>0</v>
      </c>
      <c r="G137" s="18">
        <v>0</v>
      </c>
      <c r="H137" s="18">
        <v>42.99</v>
      </c>
      <c r="I137" s="18">
        <v>0</v>
      </c>
      <c r="J137" s="18">
        <v>0</v>
      </c>
      <c r="K137" s="18">
        <v>0</v>
      </c>
      <c r="L137" s="18">
        <v>0</v>
      </c>
      <c r="M137" s="21">
        <v>0</v>
      </c>
      <c r="N137" s="18">
        <v>0</v>
      </c>
      <c r="O137" s="17">
        <v>0</v>
      </c>
      <c r="P137" s="17">
        <v>0</v>
      </c>
      <c r="Q137" s="17">
        <v>0</v>
      </c>
      <c r="R137" s="17">
        <v>0</v>
      </c>
      <c r="S137" s="17">
        <v>11310</v>
      </c>
      <c r="T137" s="17">
        <v>0</v>
      </c>
      <c r="U137" s="17">
        <v>0</v>
      </c>
      <c r="V137" s="17">
        <v>0</v>
      </c>
      <c r="W137" s="17">
        <v>28</v>
      </c>
      <c r="X137" s="26" t="s">
        <v>54</v>
      </c>
      <c r="Y137" s="26" t="s">
        <v>54</v>
      </c>
      <c r="Z137" s="26" t="s">
        <v>54</v>
      </c>
      <c r="AA137" s="26">
        <v>0.00247568523430592</v>
      </c>
      <c r="AB137" s="17">
        <v>0</v>
      </c>
      <c r="AC137" s="17">
        <v>0</v>
      </c>
      <c r="AD137" s="17">
        <v>0</v>
      </c>
      <c r="AE137" s="17">
        <v>14.28</v>
      </c>
      <c r="AF137" s="26" t="s">
        <v>54</v>
      </c>
      <c r="AG137" s="26">
        <v>0</v>
      </c>
      <c r="AH137" s="26" t="s">
        <v>54</v>
      </c>
      <c r="AI137" s="26" t="s">
        <v>375</v>
      </c>
      <c r="AJ137" s="17">
        <v>0</v>
      </c>
      <c r="AK137" s="17">
        <v>0</v>
      </c>
      <c r="AL137" s="17">
        <v>3</v>
      </c>
      <c r="AM137" s="17">
        <v>2</v>
      </c>
      <c r="AN137" s="26" t="s">
        <v>54</v>
      </c>
      <c r="AO137" s="26" t="s">
        <v>54</v>
      </c>
      <c r="AP137" s="26">
        <v>0</v>
      </c>
      <c r="AQ137" s="26">
        <v>0</v>
      </c>
      <c r="AR137" s="31">
        <v>0</v>
      </c>
      <c r="AS137" s="31">
        <v>0</v>
      </c>
      <c r="AT137" s="31">
        <v>0</v>
      </c>
      <c r="AU137" s="18" t="s">
        <v>62</v>
      </c>
      <c r="AV137" s="32" t="s">
        <v>63</v>
      </c>
    </row>
    <row r="138" spans="1:48">
      <c r="A138" s="16" t="s">
        <v>376</v>
      </c>
      <c r="B138" s="17" t="s">
        <v>290</v>
      </c>
      <c r="C138" s="17" t="s">
        <v>291</v>
      </c>
      <c r="D138" s="18">
        <v>0</v>
      </c>
      <c r="E138" s="18">
        <v>0</v>
      </c>
      <c r="F138" s="18">
        <v>0</v>
      </c>
      <c r="G138" s="18">
        <v>0</v>
      </c>
      <c r="H138" s="18">
        <v>0</v>
      </c>
      <c r="I138" s="18">
        <v>2</v>
      </c>
      <c r="J138" s="18">
        <v>9</v>
      </c>
      <c r="K138" s="18">
        <v>0</v>
      </c>
      <c r="L138" s="18">
        <v>0</v>
      </c>
      <c r="M138" s="21">
        <v>11</v>
      </c>
      <c r="N138" s="18">
        <v>0</v>
      </c>
      <c r="O138" s="17">
        <v>2</v>
      </c>
      <c r="P138" s="17">
        <v>0</v>
      </c>
      <c r="Q138" s="17">
        <v>0</v>
      </c>
      <c r="R138" s="17">
        <v>0</v>
      </c>
      <c r="S138" s="17">
        <v>0</v>
      </c>
      <c r="T138" s="17" t="s">
        <v>54</v>
      </c>
      <c r="U138" s="17" t="s">
        <v>54</v>
      </c>
      <c r="V138" s="17" t="s">
        <v>54</v>
      </c>
      <c r="W138" s="17" t="s">
        <v>54</v>
      </c>
      <c r="X138" s="26" t="s">
        <v>54</v>
      </c>
      <c r="Y138" s="26" t="s">
        <v>54</v>
      </c>
      <c r="Z138" s="26" t="s">
        <v>54</v>
      </c>
      <c r="AA138" s="26" t="s">
        <v>54</v>
      </c>
      <c r="AB138" s="17" t="s">
        <v>54</v>
      </c>
      <c r="AC138" s="17" t="s">
        <v>54</v>
      </c>
      <c r="AD138" s="17" t="s">
        <v>54</v>
      </c>
      <c r="AE138" s="17" t="s">
        <v>54</v>
      </c>
      <c r="AF138" s="26" t="s">
        <v>61</v>
      </c>
      <c r="AG138" s="26" t="s">
        <v>61</v>
      </c>
      <c r="AH138" s="26" t="s">
        <v>61</v>
      </c>
      <c r="AI138" s="26" t="s">
        <v>61</v>
      </c>
      <c r="AJ138" s="17">
        <v>4</v>
      </c>
      <c r="AK138" s="17">
        <v>3</v>
      </c>
      <c r="AL138" s="17">
        <v>7</v>
      </c>
      <c r="AM138" s="17">
        <v>1</v>
      </c>
      <c r="AN138" s="26">
        <v>0</v>
      </c>
      <c r="AO138" s="26">
        <v>0</v>
      </c>
      <c r="AP138" s="26">
        <v>0</v>
      </c>
      <c r="AQ138" s="26">
        <v>0</v>
      </c>
      <c r="AR138" s="31">
        <v>0</v>
      </c>
      <c r="AS138" s="31">
        <v>0</v>
      </c>
      <c r="AT138" s="31">
        <v>11</v>
      </c>
      <c r="AU138" s="18" t="s">
        <v>215</v>
      </c>
      <c r="AV138" s="32" t="s">
        <v>63</v>
      </c>
    </row>
    <row r="139" spans="1:48">
      <c r="A139" s="16" t="s">
        <v>377</v>
      </c>
      <c r="B139" s="17" t="s">
        <v>293</v>
      </c>
      <c r="C139" s="17" t="s">
        <v>294</v>
      </c>
      <c r="D139" s="18">
        <v>0</v>
      </c>
      <c r="E139" s="18">
        <v>0</v>
      </c>
      <c r="F139" s="18">
        <v>0</v>
      </c>
      <c r="G139" s="18">
        <v>0</v>
      </c>
      <c r="H139" s="18">
        <v>0</v>
      </c>
      <c r="I139" s="18">
        <v>13</v>
      </c>
      <c r="J139" s="18">
        <v>0</v>
      </c>
      <c r="K139" s="18">
        <v>0</v>
      </c>
      <c r="L139" s="18">
        <v>0</v>
      </c>
      <c r="M139" s="21">
        <v>13</v>
      </c>
      <c r="N139" s="18">
        <v>0</v>
      </c>
      <c r="O139" s="17">
        <v>0</v>
      </c>
      <c r="P139" s="17">
        <v>0</v>
      </c>
      <c r="Q139" s="17">
        <v>0</v>
      </c>
      <c r="R139" s="17">
        <v>0</v>
      </c>
      <c r="S139" s="17">
        <v>0</v>
      </c>
      <c r="T139" s="17" t="s">
        <v>54</v>
      </c>
      <c r="U139" s="17" t="s">
        <v>54</v>
      </c>
      <c r="V139" s="17" t="s">
        <v>54</v>
      </c>
      <c r="W139" s="17" t="s">
        <v>54</v>
      </c>
      <c r="X139" s="26" t="s">
        <v>54</v>
      </c>
      <c r="Y139" s="26" t="s">
        <v>54</v>
      </c>
      <c r="Z139" s="26" t="s">
        <v>54</v>
      </c>
      <c r="AA139" s="26" t="s">
        <v>54</v>
      </c>
      <c r="AB139" s="17" t="s">
        <v>54</v>
      </c>
      <c r="AC139" s="17" t="s">
        <v>54</v>
      </c>
      <c r="AD139" s="17" t="s">
        <v>54</v>
      </c>
      <c r="AE139" s="17" t="s">
        <v>54</v>
      </c>
      <c r="AF139" s="26" t="s">
        <v>61</v>
      </c>
      <c r="AG139" s="26" t="s">
        <v>61</v>
      </c>
      <c r="AH139" s="26" t="s">
        <v>61</v>
      </c>
      <c r="AI139" s="26" t="s">
        <v>61</v>
      </c>
      <c r="AJ139" s="17">
        <v>12</v>
      </c>
      <c r="AK139" s="17">
        <v>7</v>
      </c>
      <c r="AL139" s="17">
        <v>6</v>
      </c>
      <c r="AM139" s="17">
        <v>3</v>
      </c>
      <c r="AN139" s="26">
        <v>0</v>
      </c>
      <c r="AO139" s="26">
        <v>0</v>
      </c>
      <c r="AP139" s="26">
        <v>0</v>
      </c>
      <c r="AQ139" s="26">
        <v>0</v>
      </c>
      <c r="AR139" s="31">
        <v>0</v>
      </c>
      <c r="AS139" s="31">
        <v>0</v>
      </c>
      <c r="AT139" s="31">
        <v>13</v>
      </c>
      <c r="AU139" s="18" t="s">
        <v>231</v>
      </c>
      <c r="AV139" s="32" t="s">
        <v>63</v>
      </c>
    </row>
    <row r="140" spans="1:48">
      <c r="A140" s="16" t="s">
        <v>378</v>
      </c>
      <c r="B140" s="17" t="s">
        <v>296</v>
      </c>
      <c r="C140" s="17" t="s">
        <v>297</v>
      </c>
      <c r="D140" s="18">
        <v>0</v>
      </c>
      <c r="E140" s="18">
        <v>0</v>
      </c>
      <c r="F140" s="18">
        <v>0</v>
      </c>
      <c r="G140" s="18">
        <v>0</v>
      </c>
      <c r="H140" s="18">
        <v>0</v>
      </c>
      <c r="I140" s="18">
        <v>9</v>
      </c>
      <c r="J140" s="18">
        <v>0</v>
      </c>
      <c r="K140" s="18">
        <v>0</v>
      </c>
      <c r="L140" s="18">
        <v>0</v>
      </c>
      <c r="M140" s="21">
        <v>9</v>
      </c>
      <c r="N140" s="18">
        <v>0</v>
      </c>
      <c r="O140" s="17">
        <v>0</v>
      </c>
      <c r="P140" s="17">
        <v>0</v>
      </c>
      <c r="Q140" s="17">
        <v>0</v>
      </c>
      <c r="R140" s="17">
        <v>0</v>
      </c>
      <c r="S140" s="17">
        <v>0</v>
      </c>
      <c r="T140" s="17" t="s">
        <v>54</v>
      </c>
      <c r="U140" s="17" t="s">
        <v>54</v>
      </c>
      <c r="V140" s="17" t="s">
        <v>54</v>
      </c>
      <c r="W140" s="17" t="s">
        <v>54</v>
      </c>
      <c r="X140" s="26" t="s">
        <v>54</v>
      </c>
      <c r="Y140" s="26" t="s">
        <v>54</v>
      </c>
      <c r="Z140" s="26" t="s">
        <v>54</v>
      </c>
      <c r="AA140" s="26" t="s">
        <v>54</v>
      </c>
      <c r="AB140" s="17" t="s">
        <v>54</v>
      </c>
      <c r="AC140" s="17" t="s">
        <v>54</v>
      </c>
      <c r="AD140" s="17" t="s">
        <v>54</v>
      </c>
      <c r="AE140" s="17" t="s">
        <v>54</v>
      </c>
      <c r="AF140" s="26" t="s">
        <v>61</v>
      </c>
      <c r="AG140" s="26" t="s">
        <v>61</v>
      </c>
      <c r="AH140" s="26" t="s">
        <v>61</v>
      </c>
      <c r="AI140" s="26" t="s">
        <v>61</v>
      </c>
      <c r="AJ140" s="17">
        <v>1</v>
      </c>
      <c r="AK140" s="17">
        <v>0</v>
      </c>
      <c r="AL140" s="17">
        <v>7</v>
      </c>
      <c r="AM140" s="17">
        <v>3</v>
      </c>
      <c r="AN140" s="26">
        <v>0</v>
      </c>
      <c r="AO140" s="26" t="s">
        <v>54</v>
      </c>
      <c r="AP140" s="26">
        <v>0</v>
      </c>
      <c r="AQ140" s="26">
        <v>0</v>
      </c>
      <c r="AR140" s="31">
        <v>0</v>
      </c>
      <c r="AS140" s="31">
        <v>0</v>
      </c>
      <c r="AT140" s="31">
        <v>9</v>
      </c>
      <c r="AU140" s="18" t="s">
        <v>267</v>
      </c>
      <c r="AV140" s="32" t="s">
        <v>63</v>
      </c>
    </row>
    <row r="141" spans="1:48">
      <c r="A141" s="16" t="s">
        <v>379</v>
      </c>
      <c r="B141" s="17" t="s">
        <v>299</v>
      </c>
      <c r="C141" s="17" t="s">
        <v>300</v>
      </c>
      <c r="D141" s="18">
        <v>0</v>
      </c>
      <c r="E141" s="18">
        <v>0</v>
      </c>
      <c r="F141" s="18">
        <v>0</v>
      </c>
      <c r="G141" s="18">
        <v>0</v>
      </c>
      <c r="H141" s="18">
        <v>0</v>
      </c>
      <c r="I141" s="18">
        <v>0</v>
      </c>
      <c r="J141" s="18">
        <v>9</v>
      </c>
      <c r="K141" s="18">
        <v>0</v>
      </c>
      <c r="L141" s="18">
        <v>0</v>
      </c>
      <c r="M141" s="21">
        <v>9</v>
      </c>
      <c r="N141" s="18">
        <v>0</v>
      </c>
      <c r="O141" s="17">
        <v>0</v>
      </c>
      <c r="P141" s="17">
        <v>0</v>
      </c>
      <c r="Q141" s="17">
        <v>0</v>
      </c>
      <c r="R141" s="17">
        <v>0</v>
      </c>
      <c r="S141" s="17">
        <v>0</v>
      </c>
      <c r="T141" s="17" t="s">
        <v>54</v>
      </c>
      <c r="U141" s="17" t="s">
        <v>54</v>
      </c>
      <c r="V141" s="17" t="s">
        <v>54</v>
      </c>
      <c r="W141" s="17" t="s">
        <v>54</v>
      </c>
      <c r="X141" s="26" t="s">
        <v>54</v>
      </c>
      <c r="Y141" s="26" t="s">
        <v>54</v>
      </c>
      <c r="Z141" s="26" t="s">
        <v>54</v>
      </c>
      <c r="AA141" s="26" t="s">
        <v>54</v>
      </c>
      <c r="AB141" s="17" t="s">
        <v>54</v>
      </c>
      <c r="AC141" s="17" t="s">
        <v>54</v>
      </c>
      <c r="AD141" s="17" t="s">
        <v>54</v>
      </c>
      <c r="AE141" s="17" t="s">
        <v>54</v>
      </c>
      <c r="AF141" s="26" t="s">
        <v>61</v>
      </c>
      <c r="AG141" s="26" t="s">
        <v>61</v>
      </c>
      <c r="AH141" s="26" t="s">
        <v>61</v>
      </c>
      <c r="AI141" s="26" t="s">
        <v>61</v>
      </c>
      <c r="AJ141" s="17">
        <v>0</v>
      </c>
      <c r="AK141" s="17">
        <v>0</v>
      </c>
      <c r="AL141" s="17">
        <v>10</v>
      </c>
      <c r="AM141" s="17">
        <v>7</v>
      </c>
      <c r="AN141" s="26" t="s">
        <v>54</v>
      </c>
      <c r="AO141" s="26" t="s">
        <v>54</v>
      </c>
      <c r="AP141" s="26">
        <v>0</v>
      </c>
      <c r="AQ141" s="26">
        <v>0</v>
      </c>
      <c r="AR141" s="31">
        <v>0</v>
      </c>
      <c r="AS141" s="31">
        <v>0</v>
      </c>
      <c r="AT141" s="31">
        <v>9</v>
      </c>
      <c r="AU141" s="18" t="s">
        <v>267</v>
      </c>
      <c r="AV141" s="32" t="s">
        <v>63</v>
      </c>
    </row>
    <row r="142" spans="1:48">
      <c r="A142" s="16" t="s">
        <v>380</v>
      </c>
      <c r="B142" s="17" t="s">
        <v>302</v>
      </c>
      <c r="C142" s="17" t="s">
        <v>303</v>
      </c>
      <c r="D142" s="18">
        <v>0</v>
      </c>
      <c r="E142" s="18">
        <v>1</v>
      </c>
      <c r="F142" s="18">
        <v>0</v>
      </c>
      <c r="G142" s="18">
        <v>0</v>
      </c>
      <c r="H142" s="18">
        <v>42.99</v>
      </c>
      <c r="I142" s="18">
        <v>2</v>
      </c>
      <c r="J142" s="18">
        <v>9</v>
      </c>
      <c r="K142" s="18">
        <v>0</v>
      </c>
      <c r="L142" s="18">
        <v>0</v>
      </c>
      <c r="M142" s="21">
        <v>11</v>
      </c>
      <c r="N142" s="18">
        <v>0</v>
      </c>
      <c r="O142" s="17">
        <v>1</v>
      </c>
      <c r="P142" s="17">
        <v>0</v>
      </c>
      <c r="Q142" s="17">
        <v>0</v>
      </c>
      <c r="R142" s="17">
        <v>0</v>
      </c>
      <c r="S142" s="17">
        <v>0</v>
      </c>
      <c r="T142" s="17" t="s">
        <v>54</v>
      </c>
      <c r="U142" s="17" t="s">
        <v>54</v>
      </c>
      <c r="V142" s="17" t="s">
        <v>54</v>
      </c>
      <c r="W142" s="17" t="s">
        <v>54</v>
      </c>
      <c r="X142" s="26" t="s">
        <v>54</v>
      </c>
      <c r="Y142" s="26" t="s">
        <v>54</v>
      </c>
      <c r="Z142" s="26" t="s">
        <v>54</v>
      </c>
      <c r="AA142" s="26" t="s">
        <v>54</v>
      </c>
      <c r="AB142" s="17" t="s">
        <v>54</v>
      </c>
      <c r="AC142" s="17" t="s">
        <v>54</v>
      </c>
      <c r="AD142" s="17" t="s">
        <v>54</v>
      </c>
      <c r="AE142" s="17" t="s">
        <v>54</v>
      </c>
      <c r="AF142" s="26" t="s">
        <v>61</v>
      </c>
      <c r="AG142" s="26" t="s">
        <v>54</v>
      </c>
      <c r="AH142" s="26" t="s">
        <v>61</v>
      </c>
      <c r="AI142" s="26" t="s">
        <v>61</v>
      </c>
      <c r="AJ142" s="17">
        <v>6</v>
      </c>
      <c r="AK142" s="17">
        <v>5</v>
      </c>
      <c r="AL142" s="17">
        <v>6</v>
      </c>
      <c r="AM142" s="17">
        <v>3</v>
      </c>
      <c r="AN142" s="26">
        <v>0</v>
      </c>
      <c r="AO142" s="26">
        <v>0.2</v>
      </c>
      <c r="AP142" s="26">
        <v>0</v>
      </c>
      <c r="AQ142" s="26">
        <v>0</v>
      </c>
      <c r="AR142" s="31">
        <v>0</v>
      </c>
      <c r="AS142" s="31">
        <v>0</v>
      </c>
      <c r="AT142" s="31">
        <v>11</v>
      </c>
      <c r="AU142" s="18" t="s">
        <v>215</v>
      </c>
      <c r="AV142" s="32" t="s">
        <v>63</v>
      </c>
    </row>
    <row r="143" spans="1:48">
      <c r="A143" s="16" t="s">
        <v>381</v>
      </c>
      <c r="B143" s="17" t="s">
        <v>305</v>
      </c>
      <c r="C143" s="17" t="s">
        <v>306</v>
      </c>
      <c r="D143" s="18">
        <v>0</v>
      </c>
      <c r="E143" s="18">
        <v>0</v>
      </c>
      <c r="F143" s="18">
        <v>0</v>
      </c>
      <c r="G143" s="18">
        <v>0</v>
      </c>
      <c r="H143" s="18">
        <v>0</v>
      </c>
      <c r="I143" s="18">
        <v>0</v>
      </c>
      <c r="J143" s="18">
        <v>12</v>
      </c>
      <c r="K143" s="18">
        <v>0</v>
      </c>
      <c r="L143" s="18">
        <v>0</v>
      </c>
      <c r="M143" s="21">
        <v>12</v>
      </c>
      <c r="N143" s="18">
        <v>0</v>
      </c>
      <c r="O143" s="17">
        <v>0</v>
      </c>
      <c r="P143" s="17">
        <v>0</v>
      </c>
      <c r="Q143" s="17">
        <v>0</v>
      </c>
      <c r="R143" s="17">
        <v>0</v>
      </c>
      <c r="S143" s="17">
        <v>0</v>
      </c>
      <c r="T143" s="17" t="s">
        <v>54</v>
      </c>
      <c r="U143" s="17" t="s">
        <v>54</v>
      </c>
      <c r="V143" s="17" t="s">
        <v>54</v>
      </c>
      <c r="W143" s="17" t="s">
        <v>54</v>
      </c>
      <c r="X143" s="26" t="s">
        <v>54</v>
      </c>
      <c r="Y143" s="26" t="s">
        <v>54</v>
      </c>
      <c r="Z143" s="26" t="s">
        <v>54</v>
      </c>
      <c r="AA143" s="26" t="s">
        <v>54</v>
      </c>
      <c r="AB143" s="17" t="s">
        <v>54</v>
      </c>
      <c r="AC143" s="17" t="s">
        <v>54</v>
      </c>
      <c r="AD143" s="17" t="s">
        <v>54</v>
      </c>
      <c r="AE143" s="17" t="s">
        <v>54</v>
      </c>
      <c r="AF143" s="26" t="s">
        <v>61</v>
      </c>
      <c r="AG143" s="26" t="s">
        <v>61</v>
      </c>
      <c r="AH143" s="26" t="s">
        <v>61</v>
      </c>
      <c r="AI143" s="26" t="s">
        <v>61</v>
      </c>
      <c r="AJ143" s="17">
        <v>0</v>
      </c>
      <c r="AK143" s="17">
        <v>0</v>
      </c>
      <c r="AL143" s="17">
        <v>12</v>
      </c>
      <c r="AM143" s="17">
        <v>4</v>
      </c>
      <c r="AN143" s="26" t="s">
        <v>54</v>
      </c>
      <c r="AO143" s="26" t="s">
        <v>54</v>
      </c>
      <c r="AP143" s="26">
        <v>0</v>
      </c>
      <c r="AQ143" s="26">
        <v>0</v>
      </c>
      <c r="AR143" s="31">
        <v>0</v>
      </c>
      <c r="AS143" s="31">
        <v>0</v>
      </c>
      <c r="AT143" s="31">
        <v>12</v>
      </c>
      <c r="AU143" s="18" t="s">
        <v>263</v>
      </c>
      <c r="AV143" s="32" t="s">
        <v>63</v>
      </c>
    </row>
    <row r="144" spans="1:48">
      <c r="A144" s="16" t="s">
        <v>382</v>
      </c>
      <c r="B144" s="17" t="s">
        <v>308</v>
      </c>
      <c r="C144" s="17" t="s">
        <v>309</v>
      </c>
      <c r="D144" s="18">
        <v>0</v>
      </c>
      <c r="E144" s="18">
        <v>0</v>
      </c>
      <c r="F144" s="18">
        <v>0</v>
      </c>
      <c r="G144" s="18">
        <v>0</v>
      </c>
      <c r="H144" s="18">
        <v>0</v>
      </c>
      <c r="I144" s="18">
        <v>0</v>
      </c>
      <c r="J144" s="18">
        <v>5</v>
      </c>
      <c r="K144" s="18">
        <v>0</v>
      </c>
      <c r="L144" s="18">
        <v>0</v>
      </c>
      <c r="M144" s="21">
        <v>5</v>
      </c>
      <c r="N144" s="18">
        <v>0</v>
      </c>
      <c r="O144" s="17">
        <v>0</v>
      </c>
      <c r="P144" s="17">
        <v>0</v>
      </c>
      <c r="Q144" s="17">
        <v>0</v>
      </c>
      <c r="R144" s="17">
        <v>0</v>
      </c>
      <c r="S144" s="17">
        <v>0</v>
      </c>
      <c r="T144" s="17" t="s">
        <v>54</v>
      </c>
      <c r="U144" s="17" t="s">
        <v>54</v>
      </c>
      <c r="V144" s="17" t="s">
        <v>54</v>
      </c>
      <c r="W144" s="17" t="s">
        <v>54</v>
      </c>
      <c r="X144" s="26" t="s">
        <v>54</v>
      </c>
      <c r="Y144" s="26" t="s">
        <v>54</v>
      </c>
      <c r="Z144" s="26" t="s">
        <v>54</v>
      </c>
      <c r="AA144" s="26" t="s">
        <v>54</v>
      </c>
      <c r="AB144" s="17" t="s">
        <v>54</v>
      </c>
      <c r="AC144" s="17" t="s">
        <v>54</v>
      </c>
      <c r="AD144" s="17" t="s">
        <v>54</v>
      </c>
      <c r="AE144" s="17" t="s">
        <v>54</v>
      </c>
      <c r="AF144" s="26" t="s">
        <v>61</v>
      </c>
      <c r="AG144" s="26" t="s">
        <v>61</v>
      </c>
      <c r="AH144" s="26" t="s">
        <v>61</v>
      </c>
      <c r="AI144" s="26" t="s">
        <v>61</v>
      </c>
      <c r="AJ144" s="17">
        <v>0</v>
      </c>
      <c r="AK144" s="17">
        <v>0</v>
      </c>
      <c r="AL144" s="17">
        <v>3</v>
      </c>
      <c r="AM144" s="17">
        <v>2</v>
      </c>
      <c r="AN144" s="26" t="s">
        <v>54</v>
      </c>
      <c r="AO144" s="26" t="s">
        <v>54</v>
      </c>
      <c r="AP144" s="26">
        <v>0</v>
      </c>
      <c r="AQ144" s="26">
        <v>0</v>
      </c>
      <c r="AR144" s="31">
        <v>0</v>
      </c>
      <c r="AS144" s="31">
        <v>0</v>
      </c>
      <c r="AT144" s="31">
        <v>5</v>
      </c>
      <c r="AU144" s="18" t="s">
        <v>256</v>
      </c>
      <c r="AV144" s="32" t="s">
        <v>63</v>
      </c>
    </row>
    <row r="145" spans="1:48">
      <c r="A145" s="16" t="s">
        <v>383</v>
      </c>
      <c r="B145" s="17" t="s">
        <v>311</v>
      </c>
      <c r="C145" s="17" t="s">
        <v>312</v>
      </c>
      <c r="D145" s="18">
        <v>0</v>
      </c>
      <c r="E145" s="18">
        <v>0</v>
      </c>
      <c r="F145" s="18">
        <v>0</v>
      </c>
      <c r="G145" s="18">
        <v>0</v>
      </c>
      <c r="H145" s="18">
        <v>0</v>
      </c>
      <c r="I145" s="18">
        <v>0</v>
      </c>
      <c r="J145" s="18">
        <v>3</v>
      </c>
      <c r="K145" s="18">
        <v>0</v>
      </c>
      <c r="L145" s="18">
        <v>0</v>
      </c>
      <c r="M145" s="21">
        <v>3</v>
      </c>
      <c r="N145" s="18">
        <v>0</v>
      </c>
      <c r="O145" s="17">
        <v>0</v>
      </c>
      <c r="P145" s="17">
        <v>0</v>
      </c>
      <c r="Q145" s="17">
        <v>0</v>
      </c>
      <c r="R145" s="17">
        <v>0</v>
      </c>
      <c r="S145" s="17">
        <v>0</v>
      </c>
      <c r="T145" s="17" t="s">
        <v>54</v>
      </c>
      <c r="U145" s="17" t="s">
        <v>54</v>
      </c>
      <c r="V145" s="17" t="s">
        <v>54</v>
      </c>
      <c r="W145" s="17" t="s">
        <v>54</v>
      </c>
      <c r="X145" s="26" t="s">
        <v>54</v>
      </c>
      <c r="Y145" s="26" t="s">
        <v>54</v>
      </c>
      <c r="Z145" s="26" t="s">
        <v>54</v>
      </c>
      <c r="AA145" s="26" t="s">
        <v>54</v>
      </c>
      <c r="AB145" s="17" t="s">
        <v>54</v>
      </c>
      <c r="AC145" s="17" t="s">
        <v>54</v>
      </c>
      <c r="AD145" s="17" t="s">
        <v>54</v>
      </c>
      <c r="AE145" s="17" t="s">
        <v>54</v>
      </c>
      <c r="AF145" s="26" t="s">
        <v>61</v>
      </c>
      <c r="AG145" s="26" t="s">
        <v>61</v>
      </c>
      <c r="AH145" s="26" t="s">
        <v>61</v>
      </c>
      <c r="AI145" s="26" t="s">
        <v>61</v>
      </c>
      <c r="AJ145" s="17">
        <v>0</v>
      </c>
      <c r="AK145" s="17">
        <v>0</v>
      </c>
      <c r="AL145" s="17">
        <v>5</v>
      </c>
      <c r="AM145" s="17">
        <v>4</v>
      </c>
      <c r="AN145" s="26" t="s">
        <v>54</v>
      </c>
      <c r="AO145" s="26" t="s">
        <v>54</v>
      </c>
      <c r="AP145" s="26">
        <v>0</v>
      </c>
      <c r="AQ145" s="26">
        <v>0</v>
      </c>
      <c r="AR145" s="31">
        <v>0</v>
      </c>
      <c r="AS145" s="31">
        <v>0</v>
      </c>
      <c r="AT145" s="31">
        <v>3</v>
      </c>
      <c r="AU145" s="18" t="s">
        <v>313</v>
      </c>
      <c r="AV145" s="32" t="s">
        <v>63</v>
      </c>
    </row>
    <row r="146" spans="1:48">
      <c r="A146" s="16" t="s">
        <v>384</v>
      </c>
      <c r="B146" s="17" t="s">
        <v>315</v>
      </c>
      <c r="C146" s="17" t="s">
        <v>316</v>
      </c>
      <c r="D146" s="18">
        <v>0</v>
      </c>
      <c r="E146" s="18">
        <v>0</v>
      </c>
      <c r="F146" s="18">
        <v>0</v>
      </c>
      <c r="G146" s="18">
        <v>0</v>
      </c>
      <c r="H146" s="18">
        <v>0</v>
      </c>
      <c r="I146" s="18">
        <v>0</v>
      </c>
      <c r="J146" s="18">
        <v>8</v>
      </c>
      <c r="K146" s="18">
        <v>0</v>
      </c>
      <c r="L146" s="18">
        <v>0</v>
      </c>
      <c r="M146" s="21">
        <v>8</v>
      </c>
      <c r="N146" s="18">
        <v>0</v>
      </c>
      <c r="O146" s="17">
        <v>0</v>
      </c>
      <c r="P146" s="17">
        <v>0</v>
      </c>
      <c r="Q146" s="17">
        <v>0</v>
      </c>
      <c r="R146" s="17">
        <v>0</v>
      </c>
      <c r="S146" s="17">
        <v>0</v>
      </c>
      <c r="T146" s="17" t="s">
        <v>54</v>
      </c>
      <c r="U146" s="17" t="s">
        <v>54</v>
      </c>
      <c r="V146" s="17" t="s">
        <v>54</v>
      </c>
      <c r="W146" s="17" t="s">
        <v>54</v>
      </c>
      <c r="X146" s="26" t="s">
        <v>54</v>
      </c>
      <c r="Y146" s="26" t="s">
        <v>54</v>
      </c>
      <c r="Z146" s="26" t="s">
        <v>54</v>
      </c>
      <c r="AA146" s="26" t="s">
        <v>54</v>
      </c>
      <c r="AB146" s="17" t="s">
        <v>54</v>
      </c>
      <c r="AC146" s="17" t="s">
        <v>54</v>
      </c>
      <c r="AD146" s="17" t="s">
        <v>54</v>
      </c>
      <c r="AE146" s="17" t="s">
        <v>54</v>
      </c>
      <c r="AF146" s="26" t="s">
        <v>61</v>
      </c>
      <c r="AG146" s="26" t="s">
        <v>61</v>
      </c>
      <c r="AH146" s="26" t="s">
        <v>61</v>
      </c>
      <c r="AI146" s="26" t="s">
        <v>61</v>
      </c>
      <c r="AJ146" s="17">
        <v>0</v>
      </c>
      <c r="AK146" s="17">
        <v>0</v>
      </c>
      <c r="AL146" s="17">
        <v>4</v>
      </c>
      <c r="AM146" s="17">
        <v>4</v>
      </c>
      <c r="AN146" s="26" t="s">
        <v>54</v>
      </c>
      <c r="AO146" s="26" t="s">
        <v>54</v>
      </c>
      <c r="AP146" s="26">
        <v>0</v>
      </c>
      <c r="AQ146" s="26">
        <v>0</v>
      </c>
      <c r="AR146" s="31">
        <v>0</v>
      </c>
      <c r="AS146" s="31">
        <v>0</v>
      </c>
      <c r="AT146" s="31">
        <v>8</v>
      </c>
      <c r="AU146" s="18" t="s">
        <v>67</v>
      </c>
      <c r="AV146" s="32" t="s">
        <v>63</v>
      </c>
    </row>
    <row r="147" spans="1:48">
      <c r="A147" s="16" t="s">
        <v>385</v>
      </c>
      <c r="B147" s="17" t="s">
        <v>318</v>
      </c>
      <c r="C147" s="17" t="s">
        <v>319</v>
      </c>
      <c r="D147" s="18">
        <v>0</v>
      </c>
      <c r="E147" s="18">
        <v>0</v>
      </c>
      <c r="F147" s="18">
        <v>0</v>
      </c>
      <c r="G147" s="18">
        <v>0</v>
      </c>
      <c r="H147" s="18">
        <v>0</v>
      </c>
      <c r="I147" s="18">
        <v>0</v>
      </c>
      <c r="J147" s="18">
        <v>6</v>
      </c>
      <c r="K147" s="18">
        <v>0</v>
      </c>
      <c r="L147" s="18">
        <v>0</v>
      </c>
      <c r="M147" s="21">
        <v>6</v>
      </c>
      <c r="N147" s="18">
        <v>0</v>
      </c>
      <c r="O147" s="17">
        <v>0</v>
      </c>
      <c r="P147" s="17">
        <v>0</v>
      </c>
      <c r="Q147" s="17">
        <v>0</v>
      </c>
      <c r="R147" s="17">
        <v>0</v>
      </c>
      <c r="S147" s="17">
        <v>0</v>
      </c>
      <c r="T147" s="17" t="s">
        <v>54</v>
      </c>
      <c r="U147" s="17" t="s">
        <v>54</v>
      </c>
      <c r="V147" s="17" t="s">
        <v>54</v>
      </c>
      <c r="W147" s="17" t="s">
        <v>54</v>
      </c>
      <c r="X147" s="26" t="s">
        <v>54</v>
      </c>
      <c r="Y147" s="26" t="s">
        <v>54</v>
      </c>
      <c r="Z147" s="26" t="s">
        <v>54</v>
      </c>
      <c r="AA147" s="26" t="s">
        <v>54</v>
      </c>
      <c r="AB147" s="17" t="s">
        <v>54</v>
      </c>
      <c r="AC147" s="17" t="s">
        <v>54</v>
      </c>
      <c r="AD147" s="17" t="s">
        <v>54</v>
      </c>
      <c r="AE147" s="17" t="s">
        <v>54</v>
      </c>
      <c r="AF147" s="26" t="s">
        <v>61</v>
      </c>
      <c r="AG147" s="26" t="s">
        <v>61</v>
      </c>
      <c r="AH147" s="26" t="s">
        <v>61</v>
      </c>
      <c r="AI147" s="26" t="s">
        <v>61</v>
      </c>
      <c r="AJ147" s="17">
        <v>0</v>
      </c>
      <c r="AK147" s="17">
        <v>0</v>
      </c>
      <c r="AL147" s="17">
        <v>13</v>
      </c>
      <c r="AM147" s="17">
        <v>3</v>
      </c>
      <c r="AN147" s="26" t="s">
        <v>54</v>
      </c>
      <c r="AO147" s="26" t="s">
        <v>54</v>
      </c>
      <c r="AP147" s="26">
        <v>0</v>
      </c>
      <c r="AQ147" s="26">
        <v>0</v>
      </c>
      <c r="AR147" s="31">
        <v>0</v>
      </c>
      <c r="AS147" s="31">
        <v>0</v>
      </c>
      <c r="AT147" s="31">
        <v>6</v>
      </c>
      <c r="AU147" s="18" t="s">
        <v>235</v>
      </c>
      <c r="AV147" s="32" t="s">
        <v>63</v>
      </c>
    </row>
    <row r="148" spans="1:48">
      <c r="A148" s="16" t="s">
        <v>386</v>
      </c>
      <c r="B148" s="17" t="s">
        <v>321</v>
      </c>
      <c r="C148" s="17" t="s">
        <v>322</v>
      </c>
      <c r="D148" s="18">
        <v>0</v>
      </c>
      <c r="E148" s="18">
        <v>0</v>
      </c>
      <c r="F148" s="18">
        <v>0</v>
      </c>
      <c r="G148" s="18">
        <v>0</v>
      </c>
      <c r="H148" s="18">
        <v>0</v>
      </c>
      <c r="I148" s="18">
        <v>2</v>
      </c>
      <c r="J148" s="18">
        <v>0</v>
      </c>
      <c r="K148" s="18">
        <v>0</v>
      </c>
      <c r="L148" s="18">
        <v>0</v>
      </c>
      <c r="M148" s="21">
        <v>2</v>
      </c>
      <c r="N148" s="18">
        <v>0</v>
      </c>
      <c r="O148" s="17">
        <v>2</v>
      </c>
      <c r="P148" s="17">
        <v>0</v>
      </c>
      <c r="Q148" s="17">
        <v>0</v>
      </c>
      <c r="R148" s="17">
        <v>0</v>
      </c>
      <c r="S148" s="17">
        <v>0</v>
      </c>
      <c r="T148" s="17" t="s">
        <v>54</v>
      </c>
      <c r="U148" s="17" t="s">
        <v>54</v>
      </c>
      <c r="V148" s="17" t="s">
        <v>54</v>
      </c>
      <c r="W148" s="17" t="s">
        <v>54</v>
      </c>
      <c r="X148" s="26" t="s">
        <v>54</v>
      </c>
      <c r="Y148" s="26" t="s">
        <v>54</v>
      </c>
      <c r="Z148" s="26" t="s">
        <v>54</v>
      </c>
      <c r="AA148" s="26" t="s">
        <v>54</v>
      </c>
      <c r="AB148" s="17" t="s">
        <v>54</v>
      </c>
      <c r="AC148" s="17" t="s">
        <v>54</v>
      </c>
      <c r="AD148" s="17" t="s">
        <v>54</v>
      </c>
      <c r="AE148" s="17" t="s">
        <v>54</v>
      </c>
      <c r="AF148" s="26" t="s">
        <v>61</v>
      </c>
      <c r="AG148" s="26" t="s">
        <v>61</v>
      </c>
      <c r="AH148" s="26" t="s">
        <v>61</v>
      </c>
      <c r="AI148" s="26" t="s">
        <v>61</v>
      </c>
      <c r="AJ148" s="17">
        <v>7</v>
      </c>
      <c r="AK148" s="17">
        <v>7</v>
      </c>
      <c r="AL148" s="17">
        <v>7</v>
      </c>
      <c r="AM148" s="17">
        <v>5</v>
      </c>
      <c r="AN148" s="26">
        <v>0</v>
      </c>
      <c r="AO148" s="26">
        <v>0</v>
      </c>
      <c r="AP148" s="26">
        <v>0</v>
      </c>
      <c r="AQ148" s="26">
        <v>0</v>
      </c>
      <c r="AR148" s="31">
        <v>0</v>
      </c>
      <c r="AS148" s="31">
        <v>0</v>
      </c>
      <c r="AT148" s="31">
        <v>2</v>
      </c>
      <c r="AU148" s="18" t="s">
        <v>239</v>
      </c>
      <c r="AV148" s="32" t="s">
        <v>63</v>
      </c>
    </row>
    <row r="149" spans="1:48">
      <c r="A149" s="16" t="s">
        <v>387</v>
      </c>
      <c r="B149" s="17" t="s">
        <v>324</v>
      </c>
      <c r="C149" s="17" t="s">
        <v>325</v>
      </c>
      <c r="D149" s="18">
        <v>0</v>
      </c>
      <c r="E149" s="18">
        <v>0</v>
      </c>
      <c r="F149" s="18">
        <v>0</v>
      </c>
      <c r="G149" s="18">
        <v>0</v>
      </c>
      <c r="H149" s="18">
        <v>0</v>
      </c>
      <c r="I149" s="18">
        <v>0</v>
      </c>
      <c r="J149" s="18">
        <v>6</v>
      </c>
      <c r="K149" s="18">
        <v>0</v>
      </c>
      <c r="L149" s="18">
        <v>0</v>
      </c>
      <c r="M149" s="21">
        <v>6</v>
      </c>
      <c r="N149" s="18">
        <v>0</v>
      </c>
      <c r="O149" s="17">
        <v>0</v>
      </c>
      <c r="P149" s="17">
        <v>0</v>
      </c>
      <c r="Q149" s="17">
        <v>0</v>
      </c>
      <c r="R149" s="17">
        <v>0</v>
      </c>
      <c r="S149" s="17">
        <v>0</v>
      </c>
      <c r="T149" s="17" t="s">
        <v>54</v>
      </c>
      <c r="U149" s="17" t="s">
        <v>54</v>
      </c>
      <c r="V149" s="17" t="s">
        <v>54</v>
      </c>
      <c r="W149" s="17" t="s">
        <v>54</v>
      </c>
      <c r="X149" s="26" t="s">
        <v>54</v>
      </c>
      <c r="Y149" s="26" t="s">
        <v>54</v>
      </c>
      <c r="Z149" s="26" t="s">
        <v>54</v>
      </c>
      <c r="AA149" s="26" t="s">
        <v>54</v>
      </c>
      <c r="AB149" s="17" t="s">
        <v>54</v>
      </c>
      <c r="AC149" s="17" t="s">
        <v>54</v>
      </c>
      <c r="AD149" s="17" t="s">
        <v>54</v>
      </c>
      <c r="AE149" s="17" t="s">
        <v>54</v>
      </c>
      <c r="AF149" s="26" t="s">
        <v>61</v>
      </c>
      <c r="AG149" s="26" t="s">
        <v>61</v>
      </c>
      <c r="AH149" s="26" t="s">
        <v>61</v>
      </c>
      <c r="AI149" s="26" t="s">
        <v>61</v>
      </c>
      <c r="AJ149" s="17">
        <v>0</v>
      </c>
      <c r="AK149" s="17">
        <v>0</v>
      </c>
      <c r="AL149" s="17">
        <v>5</v>
      </c>
      <c r="AM149" s="17">
        <v>3</v>
      </c>
      <c r="AN149" s="26" t="s">
        <v>54</v>
      </c>
      <c r="AO149" s="26" t="s">
        <v>54</v>
      </c>
      <c r="AP149" s="26">
        <v>0</v>
      </c>
      <c r="AQ149" s="26">
        <v>0</v>
      </c>
      <c r="AR149" s="31">
        <v>0</v>
      </c>
      <c r="AS149" s="31">
        <v>0</v>
      </c>
      <c r="AT149" s="31">
        <v>6</v>
      </c>
      <c r="AU149" s="18" t="s">
        <v>235</v>
      </c>
      <c r="AV149" s="32" t="s">
        <v>63</v>
      </c>
    </row>
    <row r="150" spans="1:48">
      <c r="A150" s="16" t="s">
        <v>388</v>
      </c>
      <c r="B150" s="17" t="s">
        <v>327</v>
      </c>
      <c r="C150" s="17" t="s">
        <v>328</v>
      </c>
      <c r="D150" s="18">
        <v>0</v>
      </c>
      <c r="E150" s="18">
        <v>0</v>
      </c>
      <c r="F150" s="18">
        <v>0</v>
      </c>
      <c r="G150" s="18">
        <v>0</v>
      </c>
      <c r="H150" s="18">
        <v>0</v>
      </c>
      <c r="I150" s="18">
        <v>0</v>
      </c>
      <c r="J150" s="18">
        <v>8</v>
      </c>
      <c r="K150" s="18">
        <v>0</v>
      </c>
      <c r="L150" s="18">
        <v>0</v>
      </c>
      <c r="M150" s="21">
        <v>8</v>
      </c>
      <c r="N150" s="18">
        <v>0</v>
      </c>
      <c r="O150" s="17">
        <v>0</v>
      </c>
      <c r="P150" s="17">
        <v>0</v>
      </c>
      <c r="Q150" s="17">
        <v>0</v>
      </c>
      <c r="R150" s="17">
        <v>0</v>
      </c>
      <c r="S150" s="17">
        <v>0</v>
      </c>
      <c r="T150" s="17" t="s">
        <v>54</v>
      </c>
      <c r="U150" s="17" t="s">
        <v>54</v>
      </c>
      <c r="V150" s="17" t="s">
        <v>54</v>
      </c>
      <c r="W150" s="17" t="s">
        <v>54</v>
      </c>
      <c r="X150" s="26" t="s">
        <v>54</v>
      </c>
      <c r="Y150" s="26" t="s">
        <v>54</v>
      </c>
      <c r="Z150" s="26" t="s">
        <v>54</v>
      </c>
      <c r="AA150" s="26" t="s">
        <v>54</v>
      </c>
      <c r="AB150" s="17" t="s">
        <v>54</v>
      </c>
      <c r="AC150" s="17" t="s">
        <v>54</v>
      </c>
      <c r="AD150" s="17" t="s">
        <v>54</v>
      </c>
      <c r="AE150" s="17" t="s">
        <v>54</v>
      </c>
      <c r="AF150" s="26" t="s">
        <v>61</v>
      </c>
      <c r="AG150" s="26" t="s">
        <v>61</v>
      </c>
      <c r="AH150" s="26" t="s">
        <v>61</v>
      </c>
      <c r="AI150" s="26" t="s">
        <v>61</v>
      </c>
      <c r="AJ150" s="17">
        <v>0</v>
      </c>
      <c r="AK150" s="17">
        <v>0</v>
      </c>
      <c r="AL150" s="17">
        <v>7</v>
      </c>
      <c r="AM150" s="17">
        <v>7</v>
      </c>
      <c r="AN150" s="26" t="s">
        <v>54</v>
      </c>
      <c r="AO150" s="26" t="s">
        <v>54</v>
      </c>
      <c r="AP150" s="26">
        <v>0</v>
      </c>
      <c r="AQ150" s="26">
        <v>0</v>
      </c>
      <c r="AR150" s="31">
        <v>0</v>
      </c>
      <c r="AS150" s="31">
        <v>0</v>
      </c>
      <c r="AT150" s="31">
        <v>8</v>
      </c>
      <c r="AU150" s="18" t="s">
        <v>67</v>
      </c>
      <c r="AV150" s="32" t="s">
        <v>63</v>
      </c>
    </row>
    <row r="151" spans="1:48">
      <c r="A151" s="16" t="s">
        <v>389</v>
      </c>
      <c r="B151" s="17" t="s">
        <v>390</v>
      </c>
      <c r="C151" s="17" t="s">
        <v>391</v>
      </c>
      <c r="D151" s="18">
        <v>0</v>
      </c>
      <c r="E151" s="18">
        <v>0</v>
      </c>
      <c r="F151" s="18">
        <v>0</v>
      </c>
      <c r="G151" s="18">
        <v>0</v>
      </c>
      <c r="H151" s="18">
        <v>0</v>
      </c>
      <c r="I151" s="18">
        <v>1</v>
      </c>
      <c r="J151" s="18">
        <v>0</v>
      </c>
      <c r="K151" s="18">
        <v>0</v>
      </c>
      <c r="L151" s="18">
        <v>0</v>
      </c>
      <c r="M151" s="21">
        <v>1</v>
      </c>
      <c r="N151" s="18">
        <v>0</v>
      </c>
      <c r="O151" s="17">
        <v>0</v>
      </c>
      <c r="P151" s="17">
        <v>0</v>
      </c>
      <c r="Q151" s="17">
        <v>0</v>
      </c>
      <c r="R151" s="17">
        <v>0</v>
      </c>
      <c r="S151" s="17">
        <v>0</v>
      </c>
      <c r="T151" s="17" t="s">
        <v>54</v>
      </c>
      <c r="U151" s="17" t="s">
        <v>54</v>
      </c>
      <c r="V151" s="17" t="s">
        <v>54</v>
      </c>
      <c r="W151" s="17" t="s">
        <v>54</v>
      </c>
      <c r="X151" s="26" t="s">
        <v>54</v>
      </c>
      <c r="Y151" s="26" t="s">
        <v>54</v>
      </c>
      <c r="Z151" s="26" t="s">
        <v>54</v>
      </c>
      <c r="AA151" s="26" t="s">
        <v>54</v>
      </c>
      <c r="AB151" s="17" t="s">
        <v>54</v>
      </c>
      <c r="AC151" s="17" t="s">
        <v>54</v>
      </c>
      <c r="AD151" s="17" t="s">
        <v>54</v>
      </c>
      <c r="AE151" s="17" t="s">
        <v>54</v>
      </c>
      <c r="AF151" s="26" t="s">
        <v>61</v>
      </c>
      <c r="AG151" s="26" t="s">
        <v>61</v>
      </c>
      <c r="AH151" s="26" t="s">
        <v>61</v>
      </c>
      <c r="AI151" s="26" t="s">
        <v>61</v>
      </c>
      <c r="AJ151" s="17">
        <v>4</v>
      </c>
      <c r="AK151" s="17">
        <v>5</v>
      </c>
      <c r="AL151" s="17">
        <v>5</v>
      </c>
      <c r="AM151" s="17">
        <v>8</v>
      </c>
      <c r="AN151" s="26">
        <v>0</v>
      </c>
      <c r="AO151" s="26">
        <v>0</v>
      </c>
      <c r="AP151" s="26">
        <v>0</v>
      </c>
      <c r="AQ151" s="26">
        <v>0</v>
      </c>
      <c r="AR151" s="31">
        <v>0</v>
      </c>
      <c r="AS151" s="31">
        <v>0</v>
      </c>
      <c r="AT151" s="31">
        <v>1</v>
      </c>
      <c r="AU151" s="18" t="s">
        <v>95</v>
      </c>
      <c r="AV151" s="32" t="s">
        <v>63</v>
      </c>
    </row>
    <row r="152" spans="1:48">
      <c r="A152" s="16" t="s">
        <v>392</v>
      </c>
      <c r="B152" s="17" t="s">
        <v>83</v>
      </c>
      <c r="C152" s="17">
        <v>0</v>
      </c>
      <c r="D152" s="18">
        <v>0</v>
      </c>
      <c r="E152" s="18">
        <v>0</v>
      </c>
      <c r="F152" s="18">
        <v>0</v>
      </c>
      <c r="G152" s="18">
        <v>0</v>
      </c>
      <c r="H152" s="18">
        <v>0</v>
      </c>
      <c r="I152" s="18">
        <v>0</v>
      </c>
      <c r="J152" s="18">
        <v>0</v>
      </c>
      <c r="K152" s="18">
        <v>0</v>
      </c>
      <c r="L152" s="18">
        <v>0</v>
      </c>
      <c r="M152" s="21">
        <v>0</v>
      </c>
      <c r="N152" s="18">
        <v>0</v>
      </c>
      <c r="O152" s="17">
        <v>0</v>
      </c>
      <c r="P152" s="17">
        <v>0</v>
      </c>
      <c r="Q152" s="17">
        <v>0</v>
      </c>
      <c r="R152" s="17">
        <v>0</v>
      </c>
      <c r="S152" s="17">
        <v>0</v>
      </c>
      <c r="T152" s="17" t="s">
        <v>54</v>
      </c>
      <c r="U152" s="17" t="s">
        <v>54</v>
      </c>
      <c r="V152" s="17" t="s">
        <v>54</v>
      </c>
      <c r="W152" s="17" t="s">
        <v>54</v>
      </c>
      <c r="X152" s="26" t="s">
        <v>54</v>
      </c>
      <c r="Y152" s="26" t="s">
        <v>54</v>
      </c>
      <c r="Z152" s="26" t="s">
        <v>54</v>
      </c>
      <c r="AA152" s="26" t="s">
        <v>54</v>
      </c>
      <c r="AB152" s="17" t="s">
        <v>54</v>
      </c>
      <c r="AC152" s="17" t="s">
        <v>54</v>
      </c>
      <c r="AD152" s="17" t="s">
        <v>54</v>
      </c>
      <c r="AE152" s="17" t="s">
        <v>54</v>
      </c>
      <c r="AF152" s="26" t="s">
        <v>61</v>
      </c>
      <c r="AG152" s="26" t="s">
        <v>61</v>
      </c>
      <c r="AH152" s="26" t="s">
        <v>61</v>
      </c>
      <c r="AI152" s="26" t="s">
        <v>61</v>
      </c>
      <c r="AJ152" s="17" t="s">
        <v>54</v>
      </c>
      <c r="AK152" s="17" t="s">
        <v>54</v>
      </c>
      <c r="AL152" s="17" t="s">
        <v>54</v>
      </c>
      <c r="AM152" s="17" t="s">
        <v>54</v>
      </c>
      <c r="AN152" s="26" t="s">
        <v>54</v>
      </c>
      <c r="AO152" s="26" t="s">
        <v>54</v>
      </c>
      <c r="AP152" s="26" t="s">
        <v>54</v>
      </c>
      <c r="AQ152" s="26" t="s">
        <v>54</v>
      </c>
      <c r="AR152" s="31">
        <v>0</v>
      </c>
      <c r="AS152" s="31">
        <v>0</v>
      </c>
      <c r="AT152" s="31">
        <v>0</v>
      </c>
      <c r="AU152" s="18" t="s">
        <v>62</v>
      </c>
      <c r="AV152" s="32" t="s">
        <v>63</v>
      </c>
    </row>
    <row r="153" spans="1:48">
      <c r="A153" s="16" t="s">
        <v>393</v>
      </c>
      <c r="B153" s="17" t="s">
        <v>83</v>
      </c>
      <c r="C153" s="17">
        <v>0</v>
      </c>
      <c r="D153" s="18">
        <v>0</v>
      </c>
      <c r="E153" s="18">
        <v>0</v>
      </c>
      <c r="F153" s="18">
        <v>0</v>
      </c>
      <c r="G153" s="18">
        <v>0</v>
      </c>
      <c r="H153" s="18">
        <v>0</v>
      </c>
      <c r="I153" s="18">
        <v>0</v>
      </c>
      <c r="J153" s="18">
        <v>0</v>
      </c>
      <c r="K153" s="18">
        <v>0</v>
      </c>
      <c r="L153" s="18">
        <v>0</v>
      </c>
      <c r="M153" s="21">
        <v>0</v>
      </c>
      <c r="N153" s="18">
        <v>0</v>
      </c>
      <c r="O153" s="17">
        <v>0</v>
      </c>
      <c r="P153" s="17">
        <v>0</v>
      </c>
      <c r="Q153" s="17">
        <v>0</v>
      </c>
      <c r="R153" s="17">
        <v>0</v>
      </c>
      <c r="S153" s="17">
        <v>0</v>
      </c>
      <c r="T153" s="17" t="s">
        <v>54</v>
      </c>
      <c r="U153" s="17" t="s">
        <v>54</v>
      </c>
      <c r="V153" s="17" t="s">
        <v>54</v>
      </c>
      <c r="W153" s="17" t="s">
        <v>54</v>
      </c>
      <c r="X153" s="26" t="s">
        <v>54</v>
      </c>
      <c r="Y153" s="26" t="s">
        <v>54</v>
      </c>
      <c r="Z153" s="26" t="s">
        <v>54</v>
      </c>
      <c r="AA153" s="26" t="s">
        <v>54</v>
      </c>
      <c r="AB153" s="17" t="s">
        <v>54</v>
      </c>
      <c r="AC153" s="17" t="s">
        <v>54</v>
      </c>
      <c r="AD153" s="17" t="s">
        <v>54</v>
      </c>
      <c r="AE153" s="17" t="s">
        <v>54</v>
      </c>
      <c r="AF153" s="26" t="s">
        <v>61</v>
      </c>
      <c r="AG153" s="26" t="s">
        <v>61</v>
      </c>
      <c r="AH153" s="26" t="s">
        <v>61</v>
      </c>
      <c r="AI153" s="26" t="s">
        <v>61</v>
      </c>
      <c r="AJ153" s="17" t="s">
        <v>54</v>
      </c>
      <c r="AK153" s="17" t="s">
        <v>54</v>
      </c>
      <c r="AL153" s="17" t="s">
        <v>54</v>
      </c>
      <c r="AM153" s="17" t="s">
        <v>54</v>
      </c>
      <c r="AN153" s="26" t="s">
        <v>54</v>
      </c>
      <c r="AO153" s="26" t="s">
        <v>54</v>
      </c>
      <c r="AP153" s="26" t="s">
        <v>54</v>
      </c>
      <c r="AQ153" s="26" t="s">
        <v>54</v>
      </c>
      <c r="AR153" s="31">
        <v>0</v>
      </c>
      <c r="AS153" s="31">
        <v>0</v>
      </c>
      <c r="AT153" s="31">
        <v>0</v>
      </c>
      <c r="AU153" s="18" t="s">
        <v>62</v>
      </c>
      <c r="AV153" s="32" t="s">
        <v>63</v>
      </c>
    </row>
    <row r="154" spans="1:48">
      <c r="A154" s="16" t="s">
        <v>394</v>
      </c>
      <c r="B154" s="17" t="s">
        <v>395</v>
      </c>
      <c r="C154" s="17" t="s">
        <v>396</v>
      </c>
      <c r="D154" s="18">
        <v>2</v>
      </c>
      <c r="E154" s="18">
        <v>2</v>
      </c>
      <c r="F154" s="18">
        <v>0</v>
      </c>
      <c r="G154" s="18">
        <v>1</v>
      </c>
      <c r="H154" s="18">
        <v>50</v>
      </c>
      <c r="I154" s="18">
        <v>99</v>
      </c>
      <c r="J154" s="18">
        <v>0</v>
      </c>
      <c r="K154" s="18">
        <v>0</v>
      </c>
      <c r="L154" s="18">
        <v>0</v>
      </c>
      <c r="M154" s="21">
        <v>99</v>
      </c>
      <c r="N154" s="18">
        <v>0</v>
      </c>
      <c r="O154" s="17">
        <v>95</v>
      </c>
      <c r="P154" s="17">
        <v>0</v>
      </c>
      <c r="Q154" s="17">
        <v>0</v>
      </c>
      <c r="R154" s="17">
        <v>0</v>
      </c>
      <c r="S154" s="17">
        <v>0</v>
      </c>
      <c r="T154" s="17" t="s">
        <v>54</v>
      </c>
      <c r="U154" s="17" t="s">
        <v>54</v>
      </c>
      <c r="V154" s="17" t="s">
        <v>54</v>
      </c>
      <c r="W154" s="17" t="s">
        <v>54</v>
      </c>
      <c r="X154" s="26" t="s">
        <v>54</v>
      </c>
      <c r="Y154" s="26" t="s">
        <v>54</v>
      </c>
      <c r="Z154" s="26" t="s">
        <v>54</v>
      </c>
      <c r="AA154" s="26" t="s">
        <v>54</v>
      </c>
      <c r="AB154" s="17" t="s">
        <v>54</v>
      </c>
      <c r="AC154" s="17" t="s">
        <v>54</v>
      </c>
      <c r="AD154" s="17" t="s">
        <v>54</v>
      </c>
      <c r="AE154" s="17" t="s">
        <v>54</v>
      </c>
      <c r="AF154" s="26" t="s">
        <v>54</v>
      </c>
      <c r="AG154" s="26" t="s">
        <v>54</v>
      </c>
      <c r="AH154" s="26" t="s">
        <v>61</v>
      </c>
      <c r="AI154" s="26" t="s">
        <v>54</v>
      </c>
      <c r="AJ154" s="17">
        <v>39</v>
      </c>
      <c r="AK154" s="17">
        <v>39</v>
      </c>
      <c r="AL154" s="17">
        <v>27</v>
      </c>
      <c r="AM154" s="17">
        <v>18</v>
      </c>
      <c r="AN154" s="26">
        <v>0.0512820512820513</v>
      </c>
      <c r="AO154" s="26">
        <v>0.0512820512820513</v>
      </c>
      <c r="AP154" s="26">
        <v>0</v>
      </c>
      <c r="AQ154" s="26">
        <v>0.0555555555555556</v>
      </c>
      <c r="AR154" s="31">
        <v>0.285714285714286</v>
      </c>
      <c r="AS154" s="31">
        <v>17.1428571428571</v>
      </c>
      <c r="AT154" s="31">
        <v>81.8571428571429</v>
      </c>
      <c r="AU154" s="18">
        <v>346</v>
      </c>
      <c r="AV154" s="32">
        <v>43685</v>
      </c>
    </row>
    <row r="155" spans="1:48">
      <c r="A155" s="16" t="s">
        <v>397</v>
      </c>
      <c r="B155" s="17" t="s">
        <v>398</v>
      </c>
      <c r="C155" s="17" t="s">
        <v>399</v>
      </c>
      <c r="D155" s="18">
        <v>0</v>
      </c>
      <c r="E155" s="18">
        <v>0</v>
      </c>
      <c r="F155" s="18">
        <v>0</v>
      </c>
      <c r="G155" s="18">
        <v>0</v>
      </c>
      <c r="H155" s="18">
        <v>0</v>
      </c>
      <c r="I155" s="18">
        <v>1</v>
      </c>
      <c r="J155" s="18">
        <v>0</v>
      </c>
      <c r="K155" s="18">
        <v>0</v>
      </c>
      <c r="L155" s="18">
        <v>0</v>
      </c>
      <c r="M155" s="21">
        <v>1</v>
      </c>
      <c r="N155" s="18">
        <v>0</v>
      </c>
      <c r="O155" s="17">
        <v>0</v>
      </c>
      <c r="P155" s="17">
        <v>0</v>
      </c>
      <c r="Q155" s="17">
        <v>0</v>
      </c>
      <c r="R155" s="17">
        <v>0</v>
      </c>
      <c r="S155" s="17">
        <v>0</v>
      </c>
      <c r="T155" s="17" t="s">
        <v>54</v>
      </c>
      <c r="U155" s="17" t="s">
        <v>54</v>
      </c>
      <c r="V155" s="17" t="s">
        <v>54</v>
      </c>
      <c r="W155" s="17" t="s">
        <v>54</v>
      </c>
      <c r="X155" s="26" t="s">
        <v>54</v>
      </c>
      <c r="Y155" s="26" t="s">
        <v>54</v>
      </c>
      <c r="Z155" s="26" t="s">
        <v>54</v>
      </c>
      <c r="AA155" s="26" t="s">
        <v>54</v>
      </c>
      <c r="AB155" s="17" t="s">
        <v>54</v>
      </c>
      <c r="AC155" s="17" t="s">
        <v>54</v>
      </c>
      <c r="AD155" s="17" t="s">
        <v>54</v>
      </c>
      <c r="AE155" s="17" t="s">
        <v>54</v>
      </c>
      <c r="AF155" s="26" t="s">
        <v>61</v>
      </c>
      <c r="AG155" s="26" t="s">
        <v>61</v>
      </c>
      <c r="AH155" s="26" t="s">
        <v>61</v>
      </c>
      <c r="AI155" s="26" t="s">
        <v>61</v>
      </c>
      <c r="AJ155" s="17" t="s">
        <v>54</v>
      </c>
      <c r="AK155" s="17" t="s">
        <v>54</v>
      </c>
      <c r="AL155" s="17" t="s">
        <v>54</v>
      </c>
      <c r="AM155" s="17" t="s">
        <v>54</v>
      </c>
      <c r="AN155" s="26" t="s">
        <v>54</v>
      </c>
      <c r="AO155" s="26" t="s">
        <v>54</v>
      </c>
      <c r="AP155" s="26" t="s">
        <v>54</v>
      </c>
      <c r="AQ155" s="26" t="s">
        <v>54</v>
      </c>
      <c r="AR155" s="31">
        <v>0</v>
      </c>
      <c r="AS155" s="31">
        <v>0</v>
      </c>
      <c r="AT155" s="31">
        <v>1</v>
      </c>
      <c r="AU155" s="18" t="s">
        <v>95</v>
      </c>
      <c r="AV155" s="32" t="s">
        <v>63</v>
      </c>
    </row>
    <row r="156" spans="1:48">
      <c r="A156" s="16" t="s">
        <v>400</v>
      </c>
      <c r="B156" s="17" t="s">
        <v>401</v>
      </c>
      <c r="C156" s="17" t="s">
        <v>402</v>
      </c>
      <c r="D156" s="18">
        <v>0</v>
      </c>
      <c r="E156" s="18">
        <v>0</v>
      </c>
      <c r="F156" s="18">
        <v>0</v>
      </c>
      <c r="G156" s="18">
        <v>0</v>
      </c>
      <c r="H156" s="18">
        <v>0</v>
      </c>
      <c r="I156" s="18">
        <v>6</v>
      </c>
      <c r="J156" s="18">
        <v>0</v>
      </c>
      <c r="K156" s="18">
        <v>0</v>
      </c>
      <c r="L156" s="18">
        <v>0</v>
      </c>
      <c r="M156" s="21">
        <v>6</v>
      </c>
      <c r="N156" s="18">
        <v>0</v>
      </c>
      <c r="O156" s="17">
        <v>6</v>
      </c>
      <c r="P156" s="17">
        <v>0</v>
      </c>
      <c r="Q156" s="17">
        <v>0</v>
      </c>
      <c r="R156" s="17">
        <v>0</v>
      </c>
      <c r="S156" s="17">
        <v>0</v>
      </c>
      <c r="T156" s="17" t="s">
        <v>54</v>
      </c>
      <c r="U156" s="17" t="s">
        <v>54</v>
      </c>
      <c r="V156" s="17" t="s">
        <v>54</v>
      </c>
      <c r="W156" s="17" t="s">
        <v>54</v>
      </c>
      <c r="X156" s="26" t="s">
        <v>54</v>
      </c>
      <c r="Y156" s="26" t="s">
        <v>54</v>
      </c>
      <c r="Z156" s="26" t="s">
        <v>54</v>
      </c>
      <c r="AA156" s="26" t="s">
        <v>54</v>
      </c>
      <c r="AB156" s="17" t="s">
        <v>54</v>
      </c>
      <c r="AC156" s="17" t="s">
        <v>54</v>
      </c>
      <c r="AD156" s="17" t="s">
        <v>54</v>
      </c>
      <c r="AE156" s="17" t="s">
        <v>54</v>
      </c>
      <c r="AF156" s="26" t="s">
        <v>61</v>
      </c>
      <c r="AG156" s="26" t="s">
        <v>61</v>
      </c>
      <c r="AH156" s="26" t="s">
        <v>61</v>
      </c>
      <c r="AI156" s="26" t="s">
        <v>61</v>
      </c>
      <c r="AJ156" s="17" t="s">
        <v>54</v>
      </c>
      <c r="AK156" s="17" t="s">
        <v>54</v>
      </c>
      <c r="AL156" s="17" t="s">
        <v>54</v>
      </c>
      <c r="AM156" s="17" t="s">
        <v>54</v>
      </c>
      <c r="AN156" s="26" t="s">
        <v>54</v>
      </c>
      <c r="AO156" s="26" t="s">
        <v>54</v>
      </c>
      <c r="AP156" s="26" t="s">
        <v>54</v>
      </c>
      <c r="AQ156" s="26" t="s">
        <v>54</v>
      </c>
      <c r="AR156" s="31">
        <v>0</v>
      </c>
      <c r="AS156" s="31">
        <v>0</v>
      </c>
      <c r="AT156" s="31">
        <v>6</v>
      </c>
      <c r="AU156" s="18" t="s">
        <v>235</v>
      </c>
      <c r="AV156" s="32" t="s">
        <v>63</v>
      </c>
    </row>
    <row r="157" spans="1:48">
      <c r="A157" s="16" t="s">
        <v>403</v>
      </c>
      <c r="B157" s="17" t="s">
        <v>404</v>
      </c>
      <c r="C157" s="17" t="s">
        <v>405</v>
      </c>
      <c r="D157" s="18">
        <v>2</v>
      </c>
      <c r="E157" s="18">
        <v>1</v>
      </c>
      <c r="F157" s="18">
        <v>7</v>
      </c>
      <c r="G157" s="18">
        <v>3</v>
      </c>
      <c r="H157" s="18">
        <v>19.99</v>
      </c>
      <c r="I157" s="18">
        <v>108</v>
      </c>
      <c r="J157" s="18">
        <v>0</v>
      </c>
      <c r="K157" s="18">
        <v>0</v>
      </c>
      <c r="L157" s="18">
        <v>0</v>
      </c>
      <c r="M157" s="21">
        <v>108</v>
      </c>
      <c r="N157" s="18">
        <v>0</v>
      </c>
      <c r="O157" s="17">
        <v>108</v>
      </c>
      <c r="P157" s="17">
        <v>0</v>
      </c>
      <c r="Q157" s="17">
        <v>10</v>
      </c>
      <c r="R157" s="17">
        <v>0</v>
      </c>
      <c r="S157" s="17">
        <v>543</v>
      </c>
      <c r="T157" s="17">
        <v>0</v>
      </c>
      <c r="U157" s="17">
        <v>0</v>
      </c>
      <c r="V157" s="17">
        <v>0</v>
      </c>
      <c r="W157" s="17">
        <v>3</v>
      </c>
      <c r="X157" s="26" t="s">
        <v>54</v>
      </c>
      <c r="Y157" s="26">
        <v>0</v>
      </c>
      <c r="Z157" s="26" t="s">
        <v>54</v>
      </c>
      <c r="AA157" s="26">
        <v>0.00552486187845304</v>
      </c>
      <c r="AB157" s="17">
        <v>0</v>
      </c>
      <c r="AC157" s="17">
        <v>0</v>
      </c>
      <c r="AD157" s="17">
        <v>0</v>
      </c>
      <c r="AE157" s="17">
        <v>3.58</v>
      </c>
      <c r="AF157" s="26">
        <v>0</v>
      </c>
      <c r="AG157" s="26">
        <v>0</v>
      </c>
      <c r="AH157" s="26">
        <v>0</v>
      </c>
      <c r="AI157" s="26">
        <v>0.0596965149241287</v>
      </c>
      <c r="AJ157" s="17">
        <v>13</v>
      </c>
      <c r="AK157" s="17">
        <v>24</v>
      </c>
      <c r="AL157" s="17">
        <v>21</v>
      </c>
      <c r="AM157" s="17">
        <v>17</v>
      </c>
      <c r="AN157" s="26">
        <v>0.153846153846154</v>
      </c>
      <c r="AO157" s="26">
        <v>0.0416666666666667</v>
      </c>
      <c r="AP157" s="26">
        <v>0.333333333333333</v>
      </c>
      <c r="AQ157" s="26">
        <v>0.176470588235294</v>
      </c>
      <c r="AR157" s="31">
        <v>0.285714285714286</v>
      </c>
      <c r="AS157" s="31">
        <v>17.1428571428571</v>
      </c>
      <c r="AT157" s="31">
        <v>90.8571428571429</v>
      </c>
      <c r="AU157" s="18">
        <v>378</v>
      </c>
      <c r="AV157" s="32">
        <v>43717</v>
      </c>
    </row>
    <row r="158" spans="1:48">
      <c r="A158" s="16" t="s">
        <v>406</v>
      </c>
      <c r="B158" s="17" t="s">
        <v>407</v>
      </c>
      <c r="C158" s="17" t="s">
        <v>408</v>
      </c>
      <c r="D158" s="18">
        <v>3</v>
      </c>
      <c r="E158" s="18">
        <v>1</v>
      </c>
      <c r="F158" s="18">
        <v>11</v>
      </c>
      <c r="G158" s="18">
        <v>4</v>
      </c>
      <c r="H158" s="18">
        <v>19.4047368421053</v>
      </c>
      <c r="I158" s="18">
        <v>30</v>
      </c>
      <c r="J158" s="18">
        <v>0</v>
      </c>
      <c r="K158" s="18">
        <v>0</v>
      </c>
      <c r="L158" s="18">
        <v>0</v>
      </c>
      <c r="M158" s="21">
        <v>30</v>
      </c>
      <c r="N158" s="18">
        <v>0</v>
      </c>
      <c r="O158" s="17">
        <v>31</v>
      </c>
      <c r="P158" s="17">
        <v>0</v>
      </c>
      <c r="Q158" s="17">
        <v>0</v>
      </c>
      <c r="R158" s="17">
        <v>0</v>
      </c>
      <c r="S158" s="17">
        <v>519</v>
      </c>
      <c r="T158" s="17">
        <v>0</v>
      </c>
      <c r="U158" s="17">
        <v>0</v>
      </c>
      <c r="V158" s="17">
        <v>0</v>
      </c>
      <c r="W158" s="17">
        <v>0</v>
      </c>
      <c r="X158" s="26" t="s">
        <v>54</v>
      </c>
      <c r="Y158" s="26" t="s">
        <v>54</v>
      </c>
      <c r="Z158" s="26" t="s">
        <v>54</v>
      </c>
      <c r="AA158" s="26">
        <v>0</v>
      </c>
      <c r="AB158" s="17">
        <v>0</v>
      </c>
      <c r="AC158" s="17">
        <v>0</v>
      </c>
      <c r="AD158" s="17">
        <v>0</v>
      </c>
      <c r="AE158" s="17">
        <v>0</v>
      </c>
      <c r="AF158" s="26">
        <v>0</v>
      </c>
      <c r="AG158" s="26">
        <v>0</v>
      </c>
      <c r="AH158" s="26">
        <v>0</v>
      </c>
      <c r="AI158" s="26">
        <v>0</v>
      </c>
      <c r="AJ158" s="17">
        <v>14</v>
      </c>
      <c r="AK158" s="17">
        <v>25</v>
      </c>
      <c r="AL158" s="17">
        <v>29</v>
      </c>
      <c r="AM158" s="17">
        <v>34</v>
      </c>
      <c r="AN158" s="26">
        <v>0.214285714285714</v>
      </c>
      <c r="AO158" s="26">
        <v>0.04</v>
      </c>
      <c r="AP158" s="26">
        <v>0.379310344827586</v>
      </c>
      <c r="AQ158" s="26">
        <v>0.117647058823529</v>
      </c>
      <c r="AR158" s="31">
        <v>0.428571428571429</v>
      </c>
      <c r="AS158" s="31">
        <v>25.7142857142857</v>
      </c>
      <c r="AT158" s="31">
        <v>4.28571428571429</v>
      </c>
      <c r="AU158" s="18">
        <v>70</v>
      </c>
      <c r="AV158" s="32">
        <v>43409</v>
      </c>
    </row>
    <row r="159" spans="1:48">
      <c r="A159" s="16" t="s">
        <v>409</v>
      </c>
      <c r="B159" s="17" t="s">
        <v>65</v>
      </c>
      <c r="C159" s="17" t="s">
        <v>66</v>
      </c>
      <c r="D159" s="18">
        <v>6</v>
      </c>
      <c r="E159" s="18">
        <v>1</v>
      </c>
      <c r="F159" s="18">
        <v>3</v>
      </c>
      <c r="G159" s="18">
        <v>3</v>
      </c>
      <c r="H159" s="18">
        <v>12.2307692307692</v>
      </c>
      <c r="I159" s="18">
        <v>107</v>
      </c>
      <c r="J159" s="18">
        <v>0</v>
      </c>
      <c r="K159" s="18">
        <v>0</v>
      </c>
      <c r="L159" s="18">
        <v>3</v>
      </c>
      <c r="M159" s="21">
        <v>110</v>
      </c>
      <c r="N159" s="18">
        <v>0</v>
      </c>
      <c r="O159" s="17">
        <v>113</v>
      </c>
      <c r="P159" s="17">
        <v>0</v>
      </c>
      <c r="Q159" s="17">
        <v>0</v>
      </c>
      <c r="R159" s="17">
        <v>0</v>
      </c>
      <c r="S159" s="17">
        <v>170</v>
      </c>
      <c r="T159" s="17">
        <v>0</v>
      </c>
      <c r="U159" s="17">
        <v>0</v>
      </c>
      <c r="V159" s="17">
        <v>0</v>
      </c>
      <c r="W159" s="17">
        <v>0</v>
      </c>
      <c r="X159" s="26" t="s">
        <v>54</v>
      </c>
      <c r="Y159" s="26" t="s">
        <v>54</v>
      </c>
      <c r="Z159" s="26" t="s">
        <v>54</v>
      </c>
      <c r="AA159" s="26">
        <v>0</v>
      </c>
      <c r="AB159" s="17">
        <v>0</v>
      </c>
      <c r="AC159" s="17">
        <v>0</v>
      </c>
      <c r="AD159" s="17">
        <v>0</v>
      </c>
      <c r="AE159" s="17">
        <v>0</v>
      </c>
      <c r="AF159" s="26">
        <v>0</v>
      </c>
      <c r="AG159" s="26">
        <v>0</v>
      </c>
      <c r="AH159" s="26">
        <v>0</v>
      </c>
      <c r="AI159" s="26">
        <v>0</v>
      </c>
      <c r="AJ159" s="17">
        <v>37</v>
      </c>
      <c r="AK159" s="17">
        <v>38</v>
      </c>
      <c r="AL159" s="17">
        <v>47</v>
      </c>
      <c r="AM159" s="17">
        <v>31</v>
      </c>
      <c r="AN159" s="26">
        <v>0.162162162162162</v>
      </c>
      <c r="AO159" s="26">
        <v>0.0263157894736842</v>
      </c>
      <c r="AP159" s="26">
        <v>0.0638297872340425</v>
      </c>
      <c r="AQ159" s="26">
        <v>0.0967741935483871</v>
      </c>
      <c r="AR159" s="31">
        <v>0.857142857142857</v>
      </c>
      <c r="AS159" s="31">
        <v>51.4285714285714</v>
      </c>
      <c r="AT159" s="31">
        <v>58.5714285714286</v>
      </c>
      <c r="AU159" s="18">
        <v>128</v>
      </c>
      <c r="AV159" s="32">
        <v>43467</v>
      </c>
    </row>
    <row r="160" spans="1:48">
      <c r="A160" s="16" t="s">
        <v>410</v>
      </c>
      <c r="B160" s="17" t="s">
        <v>411</v>
      </c>
      <c r="C160" s="17" t="s">
        <v>412</v>
      </c>
      <c r="D160" s="18">
        <v>1</v>
      </c>
      <c r="E160" s="18">
        <v>0</v>
      </c>
      <c r="F160" s="18">
        <v>2</v>
      </c>
      <c r="G160" s="18">
        <v>0</v>
      </c>
      <c r="H160" s="18">
        <v>28.06</v>
      </c>
      <c r="I160" s="18">
        <v>0</v>
      </c>
      <c r="J160" s="18">
        <v>0</v>
      </c>
      <c r="K160" s="18">
        <v>0</v>
      </c>
      <c r="L160" s="18">
        <v>0</v>
      </c>
      <c r="M160" s="21">
        <v>0</v>
      </c>
      <c r="N160" s="18">
        <v>0</v>
      </c>
      <c r="O160" s="17">
        <v>0</v>
      </c>
      <c r="P160" s="17">
        <v>0</v>
      </c>
      <c r="Q160" s="17">
        <v>10</v>
      </c>
      <c r="R160" s="17">
        <v>0</v>
      </c>
      <c r="S160" s="17">
        <v>0</v>
      </c>
      <c r="T160" s="17">
        <v>0</v>
      </c>
      <c r="U160" s="17">
        <v>0</v>
      </c>
      <c r="V160" s="17">
        <v>0</v>
      </c>
      <c r="W160" s="17">
        <v>0</v>
      </c>
      <c r="X160" s="26" t="s">
        <v>54</v>
      </c>
      <c r="Y160" s="26">
        <v>0</v>
      </c>
      <c r="Z160" s="26" t="s">
        <v>54</v>
      </c>
      <c r="AA160" s="26" t="s">
        <v>54</v>
      </c>
      <c r="AB160" s="17">
        <v>0</v>
      </c>
      <c r="AC160" s="17">
        <v>0</v>
      </c>
      <c r="AD160" s="17">
        <v>0</v>
      </c>
      <c r="AE160" s="17">
        <v>0</v>
      </c>
      <c r="AF160" s="26">
        <v>0</v>
      </c>
      <c r="AG160" s="26" t="s">
        <v>54</v>
      </c>
      <c r="AH160" s="26">
        <v>0</v>
      </c>
      <c r="AI160" s="26" t="s">
        <v>54</v>
      </c>
      <c r="AJ160" s="17">
        <v>16</v>
      </c>
      <c r="AK160" s="17">
        <v>16</v>
      </c>
      <c r="AL160" s="17">
        <v>40</v>
      </c>
      <c r="AM160" s="17">
        <v>8</v>
      </c>
      <c r="AN160" s="26">
        <v>0.0625</v>
      </c>
      <c r="AO160" s="26">
        <v>0</v>
      </c>
      <c r="AP160" s="26">
        <v>0.05</v>
      </c>
      <c r="AQ160" s="26">
        <v>0</v>
      </c>
      <c r="AR160" s="31">
        <v>0.142857142857143</v>
      </c>
      <c r="AS160" s="31">
        <v>8.57142857142857</v>
      </c>
      <c r="AT160" s="31">
        <v>-8.57142857142857</v>
      </c>
      <c r="AU160" s="18">
        <v>0</v>
      </c>
      <c r="AV160" s="32">
        <v>43339</v>
      </c>
    </row>
    <row r="161" spans="1:48">
      <c r="A161" s="16" t="s">
        <v>413</v>
      </c>
      <c r="B161" s="17" t="s">
        <v>83</v>
      </c>
      <c r="C161" s="17">
        <v>0</v>
      </c>
      <c r="D161" s="18">
        <v>0</v>
      </c>
      <c r="E161" s="18">
        <v>0</v>
      </c>
      <c r="F161" s="18">
        <v>0</v>
      </c>
      <c r="G161" s="18">
        <v>0</v>
      </c>
      <c r="H161" s="18">
        <v>0</v>
      </c>
      <c r="I161" s="18">
        <v>0</v>
      </c>
      <c r="J161" s="18">
        <v>0</v>
      </c>
      <c r="K161" s="18">
        <v>0</v>
      </c>
      <c r="L161" s="18">
        <v>0</v>
      </c>
      <c r="M161" s="21">
        <v>0</v>
      </c>
      <c r="N161" s="18">
        <v>0</v>
      </c>
      <c r="O161" s="17">
        <v>0</v>
      </c>
      <c r="P161" s="17">
        <v>0</v>
      </c>
      <c r="Q161" s="17">
        <v>0</v>
      </c>
      <c r="R161" s="17">
        <v>0</v>
      </c>
      <c r="S161" s="17">
        <v>0</v>
      </c>
      <c r="T161" s="17" t="s">
        <v>54</v>
      </c>
      <c r="U161" s="17" t="s">
        <v>54</v>
      </c>
      <c r="V161" s="17" t="s">
        <v>54</v>
      </c>
      <c r="W161" s="17" t="s">
        <v>54</v>
      </c>
      <c r="X161" s="26" t="s">
        <v>54</v>
      </c>
      <c r="Y161" s="26" t="s">
        <v>54</v>
      </c>
      <c r="Z161" s="26" t="s">
        <v>54</v>
      </c>
      <c r="AA161" s="26" t="s">
        <v>54</v>
      </c>
      <c r="AB161" s="17" t="s">
        <v>54</v>
      </c>
      <c r="AC161" s="17" t="s">
        <v>54</v>
      </c>
      <c r="AD161" s="17" t="s">
        <v>54</v>
      </c>
      <c r="AE161" s="17" t="s">
        <v>54</v>
      </c>
      <c r="AF161" s="26" t="s">
        <v>61</v>
      </c>
      <c r="AG161" s="26" t="s">
        <v>61</v>
      </c>
      <c r="AH161" s="26" t="s">
        <v>61</v>
      </c>
      <c r="AI161" s="26" t="s">
        <v>61</v>
      </c>
      <c r="AJ161" s="17" t="s">
        <v>54</v>
      </c>
      <c r="AK161" s="17" t="s">
        <v>54</v>
      </c>
      <c r="AL161" s="17" t="s">
        <v>54</v>
      </c>
      <c r="AM161" s="17" t="s">
        <v>54</v>
      </c>
      <c r="AN161" s="26" t="s">
        <v>54</v>
      </c>
      <c r="AO161" s="26" t="s">
        <v>54</v>
      </c>
      <c r="AP161" s="26" t="s">
        <v>54</v>
      </c>
      <c r="AQ161" s="26" t="s">
        <v>54</v>
      </c>
      <c r="AR161" s="31">
        <v>0</v>
      </c>
      <c r="AS161" s="31">
        <v>0</v>
      </c>
      <c r="AT161" s="31">
        <v>0</v>
      </c>
      <c r="AU161" s="18" t="s">
        <v>62</v>
      </c>
      <c r="AV161" s="32" t="s">
        <v>63</v>
      </c>
    </row>
    <row r="162" spans="1:48">
      <c r="A162" s="16" t="s">
        <v>414</v>
      </c>
      <c r="B162" s="17" t="s">
        <v>159</v>
      </c>
      <c r="C162" s="17">
        <v>0</v>
      </c>
      <c r="D162" s="18">
        <v>0</v>
      </c>
      <c r="E162" s="18">
        <v>0</v>
      </c>
      <c r="F162" s="18">
        <v>0</v>
      </c>
      <c r="G162" s="18">
        <v>0</v>
      </c>
      <c r="H162" s="18">
        <v>0</v>
      </c>
      <c r="I162" s="18">
        <v>0</v>
      </c>
      <c r="J162" s="18">
        <v>0</v>
      </c>
      <c r="K162" s="18">
        <v>0</v>
      </c>
      <c r="L162" s="18">
        <v>0</v>
      </c>
      <c r="M162" s="21">
        <v>0</v>
      </c>
      <c r="N162" s="18">
        <v>0</v>
      </c>
      <c r="O162" s="17">
        <v>0</v>
      </c>
      <c r="P162" s="17">
        <v>0</v>
      </c>
      <c r="Q162" s="17">
        <v>0</v>
      </c>
      <c r="R162" s="17">
        <v>0</v>
      </c>
      <c r="S162" s="17">
        <v>0</v>
      </c>
      <c r="T162" s="17" t="s">
        <v>54</v>
      </c>
      <c r="U162" s="17" t="s">
        <v>54</v>
      </c>
      <c r="V162" s="17" t="s">
        <v>54</v>
      </c>
      <c r="W162" s="17" t="s">
        <v>54</v>
      </c>
      <c r="X162" s="26" t="s">
        <v>54</v>
      </c>
      <c r="Y162" s="26" t="s">
        <v>54</v>
      </c>
      <c r="Z162" s="26" t="s">
        <v>54</v>
      </c>
      <c r="AA162" s="26" t="s">
        <v>54</v>
      </c>
      <c r="AB162" s="17" t="s">
        <v>54</v>
      </c>
      <c r="AC162" s="17" t="s">
        <v>54</v>
      </c>
      <c r="AD162" s="17" t="s">
        <v>54</v>
      </c>
      <c r="AE162" s="17" t="s">
        <v>54</v>
      </c>
      <c r="AF162" s="26" t="s">
        <v>61</v>
      </c>
      <c r="AG162" s="26" t="s">
        <v>61</v>
      </c>
      <c r="AH162" s="26" t="s">
        <v>61</v>
      </c>
      <c r="AI162" s="26" t="s">
        <v>61</v>
      </c>
      <c r="AJ162" s="17" t="s">
        <v>54</v>
      </c>
      <c r="AK162" s="17" t="s">
        <v>54</v>
      </c>
      <c r="AL162" s="17" t="s">
        <v>54</v>
      </c>
      <c r="AM162" s="17" t="s">
        <v>54</v>
      </c>
      <c r="AN162" s="26" t="s">
        <v>54</v>
      </c>
      <c r="AO162" s="26" t="s">
        <v>54</v>
      </c>
      <c r="AP162" s="26" t="s">
        <v>54</v>
      </c>
      <c r="AQ162" s="26" t="s">
        <v>54</v>
      </c>
      <c r="AR162" s="31">
        <v>0</v>
      </c>
      <c r="AS162" s="31">
        <v>0</v>
      </c>
      <c r="AT162" s="31">
        <v>0</v>
      </c>
      <c r="AU162" s="18" t="s">
        <v>62</v>
      </c>
      <c r="AV162" s="32" t="s">
        <v>63</v>
      </c>
    </row>
    <row r="163" spans="1:48">
      <c r="A163" s="16" t="s">
        <v>415</v>
      </c>
      <c r="B163" s="17" t="s">
        <v>416</v>
      </c>
      <c r="C163" s="17" t="s">
        <v>417</v>
      </c>
      <c r="D163" s="18">
        <v>0</v>
      </c>
      <c r="E163" s="18">
        <v>0</v>
      </c>
      <c r="F163" s="18">
        <v>0</v>
      </c>
      <c r="G163" s="18">
        <v>1</v>
      </c>
      <c r="H163" s="18">
        <v>38.39</v>
      </c>
      <c r="I163" s="18">
        <v>0</v>
      </c>
      <c r="J163" s="18">
        <v>0</v>
      </c>
      <c r="K163" s="18">
        <v>0</v>
      </c>
      <c r="L163" s="18">
        <v>0</v>
      </c>
      <c r="M163" s="21">
        <v>0</v>
      </c>
      <c r="N163" s="18">
        <v>0</v>
      </c>
      <c r="O163" s="17">
        <v>0</v>
      </c>
      <c r="P163" s="17">
        <v>0</v>
      </c>
      <c r="Q163" s="17">
        <v>0</v>
      </c>
      <c r="R163" s="17">
        <v>0</v>
      </c>
      <c r="S163" s="17">
        <v>0</v>
      </c>
      <c r="T163" s="17" t="s">
        <v>54</v>
      </c>
      <c r="U163" s="17" t="s">
        <v>54</v>
      </c>
      <c r="V163" s="17" t="s">
        <v>54</v>
      </c>
      <c r="W163" s="17" t="s">
        <v>54</v>
      </c>
      <c r="X163" s="26" t="s">
        <v>54</v>
      </c>
      <c r="Y163" s="26" t="s">
        <v>54</v>
      </c>
      <c r="Z163" s="26" t="s">
        <v>54</v>
      </c>
      <c r="AA163" s="26" t="s">
        <v>54</v>
      </c>
      <c r="AB163" s="17" t="s">
        <v>54</v>
      </c>
      <c r="AC163" s="17" t="s">
        <v>54</v>
      </c>
      <c r="AD163" s="17" t="s">
        <v>54</v>
      </c>
      <c r="AE163" s="17" t="s">
        <v>54</v>
      </c>
      <c r="AF163" s="26" t="s">
        <v>61</v>
      </c>
      <c r="AG163" s="26" t="s">
        <v>61</v>
      </c>
      <c r="AH163" s="26" t="s">
        <v>61</v>
      </c>
      <c r="AI163" s="26" t="s">
        <v>54</v>
      </c>
      <c r="AJ163" s="17">
        <v>0</v>
      </c>
      <c r="AK163" s="17">
        <v>0</v>
      </c>
      <c r="AL163" s="17">
        <v>0</v>
      </c>
      <c r="AM163" s="17">
        <v>14</v>
      </c>
      <c r="AN163" s="26" t="s">
        <v>54</v>
      </c>
      <c r="AO163" s="26" t="s">
        <v>54</v>
      </c>
      <c r="AP163" s="26" t="s">
        <v>54</v>
      </c>
      <c r="AQ163" s="26">
        <v>0.0714285714285714</v>
      </c>
      <c r="AR163" s="31">
        <v>0</v>
      </c>
      <c r="AS163" s="31">
        <v>0</v>
      </c>
      <c r="AT163" s="31">
        <v>0</v>
      </c>
      <c r="AU163" s="18" t="s">
        <v>62</v>
      </c>
      <c r="AV163" s="32" t="s">
        <v>63</v>
      </c>
    </row>
    <row r="164" spans="1:48">
      <c r="A164" s="16" t="s">
        <v>418</v>
      </c>
      <c r="B164" s="17" t="s">
        <v>121</v>
      </c>
      <c r="C164" s="17" t="s">
        <v>122</v>
      </c>
      <c r="D164" s="18">
        <v>0</v>
      </c>
      <c r="E164" s="18">
        <v>0</v>
      </c>
      <c r="F164" s="18">
        <v>0</v>
      </c>
      <c r="G164" s="18">
        <v>0</v>
      </c>
      <c r="H164" s="18">
        <v>0</v>
      </c>
      <c r="I164" s="18">
        <v>0</v>
      </c>
      <c r="J164" s="18">
        <v>0</v>
      </c>
      <c r="K164" s="18">
        <v>0</v>
      </c>
      <c r="L164" s="18">
        <v>0</v>
      </c>
      <c r="M164" s="21">
        <v>0</v>
      </c>
      <c r="N164" s="18">
        <v>0</v>
      </c>
      <c r="O164" s="17">
        <v>0</v>
      </c>
      <c r="P164" s="17">
        <v>0</v>
      </c>
      <c r="Q164" s="17">
        <v>0</v>
      </c>
      <c r="R164" s="17">
        <v>0</v>
      </c>
      <c r="S164" s="17">
        <v>0</v>
      </c>
      <c r="T164" s="17" t="s">
        <v>54</v>
      </c>
      <c r="U164" s="17" t="s">
        <v>54</v>
      </c>
      <c r="V164" s="17" t="s">
        <v>54</v>
      </c>
      <c r="W164" s="17" t="s">
        <v>54</v>
      </c>
      <c r="X164" s="26" t="s">
        <v>54</v>
      </c>
      <c r="Y164" s="26" t="s">
        <v>54</v>
      </c>
      <c r="Z164" s="26" t="s">
        <v>54</v>
      </c>
      <c r="AA164" s="26" t="s">
        <v>54</v>
      </c>
      <c r="AB164" s="17" t="s">
        <v>54</v>
      </c>
      <c r="AC164" s="17" t="s">
        <v>54</v>
      </c>
      <c r="AD164" s="17" t="s">
        <v>54</v>
      </c>
      <c r="AE164" s="17" t="s">
        <v>54</v>
      </c>
      <c r="AF164" s="26" t="s">
        <v>61</v>
      </c>
      <c r="AG164" s="26" t="s">
        <v>61</v>
      </c>
      <c r="AH164" s="26" t="s">
        <v>61</v>
      </c>
      <c r="AI164" s="26" t="s">
        <v>61</v>
      </c>
      <c r="AJ164" s="17">
        <v>216</v>
      </c>
      <c r="AK164" s="17">
        <v>231</v>
      </c>
      <c r="AL164" s="17">
        <v>244</v>
      </c>
      <c r="AM164" s="17">
        <v>166</v>
      </c>
      <c r="AN164" s="26">
        <v>0</v>
      </c>
      <c r="AO164" s="26">
        <v>0</v>
      </c>
      <c r="AP164" s="26">
        <v>0</v>
      </c>
      <c r="AQ164" s="26">
        <v>0</v>
      </c>
      <c r="AR164" s="31">
        <v>0</v>
      </c>
      <c r="AS164" s="31">
        <v>0</v>
      </c>
      <c r="AT164" s="31">
        <v>0</v>
      </c>
      <c r="AU164" s="18" t="s">
        <v>62</v>
      </c>
      <c r="AV164" s="32" t="s">
        <v>63</v>
      </c>
    </row>
    <row r="165" spans="1:48">
      <c r="A165" s="33"/>
      <c r="B165" s="17"/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21"/>
      <c r="N165" s="18"/>
      <c r="O165" s="17"/>
      <c r="P165" s="17"/>
      <c r="Q165" s="17"/>
      <c r="R165" s="17"/>
      <c r="S165" s="17"/>
      <c r="T165" s="17"/>
      <c r="U165" s="17"/>
      <c r="V165" s="17"/>
      <c r="W165" s="17"/>
      <c r="X165" s="26"/>
      <c r="Y165" s="26"/>
      <c r="Z165" s="26"/>
      <c r="AA165" s="26"/>
      <c r="AB165" s="17"/>
      <c r="AC165" s="17"/>
      <c r="AD165" s="17"/>
      <c r="AE165" s="17"/>
      <c r="AF165" s="26"/>
      <c r="AG165" s="26"/>
      <c r="AH165" s="26"/>
      <c r="AI165" s="26"/>
      <c r="AJ165" s="17"/>
      <c r="AK165" s="17"/>
      <c r="AL165" s="17"/>
      <c r="AM165" s="17"/>
      <c r="AN165" s="26"/>
      <c r="AO165" s="26"/>
      <c r="AP165" s="26"/>
      <c r="AQ165" s="26"/>
      <c r="AR165" s="31"/>
      <c r="AS165" s="31"/>
      <c r="AT165" s="31"/>
      <c r="AU165" s="18"/>
      <c r="AV165" s="32"/>
    </row>
    <row r="166" spans="1:48">
      <c r="A166" s="34"/>
      <c r="B166" s="17"/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21"/>
      <c r="N166" s="18"/>
      <c r="O166" s="17"/>
      <c r="P166" s="17"/>
      <c r="Q166" s="17"/>
      <c r="R166" s="17"/>
      <c r="S166" s="17"/>
      <c r="T166" s="17"/>
      <c r="U166" s="17"/>
      <c r="V166" s="17"/>
      <c r="W166" s="17"/>
      <c r="X166" s="26"/>
      <c r="Y166" s="26"/>
      <c r="Z166" s="26"/>
      <c r="AA166" s="26"/>
      <c r="AB166" s="17"/>
      <c r="AC166" s="17"/>
      <c r="AD166" s="17"/>
      <c r="AE166" s="17"/>
      <c r="AF166" s="26"/>
      <c r="AG166" s="26"/>
      <c r="AH166" s="26"/>
      <c r="AI166" s="26"/>
      <c r="AJ166" s="17"/>
      <c r="AK166" s="17"/>
      <c r="AL166" s="17"/>
      <c r="AM166" s="17"/>
      <c r="AN166" s="26"/>
      <c r="AO166" s="26"/>
      <c r="AP166" s="26"/>
      <c r="AQ166" s="26"/>
      <c r="AR166" s="31"/>
      <c r="AS166" s="31"/>
      <c r="AT166" s="31"/>
      <c r="AU166" s="18"/>
      <c r="AV166" s="32"/>
    </row>
    <row r="167" spans="1:48">
      <c r="A167" s="34"/>
      <c r="B167" s="17"/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21"/>
      <c r="N167" s="18"/>
      <c r="O167" s="17"/>
      <c r="P167" s="17"/>
      <c r="Q167" s="17"/>
      <c r="R167" s="17"/>
      <c r="S167" s="17"/>
      <c r="T167" s="17"/>
      <c r="U167" s="17"/>
      <c r="V167" s="17"/>
      <c r="W167" s="17"/>
      <c r="X167" s="26"/>
      <c r="Y167" s="26"/>
      <c r="Z167" s="26"/>
      <c r="AA167" s="26"/>
      <c r="AB167" s="17"/>
      <c r="AC167" s="17"/>
      <c r="AD167" s="17"/>
      <c r="AE167" s="17"/>
      <c r="AF167" s="26"/>
      <c r="AG167" s="26"/>
      <c r="AH167" s="26"/>
      <c r="AI167" s="26"/>
      <c r="AJ167" s="17"/>
      <c r="AK167" s="17"/>
      <c r="AL167" s="17"/>
      <c r="AM167" s="17"/>
      <c r="AN167" s="26"/>
      <c r="AO167" s="26"/>
      <c r="AP167" s="26"/>
      <c r="AQ167" s="26"/>
      <c r="AR167" s="31"/>
      <c r="AS167" s="31"/>
      <c r="AT167" s="31"/>
      <c r="AU167" s="18"/>
      <c r="AV167" s="32"/>
    </row>
    <row r="168" spans="1:48">
      <c r="A168" s="34"/>
      <c r="B168" s="17"/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21"/>
      <c r="N168" s="18"/>
      <c r="O168" s="17"/>
      <c r="P168" s="17"/>
      <c r="Q168" s="17"/>
      <c r="R168" s="17"/>
      <c r="S168" s="17"/>
      <c r="T168" s="17"/>
      <c r="U168" s="17"/>
      <c r="V168" s="17"/>
      <c r="W168" s="17"/>
      <c r="X168" s="26"/>
      <c r="Y168" s="26"/>
      <c r="Z168" s="26"/>
      <c r="AA168" s="26"/>
      <c r="AB168" s="17"/>
      <c r="AC168" s="17"/>
      <c r="AD168" s="17"/>
      <c r="AE168" s="17"/>
      <c r="AF168" s="26"/>
      <c r="AG168" s="26"/>
      <c r="AH168" s="26"/>
      <c r="AI168" s="26"/>
      <c r="AJ168" s="17"/>
      <c r="AK168" s="17"/>
      <c r="AL168" s="17"/>
      <c r="AM168" s="17"/>
      <c r="AN168" s="26"/>
      <c r="AO168" s="26"/>
      <c r="AP168" s="26"/>
      <c r="AQ168" s="26"/>
      <c r="AR168" s="31"/>
      <c r="AS168" s="31"/>
      <c r="AT168" s="31"/>
      <c r="AU168" s="18"/>
      <c r="AV168" s="32"/>
    </row>
    <row r="169" spans="1:48">
      <c r="A169" s="34"/>
      <c r="B169" s="17"/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21"/>
      <c r="N169" s="18"/>
      <c r="O169" s="17"/>
      <c r="P169" s="17"/>
      <c r="Q169" s="17"/>
      <c r="R169" s="17"/>
      <c r="S169" s="17"/>
      <c r="T169" s="17"/>
      <c r="U169" s="17"/>
      <c r="V169" s="17"/>
      <c r="W169" s="17"/>
      <c r="X169" s="26"/>
      <c r="Y169" s="26"/>
      <c r="Z169" s="26"/>
      <c r="AA169" s="26"/>
      <c r="AB169" s="17"/>
      <c r="AC169" s="17"/>
      <c r="AD169" s="17"/>
      <c r="AE169" s="17"/>
      <c r="AF169" s="26"/>
      <c r="AG169" s="26"/>
      <c r="AH169" s="26"/>
      <c r="AI169" s="26"/>
      <c r="AJ169" s="17"/>
      <c r="AK169" s="17"/>
      <c r="AL169" s="17"/>
      <c r="AM169" s="17"/>
      <c r="AN169" s="26"/>
      <c r="AO169" s="26"/>
      <c r="AP169" s="26"/>
      <c r="AQ169" s="26"/>
      <c r="AR169" s="31"/>
      <c r="AS169" s="31"/>
      <c r="AT169" s="31"/>
      <c r="AU169" s="18"/>
      <c r="AV169" s="32"/>
    </row>
    <row r="170" spans="2:48">
      <c r="B170" s="35"/>
      <c r="D170" s="12"/>
      <c r="E170" s="12"/>
      <c r="F170" s="12"/>
      <c r="G170" s="12"/>
      <c r="H170" s="36"/>
      <c r="J170" s="19"/>
      <c r="K170" s="19"/>
      <c r="L170" s="19"/>
      <c r="AF170" s="6"/>
      <c r="AG170" s="6"/>
      <c r="AH170" s="6"/>
      <c r="AI170" s="6"/>
      <c r="AN170" s="6"/>
      <c r="AO170" s="6"/>
      <c r="AP170" s="6"/>
      <c r="AQ170" s="6"/>
      <c r="AR170" s="27"/>
      <c r="AS170" s="27"/>
      <c r="AT170" s="27"/>
      <c r="AU170" s="12"/>
      <c r="AV170" s="28"/>
    </row>
    <row r="171" spans="2:48">
      <c r="B171" s="37"/>
      <c r="D171" s="12"/>
      <c r="E171" s="12"/>
      <c r="F171" s="12"/>
      <c r="G171" s="12"/>
      <c r="H171" s="36"/>
      <c r="J171" s="19"/>
      <c r="K171" s="19"/>
      <c r="L171" s="19"/>
      <c r="AF171" s="6"/>
      <c r="AG171" s="6"/>
      <c r="AH171" s="6"/>
      <c r="AI171" s="6"/>
      <c r="AN171" s="6"/>
      <c r="AO171" s="6"/>
      <c r="AP171" s="6"/>
      <c r="AQ171" s="6"/>
      <c r="AR171" s="27"/>
      <c r="AS171" s="27"/>
      <c r="AT171" s="27"/>
      <c r="AU171" s="12"/>
      <c r="AV171" s="28"/>
    </row>
    <row r="172" spans="2:48">
      <c r="B172" s="35"/>
      <c r="D172" s="12"/>
      <c r="E172" s="12"/>
      <c r="F172" s="12"/>
      <c r="G172" s="12"/>
      <c r="H172" s="36"/>
      <c r="J172" s="19"/>
      <c r="K172" s="19"/>
      <c r="L172" s="19"/>
      <c r="AF172" s="6"/>
      <c r="AG172" s="6"/>
      <c r="AH172" s="6"/>
      <c r="AI172" s="6"/>
      <c r="AN172" s="6"/>
      <c r="AO172" s="6"/>
      <c r="AP172" s="6"/>
      <c r="AQ172" s="6"/>
      <c r="AR172" s="27"/>
      <c r="AS172" s="27"/>
      <c r="AT172" s="27"/>
      <c r="AU172" s="12"/>
      <c r="AV172" s="28"/>
    </row>
    <row r="173" spans="2:48">
      <c r="B173" s="37"/>
      <c r="D173" s="12"/>
      <c r="E173" s="12"/>
      <c r="F173" s="12"/>
      <c r="G173" s="12"/>
      <c r="H173" s="36"/>
      <c r="J173" s="19"/>
      <c r="K173" s="19"/>
      <c r="L173" s="19"/>
      <c r="AF173" s="6"/>
      <c r="AG173" s="6"/>
      <c r="AH173" s="6"/>
      <c r="AI173" s="6"/>
      <c r="AN173" s="6"/>
      <c r="AO173" s="6"/>
      <c r="AP173" s="6"/>
      <c r="AQ173" s="6"/>
      <c r="AR173" s="27"/>
      <c r="AS173" s="27"/>
      <c r="AT173" s="27"/>
      <c r="AU173" s="12"/>
      <c r="AV173" s="28"/>
    </row>
    <row r="174" spans="2:48">
      <c r="B174" s="35"/>
      <c r="D174" s="12"/>
      <c r="E174" s="12"/>
      <c r="F174" s="12"/>
      <c r="G174" s="12"/>
      <c r="H174" s="36"/>
      <c r="J174" s="19"/>
      <c r="K174" s="19"/>
      <c r="L174" s="19"/>
      <c r="AF174" s="6"/>
      <c r="AG174" s="6"/>
      <c r="AH174" s="6"/>
      <c r="AI174" s="6"/>
      <c r="AN174" s="6"/>
      <c r="AO174" s="6"/>
      <c r="AP174" s="6"/>
      <c r="AQ174" s="6"/>
      <c r="AR174" s="27"/>
      <c r="AS174" s="27"/>
      <c r="AT174" s="27"/>
      <c r="AU174" s="12"/>
      <c r="AV174" s="28"/>
    </row>
    <row r="175" spans="2:48">
      <c r="B175" s="37"/>
      <c r="D175" s="12"/>
      <c r="E175" s="12"/>
      <c r="F175" s="12"/>
      <c r="G175" s="12"/>
      <c r="H175" s="36"/>
      <c r="J175" s="19"/>
      <c r="K175" s="19"/>
      <c r="L175" s="19"/>
      <c r="AF175" s="6"/>
      <c r="AG175" s="6"/>
      <c r="AH175" s="6"/>
      <c r="AI175" s="6"/>
      <c r="AN175" s="6"/>
      <c r="AO175" s="6"/>
      <c r="AP175" s="6"/>
      <c r="AQ175" s="6"/>
      <c r="AR175" s="27"/>
      <c r="AS175" s="27"/>
      <c r="AT175" s="27"/>
      <c r="AU175" s="12"/>
      <c r="AV175" s="28"/>
    </row>
    <row r="176" spans="2:48">
      <c r="B176" s="35"/>
      <c r="D176" s="12"/>
      <c r="E176" s="12"/>
      <c r="F176" s="12"/>
      <c r="G176" s="12"/>
      <c r="H176" s="36"/>
      <c r="J176" s="19"/>
      <c r="K176" s="19"/>
      <c r="L176" s="19"/>
      <c r="AF176" s="6"/>
      <c r="AG176" s="6"/>
      <c r="AH176" s="6"/>
      <c r="AI176" s="6"/>
      <c r="AN176" s="6"/>
      <c r="AO176" s="6"/>
      <c r="AP176" s="6"/>
      <c r="AQ176" s="6"/>
      <c r="AR176" s="27"/>
      <c r="AS176" s="27"/>
      <c r="AT176" s="27"/>
      <c r="AU176" s="12"/>
      <c r="AV176" s="28"/>
    </row>
    <row r="177" spans="2:48">
      <c r="B177" s="37"/>
      <c r="D177" s="12"/>
      <c r="E177" s="12"/>
      <c r="F177" s="12"/>
      <c r="G177" s="12"/>
      <c r="H177" s="36"/>
      <c r="J177" s="19"/>
      <c r="K177" s="19"/>
      <c r="L177" s="19"/>
      <c r="AF177" s="6"/>
      <c r="AG177" s="6"/>
      <c r="AH177" s="6"/>
      <c r="AI177" s="6"/>
      <c r="AN177" s="6"/>
      <c r="AO177" s="6"/>
      <c r="AP177" s="6"/>
      <c r="AQ177" s="6"/>
      <c r="AR177" s="27"/>
      <c r="AS177" s="27"/>
      <c r="AT177" s="27"/>
      <c r="AU177" s="12"/>
      <c r="AV177" s="28"/>
    </row>
    <row r="178" spans="2:48">
      <c r="B178" s="35"/>
      <c r="D178" s="12"/>
      <c r="E178" s="12"/>
      <c r="F178" s="12"/>
      <c r="G178" s="12"/>
      <c r="H178" s="36"/>
      <c r="J178" s="19"/>
      <c r="K178" s="19"/>
      <c r="L178" s="19"/>
      <c r="AF178" s="6"/>
      <c r="AG178" s="6"/>
      <c r="AH178" s="6"/>
      <c r="AI178" s="6"/>
      <c r="AN178" s="6"/>
      <c r="AO178" s="6"/>
      <c r="AP178" s="6"/>
      <c r="AQ178" s="6"/>
      <c r="AR178" s="27"/>
      <c r="AS178" s="27"/>
      <c r="AT178" s="27"/>
      <c r="AU178" s="12"/>
      <c r="AV178" s="28"/>
    </row>
    <row r="179" spans="2:48">
      <c r="B179" s="37"/>
      <c r="D179" s="12"/>
      <c r="E179" s="12"/>
      <c r="F179" s="12"/>
      <c r="G179" s="12"/>
      <c r="H179" s="36"/>
      <c r="J179" s="19"/>
      <c r="K179" s="19"/>
      <c r="L179" s="19"/>
      <c r="AF179" s="6"/>
      <c r="AG179" s="6"/>
      <c r="AH179" s="6"/>
      <c r="AI179" s="6"/>
      <c r="AN179" s="6"/>
      <c r="AO179" s="6"/>
      <c r="AP179" s="6"/>
      <c r="AQ179" s="6"/>
      <c r="AR179" s="27"/>
      <c r="AS179" s="27"/>
      <c r="AT179" s="27"/>
      <c r="AU179" s="12"/>
      <c r="AV179" s="28"/>
    </row>
    <row r="180" spans="2:48">
      <c r="B180" s="35"/>
      <c r="D180" s="12"/>
      <c r="E180" s="12"/>
      <c r="F180" s="12"/>
      <c r="G180" s="12"/>
      <c r="H180" s="36"/>
      <c r="J180" s="19"/>
      <c r="K180" s="19"/>
      <c r="L180" s="19"/>
      <c r="AF180" s="6"/>
      <c r="AG180" s="6"/>
      <c r="AH180" s="6"/>
      <c r="AI180" s="6"/>
      <c r="AN180" s="6"/>
      <c r="AO180" s="6"/>
      <c r="AP180" s="6"/>
      <c r="AQ180" s="6"/>
      <c r="AR180" s="27"/>
      <c r="AS180" s="27"/>
      <c r="AT180" s="27"/>
      <c r="AU180" s="12"/>
      <c r="AV180" s="28"/>
    </row>
    <row r="181" spans="2:48">
      <c r="B181" s="37"/>
      <c r="D181" s="12"/>
      <c r="E181" s="12"/>
      <c r="F181" s="12"/>
      <c r="G181" s="12"/>
      <c r="H181" s="36"/>
      <c r="J181" s="19"/>
      <c r="K181" s="19"/>
      <c r="L181" s="19"/>
      <c r="AF181" s="6"/>
      <c r="AG181" s="6"/>
      <c r="AH181" s="6"/>
      <c r="AI181" s="6"/>
      <c r="AN181" s="6"/>
      <c r="AO181" s="6"/>
      <c r="AP181" s="6"/>
      <c r="AQ181" s="6"/>
      <c r="AR181" s="27"/>
      <c r="AS181" s="27"/>
      <c r="AT181" s="27"/>
      <c r="AU181" s="12"/>
      <c r="AV181" s="28"/>
    </row>
    <row r="182" spans="2:48">
      <c r="B182" s="35"/>
      <c r="D182" s="12"/>
      <c r="E182" s="12"/>
      <c r="F182" s="12"/>
      <c r="G182" s="12"/>
      <c r="H182" s="36"/>
      <c r="J182" s="19"/>
      <c r="K182" s="19"/>
      <c r="L182" s="19"/>
      <c r="AF182" s="6"/>
      <c r="AG182" s="6"/>
      <c r="AH182" s="6"/>
      <c r="AI182" s="6"/>
      <c r="AN182" s="6"/>
      <c r="AO182" s="6"/>
      <c r="AP182" s="6"/>
      <c r="AQ182" s="6"/>
      <c r="AR182" s="27"/>
      <c r="AS182" s="27"/>
      <c r="AT182" s="27"/>
      <c r="AU182" s="12"/>
      <c r="AV182" s="28"/>
    </row>
    <row r="183" spans="2:48">
      <c r="B183" s="37"/>
      <c r="D183" s="12"/>
      <c r="E183" s="12"/>
      <c r="F183" s="12"/>
      <c r="G183" s="12"/>
      <c r="H183" s="36"/>
      <c r="J183" s="19"/>
      <c r="K183" s="19"/>
      <c r="L183" s="19"/>
      <c r="AF183" s="6"/>
      <c r="AG183" s="6"/>
      <c r="AH183" s="6"/>
      <c r="AI183" s="6"/>
      <c r="AN183" s="6"/>
      <c r="AO183" s="6"/>
      <c r="AP183" s="6"/>
      <c r="AQ183" s="6"/>
      <c r="AR183" s="27"/>
      <c r="AS183" s="27"/>
      <c r="AT183" s="27"/>
      <c r="AU183" s="12"/>
      <c r="AV183" s="28"/>
    </row>
    <row r="184" spans="2:48">
      <c r="B184" s="35"/>
      <c r="D184" s="12"/>
      <c r="E184" s="12"/>
      <c r="F184" s="12"/>
      <c r="G184" s="12"/>
      <c r="H184" s="36"/>
      <c r="J184" s="19"/>
      <c r="K184" s="19"/>
      <c r="L184" s="19"/>
      <c r="AF184" s="6"/>
      <c r="AG184" s="6"/>
      <c r="AH184" s="6"/>
      <c r="AI184" s="6"/>
      <c r="AN184" s="6"/>
      <c r="AO184" s="6"/>
      <c r="AP184" s="6"/>
      <c r="AQ184" s="6"/>
      <c r="AR184" s="27"/>
      <c r="AS184" s="27"/>
      <c r="AT184" s="27"/>
      <c r="AU184" s="12"/>
      <c r="AV184" s="28"/>
    </row>
    <row r="185" spans="2:48">
      <c r="B185" s="37"/>
      <c r="D185" s="12"/>
      <c r="E185" s="12"/>
      <c r="F185" s="12"/>
      <c r="G185" s="12"/>
      <c r="H185" s="36"/>
      <c r="J185" s="19"/>
      <c r="K185" s="19"/>
      <c r="L185" s="19"/>
      <c r="AF185" s="6"/>
      <c r="AG185" s="6"/>
      <c r="AH185" s="6"/>
      <c r="AI185" s="6"/>
      <c r="AN185" s="6"/>
      <c r="AO185" s="6"/>
      <c r="AP185" s="6"/>
      <c r="AQ185" s="6"/>
      <c r="AR185" s="27"/>
      <c r="AS185" s="27"/>
      <c r="AT185" s="27"/>
      <c r="AU185" s="12"/>
      <c r="AV185" s="28"/>
    </row>
    <row r="186" spans="2:48">
      <c r="B186" s="35"/>
      <c r="D186" s="12"/>
      <c r="E186" s="12"/>
      <c r="F186" s="12"/>
      <c r="G186" s="12"/>
      <c r="H186" s="36"/>
      <c r="J186" s="19"/>
      <c r="K186" s="19"/>
      <c r="L186" s="19"/>
      <c r="AF186" s="6"/>
      <c r="AG186" s="6"/>
      <c r="AH186" s="6"/>
      <c r="AI186" s="6"/>
      <c r="AN186" s="6"/>
      <c r="AO186" s="6"/>
      <c r="AP186" s="6"/>
      <c r="AQ186" s="6"/>
      <c r="AR186" s="27"/>
      <c r="AS186" s="27"/>
      <c r="AT186" s="27"/>
      <c r="AU186" s="12"/>
      <c r="AV186" s="28"/>
    </row>
    <row r="187" spans="2:48">
      <c r="B187" s="37"/>
      <c r="D187" s="12"/>
      <c r="E187" s="12"/>
      <c r="F187" s="12"/>
      <c r="G187" s="12"/>
      <c r="H187" s="36"/>
      <c r="J187" s="19"/>
      <c r="K187" s="19"/>
      <c r="L187" s="19"/>
      <c r="AF187" s="6"/>
      <c r="AG187" s="6"/>
      <c r="AH187" s="6"/>
      <c r="AI187" s="6"/>
      <c r="AN187" s="6"/>
      <c r="AO187" s="6"/>
      <c r="AP187" s="6"/>
      <c r="AQ187" s="6"/>
      <c r="AR187" s="27"/>
      <c r="AS187" s="27"/>
      <c r="AT187" s="27"/>
      <c r="AU187" s="12"/>
      <c r="AV187" s="28"/>
    </row>
    <row r="188" spans="2:48">
      <c r="B188" s="35"/>
      <c r="D188" s="12"/>
      <c r="E188" s="12"/>
      <c r="F188" s="12"/>
      <c r="G188" s="12"/>
      <c r="H188" s="36"/>
      <c r="J188" s="19"/>
      <c r="K188" s="19"/>
      <c r="L188" s="19"/>
      <c r="AF188" s="6"/>
      <c r="AG188" s="6"/>
      <c r="AH188" s="6"/>
      <c r="AI188" s="6"/>
      <c r="AN188" s="6"/>
      <c r="AO188" s="6"/>
      <c r="AP188" s="6"/>
      <c r="AQ188" s="6"/>
      <c r="AR188" s="27"/>
      <c r="AS188" s="27"/>
      <c r="AT188" s="27"/>
      <c r="AU188" s="12"/>
      <c r="AV188" s="28"/>
    </row>
    <row r="189" spans="2:48">
      <c r="B189" s="37"/>
      <c r="D189" s="12"/>
      <c r="E189" s="12"/>
      <c r="F189" s="12"/>
      <c r="G189" s="12"/>
      <c r="H189" s="36"/>
      <c r="J189" s="19"/>
      <c r="K189" s="19"/>
      <c r="L189" s="19"/>
      <c r="AF189" s="6"/>
      <c r="AG189" s="6"/>
      <c r="AH189" s="6"/>
      <c r="AI189" s="6"/>
      <c r="AN189" s="6"/>
      <c r="AO189" s="6"/>
      <c r="AP189" s="6"/>
      <c r="AQ189" s="6"/>
      <c r="AR189" s="27"/>
      <c r="AS189" s="27"/>
      <c r="AT189" s="27"/>
      <c r="AU189" s="12"/>
      <c r="AV189" s="28"/>
    </row>
    <row r="190" spans="2:48">
      <c r="B190" s="35"/>
      <c r="D190" s="12"/>
      <c r="E190" s="12"/>
      <c r="F190" s="12"/>
      <c r="G190" s="12"/>
      <c r="H190" s="36"/>
      <c r="J190" s="19"/>
      <c r="K190" s="19"/>
      <c r="L190" s="19"/>
      <c r="AF190" s="6"/>
      <c r="AG190" s="6"/>
      <c r="AH190" s="6"/>
      <c r="AI190" s="6"/>
      <c r="AN190" s="6"/>
      <c r="AO190" s="6"/>
      <c r="AP190" s="6"/>
      <c r="AQ190" s="6"/>
      <c r="AR190" s="27"/>
      <c r="AS190" s="27"/>
      <c r="AT190" s="27"/>
      <c r="AU190" s="12"/>
      <c r="AV190" s="28"/>
    </row>
    <row r="191" spans="2:48">
      <c r="B191" s="37"/>
      <c r="D191" s="12"/>
      <c r="E191" s="12"/>
      <c r="F191" s="12"/>
      <c r="G191" s="12"/>
      <c r="H191" s="36"/>
      <c r="J191" s="19"/>
      <c r="K191" s="19"/>
      <c r="L191" s="19"/>
      <c r="AF191" s="6"/>
      <c r="AG191" s="6"/>
      <c r="AH191" s="6"/>
      <c r="AI191" s="6"/>
      <c r="AN191" s="6"/>
      <c r="AO191" s="6"/>
      <c r="AP191" s="6"/>
      <c r="AQ191" s="6"/>
      <c r="AR191" s="27"/>
      <c r="AS191" s="27"/>
      <c r="AT191" s="27"/>
      <c r="AU191" s="12"/>
      <c r="AV191" s="28"/>
    </row>
    <row r="192" spans="2:48">
      <c r="B192" s="35"/>
      <c r="D192" s="12"/>
      <c r="E192" s="12"/>
      <c r="F192" s="12"/>
      <c r="G192" s="12"/>
      <c r="H192" s="36"/>
      <c r="J192" s="19"/>
      <c r="K192" s="19"/>
      <c r="L192" s="19"/>
      <c r="AF192" s="6"/>
      <c r="AG192" s="6"/>
      <c r="AH192" s="6"/>
      <c r="AI192" s="6"/>
      <c r="AN192" s="6"/>
      <c r="AO192" s="6"/>
      <c r="AP192" s="6"/>
      <c r="AQ192" s="6"/>
      <c r="AR192" s="27"/>
      <c r="AS192" s="27"/>
      <c r="AT192" s="27"/>
      <c r="AU192" s="12"/>
      <c r="AV192" s="28"/>
    </row>
    <row r="193" spans="2:48">
      <c r="B193" s="37"/>
      <c r="D193" s="12"/>
      <c r="E193" s="12"/>
      <c r="F193" s="12"/>
      <c r="G193" s="12"/>
      <c r="H193" s="36"/>
      <c r="J193" s="19"/>
      <c r="K193" s="19"/>
      <c r="L193" s="19"/>
      <c r="AF193" s="6"/>
      <c r="AG193" s="6"/>
      <c r="AH193" s="6"/>
      <c r="AI193" s="6"/>
      <c r="AN193" s="6"/>
      <c r="AO193" s="6"/>
      <c r="AP193" s="6"/>
      <c r="AQ193" s="6"/>
      <c r="AR193" s="27"/>
      <c r="AS193" s="27"/>
      <c r="AT193" s="27"/>
      <c r="AU193" s="12"/>
      <c r="AV193" s="28"/>
    </row>
    <row r="194" spans="2:48">
      <c r="B194" s="35"/>
      <c r="D194" s="12"/>
      <c r="E194" s="12"/>
      <c r="F194" s="12"/>
      <c r="G194" s="12"/>
      <c r="H194" s="36"/>
      <c r="J194" s="19"/>
      <c r="K194" s="19"/>
      <c r="L194" s="19"/>
      <c r="AF194" s="6"/>
      <c r="AG194" s="6"/>
      <c r="AH194" s="6"/>
      <c r="AI194" s="6"/>
      <c r="AN194" s="6"/>
      <c r="AO194" s="6"/>
      <c r="AP194" s="6"/>
      <c r="AQ194" s="6"/>
      <c r="AR194" s="27"/>
      <c r="AS194" s="27"/>
      <c r="AT194" s="27"/>
      <c r="AU194" s="12"/>
      <c r="AV194" s="28"/>
    </row>
    <row r="195" spans="2:48">
      <c r="B195" s="37"/>
      <c r="D195" s="12"/>
      <c r="E195" s="12"/>
      <c r="F195" s="12"/>
      <c r="G195" s="12"/>
      <c r="H195" s="36"/>
      <c r="J195" s="19"/>
      <c r="K195" s="19"/>
      <c r="L195" s="19"/>
      <c r="AF195" s="6"/>
      <c r="AG195" s="6"/>
      <c r="AH195" s="6"/>
      <c r="AI195" s="6"/>
      <c r="AN195" s="6"/>
      <c r="AO195" s="6"/>
      <c r="AP195" s="6"/>
      <c r="AQ195" s="6"/>
      <c r="AR195" s="27"/>
      <c r="AS195" s="27"/>
      <c r="AT195" s="27"/>
      <c r="AU195" s="12"/>
      <c r="AV195" s="28"/>
    </row>
    <row r="196" spans="2:48">
      <c r="B196" s="35"/>
      <c r="D196" s="12"/>
      <c r="E196" s="12"/>
      <c r="F196" s="12"/>
      <c r="G196" s="12"/>
      <c r="H196" s="36"/>
      <c r="J196" s="19"/>
      <c r="K196" s="19"/>
      <c r="L196" s="19"/>
      <c r="AF196" s="6"/>
      <c r="AG196" s="6"/>
      <c r="AH196" s="6"/>
      <c r="AI196" s="6"/>
      <c r="AN196" s="6"/>
      <c r="AO196" s="6"/>
      <c r="AP196" s="6"/>
      <c r="AQ196" s="6"/>
      <c r="AR196" s="27"/>
      <c r="AS196" s="27"/>
      <c r="AT196" s="27"/>
      <c r="AU196" s="12"/>
      <c r="AV196" s="28"/>
    </row>
    <row r="197" spans="2:48">
      <c r="B197" s="37"/>
      <c r="D197" s="12"/>
      <c r="E197" s="12"/>
      <c r="F197" s="12"/>
      <c r="G197" s="12"/>
      <c r="H197" s="36"/>
      <c r="J197" s="19"/>
      <c r="K197" s="19"/>
      <c r="L197" s="19"/>
      <c r="AF197" s="6"/>
      <c r="AG197" s="6"/>
      <c r="AH197" s="6"/>
      <c r="AI197" s="6"/>
      <c r="AN197" s="6"/>
      <c r="AO197" s="6"/>
      <c r="AP197" s="6"/>
      <c r="AQ197" s="6"/>
      <c r="AR197" s="27"/>
      <c r="AS197" s="27"/>
      <c r="AT197" s="27"/>
      <c r="AU197" s="12"/>
      <c r="AV197" s="28"/>
    </row>
    <row r="198" spans="2:48">
      <c r="B198" s="35"/>
      <c r="D198" s="12"/>
      <c r="E198" s="12"/>
      <c r="F198" s="12"/>
      <c r="G198" s="12"/>
      <c r="H198" s="36"/>
      <c r="J198" s="19"/>
      <c r="K198" s="19"/>
      <c r="L198" s="19"/>
      <c r="AF198" s="6"/>
      <c r="AG198" s="6"/>
      <c r="AH198" s="6"/>
      <c r="AI198" s="6"/>
      <c r="AN198" s="6"/>
      <c r="AO198" s="6"/>
      <c r="AP198" s="6"/>
      <c r="AQ198" s="6"/>
      <c r="AR198" s="27"/>
      <c r="AS198" s="27"/>
      <c r="AT198" s="27"/>
      <c r="AU198" s="12"/>
      <c r="AV198" s="28"/>
    </row>
    <row r="199" spans="2:48">
      <c r="B199" s="37"/>
      <c r="D199" s="12"/>
      <c r="E199" s="12"/>
      <c r="F199" s="12"/>
      <c r="G199" s="12"/>
      <c r="H199" s="36"/>
      <c r="J199" s="19"/>
      <c r="K199" s="19"/>
      <c r="L199" s="19"/>
      <c r="AF199" s="6"/>
      <c r="AG199" s="6"/>
      <c r="AH199" s="6"/>
      <c r="AI199" s="6"/>
      <c r="AN199" s="6"/>
      <c r="AO199" s="6"/>
      <c r="AP199" s="6"/>
      <c r="AQ199" s="6"/>
      <c r="AR199" s="27"/>
      <c r="AS199" s="27"/>
      <c r="AT199" s="27"/>
      <c r="AU199" s="12"/>
      <c r="AV199" s="28"/>
    </row>
    <row r="200" spans="2:48">
      <c r="B200" s="35"/>
      <c r="D200" s="12"/>
      <c r="E200" s="12"/>
      <c r="F200" s="12"/>
      <c r="G200" s="12"/>
      <c r="H200" s="36"/>
      <c r="J200" s="19"/>
      <c r="K200" s="19"/>
      <c r="L200" s="19"/>
      <c r="AF200" s="6"/>
      <c r="AG200" s="6"/>
      <c r="AH200" s="6"/>
      <c r="AI200" s="6"/>
      <c r="AN200" s="6"/>
      <c r="AO200" s="6"/>
      <c r="AP200" s="6"/>
      <c r="AQ200" s="6"/>
      <c r="AR200" s="27"/>
      <c r="AS200" s="27"/>
      <c r="AT200" s="27"/>
      <c r="AU200" s="12"/>
      <c r="AV200" s="28"/>
    </row>
    <row r="201" spans="2:48">
      <c r="B201" s="37"/>
      <c r="D201" s="12"/>
      <c r="E201" s="12"/>
      <c r="F201" s="12"/>
      <c r="G201" s="12"/>
      <c r="H201" s="36"/>
      <c r="J201" s="19"/>
      <c r="K201" s="19"/>
      <c r="L201" s="19"/>
      <c r="AF201" s="6"/>
      <c r="AG201" s="6"/>
      <c r="AH201" s="6"/>
      <c r="AI201" s="6"/>
      <c r="AN201" s="6"/>
      <c r="AO201" s="6"/>
      <c r="AP201" s="6"/>
      <c r="AQ201" s="6"/>
      <c r="AR201" s="27"/>
      <c r="AS201" s="27"/>
      <c r="AT201" s="27"/>
      <c r="AU201" s="12"/>
      <c r="AV201" s="28"/>
    </row>
    <row r="202" spans="2:48">
      <c r="B202" s="35"/>
      <c r="D202" s="12"/>
      <c r="E202" s="12"/>
      <c r="F202" s="12"/>
      <c r="G202" s="12"/>
      <c r="H202" s="36"/>
      <c r="J202" s="19"/>
      <c r="K202" s="19"/>
      <c r="L202" s="19"/>
      <c r="AF202" s="6"/>
      <c r="AG202" s="6"/>
      <c r="AH202" s="6"/>
      <c r="AI202" s="6"/>
      <c r="AN202" s="6"/>
      <c r="AO202" s="6"/>
      <c r="AP202" s="6"/>
      <c r="AQ202" s="6"/>
      <c r="AR202" s="27"/>
      <c r="AS202" s="27"/>
      <c r="AT202" s="27"/>
      <c r="AU202" s="12"/>
      <c r="AV202" s="28"/>
    </row>
    <row r="203" spans="2:48">
      <c r="B203" s="37"/>
      <c r="D203" s="12"/>
      <c r="E203" s="12"/>
      <c r="F203" s="12"/>
      <c r="G203" s="12"/>
      <c r="H203" s="36"/>
      <c r="J203" s="19"/>
      <c r="K203" s="19"/>
      <c r="L203" s="19"/>
      <c r="AF203" s="6"/>
      <c r="AG203" s="6"/>
      <c r="AH203" s="6"/>
      <c r="AI203" s="6"/>
      <c r="AN203" s="6"/>
      <c r="AO203" s="6"/>
      <c r="AP203" s="6"/>
      <c r="AQ203" s="6"/>
      <c r="AR203" s="27"/>
      <c r="AS203" s="27"/>
      <c r="AT203" s="27"/>
      <c r="AU203" s="12"/>
      <c r="AV203" s="28"/>
    </row>
    <row r="204" spans="2:48">
      <c r="B204" s="35"/>
      <c r="D204" s="12"/>
      <c r="E204" s="12"/>
      <c r="F204" s="12"/>
      <c r="G204" s="12"/>
      <c r="H204" s="36"/>
      <c r="J204" s="19"/>
      <c r="K204" s="19"/>
      <c r="L204" s="19"/>
      <c r="AF204" s="6"/>
      <c r="AG204" s="6"/>
      <c r="AH204" s="6"/>
      <c r="AI204" s="6"/>
      <c r="AN204" s="6"/>
      <c r="AO204" s="6"/>
      <c r="AP204" s="6"/>
      <c r="AQ204" s="6"/>
      <c r="AR204" s="27"/>
      <c r="AS204" s="27"/>
      <c r="AT204" s="27"/>
      <c r="AU204" s="12"/>
      <c r="AV204" s="28"/>
    </row>
    <row r="205" spans="2:48">
      <c r="B205" s="37"/>
      <c r="D205" s="12"/>
      <c r="E205" s="12"/>
      <c r="F205" s="12"/>
      <c r="G205" s="12"/>
      <c r="H205" s="36"/>
      <c r="J205" s="19"/>
      <c r="K205" s="19"/>
      <c r="L205" s="19"/>
      <c r="AF205" s="6"/>
      <c r="AG205" s="6"/>
      <c r="AH205" s="6"/>
      <c r="AI205" s="6"/>
      <c r="AN205" s="6"/>
      <c r="AO205" s="6"/>
      <c r="AP205" s="6"/>
      <c r="AQ205" s="6"/>
      <c r="AR205" s="27"/>
      <c r="AS205" s="27"/>
      <c r="AT205" s="27"/>
      <c r="AU205" s="12"/>
      <c r="AV205" s="28"/>
    </row>
    <row r="206" spans="2:48">
      <c r="B206" s="35"/>
      <c r="D206" s="12"/>
      <c r="E206" s="12"/>
      <c r="F206" s="12"/>
      <c r="G206" s="12"/>
      <c r="H206" s="36"/>
      <c r="J206" s="19"/>
      <c r="K206" s="19"/>
      <c r="L206" s="19"/>
      <c r="AF206" s="6"/>
      <c r="AG206" s="6"/>
      <c r="AH206" s="6"/>
      <c r="AI206" s="6"/>
      <c r="AN206" s="6"/>
      <c r="AO206" s="6"/>
      <c r="AP206" s="6"/>
      <c r="AQ206" s="6"/>
      <c r="AR206" s="27"/>
      <c r="AS206" s="27"/>
      <c r="AT206" s="27"/>
      <c r="AU206" s="12"/>
      <c r="AV206" s="28"/>
    </row>
    <row r="207" spans="2:48">
      <c r="B207" s="37"/>
      <c r="D207" s="12"/>
      <c r="E207" s="12"/>
      <c r="F207" s="12"/>
      <c r="G207" s="12"/>
      <c r="H207" s="36"/>
      <c r="J207" s="19"/>
      <c r="K207" s="19"/>
      <c r="L207" s="19"/>
      <c r="AF207" s="6"/>
      <c r="AG207" s="6"/>
      <c r="AH207" s="6"/>
      <c r="AI207" s="6"/>
      <c r="AN207" s="6"/>
      <c r="AO207" s="6"/>
      <c r="AP207" s="6"/>
      <c r="AQ207" s="6"/>
      <c r="AR207" s="27"/>
      <c r="AS207" s="27"/>
      <c r="AT207" s="27"/>
      <c r="AU207" s="12"/>
      <c r="AV207" s="28"/>
    </row>
    <row r="208" spans="2:48">
      <c r="B208" s="35"/>
      <c r="D208" s="12"/>
      <c r="E208" s="12"/>
      <c r="F208" s="12"/>
      <c r="G208" s="12"/>
      <c r="H208" s="36"/>
      <c r="J208" s="19"/>
      <c r="K208" s="19"/>
      <c r="L208" s="19"/>
      <c r="AF208" s="6"/>
      <c r="AG208" s="6"/>
      <c r="AH208" s="6"/>
      <c r="AI208" s="6"/>
      <c r="AN208" s="6"/>
      <c r="AO208" s="6"/>
      <c r="AP208" s="6"/>
      <c r="AQ208" s="6"/>
      <c r="AR208" s="27"/>
      <c r="AS208" s="27"/>
      <c r="AT208" s="27"/>
      <c r="AU208" s="12"/>
      <c r="AV208" s="28"/>
    </row>
    <row r="209" spans="2:48">
      <c r="B209" s="37"/>
      <c r="D209" s="12"/>
      <c r="E209" s="12"/>
      <c r="F209" s="12"/>
      <c r="G209" s="12"/>
      <c r="H209" s="36"/>
      <c r="J209" s="19"/>
      <c r="K209" s="19"/>
      <c r="L209" s="19"/>
      <c r="AF209" s="6"/>
      <c r="AG209" s="6"/>
      <c r="AH209" s="6"/>
      <c r="AI209" s="6"/>
      <c r="AN209" s="6"/>
      <c r="AO209" s="6"/>
      <c r="AP209" s="6"/>
      <c r="AQ209" s="6"/>
      <c r="AR209" s="27"/>
      <c r="AS209" s="27"/>
      <c r="AT209" s="27"/>
      <c r="AU209" s="12"/>
      <c r="AV209" s="28"/>
    </row>
    <row r="210" spans="2:48">
      <c r="B210" s="35"/>
      <c r="D210" s="12"/>
      <c r="E210" s="12"/>
      <c r="F210" s="12"/>
      <c r="G210" s="12"/>
      <c r="H210" s="36"/>
      <c r="J210" s="19"/>
      <c r="K210" s="19"/>
      <c r="L210" s="19"/>
      <c r="AF210" s="6"/>
      <c r="AG210" s="6"/>
      <c r="AH210" s="6"/>
      <c r="AI210" s="6"/>
      <c r="AN210" s="6"/>
      <c r="AO210" s="6"/>
      <c r="AP210" s="6"/>
      <c r="AQ210" s="6"/>
      <c r="AR210" s="27"/>
      <c r="AS210" s="27"/>
      <c r="AT210" s="27"/>
      <c r="AU210" s="12"/>
      <c r="AV210" s="28"/>
    </row>
    <row r="211" spans="2:48">
      <c r="B211" s="37"/>
      <c r="D211" s="12"/>
      <c r="E211" s="12"/>
      <c r="F211" s="12"/>
      <c r="G211" s="12"/>
      <c r="H211" s="36"/>
      <c r="J211" s="19"/>
      <c r="K211" s="19"/>
      <c r="L211" s="19"/>
      <c r="AF211" s="6"/>
      <c r="AG211" s="6"/>
      <c r="AH211" s="6"/>
      <c r="AI211" s="6"/>
      <c r="AN211" s="6"/>
      <c r="AO211" s="6"/>
      <c r="AP211" s="6"/>
      <c r="AQ211" s="6"/>
      <c r="AR211" s="27"/>
      <c r="AS211" s="27"/>
      <c r="AT211" s="27"/>
      <c r="AU211" s="12"/>
      <c r="AV211" s="28"/>
    </row>
    <row r="212" spans="2:48">
      <c r="B212" s="35"/>
      <c r="D212" s="12"/>
      <c r="E212" s="12"/>
      <c r="F212" s="12"/>
      <c r="G212" s="12"/>
      <c r="H212" s="36"/>
      <c r="J212" s="19"/>
      <c r="K212" s="19"/>
      <c r="L212" s="19"/>
      <c r="AF212" s="6"/>
      <c r="AG212" s="6"/>
      <c r="AH212" s="6"/>
      <c r="AI212" s="6"/>
      <c r="AN212" s="6"/>
      <c r="AO212" s="6"/>
      <c r="AP212" s="6"/>
      <c r="AQ212" s="6"/>
      <c r="AR212" s="27"/>
      <c r="AS212" s="27"/>
      <c r="AT212" s="27"/>
      <c r="AU212" s="12"/>
      <c r="AV212" s="28"/>
    </row>
    <row r="213" spans="2:48">
      <c r="B213" s="37"/>
      <c r="D213" s="12"/>
      <c r="E213" s="12"/>
      <c r="F213" s="12"/>
      <c r="G213" s="12"/>
      <c r="H213" s="36"/>
      <c r="J213" s="19"/>
      <c r="K213" s="19"/>
      <c r="L213" s="19"/>
      <c r="AF213" s="6"/>
      <c r="AG213" s="6"/>
      <c r="AH213" s="6"/>
      <c r="AI213" s="6"/>
      <c r="AN213" s="6"/>
      <c r="AO213" s="6"/>
      <c r="AP213" s="6"/>
      <c r="AQ213" s="6"/>
      <c r="AR213" s="27"/>
      <c r="AS213" s="27"/>
      <c r="AT213" s="27"/>
      <c r="AU213" s="12"/>
      <c r="AV213" s="28"/>
    </row>
    <row r="214" spans="2:48">
      <c r="B214" s="35"/>
      <c r="D214" s="12"/>
      <c r="E214" s="12"/>
      <c r="F214" s="12"/>
      <c r="G214" s="12"/>
      <c r="H214" s="36"/>
      <c r="J214" s="19"/>
      <c r="K214" s="19"/>
      <c r="L214" s="19"/>
      <c r="AF214" s="6"/>
      <c r="AG214" s="6"/>
      <c r="AH214" s="6"/>
      <c r="AI214" s="6"/>
      <c r="AN214" s="6"/>
      <c r="AO214" s="6"/>
      <c r="AP214" s="6"/>
      <c r="AQ214" s="6"/>
      <c r="AR214" s="27"/>
      <c r="AS214" s="27"/>
      <c r="AT214" s="27"/>
      <c r="AU214" s="12"/>
      <c r="AV214" s="28"/>
    </row>
    <row r="215" spans="2:48">
      <c r="B215" s="37"/>
      <c r="D215" s="12"/>
      <c r="E215" s="12"/>
      <c r="F215" s="12"/>
      <c r="G215" s="12"/>
      <c r="H215" s="36"/>
      <c r="J215" s="19"/>
      <c r="K215" s="19"/>
      <c r="L215" s="19"/>
      <c r="AF215" s="6"/>
      <c r="AG215" s="6"/>
      <c r="AH215" s="6"/>
      <c r="AI215" s="6"/>
      <c r="AN215" s="6"/>
      <c r="AO215" s="6"/>
      <c r="AP215" s="6"/>
      <c r="AQ215" s="6"/>
      <c r="AR215" s="27"/>
      <c r="AS215" s="27"/>
      <c r="AT215" s="27"/>
      <c r="AU215" s="12"/>
      <c r="AV215" s="28"/>
    </row>
    <row r="216" spans="2:48">
      <c r="B216" s="35"/>
      <c r="D216" s="12"/>
      <c r="E216" s="12"/>
      <c r="F216" s="12"/>
      <c r="G216" s="12"/>
      <c r="H216" s="36"/>
      <c r="J216" s="19"/>
      <c r="K216" s="19"/>
      <c r="L216" s="19"/>
      <c r="AF216" s="6"/>
      <c r="AG216" s="6"/>
      <c r="AH216" s="6"/>
      <c r="AI216" s="6"/>
      <c r="AN216" s="6"/>
      <c r="AO216" s="6"/>
      <c r="AP216" s="6"/>
      <c r="AQ216" s="6"/>
      <c r="AR216" s="27"/>
      <c r="AS216" s="27"/>
      <c r="AT216" s="27"/>
      <c r="AU216" s="12"/>
      <c r="AV216" s="28"/>
    </row>
    <row r="217" spans="2:48">
      <c r="B217" s="37"/>
      <c r="D217" s="12"/>
      <c r="E217" s="12"/>
      <c r="F217" s="12"/>
      <c r="G217" s="12"/>
      <c r="H217" s="36"/>
      <c r="J217" s="19"/>
      <c r="K217" s="19"/>
      <c r="L217" s="19"/>
      <c r="AF217" s="6"/>
      <c r="AG217" s="6"/>
      <c r="AH217" s="6"/>
      <c r="AI217" s="6"/>
      <c r="AN217" s="6"/>
      <c r="AO217" s="6"/>
      <c r="AP217" s="6"/>
      <c r="AQ217" s="6"/>
      <c r="AR217" s="27"/>
      <c r="AS217" s="27"/>
      <c r="AT217" s="27"/>
      <c r="AU217" s="12"/>
      <c r="AV217" s="28"/>
    </row>
    <row r="218" spans="2:48">
      <c r="B218" s="35"/>
      <c r="D218" s="12"/>
      <c r="E218" s="12"/>
      <c r="F218" s="12"/>
      <c r="G218" s="12"/>
      <c r="H218" s="36"/>
      <c r="J218" s="19"/>
      <c r="K218" s="19"/>
      <c r="L218" s="19"/>
      <c r="AF218" s="6"/>
      <c r="AG218" s="6"/>
      <c r="AH218" s="6"/>
      <c r="AI218" s="6"/>
      <c r="AN218" s="6"/>
      <c r="AO218" s="6"/>
      <c r="AP218" s="6"/>
      <c r="AQ218" s="6"/>
      <c r="AR218" s="27"/>
      <c r="AS218" s="27"/>
      <c r="AT218" s="27"/>
      <c r="AU218" s="12"/>
      <c r="AV218" s="28"/>
    </row>
    <row r="219" spans="2:48">
      <c r="B219" s="37"/>
      <c r="D219" s="12"/>
      <c r="E219" s="12"/>
      <c r="F219" s="12"/>
      <c r="G219" s="12"/>
      <c r="H219" s="36"/>
      <c r="J219" s="19"/>
      <c r="K219" s="19"/>
      <c r="L219" s="19"/>
      <c r="AF219" s="6"/>
      <c r="AG219" s="6"/>
      <c r="AH219" s="6"/>
      <c r="AI219" s="6"/>
      <c r="AN219" s="6"/>
      <c r="AO219" s="6"/>
      <c r="AP219" s="6"/>
      <c r="AQ219" s="6"/>
      <c r="AR219" s="27"/>
      <c r="AS219" s="27"/>
      <c r="AT219" s="27"/>
      <c r="AU219" s="12"/>
      <c r="AV219" s="28"/>
    </row>
    <row r="220" spans="2:48">
      <c r="B220" s="35"/>
      <c r="D220" s="12"/>
      <c r="E220" s="12"/>
      <c r="F220" s="12"/>
      <c r="G220" s="12"/>
      <c r="H220" s="36"/>
      <c r="J220" s="19"/>
      <c r="K220" s="19"/>
      <c r="L220" s="19"/>
      <c r="AF220" s="6"/>
      <c r="AG220" s="6"/>
      <c r="AH220" s="6"/>
      <c r="AI220" s="6"/>
      <c r="AN220" s="6"/>
      <c r="AO220" s="6"/>
      <c r="AP220" s="6"/>
      <c r="AQ220" s="6"/>
      <c r="AR220" s="27"/>
      <c r="AS220" s="27"/>
      <c r="AT220" s="27"/>
      <c r="AU220" s="12"/>
      <c r="AV220" s="28"/>
    </row>
    <row r="221" spans="2:48">
      <c r="B221" s="37"/>
      <c r="D221" s="12"/>
      <c r="E221" s="12"/>
      <c r="F221" s="12"/>
      <c r="G221" s="12"/>
      <c r="H221" s="36"/>
      <c r="J221" s="19"/>
      <c r="K221" s="19"/>
      <c r="L221" s="19"/>
      <c r="AF221" s="6"/>
      <c r="AG221" s="6"/>
      <c r="AH221" s="6"/>
      <c r="AI221" s="6"/>
      <c r="AN221" s="6"/>
      <c r="AO221" s="6"/>
      <c r="AP221" s="6"/>
      <c r="AQ221" s="6"/>
      <c r="AR221" s="27"/>
      <c r="AS221" s="27"/>
      <c r="AT221" s="27"/>
      <c r="AU221" s="12"/>
      <c r="AV221" s="28"/>
    </row>
    <row r="222" spans="2:48">
      <c r="B222" s="35"/>
      <c r="D222" s="12"/>
      <c r="E222" s="12"/>
      <c r="F222" s="12"/>
      <c r="G222" s="12"/>
      <c r="H222" s="36"/>
      <c r="J222" s="19"/>
      <c r="K222" s="19"/>
      <c r="L222" s="19"/>
      <c r="AF222" s="6"/>
      <c r="AG222" s="6"/>
      <c r="AH222" s="6"/>
      <c r="AI222" s="6"/>
      <c r="AN222" s="6"/>
      <c r="AO222" s="6"/>
      <c r="AP222" s="6"/>
      <c r="AQ222" s="6"/>
      <c r="AR222" s="27"/>
      <c r="AS222" s="27"/>
      <c r="AT222" s="27"/>
      <c r="AU222" s="12"/>
      <c r="AV222" s="28"/>
    </row>
    <row r="223" spans="2:48">
      <c r="B223" s="37"/>
      <c r="D223" s="12"/>
      <c r="E223" s="12"/>
      <c r="F223" s="12"/>
      <c r="G223" s="12"/>
      <c r="H223" s="36"/>
      <c r="J223" s="19"/>
      <c r="K223" s="19"/>
      <c r="L223" s="19"/>
      <c r="AF223" s="6"/>
      <c r="AG223" s="6"/>
      <c r="AH223" s="6"/>
      <c r="AI223" s="6"/>
      <c r="AN223" s="6"/>
      <c r="AO223" s="6"/>
      <c r="AP223" s="6"/>
      <c r="AQ223" s="6"/>
      <c r="AR223" s="27"/>
      <c r="AS223" s="27"/>
      <c r="AT223" s="27"/>
      <c r="AU223" s="12"/>
      <c r="AV223" s="28"/>
    </row>
    <row r="224" spans="2:48">
      <c r="B224" s="37"/>
      <c r="D224" s="12"/>
      <c r="E224" s="12"/>
      <c r="F224" s="12"/>
      <c r="G224" s="12"/>
      <c r="H224" s="36"/>
      <c r="J224" s="19"/>
      <c r="K224" s="19"/>
      <c r="L224" s="19"/>
      <c r="AF224" s="6"/>
      <c r="AG224" s="6"/>
      <c r="AH224" s="6"/>
      <c r="AI224" s="6"/>
      <c r="AN224" s="6"/>
      <c r="AO224" s="6"/>
      <c r="AP224" s="6"/>
      <c r="AQ224" s="6"/>
      <c r="AR224" s="27"/>
      <c r="AS224" s="27"/>
      <c r="AT224" s="27"/>
      <c r="AU224" s="12"/>
      <c r="AV224" s="28"/>
    </row>
    <row r="225" spans="2:48">
      <c r="B225" s="37"/>
      <c r="D225" s="12"/>
      <c r="E225" s="12"/>
      <c r="F225" s="12"/>
      <c r="G225" s="12"/>
      <c r="H225" s="36"/>
      <c r="J225" s="19"/>
      <c r="K225" s="19"/>
      <c r="L225" s="19"/>
      <c r="AF225" s="6"/>
      <c r="AG225" s="6"/>
      <c r="AH225" s="6"/>
      <c r="AI225" s="6"/>
      <c r="AN225" s="6"/>
      <c r="AO225" s="6"/>
      <c r="AP225" s="6"/>
      <c r="AQ225" s="6"/>
      <c r="AR225" s="27"/>
      <c r="AS225" s="27"/>
      <c r="AT225" s="27"/>
      <c r="AU225" s="12"/>
      <c r="AV225" s="28"/>
    </row>
    <row r="226" spans="2:48">
      <c r="B226" s="37"/>
      <c r="D226" s="12"/>
      <c r="E226" s="12"/>
      <c r="F226" s="12"/>
      <c r="G226" s="12"/>
      <c r="H226" s="36"/>
      <c r="J226" s="19"/>
      <c r="K226" s="19"/>
      <c r="L226" s="19"/>
      <c r="AF226" s="6"/>
      <c r="AG226" s="6"/>
      <c r="AH226" s="6"/>
      <c r="AI226" s="6"/>
      <c r="AN226" s="6"/>
      <c r="AO226" s="6"/>
      <c r="AP226" s="6"/>
      <c r="AQ226" s="6"/>
      <c r="AR226" s="27"/>
      <c r="AS226" s="27"/>
      <c r="AT226" s="27"/>
      <c r="AU226" s="12"/>
      <c r="AV226" s="28"/>
    </row>
    <row r="227" spans="2:48">
      <c r="B227" s="35"/>
      <c r="D227" s="12"/>
      <c r="E227" s="12"/>
      <c r="F227" s="12"/>
      <c r="G227" s="12"/>
      <c r="H227" s="36"/>
      <c r="J227" s="19"/>
      <c r="K227" s="19"/>
      <c r="L227" s="19"/>
      <c r="AF227" s="6"/>
      <c r="AG227" s="6"/>
      <c r="AH227" s="6"/>
      <c r="AI227" s="6"/>
      <c r="AN227" s="6"/>
      <c r="AO227" s="6"/>
      <c r="AP227" s="6"/>
      <c r="AQ227" s="6"/>
      <c r="AR227" s="27"/>
      <c r="AS227" s="27"/>
      <c r="AT227" s="27"/>
      <c r="AU227" s="12"/>
      <c r="AV227" s="28"/>
    </row>
    <row r="228" spans="2:48">
      <c r="B228" s="37"/>
      <c r="D228" s="12"/>
      <c r="E228" s="12"/>
      <c r="F228" s="12"/>
      <c r="G228" s="12"/>
      <c r="H228" s="36"/>
      <c r="J228" s="19"/>
      <c r="K228" s="19"/>
      <c r="L228" s="19"/>
      <c r="AF228" s="6"/>
      <c r="AG228" s="6"/>
      <c r="AH228" s="6"/>
      <c r="AI228" s="6"/>
      <c r="AN228" s="6"/>
      <c r="AO228" s="6"/>
      <c r="AP228" s="6"/>
      <c r="AQ228" s="6"/>
      <c r="AR228" s="27"/>
      <c r="AS228" s="27"/>
      <c r="AT228" s="27"/>
      <c r="AU228" s="12"/>
      <c r="AV228" s="28"/>
    </row>
    <row r="229" spans="2:48">
      <c r="B229" s="35"/>
      <c r="D229" s="12"/>
      <c r="E229" s="12"/>
      <c r="F229" s="12"/>
      <c r="G229" s="12"/>
      <c r="H229" s="36"/>
      <c r="J229" s="19"/>
      <c r="K229" s="19"/>
      <c r="L229" s="19"/>
      <c r="AF229" s="6"/>
      <c r="AG229" s="6"/>
      <c r="AH229" s="6"/>
      <c r="AI229" s="6"/>
      <c r="AN229" s="6"/>
      <c r="AO229" s="6"/>
      <c r="AP229" s="6"/>
      <c r="AQ229" s="6"/>
      <c r="AR229" s="27"/>
      <c r="AS229" s="27"/>
      <c r="AT229" s="27"/>
      <c r="AU229" s="12"/>
      <c r="AV229" s="28"/>
    </row>
    <row r="230" spans="2:48">
      <c r="B230" s="35"/>
      <c r="D230" s="12"/>
      <c r="E230" s="12"/>
      <c r="F230" s="12"/>
      <c r="G230" s="12"/>
      <c r="H230" s="36"/>
      <c r="J230" s="19"/>
      <c r="K230" s="19"/>
      <c r="L230" s="19"/>
      <c r="AF230" s="6"/>
      <c r="AG230" s="6"/>
      <c r="AH230" s="6"/>
      <c r="AI230" s="6"/>
      <c r="AN230" s="6"/>
      <c r="AO230" s="6"/>
      <c r="AP230" s="6"/>
      <c r="AQ230" s="6"/>
      <c r="AR230" s="27"/>
      <c r="AS230" s="27"/>
      <c r="AT230" s="27"/>
      <c r="AU230" s="12"/>
      <c r="AV230" s="28"/>
    </row>
    <row r="231" spans="2:48">
      <c r="B231" s="37"/>
      <c r="D231" s="12"/>
      <c r="E231" s="12"/>
      <c r="F231" s="12"/>
      <c r="G231" s="12"/>
      <c r="H231" s="36"/>
      <c r="J231" s="19"/>
      <c r="K231" s="19"/>
      <c r="L231" s="19"/>
      <c r="AF231" s="6"/>
      <c r="AG231" s="6"/>
      <c r="AH231" s="6"/>
      <c r="AI231" s="6"/>
      <c r="AN231" s="6"/>
      <c r="AO231" s="6"/>
      <c r="AP231" s="6"/>
      <c r="AQ231" s="6"/>
      <c r="AR231" s="27"/>
      <c r="AS231" s="27"/>
      <c r="AT231" s="27"/>
      <c r="AU231" s="12"/>
      <c r="AV231" s="28"/>
    </row>
    <row r="232" spans="2:48">
      <c r="B232" s="37"/>
      <c r="D232" s="12"/>
      <c r="E232" s="12"/>
      <c r="F232" s="12"/>
      <c r="G232" s="12"/>
      <c r="H232" s="36"/>
      <c r="J232" s="19"/>
      <c r="K232" s="19"/>
      <c r="L232" s="19"/>
      <c r="AF232" s="6"/>
      <c r="AG232" s="6"/>
      <c r="AH232" s="6"/>
      <c r="AI232" s="6"/>
      <c r="AN232" s="6"/>
      <c r="AO232" s="6"/>
      <c r="AP232" s="6"/>
      <c r="AQ232" s="6"/>
      <c r="AR232" s="27"/>
      <c r="AS232" s="27"/>
      <c r="AT232" s="27"/>
      <c r="AU232" s="12"/>
      <c r="AV232" s="28"/>
    </row>
    <row r="233" spans="2:48">
      <c r="B233" s="35"/>
      <c r="D233" s="12"/>
      <c r="E233" s="12"/>
      <c r="F233" s="12"/>
      <c r="G233" s="12"/>
      <c r="H233" s="36"/>
      <c r="J233" s="19"/>
      <c r="K233" s="19"/>
      <c r="L233" s="19"/>
      <c r="AF233" s="6"/>
      <c r="AG233" s="6"/>
      <c r="AH233" s="6"/>
      <c r="AI233" s="6"/>
      <c r="AN233" s="6"/>
      <c r="AO233" s="6"/>
      <c r="AP233" s="6"/>
      <c r="AQ233" s="6"/>
      <c r="AR233" s="27"/>
      <c r="AS233" s="27"/>
      <c r="AT233" s="27"/>
      <c r="AU233" s="12"/>
      <c r="AV233" s="28"/>
    </row>
    <row r="234" spans="2:48">
      <c r="B234" s="37"/>
      <c r="D234" s="12"/>
      <c r="E234" s="12"/>
      <c r="F234" s="12"/>
      <c r="G234" s="12"/>
      <c r="H234" s="36"/>
      <c r="J234" s="19"/>
      <c r="K234" s="19"/>
      <c r="L234" s="19"/>
      <c r="AF234" s="6"/>
      <c r="AG234" s="6"/>
      <c r="AH234" s="6"/>
      <c r="AI234" s="6"/>
      <c r="AN234" s="6"/>
      <c r="AO234" s="6"/>
      <c r="AP234" s="6"/>
      <c r="AQ234" s="6"/>
      <c r="AR234" s="27"/>
      <c r="AS234" s="27"/>
      <c r="AT234" s="27"/>
      <c r="AU234" s="12"/>
      <c r="AV234" s="28"/>
    </row>
    <row r="235" spans="2:48">
      <c r="B235" s="35"/>
      <c r="D235" s="12"/>
      <c r="E235" s="12"/>
      <c r="F235" s="12"/>
      <c r="G235" s="12"/>
      <c r="H235" s="36"/>
      <c r="J235" s="19"/>
      <c r="K235" s="19"/>
      <c r="L235" s="19"/>
      <c r="AF235" s="6"/>
      <c r="AG235" s="6"/>
      <c r="AH235" s="6"/>
      <c r="AI235" s="6"/>
      <c r="AN235" s="6"/>
      <c r="AO235" s="6"/>
      <c r="AP235" s="6"/>
      <c r="AQ235" s="6"/>
      <c r="AR235" s="27"/>
      <c r="AS235" s="27"/>
      <c r="AT235" s="27"/>
      <c r="AU235" s="12"/>
      <c r="AV235" s="28"/>
    </row>
    <row r="236" spans="2:48">
      <c r="B236" s="37"/>
      <c r="D236" s="12"/>
      <c r="E236" s="12"/>
      <c r="F236" s="12"/>
      <c r="G236" s="12"/>
      <c r="H236" s="36"/>
      <c r="J236" s="19"/>
      <c r="K236" s="19"/>
      <c r="L236" s="19"/>
      <c r="AF236" s="6"/>
      <c r="AG236" s="6"/>
      <c r="AH236" s="6"/>
      <c r="AI236" s="6"/>
      <c r="AN236" s="6"/>
      <c r="AO236" s="6"/>
      <c r="AP236" s="6"/>
      <c r="AQ236" s="6"/>
      <c r="AR236" s="27"/>
      <c r="AS236" s="27"/>
      <c r="AT236" s="27"/>
      <c r="AU236" s="12"/>
      <c r="AV236" s="28"/>
    </row>
    <row r="237" spans="2:48">
      <c r="B237" s="37"/>
      <c r="D237" s="12"/>
      <c r="E237" s="12"/>
      <c r="F237" s="12"/>
      <c r="G237" s="12"/>
      <c r="H237" s="36"/>
      <c r="J237" s="19"/>
      <c r="K237" s="19"/>
      <c r="L237" s="19"/>
      <c r="AF237" s="6"/>
      <c r="AG237" s="6"/>
      <c r="AH237" s="6"/>
      <c r="AI237" s="6"/>
      <c r="AN237" s="6"/>
      <c r="AO237" s="6"/>
      <c r="AP237" s="6"/>
      <c r="AQ237" s="6"/>
      <c r="AR237" s="27"/>
      <c r="AS237" s="27"/>
      <c r="AT237" s="27"/>
      <c r="AU237" s="12"/>
      <c r="AV237" s="28"/>
    </row>
    <row r="238" spans="2:48">
      <c r="B238" s="35"/>
      <c r="D238" s="12"/>
      <c r="E238" s="12"/>
      <c r="F238" s="12"/>
      <c r="G238" s="12"/>
      <c r="H238" s="36"/>
      <c r="J238" s="19"/>
      <c r="K238" s="19"/>
      <c r="L238" s="19"/>
      <c r="AF238" s="6"/>
      <c r="AG238" s="6"/>
      <c r="AH238" s="6"/>
      <c r="AI238" s="6"/>
      <c r="AN238" s="6"/>
      <c r="AO238" s="6"/>
      <c r="AP238" s="6"/>
      <c r="AQ238" s="6"/>
      <c r="AR238" s="27"/>
      <c r="AS238" s="27"/>
      <c r="AT238" s="27"/>
      <c r="AU238" s="12"/>
      <c r="AV238" s="28"/>
    </row>
    <row r="239" spans="2:48">
      <c r="B239" s="35"/>
      <c r="D239" s="12"/>
      <c r="E239" s="12"/>
      <c r="F239" s="12"/>
      <c r="G239" s="12"/>
      <c r="H239" s="36"/>
      <c r="J239" s="19"/>
      <c r="K239" s="19"/>
      <c r="L239" s="19"/>
      <c r="AF239" s="6"/>
      <c r="AG239" s="6"/>
      <c r="AH239" s="6"/>
      <c r="AI239" s="6"/>
      <c r="AN239" s="6"/>
      <c r="AO239" s="6"/>
      <c r="AP239" s="6"/>
      <c r="AQ239" s="6"/>
      <c r="AR239" s="27"/>
      <c r="AS239" s="27"/>
      <c r="AT239" s="27"/>
      <c r="AU239" s="12"/>
      <c r="AV239" s="28"/>
    </row>
    <row r="240" spans="2:48">
      <c r="B240" s="37"/>
      <c r="D240" s="12"/>
      <c r="E240" s="12"/>
      <c r="F240" s="12"/>
      <c r="G240" s="12"/>
      <c r="H240" s="36"/>
      <c r="J240" s="19"/>
      <c r="K240" s="19"/>
      <c r="L240" s="19"/>
      <c r="AF240" s="6"/>
      <c r="AG240" s="6"/>
      <c r="AH240" s="6"/>
      <c r="AI240" s="6"/>
      <c r="AN240" s="6"/>
      <c r="AO240" s="6"/>
      <c r="AP240" s="6"/>
      <c r="AQ240" s="6"/>
      <c r="AR240" s="27"/>
      <c r="AS240" s="27"/>
      <c r="AT240" s="27"/>
      <c r="AU240" s="12"/>
      <c r="AV240" s="28"/>
    </row>
    <row r="241" spans="2:48">
      <c r="B241" s="35"/>
      <c r="D241" s="12"/>
      <c r="E241" s="12"/>
      <c r="F241" s="12"/>
      <c r="G241" s="12"/>
      <c r="H241" s="36"/>
      <c r="J241" s="19"/>
      <c r="K241" s="19"/>
      <c r="L241" s="19"/>
      <c r="AF241" s="6"/>
      <c r="AG241" s="6"/>
      <c r="AH241" s="6"/>
      <c r="AI241" s="6"/>
      <c r="AN241" s="6"/>
      <c r="AO241" s="6"/>
      <c r="AP241" s="6"/>
      <c r="AQ241" s="6"/>
      <c r="AR241" s="27"/>
      <c r="AS241" s="27"/>
      <c r="AT241" s="27"/>
      <c r="AU241" s="12"/>
      <c r="AV241" s="28"/>
    </row>
    <row r="242" spans="2:48">
      <c r="B242" s="35"/>
      <c r="D242" s="12"/>
      <c r="E242" s="12"/>
      <c r="F242" s="12"/>
      <c r="G242" s="12"/>
      <c r="H242" s="36"/>
      <c r="J242" s="19"/>
      <c r="K242" s="19"/>
      <c r="L242" s="19"/>
      <c r="AF242" s="6"/>
      <c r="AG242" s="6"/>
      <c r="AH242" s="6"/>
      <c r="AI242" s="6"/>
      <c r="AN242" s="6"/>
      <c r="AO242" s="6"/>
      <c r="AP242" s="6"/>
      <c r="AQ242" s="6"/>
      <c r="AR242" s="27"/>
      <c r="AS242" s="27"/>
      <c r="AT242" s="27"/>
      <c r="AU242" s="12"/>
      <c r="AV242" s="28"/>
    </row>
    <row r="243" spans="2:48">
      <c r="B243" s="37"/>
      <c r="D243" s="12"/>
      <c r="E243" s="12"/>
      <c r="F243" s="12"/>
      <c r="G243" s="12"/>
      <c r="H243" s="36"/>
      <c r="J243" s="19"/>
      <c r="K243" s="19"/>
      <c r="L243" s="19"/>
      <c r="AF243" s="6"/>
      <c r="AG243" s="6"/>
      <c r="AH243" s="6"/>
      <c r="AI243" s="6"/>
      <c r="AN243" s="6"/>
      <c r="AO243" s="6"/>
      <c r="AP243" s="6"/>
      <c r="AQ243" s="6"/>
      <c r="AR243" s="27"/>
      <c r="AS243" s="27"/>
      <c r="AT243" s="27"/>
      <c r="AU243" s="12"/>
      <c r="AV243" s="28"/>
    </row>
    <row r="244" spans="2:48">
      <c r="B244" s="35"/>
      <c r="D244" s="12"/>
      <c r="E244" s="12"/>
      <c r="F244" s="12"/>
      <c r="G244" s="12"/>
      <c r="H244" s="36"/>
      <c r="J244" s="19"/>
      <c r="K244" s="19"/>
      <c r="L244" s="19"/>
      <c r="AF244" s="6"/>
      <c r="AG244" s="6"/>
      <c r="AH244" s="6"/>
      <c r="AI244" s="6"/>
      <c r="AN244" s="6"/>
      <c r="AO244" s="6"/>
      <c r="AP244" s="6"/>
      <c r="AQ244" s="6"/>
      <c r="AR244" s="27"/>
      <c r="AS244" s="27"/>
      <c r="AT244" s="27"/>
      <c r="AU244" s="12"/>
      <c r="AV244" s="28"/>
    </row>
    <row r="245" spans="2:48">
      <c r="B245" s="35"/>
      <c r="D245" s="12"/>
      <c r="E245" s="12"/>
      <c r="F245" s="12"/>
      <c r="G245" s="12"/>
      <c r="H245" s="36"/>
      <c r="J245" s="19"/>
      <c r="K245" s="19"/>
      <c r="L245" s="19"/>
      <c r="AF245" s="6"/>
      <c r="AG245" s="6"/>
      <c r="AH245" s="6"/>
      <c r="AI245" s="6"/>
      <c r="AN245" s="6"/>
      <c r="AO245" s="6"/>
      <c r="AP245" s="6"/>
      <c r="AQ245" s="6"/>
      <c r="AR245" s="27"/>
      <c r="AS245" s="27"/>
      <c r="AT245" s="27"/>
      <c r="AU245" s="12"/>
      <c r="AV245" s="28"/>
    </row>
    <row r="246" spans="2:48">
      <c r="B246" s="37"/>
      <c r="D246" s="12"/>
      <c r="E246" s="12"/>
      <c r="F246" s="12"/>
      <c r="G246" s="12"/>
      <c r="H246" s="36"/>
      <c r="J246" s="19"/>
      <c r="K246" s="19"/>
      <c r="L246" s="19"/>
      <c r="AF246" s="6"/>
      <c r="AG246" s="6"/>
      <c r="AH246" s="6"/>
      <c r="AI246" s="6"/>
      <c r="AN246" s="6"/>
      <c r="AO246" s="6"/>
      <c r="AP246" s="6"/>
      <c r="AQ246" s="6"/>
      <c r="AR246" s="27"/>
      <c r="AS246" s="27"/>
      <c r="AT246" s="27"/>
      <c r="AU246" s="12"/>
      <c r="AV246" s="28"/>
    </row>
    <row r="247" spans="2:48">
      <c r="B247" s="16"/>
      <c r="D247" s="12"/>
      <c r="E247" s="12"/>
      <c r="F247" s="12"/>
      <c r="G247" s="12"/>
      <c r="H247" s="36"/>
      <c r="J247" s="19"/>
      <c r="K247" s="19"/>
      <c r="L247" s="19"/>
      <c r="AF247" s="6"/>
      <c r="AG247" s="6"/>
      <c r="AH247" s="6"/>
      <c r="AI247" s="6"/>
      <c r="AN247" s="6"/>
      <c r="AO247" s="6"/>
      <c r="AP247" s="6"/>
      <c r="AQ247" s="6"/>
      <c r="AR247" s="27"/>
      <c r="AS247" s="27"/>
      <c r="AT247" s="27"/>
      <c r="AU247" s="12"/>
      <c r="AV247" s="28"/>
    </row>
    <row r="248" spans="2:48">
      <c r="B248" s="16"/>
      <c r="D248" s="12"/>
      <c r="E248" s="12"/>
      <c r="F248" s="12"/>
      <c r="G248" s="12"/>
      <c r="H248" s="36"/>
      <c r="J248" s="19"/>
      <c r="K248" s="19"/>
      <c r="L248" s="19"/>
      <c r="AF248" s="6"/>
      <c r="AG248" s="6"/>
      <c r="AH248" s="6"/>
      <c r="AI248" s="6"/>
      <c r="AN248" s="6"/>
      <c r="AO248" s="6"/>
      <c r="AP248" s="6"/>
      <c r="AQ248" s="6"/>
      <c r="AR248" s="27"/>
      <c r="AS248" s="27"/>
      <c r="AT248" s="27"/>
      <c r="AU248" s="12"/>
      <c r="AV248" s="28"/>
    </row>
    <row r="249" spans="2:48">
      <c r="B249" s="16"/>
      <c r="D249" s="12"/>
      <c r="E249" s="12"/>
      <c r="F249" s="12"/>
      <c r="G249" s="12"/>
      <c r="H249" s="36"/>
      <c r="J249" s="19"/>
      <c r="K249" s="19"/>
      <c r="L249" s="19"/>
      <c r="AF249" s="6"/>
      <c r="AG249" s="6"/>
      <c r="AH249" s="6"/>
      <c r="AI249" s="6"/>
      <c r="AN249" s="6"/>
      <c r="AO249" s="6"/>
      <c r="AP249" s="6"/>
      <c r="AQ249" s="6"/>
      <c r="AR249" s="27"/>
      <c r="AS249" s="27"/>
      <c r="AT249" s="27"/>
      <c r="AU249" s="12"/>
      <c r="AV249" s="28"/>
    </row>
    <row r="250" spans="2:48">
      <c r="B250" s="16"/>
      <c r="D250" s="12"/>
      <c r="E250" s="12"/>
      <c r="F250" s="12"/>
      <c r="G250" s="12"/>
      <c r="H250" s="36"/>
      <c r="J250" s="19"/>
      <c r="K250" s="19"/>
      <c r="L250" s="19"/>
      <c r="AF250" s="6"/>
      <c r="AG250" s="6"/>
      <c r="AH250" s="6"/>
      <c r="AI250" s="6"/>
      <c r="AN250" s="6"/>
      <c r="AO250" s="6"/>
      <c r="AP250" s="6"/>
      <c r="AQ250" s="6"/>
      <c r="AR250" s="27"/>
      <c r="AS250" s="27"/>
      <c r="AT250" s="27"/>
      <c r="AU250" s="12"/>
      <c r="AV250" s="28"/>
    </row>
    <row r="251" spans="2:48">
      <c r="B251" s="16"/>
      <c r="D251" s="12"/>
      <c r="E251" s="12"/>
      <c r="F251" s="12"/>
      <c r="G251" s="12"/>
      <c r="H251" s="36"/>
      <c r="J251" s="19"/>
      <c r="K251" s="19"/>
      <c r="L251" s="19"/>
      <c r="AF251" s="6"/>
      <c r="AG251" s="6"/>
      <c r="AH251" s="6"/>
      <c r="AI251" s="6"/>
      <c r="AN251" s="6"/>
      <c r="AO251" s="6"/>
      <c r="AP251" s="6"/>
      <c r="AQ251" s="6"/>
      <c r="AR251" s="27"/>
      <c r="AS251" s="27"/>
      <c r="AT251" s="27"/>
      <c r="AU251" s="12"/>
      <c r="AV251" s="28"/>
    </row>
    <row r="252" spans="2:48">
      <c r="B252" s="16"/>
      <c r="D252" s="12"/>
      <c r="E252" s="12"/>
      <c r="F252" s="12"/>
      <c r="G252" s="12"/>
      <c r="H252" s="36"/>
      <c r="J252" s="19"/>
      <c r="K252" s="19"/>
      <c r="L252" s="19"/>
      <c r="AF252" s="6"/>
      <c r="AG252" s="6"/>
      <c r="AH252" s="6"/>
      <c r="AI252" s="6"/>
      <c r="AN252" s="6"/>
      <c r="AO252" s="6"/>
      <c r="AP252" s="6"/>
      <c r="AQ252" s="6"/>
      <c r="AR252" s="27"/>
      <c r="AS252" s="27"/>
      <c r="AT252" s="27"/>
      <c r="AU252" s="12"/>
      <c r="AV252" s="28"/>
    </row>
    <row r="253" spans="2:48">
      <c r="B253" s="16"/>
      <c r="D253" s="12"/>
      <c r="E253" s="12"/>
      <c r="F253" s="12"/>
      <c r="G253" s="12"/>
      <c r="H253" s="36"/>
      <c r="J253" s="19"/>
      <c r="K253" s="19"/>
      <c r="L253" s="19"/>
      <c r="AF253" s="6"/>
      <c r="AG253" s="6"/>
      <c r="AH253" s="6"/>
      <c r="AI253" s="6"/>
      <c r="AN253" s="6"/>
      <c r="AO253" s="6"/>
      <c r="AP253" s="6"/>
      <c r="AQ253" s="6"/>
      <c r="AR253" s="27"/>
      <c r="AS253" s="27"/>
      <c r="AT253" s="27"/>
      <c r="AU253" s="12"/>
      <c r="AV253" s="28"/>
    </row>
    <row r="254" spans="2:48">
      <c r="B254" s="16"/>
      <c r="D254" s="12"/>
      <c r="E254" s="12"/>
      <c r="F254" s="12"/>
      <c r="G254" s="12"/>
      <c r="H254" s="36"/>
      <c r="J254" s="19"/>
      <c r="K254" s="19"/>
      <c r="L254" s="19"/>
      <c r="AF254" s="6"/>
      <c r="AG254" s="6"/>
      <c r="AH254" s="6"/>
      <c r="AI254" s="6"/>
      <c r="AN254" s="6"/>
      <c r="AO254" s="6"/>
      <c r="AP254" s="6"/>
      <c r="AQ254" s="6"/>
      <c r="AR254" s="27"/>
      <c r="AS254" s="27"/>
      <c r="AT254" s="27"/>
      <c r="AU254" s="12"/>
      <c r="AV254" s="28"/>
    </row>
    <row r="255" spans="2:48">
      <c r="B255" s="16"/>
      <c r="D255" s="12"/>
      <c r="E255" s="12"/>
      <c r="F255" s="12"/>
      <c r="G255" s="12"/>
      <c r="H255" s="36"/>
      <c r="J255" s="19"/>
      <c r="K255" s="19"/>
      <c r="L255" s="19"/>
      <c r="AF255" s="6"/>
      <c r="AG255" s="6"/>
      <c r="AH255" s="6"/>
      <c r="AI255" s="6"/>
      <c r="AN255" s="6"/>
      <c r="AO255" s="6"/>
      <c r="AP255" s="6"/>
      <c r="AQ255" s="6"/>
      <c r="AR255" s="27"/>
      <c r="AS255" s="27"/>
      <c r="AT255" s="27"/>
      <c r="AU255" s="12"/>
      <c r="AV255" s="28"/>
    </row>
    <row r="256" spans="2:48">
      <c r="B256" s="16"/>
      <c r="D256" s="12"/>
      <c r="E256" s="12"/>
      <c r="F256" s="12"/>
      <c r="G256" s="12"/>
      <c r="H256" s="36"/>
      <c r="J256" s="19"/>
      <c r="K256" s="19"/>
      <c r="L256" s="19"/>
      <c r="AF256" s="6"/>
      <c r="AG256" s="6"/>
      <c r="AH256" s="6"/>
      <c r="AI256" s="6"/>
      <c r="AN256" s="6"/>
      <c r="AO256" s="6"/>
      <c r="AP256" s="6"/>
      <c r="AQ256" s="6"/>
      <c r="AR256" s="27"/>
      <c r="AS256" s="27"/>
      <c r="AT256" s="27"/>
      <c r="AU256" s="12"/>
      <c r="AV256" s="28"/>
    </row>
    <row r="257" spans="2:48">
      <c r="B257" s="16"/>
      <c r="D257" s="12"/>
      <c r="E257" s="12"/>
      <c r="F257" s="12"/>
      <c r="G257" s="12"/>
      <c r="H257" s="36"/>
      <c r="J257" s="19"/>
      <c r="K257" s="19"/>
      <c r="L257" s="19"/>
      <c r="AF257" s="6"/>
      <c r="AG257" s="6"/>
      <c r="AH257" s="6"/>
      <c r="AI257" s="6"/>
      <c r="AN257" s="6"/>
      <c r="AO257" s="6"/>
      <c r="AP257" s="6"/>
      <c r="AQ257" s="6"/>
      <c r="AR257" s="27"/>
      <c r="AS257" s="27"/>
      <c r="AT257" s="27"/>
      <c r="AU257" s="12"/>
      <c r="AV257" s="28"/>
    </row>
    <row r="258" spans="2:48">
      <c r="B258" s="16"/>
      <c r="D258" s="12"/>
      <c r="E258" s="12"/>
      <c r="F258" s="12"/>
      <c r="G258" s="12"/>
      <c r="H258" s="36"/>
      <c r="J258" s="19"/>
      <c r="K258" s="19"/>
      <c r="L258" s="19"/>
      <c r="AF258" s="6"/>
      <c r="AG258" s="6"/>
      <c r="AH258" s="6"/>
      <c r="AI258" s="6"/>
      <c r="AN258" s="6"/>
      <c r="AO258" s="6"/>
      <c r="AP258" s="6"/>
      <c r="AQ258" s="6"/>
      <c r="AR258" s="27"/>
      <c r="AS258" s="27"/>
      <c r="AT258" s="27"/>
      <c r="AU258" s="12"/>
      <c r="AV258" s="28"/>
    </row>
    <row r="259" spans="2:48">
      <c r="B259" s="16"/>
      <c r="D259" s="12"/>
      <c r="E259" s="12"/>
      <c r="F259" s="12"/>
      <c r="G259" s="12"/>
      <c r="H259" s="36"/>
      <c r="J259" s="19"/>
      <c r="K259" s="19"/>
      <c r="L259" s="19"/>
      <c r="AF259" s="6"/>
      <c r="AG259" s="6"/>
      <c r="AH259" s="6"/>
      <c r="AI259" s="6"/>
      <c r="AN259" s="6"/>
      <c r="AO259" s="6"/>
      <c r="AP259" s="6"/>
      <c r="AQ259" s="6"/>
      <c r="AR259" s="27"/>
      <c r="AS259" s="27"/>
      <c r="AT259" s="27"/>
      <c r="AU259" s="12"/>
      <c r="AV259" s="28"/>
    </row>
    <row r="260" spans="2:48">
      <c r="B260" s="16"/>
      <c r="D260" s="12"/>
      <c r="E260" s="12"/>
      <c r="F260" s="12"/>
      <c r="G260" s="12"/>
      <c r="H260" s="36"/>
      <c r="J260" s="19"/>
      <c r="K260" s="19"/>
      <c r="L260" s="19"/>
      <c r="AF260" s="6"/>
      <c r="AG260" s="6"/>
      <c r="AH260" s="6"/>
      <c r="AI260" s="6"/>
      <c r="AN260" s="6"/>
      <c r="AO260" s="6"/>
      <c r="AP260" s="6"/>
      <c r="AQ260" s="6"/>
      <c r="AR260" s="27"/>
      <c r="AS260" s="27"/>
      <c r="AT260" s="27"/>
      <c r="AU260" s="12"/>
      <c r="AV260" s="28"/>
    </row>
    <row r="261" spans="1:48">
      <c r="A261" s="34" t="s">
        <v>154</v>
      </c>
      <c r="D261" s="12"/>
      <c r="E261" s="12"/>
      <c r="F261" s="12"/>
      <c r="G261" s="12"/>
      <c r="H261" s="36"/>
      <c r="J261" s="19"/>
      <c r="K261" s="19"/>
      <c r="L261" s="19"/>
      <c r="AF261" s="6"/>
      <c r="AG261" s="6"/>
      <c r="AH261" s="6"/>
      <c r="AI261" s="6"/>
      <c r="AN261" s="6"/>
      <c r="AO261" s="6"/>
      <c r="AP261" s="6"/>
      <c r="AQ261" s="6"/>
      <c r="AR261" s="27"/>
      <c r="AS261" s="27"/>
      <c r="AT261" s="27"/>
      <c r="AU261" s="12"/>
      <c r="AV261" s="28"/>
    </row>
    <row r="262" spans="1:48">
      <c r="A262" s="34" t="s">
        <v>187</v>
      </c>
      <c r="D262" s="12"/>
      <c r="E262" s="12"/>
      <c r="F262" s="12"/>
      <c r="G262" s="12"/>
      <c r="H262" s="36"/>
      <c r="J262" s="19"/>
      <c r="K262" s="19"/>
      <c r="L262" s="19"/>
      <c r="AF262" s="6"/>
      <c r="AG262" s="6"/>
      <c r="AH262" s="6"/>
      <c r="AI262" s="6"/>
      <c r="AN262" s="6"/>
      <c r="AO262" s="6"/>
      <c r="AP262" s="6"/>
      <c r="AQ262" s="6"/>
      <c r="AR262" s="27"/>
      <c r="AS262" s="27"/>
      <c r="AT262" s="27"/>
      <c r="AU262" s="12"/>
      <c r="AV262" s="28"/>
    </row>
    <row r="263" spans="1:48">
      <c r="A263" s="34" t="s">
        <v>146</v>
      </c>
      <c r="D263" s="12"/>
      <c r="E263" s="12"/>
      <c r="F263" s="12"/>
      <c r="G263" s="12"/>
      <c r="H263" s="36"/>
      <c r="J263" s="19"/>
      <c r="K263" s="19"/>
      <c r="L263" s="19"/>
      <c r="AF263" s="6"/>
      <c r="AG263" s="6"/>
      <c r="AH263" s="6"/>
      <c r="AI263" s="6"/>
      <c r="AN263" s="6"/>
      <c r="AO263" s="6"/>
      <c r="AP263" s="6"/>
      <c r="AQ263" s="6"/>
      <c r="AR263" s="27"/>
      <c r="AS263" s="27"/>
      <c r="AT263" s="27"/>
      <c r="AU263" s="12"/>
      <c r="AV263" s="28"/>
    </row>
    <row r="264" spans="1:48">
      <c r="A264" s="33" t="s">
        <v>84</v>
      </c>
      <c r="D264" s="12"/>
      <c r="E264" s="12"/>
      <c r="F264" s="12"/>
      <c r="G264" s="12"/>
      <c r="H264" s="36"/>
      <c r="J264" s="19"/>
      <c r="K264" s="19"/>
      <c r="L264" s="19"/>
      <c r="AF264" s="6"/>
      <c r="AG264" s="6"/>
      <c r="AH264" s="6"/>
      <c r="AI264" s="6"/>
      <c r="AN264" s="6"/>
      <c r="AO264" s="6"/>
      <c r="AP264" s="6"/>
      <c r="AQ264" s="6"/>
      <c r="AR264" s="27"/>
      <c r="AS264" s="27"/>
      <c r="AT264" s="27"/>
      <c r="AU264" s="12"/>
      <c r="AV264" s="28"/>
    </row>
    <row r="265" spans="4:48">
      <c r="D265" s="12"/>
      <c r="E265" s="12"/>
      <c r="F265" s="12"/>
      <c r="G265" s="12"/>
      <c r="H265" s="36"/>
      <c r="J265" s="19"/>
      <c r="K265" s="19"/>
      <c r="L265" s="19"/>
      <c r="AF265" s="6"/>
      <c r="AG265" s="6"/>
      <c r="AH265" s="6"/>
      <c r="AI265" s="6"/>
      <c r="AN265" s="6"/>
      <c r="AO265" s="6"/>
      <c r="AP265" s="6"/>
      <c r="AQ265" s="6"/>
      <c r="AR265" s="27"/>
      <c r="AS265" s="27"/>
      <c r="AT265" s="27"/>
      <c r="AU265" s="12"/>
      <c r="AV265" s="28"/>
    </row>
    <row r="266" spans="4:48">
      <c r="D266" s="12"/>
      <c r="E266" s="12"/>
      <c r="F266" s="12"/>
      <c r="G266" s="12"/>
      <c r="H266" s="36"/>
      <c r="J266" s="19"/>
      <c r="K266" s="19"/>
      <c r="L266" s="19"/>
      <c r="AF266" s="6"/>
      <c r="AG266" s="6"/>
      <c r="AH266" s="6"/>
      <c r="AI266" s="6"/>
      <c r="AN266" s="6"/>
      <c r="AO266" s="6"/>
      <c r="AP266" s="6"/>
      <c r="AQ266" s="6"/>
      <c r="AR266" s="27"/>
      <c r="AS266" s="27"/>
      <c r="AT266" s="27"/>
      <c r="AU266" s="12"/>
      <c r="AV266" s="28"/>
    </row>
    <row r="267" spans="4:48">
      <c r="D267" s="12"/>
      <c r="E267" s="12"/>
      <c r="F267" s="12"/>
      <c r="G267" s="12"/>
      <c r="H267" s="36"/>
      <c r="J267" s="19"/>
      <c r="K267" s="19"/>
      <c r="L267" s="19"/>
      <c r="AF267" s="6"/>
      <c r="AG267" s="6"/>
      <c r="AH267" s="6"/>
      <c r="AI267" s="6"/>
      <c r="AN267" s="6"/>
      <c r="AO267" s="6"/>
      <c r="AP267" s="6"/>
      <c r="AQ267" s="6"/>
      <c r="AR267" s="27"/>
      <c r="AS267" s="27"/>
      <c r="AT267" s="27"/>
      <c r="AU267" s="12"/>
      <c r="AV267" s="28"/>
    </row>
    <row r="268" spans="4:48">
      <c r="D268" s="12"/>
      <c r="E268" s="12"/>
      <c r="F268" s="12"/>
      <c r="G268" s="12"/>
      <c r="H268" s="36"/>
      <c r="J268" s="19"/>
      <c r="K268" s="19"/>
      <c r="L268" s="19"/>
      <c r="AF268" s="6"/>
      <c r="AG268" s="6"/>
      <c r="AH268" s="6"/>
      <c r="AI268" s="6"/>
      <c r="AN268" s="6"/>
      <c r="AO268" s="6"/>
      <c r="AP268" s="6"/>
      <c r="AQ268" s="6"/>
      <c r="AR268" s="27"/>
      <c r="AS268" s="27"/>
      <c r="AT268" s="27"/>
      <c r="AU268" s="12"/>
      <c r="AV268" s="28"/>
    </row>
    <row r="269" spans="4:48">
      <c r="D269" s="12"/>
      <c r="E269" s="12"/>
      <c r="F269" s="12"/>
      <c r="G269" s="12"/>
      <c r="H269" s="36"/>
      <c r="J269" s="19"/>
      <c r="K269" s="19"/>
      <c r="L269" s="19"/>
      <c r="AF269" s="6"/>
      <c r="AG269" s="6"/>
      <c r="AH269" s="6"/>
      <c r="AI269" s="6"/>
      <c r="AN269" s="6"/>
      <c r="AO269" s="6"/>
      <c r="AP269" s="6"/>
      <c r="AQ269" s="6"/>
      <c r="AR269" s="27"/>
      <c r="AS269" s="27"/>
      <c r="AT269" s="27"/>
      <c r="AU269" s="12"/>
      <c r="AV269" s="28"/>
    </row>
    <row r="270" spans="4:48">
      <c r="D270" s="12"/>
      <c r="E270" s="12"/>
      <c r="F270" s="12"/>
      <c r="G270" s="12"/>
      <c r="H270" s="36"/>
      <c r="J270" s="19"/>
      <c r="K270" s="19"/>
      <c r="L270" s="19"/>
      <c r="AF270" s="6"/>
      <c r="AG270" s="6"/>
      <c r="AH270" s="6"/>
      <c r="AI270" s="6"/>
      <c r="AN270" s="6"/>
      <c r="AO270" s="6"/>
      <c r="AP270" s="6"/>
      <c r="AQ270" s="6"/>
      <c r="AR270" s="27"/>
      <c r="AS270" s="27"/>
      <c r="AT270" s="27"/>
      <c r="AU270" s="12"/>
      <c r="AV270" s="28"/>
    </row>
    <row r="271" spans="4:48">
      <c r="D271" s="12"/>
      <c r="E271" s="12"/>
      <c r="F271" s="12"/>
      <c r="G271" s="12"/>
      <c r="H271" s="36"/>
      <c r="J271" s="19"/>
      <c r="K271" s="19"/>
      <c r="L271" s="19"/>
      <c r="AF271" s="6"/>
      <c r="AG271" s="6"/>
      <c r="AH271" s="6"/>
      <c r="AI271" s="6"/>
      <c r="AN271" s="6"/>
      <c r="AO271" s="6"/>
      <c r="AP271" s="6"/>
      <c r="AQ271" s="6"/>
      <c r="AR271" s="27"/>
      <c r="AS271" s="27"/>
      <c r="AT271" s="27"/>
      <c r="AU271" s="12"/>
      <c r="AV271" s="28"/>
    </row>
    <row r="272" spans="4:48">
      <c r="D272" s="12"/>
      <c r="E272" s="12"/>
      <c r="F272" s="12"/>
      <c r="G272" s="12"/>
      <c r="H272" s="36"/>
      <c r="J272" s="19"/>
      <c r="K272" s="19"/>
      <c r="L272" s="19"/>
      <c r="AF272" s="6"/>
      <c r="AG272" s="6"/>
      <c r="AH272" s="6"/>
      <c r="AI272" s="6"/>
      <c r="AN272" s="6"/>
      <c r="AO272" s="6"/>
      <c r="AP272" s="6"/>
      <c r="AQ272" s="6"/>
      <c r="AR272" s="27"/>
      <c r="AS272" s="27"/>
      <c r="AT272" s="27"/>
      <c r="AU272" s="12"/>
      <c r="AV272" s="28"/>
    </row>
    <row r="273" spans="4:48">
      <c r="D273" s="12"/>
      <c r="E273" s="12"/>
      <c r="F273" s="12"/>
      <c r="G273" s="12"/>
      <c r="H273" s="36"/>
      <c r="J273" s="19"/>
      <c r="K273" s="19"/>
      <c r="L273" s="19"/>
      <c r="AF273" s="6"/>
      <c r="AG273" s="6"/>
      <c r="AH273" s="6"/>
      <c r="AI273" s="6"/>
      <c r="AN273" s="6"/>
      <c r="AO273" s="6"/>
      <c r="AP273" s="6"/>
      <c r="AQ273" s="6"/>
      <c r="AR273" s="27"/>
      <c r="AS273" s="27"/>
      <c r="AT273" s="27"/>
      <c r="AU273" s="12"/>
      <c r="AV273" s="28"/>
    </row>
    <row r="274" spans="4:48">
      <c r="D274" s="12"/>
      <c r="E274" s="12"/>
      <c r="F274" s="12"/>
      <c r="G274" s="12"/>
      <c r="H274" s="36"/>
      <c r="J274" s="19"/>
      <c r="K274" s="19"/>
      <c r="L274" s="19"/>
      <c r="AF274" s="6"/>
      <c r="AG274" s="6"/>
      <c r="AH274" s="6"/>
      <c r="AI274" s="6"/>
      <c r="AN274" s="6"/>
      <c r="AO274" s="6"/>
      <c r="AP274" s="6"/>
      <c r="AQ274" s="6"/>
      <c r="AR274" s="27"/>
      <c r="AS274" s="27"/>
      <c r="AT274" s="27"/>
      <c r="AU274" s="12"/>
      <c r="AV274" s="28"/>
    </row>
    <row r="275" spans="4:48">
      <c r="D275" s="12"/>
      <c r="E275" s="12"/>
      <c r="F275" s="12"/>
      <c r="G275" s="12"/>
      <c r="H275" s="36"/>
      <c r="J275" s="19"/>
      <c r="K275" s="19"/>
      <c r="L275" s="19"/>
      <c r="AF275" s="6"/>
      <c r="AG275" s="6"/>
      <c r="AH275" s="6"/>
      <c r="AI275" s="6"/>
      <c r="AN275" s="6"/>
      <c r="AO275" s="6"/>
      <c r="AP275" s="6"/>
      <c r="AQ275" s="6"/>
      <c r="AR275" s="27"/>
      <c r="AS275" s="27"/>
      <c r="AT275" s="27"/>
      <c r="AU275" s="12"/>
      <c r="AV275" s="28"/>
    </row>
    <row r="276" spans="4:48">
      <c r="D276" s="12"/>
      <c r="E276" s="12"/>
      <c r="F276" s="12"/>
      <c r="G276" s="12"/>
      <c r="H276" s="36"/>
      <c r="J276" s="19"/>
      <c r="K276" s="19"/>
      <c r="L276" s="19"/>
      <c r="AF276" s="6"/>
      <c r="AG276" s="6"/>
      <c r="AH276" s="6"/>
      <c r="AI276" s="6"/>
      <c r="AN276" s="6"/>
      <c r="AO276" s="6"/>
      <c r="AP276" s="6"/>
      <c r="AQ276" s="6"/>
      <c r="AR276" s="27"/>
      <c r="AS276" s="27"/>
      <c r="AT276" s="27"/>
      <c r="AU276" s="12"/>
      <c r="AV276" s="28"/>
    </row>
    <row r="277" spans="4:48">
      <c r="D277" s="12"/>
      <c r="E277" s="12"/>
      <c r="F277" s="12"/>
      <c r="G277" s="12"/>
      <c r="H277" s="36"/>
      <c r="J277" s="19"/>
      <c r="K277" s="19"/>
      <c r="L277" s="19"/>
      <c r="AF277" s="6"/>
      <c r="AG277" s="6"/>
      <c r="AH277" s="6"/>
      <c r="AI277" s="6"/>
      <c r="AN277" s="6"/>
      <c r="AO277" s="6"/>
      <c r="AP277" s="6"/>
      <c r="AQ277" s="6"/>
      <c r="AR277" s="27"/>
      <c r="AS277" s="27"/>
      <c r="AT277" s="27"/>
      <c r="AU277" s="12"/>
      <c r="AV277" s="28"/>
    </row>
    <row r="278" spans="4:48">
      <c r="D278" s="12"/>
      <c r="E278" s="12"/>
      <c r="F278" s="12"/>
      <c r="G278" s="12"/>
      <c r="H278" s="36"/>
      <c r="J278" s="19"/>
      <c r="K278" s="19"/>
      <c r="L278" s="19"/>
      <c r="AF278" s="6"/>
      <c r="AG278" s="6"/>
      <c r="AH278" s="6"/>
      <c r="AI278" s="6"/>
      <c r="AN278" s="6"/>
      <c r="AO278" s="6"/>
      <c r="AP278" s="6"/>
      <c r="AQ278" s="6"/>
      <c r="AR278" s="27"/>
      <c r="AS278" s="27"/>
      <c r="AT278" s="27"/>
      <c r="AU278" s="12"/>
      <c r="AV278" s="28"/>
    </row>
    <row r="279" spans="4:48">
      <c r="D279" s="12"/>
      <c r="E279" s="12"/>
      <c r="F279" s="12"/>
      <c r="G279" s="12"/>
      <c r="H279" s="36"/>
      <c r="J279" s="19"/>
      <c r="K279" s="19"/>
      <c r="L279" s="19"/>
      <c r="AF279" s="6"/>
      <c r="AG279" s="6"/>
      <c r="AH279" s="6"/>
      <c r="AI279" s="6"/>
      <c r="AN279" s="6"/>
      <c r="AO279" s="6"/>
      <c r="AP279" s="6"/>
      <c r="AQ279" s="6"/>
      <c r="AR279" s="27"/>
      <c r="AS279" s="27"/>
      <c r="AT279" s="27"/>
      <c r="AU279" s="12"/>
      <c r="AV279" s="28"/>
    </row>
    <row r="280" spans="4:48">
      <c r="D280" s="12"/>
      <c r="E280" s="12"/>
      <c r="F280" s="12"/>
      <c r="G280" s="12"/>
      <c r="H280" s="36"/>
      <c r="J280" s="19"/>
      <c r="K280" s="19"/>
      <c r="L280" s="19"/>
      <c r="AF280" s="6"/>
      <c r="AG280" s="6"/>
      <c r="AH280" s="6"/>
      <c r="AI280" s="6"/>
      <c r="AN280" s="6"/>
      <c r="AO280" s="6"/>
      <c r="AP280" s="6"/>
      <c r="AQ280" s="6"/>
      <c r="AR280" s="27"/>
      <c r="AS280" s="27"/>
      <c r="AT280" s="27"/>
      <c r="AU280" s="12"/>
      <c r="AV280" s="28"/>
    </row>
    <row r="281" spans="4:48">
      <c r="D281" s="12"/>
      <c r="E281" s="12"/>
      <c r="F281" s="12"/>
      <c r="G281" s="12"/>
      <c r="H281" s="36"/>
      <c r="J281" s="19"/>
      <c r="K281" s="19"/>
      <c r="L281" s="19"/>
      <c r="AF281" s="6"/>
      <c r="AG281" s="6"/>
      <c r="AH281" s="6"/>
      <c r="AI281" s="6"/>
      <c r="AN281" s="6"/>
      <c r="AO281" s="6"/>
      <c r="AP281" s="6"/>
      <c r="AQ281" s="6"/>
      <c r="AR281" s="27"/>
      <c r="AS281" s="27"/>
      <c r="AT281" s="27"/>
      <c r="AU281" s="12"/>
      <c r="AV281" s="28"/>
    </row>
    <row r="282" spans="4:48">
      <c r="D282" s="12"/>
      <c r="E282" s="12"/>
      <c r="F282" s="12"/>
      <c r="G282" s="12"/>
      <c r="H282" s="36"/>
      <c r="J282" s="19"/>
      <c r="K282" s="19"/>
      <c r="L282" s="19"/>
      <c r="AF282" s="6"/>
      <c r="AG282" s="6"/>
      <c r="AH282" s="6"/>
      <c r="AI282" s="6"/>
      <c r="AN282" s="6"/>
      <c r="AO282" s="6"/>
      <c r="AP282" s="6"/>
      <c r="AQ282" s="6"/>
      <c r="AR282" s="27"/>
      <c r="AS282" s="27"/>
      <c r="AT282" s="27"/>
      <c r="AU282" s="12"/>
      <c r="AV282" s="28"/>
    </row>
    <row r="283" spans="4:48">
      <c r="D283" s="12"/>
      <c r="E283" s="12"/>
      <c r="F283" s="12"/>
      <c r="G283" s="12"/>
      <c r="H283" s="36"/>
      <c r="J283" s="19"/>
      <c r="K283" s="19"/>
      <c r="L283" s="19"/>
      <c r="AF283" s="6"/>
      <c r="AG283" s="6"/>
      <c r="AH283" s="6"/>
      <c r="AI283" s="6"/>
      <c r="AN283" s="6"/>
      <c r="AO283" s="6"/>
      <c r="AP283" s="6"/>
      <c r="AQ283" s="6"/>
      <c r="AR283" s="27"/>
      <c r="AS283" s="27"/>
      <c r="AT283" s="27"/>
      <c r="AU283" s="12"/>
      <c r="AV283" s="28"/>
    </row>
    <row r="284" spans="4:48">
      <c r="D284" s="12"/>
      <c r="E284" s="12"/>
      <c r="F284" s="12"/>
      <c r="G284" s="12"/>
      <c r="H284" s="36"/>
      <c r="J284" s="19"/>
      <c r="K284" s="19"/>
      <c r="L284" s="19"/>
      <c r="AF284" s="6"/>
      <c r="AG284" s="6"/>
      <c r="AH284" s="6"/>
      <c r="AI284" s="6"/>
      <c r="AN284" s="6"/>
      <c r="AO284" s="6"/>
      <c r="AP284" s="6"/>
      <c r="AQ284" s="6"/>
      <c r="AR284" s="27"/>
      <c r="AS284" s="27"/>
      <c r="AT284" s="27"/>
      <c r="AU284" s="12"/>
      <c r="AV284" s="28"/>
    </row>
    <row r="285" spans="4:48">
      <c r="D285" s="12"/>
      <c r="E285" s="12"/>
      <c r="F285" s="12"/>
      <c r="G285" s="12"/>
      <c r="H285" s="36"/>
      <c r="J285" s="19"/>
      <c r="K285" s="19"/>
      <c r="L285" s="19"/>
      <c r="AF285" s="6"/>
      <c r="AG285" s="6"/>
      <c r="AH285" s="6"/>
      <c r="AI285" s="6"/>
      <c r="AN285" s="6"/>
      <c r="AO285" s="6"/>
      <c r="AP285" s="6"/>
      <c r="AQ285" s="6"/>
      <c r="AR285" s="27"/>
      <c r="AS285" s="27"/>
      <c r="AT285" s="27"/>
      <c r="AU285" s="12"/>
      <c r="AV285" s="28"/>
    </row>
    <row r="286" spans="4:48">
      <c r="D286" s="12"/>
      <c r="E286" s="12"/>
      <c r="F286" s="12"/>
      <c r="G286" s="12"/>
      <c r="H286" s="36"/>
      <c r="J286" s="19"/>
      <c r="K286" s="19"/>
      <c r="L286" s="19"/>
      <c r="AF286" s="6"/>
      <c r="AG286" s="6"/>
      <c r="AH286" s="6"/>
      <c r="AI286" s="6"/>
      <c r="AN286" s="6"/>
      <c r="AO286" s="6"/>
      <c r="AP286" s="6"/>
      <c r="AQ286" s="6"/>
      <c r="AR286" s="27"/>
      <c r="AS286" s="27"/>
      <c r="AT286" s="27"/>
      <c r="AU286" s="12"/>
      <c r="AV286" s="28"/>
    </row>
    <row r="287" spans="4:48">
      <c r="D287" s="12"/>
      <c r="E287" s="12"/>
      <c r="F287" s="12"/>
      <c r="G287" s="12"/>
      <c r="H287" s="36"/>
      <c r="J287" s="19"/>
      <c r="K287" s="19"/>
      <c r="L287" s="19"/>
      <c r="AF287" s="6"/>
      <c r="AG287" s="6"/>
      <c r="AH287" s="6"/>
      <c r="AI287" s="6"/>
      <c r="AN287" s="6"/>
      <c r="AO287" s="6"/>
      <c r="AP287" s="6"/>
      <c r="AQ287" s="6"/>
      <c r="AR287" s="27"/>
      <c r="AS287" s="27"/>
      <c r="AT287" s="27"/>
      <c r="AU287" s="12"/>
      <c r="AV287" s="28"/>
    </row>
    <row r="288" spans="4:48">
      <c r="D288" s="12"/>
      <c r="E288" s="12"/>
      <c r="F288" s="12"/>
      <c r="G288" s="12"/>
      <c r="H288" s="36"/>
      <c r="J288" s="19"/>
      <c r="K288" s="19"/>
      <c r="L288" s="19"/>
      <c r="AF288" s="6"/>
      <c r="AG288" s="6"/>
      <c r="AH288" s="6"/>
      <c r="AI288" s="6"/>
      <c r="AN288" s="6"/>
      <c r="AO288" s="6"/>
      <c r="AP288" s="6"/>
      <c r="AQ288" s="6"/>
      <c r="AR288" s="27"/>
      <c r="AS288" s="27"/>
      <c r="AT288" s="27"/>
      <c r="AU288" s="12"/>
      <c r="AV288" s="28"/>
    </row>
    <row r="289" spans="4:48">
      <c r="D289" s="12"/>
      <c r="E289" s="12"/>
      <c r="F289" s="12"/>
      <c r="G289" s="12"/>
      <c r="H289" s="36"/>
      <c r="J289" s="19"/>
      <c r="K289" s="19"/>
      <c r="L289" s="19"/>
      <c r="AF289" s="6"/>
      <c r="AG289" s="6"/>
      <c r="AH289" s="6"/>
      <c r="AI289" s="6"/>
      <c r="AN289" s="6"/>
      <c r="AO289" s="6"/>
      <c r="AP289" s="6"/>
      <c r="AQ289" s="6"/>
      <c r="AR289" s="27"/>
      <c r="AS289" s="27"/>
      <c r="AT289" s="27"/>
      <c r="AU289" s="12"/>
      <c r="AV289" s="28"/>
    </row>
    <row r="290" spans="4:48">
      <c r="D290" s="12"/>
      <c r="E290" s="12"/>
      <c r="F290" s="12"/>
      <c r="G290" s="12"/>
      <c r="H290" s="36"/>
      <c r="J290" s="19"/>
      <c r="K290" s="19"/>
      <c r="L290" s="19"/>
      <c r="AF290" s="6"/>
      <c r="AG290" s="6"/>
      <c r="AH290" s="6"/>
      <c r="AI290" s="6"/>
      <c r="AN290" s="6"/>
      <c r="AO290" s="6"/>
      <c r="AP290" s="6"/>
      <c r="AQ290" s="6"/>
      <c r="AR290" s="27"/>
      <c r="AS290" s="27"/>
      <c r="AT290" s="27"/>
      <c r="AU290" s="12"/>
      <c r="AV290" s="28"/>
    </row>
    <row r="291" spans="4:48">
      <c r="D291" s="12"/>
      <c r="E291" s="12"/>
      <c r="F291" s="12"/>
      <c r="G291" s="12"/>
      <c r="H291" s="36"/>
      <c r="J291" s="19"/>
      <c r="K291" s="19"/>
      <c r="L291" s="19"/>
      <c r="AF291" s="6"/>
      <c r="AG291" s="6"/>
      <c r="AH291" s="6"/>
      <c r="AI291" s="6"/>
      <c r="AN291" s="6"/>
      <c r="AO291" s="6"/>
      <c r="AP291" s="6"/>
      <c r="AQ291" s="6"/>
      <c r="AR291" s="27"/>
      <c r="AS291" s="27"/>
      <c r="AT291" s="27"/>
      <c r="AU291" s="12"/>
      <c r="AV291" s="28"/>
    </row>
    <row r="292" spans="4:48">
      <c r="D292" s="12"/>
      <c r="E292" s="12"/>
      <c r="F292" s="12"/>
      <c r="G292" s="12"/>
      <c r="H292" s="36"/>
      <c r="J292" s="19"/>
      <c r="K292" s="19"/>
      <c r="L292" s="19"/>
      <c r="AF292" s="6"/>
      <c r="AG292" s="6"/>
      <c r="AH292" s="6"/>
      <c r="AI292" s="6"/>
      <c r="AN292" s="6"/>
      <c r="AO292" s="6"/>
      <c r="AP292" s="6"/>
      <c r="AQ292" s="6"/>
      <c r="AR292" s="27"/>
      <c r="AS292" s="27"/>
      <c r="AT292" s="27"/>
      <c r="AU292" s="12"/>
      <c r="AV292" s="28"/>
    </row>
    <row r="293" spans="4:48">
      <c r="D293" s="12"/>
      <c r="E293" s="12"/>
      <c r="F293" s="12"/>
      <c r="G293" s="12"/>
      <c r="H293" s="36"/>
      <c r="J293" s="19"/>
      <c r="K293" s="19"/>
      <c r="L293" s="19"/>
      <c r="AF293" s="6"/>
      <c r="AG293" s="6"/>
      <c r="AH293" s="6"/>
      <c r="AI293" s="6"/>
      <c r="AN293" s="6"/>
      <c r="AO293" s="6"/>
      <c r="AP293" s="6"/>
      <c r="AQ293" s="6"/>
      <c r="AR293" s="27"/>
      <c r="AS293" s="27"/>
      <c r="AT293" s="27"/>
      <c r="AU293" s="12"/>
      <c r="AV293" s="28"/>
    </row>
    <row r="294" spans="4:48">
      <c r="D294" s="12"/>
      <c r="E294" s="12"/>
      <c r="F294" s="12"/>
      <c r="G294" s="12"/>
      <c r="H294" s="36"/>
      <c r="J294" s="19"/>
      <c r="K294" s="19"/>
      <c r="L294" s="19"/>
      <c r="AF294" s="6"/>
      <c r="AG294" s="6"/>
      <c r="AH294" s="6"/>
      <c r="AI294" s="6"/>
      <c r="AN294" s="6"/>
      <c r="AO294" s="6"/>
      <c r="AP294" s="6"/>
      <c r="AQ294" s="6"/>
      <c r="AR294" s="27"/>
      <c r="AS294" s="27"/>
      <c r="AT294" s="27"/>
      <c r="AU294" s="12"/>
      <c r="AV294" s="28"/>
    </row>
    <row r="295" spans="4:48">
      <c r="D295" s="12"/>
      <c r="E295" s="12"/>
      <c r="F295" s="12"/>
      <c r="G295" s="12"/>
      <c r="H295" s="36"/>
      <c r="J295" s="19"/>
      <c r="K295" s="19"/>
      <c r="L295" s="19"/>
      <c r="AF295" s="6"/>
      <c r="AG295" s="6"/>
      <c r="AH295" s="6"/>
      <c r="AI295" s="6"/>
      <c r="AN295" s="6"/>
      <c r="AO295" s="6"/>
      <c r="AP295" s="6"/>
      <c r="AQ295" s="6"/>
      <c r="AR295" s="27"/>
      <c r="AS295" s="27"/>
      <c r="AT295" s="27"/>
      <c r="AU295" s="12"/>
      <c r="AV295" s="28"/>
    </row>
    <row r="296" spans="4:48">
      <c r="D296" s="12"/>
      <c r="E296" s="12"/>
      <c r="F296" s="12"/>
      <c r="G296" s="12"/>
      <c r="H296" s="36"/>
      <c r="J296" s="19"/>
      <c r="K296" s="19"/>
      <c r="L296" s="19"/>
      <c r="AF296" s="6"/>
      <c r="AG296" s="6"/>
      <c r="AH296" s="6"/>
      <c r="AI296" s="6"/>
      <c r="AN296" s="6"/>
      <c r="AO296" s="6"/>
      <c r="AP296" s="6"/>
      <c r="AQ296" s="6"/>
      <c r="AR296" s="27"/>
      <c r="AS296" s="27"/>
      <c r="AT296" s="27"/>
      <c r="AU296" s="12"/>
      <c r="AV296" s="28"/>
    </row>
    <row r="297" spans="4:48">
      <c r="D297" s="12"/>
      <c r="E297" s="12"/>
      <c r="F297" s="12"/>
      <c r="G297" s="12"/>
      <c r="H297" s="36"/>
      <c r="J297" s="19"/>
      <c r="K297" s="19"/>
      <c r="L297" s="19"/>
      <c r="AF297" s="6"/>
      <c r="AG297" s="6"/>
      <c r="AH297" s="6"/>
      <c r="AI297" s="6"/>
      <c r="AN297" s="6"/>
      <c r="AO297" s="6"/>
      <c r="AP297" s="6"/>
      <c r="AQ297" s="6"/>
      <c r="AR297" s="27"/>
      <c r="AS297" s="27"/>
      <c r="AT297" s="27"/>
      <c r="AU297" s="12"/>
      <c r="AV297" s="28"/>
    </row>
    <row r="298" spans="4:48">
      <c r="D298" s="12"/>
      <c r="E298" s="12"/>
      <c r="F298" s="12"/>
      <c r="G298" s="12"/>
      <c r="H298" s="36"/>
      <c r="J298" s="19"/>
      <c r="K298" s="19"/>
      <c r="L298" s="19"/>
      <c r="AF298" s="6"/>
      <c r="AG298" s="6"/>
      <c r="AH298" s="6"/>
      <c r="AI298" s="6"/>
      <c r="AN298" s="6"/>
      <c r="AO298" s="6"/>
      <c r="AP298" s="6"/>
      <c r="AQ298" s="6"/>
      <c r="AR298" s="27"/>
      <c r="AS298" s="27"/>
      <c r="AT298" s="27"/>
      <c r="AU298" s="12"/>
      <c r="AV298" s="28"/>
    </row>
    <row r="299" spans="4:48">
      <c r="D299" s="12"/>
      <c r="E299" s="12"/>
      <c r="F299" s="12"/>
      <c r="G299" s="12"/>
      <c r="H299" s="36"/>
      <c r="J299" s="19"/>
      <c r="K299" s="19"/>
      <c r="L299" s="19"/>
      <c r="AF299" s="6"/>
      <c r="AG299" s="6"/>
      <c r="AH299" s="6"/>
      <c r="AI299" s="6"/>
      <c r="AN299" s="6"/>
      <c r="AO299" s="6"/>
      <c r="AP299" s="6"/>
      <c r="AQ299" s="6"/>
      <c r="AR299" s="27"/>
      <c r="AS299" s="27"/>
      <c r="AT299" s="27"/>
      <c r="AU299" s="12"/>
      <c r="AV299" s="28"/>
    </row>
    <row r="300" spans="4:48">
      <c r="D300" s="12"/>
      <c r="E300" s="12"/>
      <c r="F300" s="12"/>
      <c r="G300" s="12"/>
      <c r="H300" s="36"/>
      <c r="J300" s="19"/>
      <c r="K300" s="19"/>
      <c r="L300" s="19"/>
      <c r="AF300" s="6"/>
      <c r="AG300" s="6"/>
      <c r="AH300" s="6"/>
      <c r="AI300" s="6"/>
      <c r="AN300" s="6"/>
      <c r="AO300" s="6"/>
      <c r="AP300" s="6"/>
      <c r="AQ300" s="6"/>
      <c r="AR300" s="27"/>
      <c r="AS300" s="27"/>
      <c r="AT300" s="27"/>
      <c r="AU300" s="12"/>
      <c r="AV300" s="28"/>
    </row>
    <row r="301" spans="4:48">
      <c r="D301" s="12"/>
      <c r="E301" s="12"/>
      <c r="F301" s="12"/>
      <c r="G301" s="12"/>
      <c r="H301" s="36"/>
      <c r="J301" s="19"/>
      <c r="K301" s="19"/>
      <c r="L301" s="19"/>
      <c r="AF301" s="6"/>
      <c r="AG301" s="6"/>
      <c r="AH301" s="6"/>
      <c r="AI301" s="6"/>
      <c r="AN301" s="6"/>
      <c r="AO301" s="6"/>
      <c r="AP301" s="6"/>
      <c r="AQ301" s="6"/>
      <c r="AR301" s="27"/>
      <c r="AS301" s="27"/>
      <c r="AT301" s="27"/>
      <c r="AU301" s="12"/>
      <c r="AV301" s="28"/>
    </row>
    <row r="302" spans="4:48">
      <c r="D302" s="12"/>
      <c r="E302" s="12"/>
      <c r="F302" s="12"/>
      <c r="G302" s="12"/>
      <c r="H302" s="36"/>
      <c r="J302" s="19"/>
      <c r="K302" s="19"/>
      <c r="L302" s="19"/>
      <c r="AF302" s="6"/>
      <c r="AG302" s="6"/>
      <c r="AH302" s="6"/>
      <c r="AI302" s="6"/>
      <c r="AN302" s="6"/>
      <c r="AO302" s="6"/>
      <c r="AP302" s="6"/>
      <c r="AQ302" s="6"/>
      <c r="AR302" s="27"/>
      <c r="AS302" s="27"/>
      <c r="AT302" s="27"/>
      <c r="AU302" s="12"/>
      <c r="AV302" s="28"/>
    </row>
    <row r="303" spans="4:48">
      <c r="D303" s="12"/>
      <c r="E303" s="12"/>
      <c r="F303" s="12"/>
      <c r="G303" s="12"/>
      <c r="H303" s="36"/>
      <c r="J303" s="19"/>
      <c r="K303" s="19"/>
      <c r="L303" s="19"/>
      <c r="AF303" s="6"/>
      <c r="AG303" s="6"/>
      <c r="AH303" s="6"/>
      <c r="AI303" s="6"/>
      <c r="AN303" s="6"/>
      <c r="AO303" s="6"/>
      <c r="AP303" s="6"/>
      <c r="AQ303" s="6"/>
      <c r="AR303" s="27"/>
      <c r="AS303" s="27"/>
      <c r="AT303" s="27"/>
      <c r="AU303" s="12"/>
      <c r="AV303" s="28"/>
    </row>
    <row r="304" spans="4:48">
      <c r="D304" s="12"/>
      <c r="E304" s="12"/>
      <c r="F304" s="12"/>
      <c r="G304" s="12"/>
      <c r="H304" s="36"/>
      <c r="J304" s="19"/>
      <c r="K304" s="19"/>
      <c r="L304" s="19"/>
      <c r="AF304" s="6"/>
      <c r="AG304" s="6"/>
      <c r="AH304" s="6"/>
      <c r="AI304" s="6"/>
      <c r="AN304" s="6"/>
      <c r="AO304" s="6"/>
      <c r="AP304" s="6"/>
      <c r="AQ304" s="6"/>
      <c r="AR304" s="27"/>
      <c r="AS304" s="27"/>
      <c r="AT304" s="27"/>
      <c r="AU304" s="12"/>
      <c r="AV304" s="28"/>
    </row>
    <row r="305" spans="4:48">
      <c r="D305" s="12"/>
      <c r="E305" s="12"/>
      <c r="F305" s="12"/>
      <c r="G305" s="12"/>
      <c r="H305" s="36"/>
      <c r="J305" s="19"/>
      <c r="K305" s="19"/>
      <c r="L305" s="19"/>
      <c r="AF305" s="6"/>
      <c r="AG305" s="6"/>
      <c r="AH305" s="6"/>
      <c r="AI305" s="6"/>
      <c r="AN305" s="6"/>
      <c r="AO305" s="6"/>
      <c r="AP305" s="6"/>
      <c r="AQ305" s="6"/>
      <c r="AR305" s="27"/>
      <c r="AS305" s="27"/>
      <c r="AT305" s="27"/>
      <c r="AU305" s="12"/>
      <c r="AV305" s="28"/>
    </row>
    <row r="306" spans="4:48">
      <c r="D306" s="12"/>
      <c r="E306" s="12"/>
      <c r="F306" s="12"/>
      <c r="G306" s="12"/>
      <c r="H306" s="36"/>
      <c r="J306" s="19"/>
      <c r="K306" s="19"/>
      <c r="L306" s="19"/>
      <c r="AF306" s="6"/>
      <c r="AG306" s="6"/>
      <c r="AH306" s="6"/>
      <c r="AI306" s="6"/>
      <c r="AN306" s="6"/>
      <c r="AO306" s="6"/>
      <c r="AP306" s="6"/>
      <c r="AQ306" s="6"/>
      <c r="AR306" s="27"/>
      <c r="AS306" s="27"/>
      <c r="AT306" s="27"/>
      <c r="AU306" s="12"/>
      <c r="AV306" s="28"/>
    </row>
    <row r="307" spans="4:48">
      <c r="D307" s="12"/>
      <c r="E307" s="12"/>
      <c r="F307" s="12"/>
      <c r="G307" s="12"/>
      <c r="H307" s="36"/>
      <c r="J307" s="19"/>
      <c r="K307" s="19"/>
      <c r="L307" s="19"/>
      <c r="AF307" s="6"/>
      <c r="AG307" s="6"/>
      <c r="AH307" s="6"/>
      <c r="AI307" s="6"/>
      <c r="AN307" s="6"/>
      <c r="AO307" s="6"/>
      <c r="AP307" s="6"/>
      <c r="AQ307" s="6"/>
      <c r="AR307" s="27"/>
      <c r="AS307" s="27"/>
      <c r="AT307" s="27"/>
      <c r="AU307" s="12"/>
      <c r="AV307" s="28"/>
    </row>
    <row r="308" spans="4:48">
      <c r="D308" s="12"/>
      <c r="E308" s="12"/>
      <c r="F308" s="12"/>
      <c r="G308" s="12"/>
      <c r="H308" s="36"/>
      <c r="J308" s="19"/>
      <c r="K308" s="19"/>
      <c r="L308" s="19"/>
      <c r="AF308" s="6"/>
      <c r="AG308" s="6"/>
      <c r="AH308" s="6"/>
      <c r="AI308" s="6"/>
      <c r="AN308" s="6"/>
      <c r="AO308" s="6"/>
      <c r="AP308" s="6"/>
      <c r="AQ308" s="6"/>
      <c r="AR308" s="27"/>
      <c r="AS308" s="27"/>
      <c r="AT308" s="27"/>
      <c r="AU308" s="12"/>
      <c r="AV308" s="28"/>
    </row>
    <row r="309" spans="4:48">
      <c r="D309" s="12"/>
      <c r="E309" s="12"/>
      <c r="F309" s="12"/>
      <c r="G309" s="12"/>
      <c r="H309" s="36"/>
      <c r="J309" s="19"/>
      <c r="K309" s="19"/>
      <c r="L309" s="19"/>
      <c r="AF309" s="6"/>
      <c r="AG309" s="6"/>
      <c r="AH309" s="6"/>
      <c r="AI309" s="6"/>
      <c r="AN309" s="6"/>
      <c r="AO309" s="6"/>
      <c r="AP309" s="6"/>
      <c r="AQ309" s="6"/>
      <c r="AR309" s="27"/>
      <c r="AS309" s="27"/>
      <c r="AT309" s="27"/>
      <c r="AU309" s="12"/>
      <c r="AV309" s="28"/>
    </row>
    <row r="310" spans="4:48">
      <c r="D310" s="12"/>
      <c r="E310" s="12"/>
      <c r="F310" s="12"/>
      <c r="G310" s="12"/>
      <c r="H310" s="36"/>
      <c r="J310" s="19"/>
      <c r="K310" s="19"/>
      <c r="L310" s="19"/>
      <c r="AF310" s="6"/>
      <c r="AG310" s="6"/>
      <c r="AH310" s="6"/>
      <c r="AI310" s="6"/>
      <c r="AN310" s="6"/>
      <c r="AO310" s="6"/>
      <c r="AP310" s="6"/>
      <c r="AQ310" s="6"/>
      <c r="AR310" s="27"/>
      <c r="AS310" s="27"/>
      <c r="AT310" s="27"/>
      <c r="AU310" s="12"/>
      <c r="AV310" s="28"/>
    </row>
    <row r="311" spans="4:48">
      <c r="D311" s="12"/>
      <c r="E311" s="12"/>
      <c r="F311" s="12"/>
      <c r="G311" s="12"/>
      <c r="H311" s="36"/>
      <c r="J311" s="19"/>
      <c r="K311" s="19"/>
      <c r="L311" s="19"/>
      <c r="AF311" s="6"/>
      <c r="AG311" s="6"/>
      <c r="AH311" s="6"/>
      <c r="AI311" s="6"/>
      <c r="AN311" s="6"/>
      <c r="AO311" s="6"/>
      <c r="AP311" s="6"/>
      <c r="AQ311" s="6"/>
      <c r="AR311" s="27"/>
      <c r="AS311" s="27"/>
      <c r="AT311" s="27"/>
      <c r="AU311" s="12"/>
      <c r="AV311" s="28"/>
    </row>
    <row r="312" spans="4:48">
      <c r="D312" s="12"/>
      <c r="E312" s="12"/>
      <c r="F312" s="12"/>
      <c r="G312" s="12"/>
      <c r="H312" s="36"/>
      <c r="J312" s="19"/>
      <c r="K312" s="19"/>
      <c r="L312" s="19"/>
      <c r="AF312" s="6"/>
      <c r="AG312" s="6"/>
      <c r="AH312" s="6"/>
      <c r="AI312" s="6"/>
      <c r="AN312" s="6"/>
      <c r="AO312" s="6"/>
      <c r="AP312" s="6"/>
      <c r="AQ312" s="6"/>
      <c r="AR312" s="27"/>
      <c r="AS312" s="27"/>
      <c r="AT312" s="27"/>
      <c r="AU312" s="12"/>
      <c r="AV312" s="28"/>
    </row>
    <row r="313" spans="4:48">
      <c r="D313" s="12"/>
      <c r="E313" s="12"/>
      <c r="F313" s="12"/>
      <c r="G313" s="12"/>
      <c r="H313" s="36"/>
      <c r="J313" s="19"/>
      <c r="K313" s="19"/>
      <c r="L313" s="19"/>
      <c r="AF313" s="6"/>
      <c r="AG313" s="6"/>
      <c r="AH313" s="6"/>
      <c r="AI313" s="6"/>
      <c r="AN313" s="6"/>
      <c r="AO313" s="6"/>
      <c r="AP313" s="6"/>
      <c r="AQ313" s="6"/>
      <c r="AR313" s="27"/>
      <c r="AS313" s="27"/>
      <c r="AT313" s="27"/>
      <c r="AU313" s="12"/>
      <c r="AV313" s="28"/>
    </row>
    <row r="314" spans="4:48">
      <c r="D314" s="12"/>
      <c r="E314" s="12"/>
      <c r="F314" s="12"/>
      <c r="G314" s="12"/>
      <c r="H314" s="36"/>
      <c r="J314" s="19"/>
      <c r="K314" s="19"/>
      <c r="L314" s="19"/>
      <c r="AF314" s="6"/>
      <c r="AG314" s="6"/>
      <c r="AH314" s="6"/>
      <c r="AI314" s="6"/>
      <c r="AN314" s="6"/>
      <c r="AO314" s="6"/>
      <c r="AP314" s="6"/>
      <c r="AQ314" s="6"/>
      <c r="AR314" s="27"/>
      <c r="AS314" s="27"/>
      <c r="AT314" s="27"/>
      <c r="AU314" s="12"/>
      <c r="AV314" s="28"/>
    </row>
    <row r="315" spans="4:48">
      <c r="D315" s="12"/>
      <c r="E315" s="12"/>
      <c r="F315" s="12"/>
      <c r="G315" s="12"/>
      <c r="H315" s="36"/>
      <c r="J315" s="19"/>
      <c r="K315" s="19"/>
      <c r="L315" s="19"/>
      <c r="AF315" s="6"/>
      <c r="AG315" s="6"/>
      <c r="AH315" s="6"/>
      <c r="AI315" s="6"/>
      <c r="AN315" s="6"/>
      <c r="AO315" s="6"/>
      <c r="AP315" s="6"/>
      <c r="AQ315" s="6"/>
      <c r="AR315" s="27"/>
      <c r="AS315" s="27"/>
      <c r="AT315" s="27"/>
      <c r="AU315" s="12"/>
      <c r="AV315" s="28"/>
    </row>
    <row r="316" spans="4:48">
      <c r="D316" s="12"/>
      <c r="E316" s="12"/>
      <c r="F316" s="12"/>
      <c r="G316" s="12"/>
      <c r="H316" s="36"/>
      <c r="J316" s="19"/>
      <c r="K316" s="19"/>
      <c r="L316" s="19"/>
      <c r="AF316" s="6"/>
      <c r="AG316" s="6"/>
      <c r="AH316" s="6"/>
      <c r="AI316" s="6"/>
      <c r="AN316" s="6"/>
      <c r="AO316" s="6"/>
      <c r="AP316" s="6"/>
      <c r="AQ316" s="6"/>
      <c r="AR316" s="27"/>
      <c r="AS316" s="27"/>
      <c r="AT316" s="27"/>
      <c r="AU316" s="12"/>
      <c r="AV316" s="28"/>
    </row>
    <row r="317" spans="4:48">
      <c r="D317" s="12"/>
      <c r="E317" s="12"/>
      <c r="F317" s="12"/>
      <c r="G317" s="12"/>
      <c r="H317" s="36"/>
      <c r="J317" s="19"/>
      <c r="K317" s="19"/>
      <c r="L317" s="19"/>
      <c r="AF317" s="6"/>
      <c r="AG317" s="6"/>
      <c r="AH317" s="6"/>
      <c r="AI317" s="6"/>
      <c r="AN317" s="6"/>
      <c r="AO317" s="6"/>
      <c r="AP317" s="6"/>
      <c r="AQ317" s="6"/>
      <c r="AR317" s="27"/>
      <c r="AS317" s="27"/>
      <c r="AT317" s="27"/>
      <c r="AU317" s="12"/>
      <c r="AV317" s="28"/>
    </row>
    <row r="318" spans="4:48">
      <c r="D318" s="12"/>
      <c r="E318" s="12"/>
      <c r="F318" s="12"/>
      <c r="G318" s="12"/>
      <c r="H318" s="36"/>
      <c r="J318" s="19"/>
      <c r="K318" s="19"/>
      <c r="L318" s="19"/>
      <c r="AF318" s="6"/>
      <c r="AG318" s="6"/>
      <c r="AH318" s="6"/>
      <c r="AI318" s="6"/>
      <c r="AN318" s="6"/>
      <c r="AO318" s="6"/>
      <c r="AP318" s="6"/>
      <c r="AQ318" s="6"/>
      <c r="AR318" s="27"/>
      <c r="AS318" s="27"/>
      <c r="AT318" s="27"/>
      <c r="AU318" s="12"/>
      <c r="AV318" s="28"/>
    </row>
    <row r="319" spans="4:48">
      <c r="D319" s="12"/>
      <c r="E319" s="12"/>
      <c r="F319" s="12"/>
      <c r="G319" s="12"/>
      <c r="H319" s="36"/>
      <c r="J319" s="19"/>
      <c r="K319" s="19"/>
      <c r="L319" s="19"/>
      <c r="AF319" s="6"/>
      <c r="AG319" s="6"/>
      <c r="AH319" s="6"/>
      <c r="AI319" s="6"/>
      <c r="AN319" s="6"/>
      <c r="AO319" s="6"/>
      <c r="AP319" s="6"/>
      <c r="AQ319" s="6"/>
      <c r="AR319" s="27"/>
      <c r="AS319" s="27"/>
      <c r="AT319" s="27"/>
      <c r="AU319" s="12"/>
      <c r="AV319" s="28"/>
    </row>
    <row r="320" spans="4:48">
      <c r="D320" s="12"/>
      <c r="E320" s="12"/>
      <c r="F320" s="12"/>
      <c r="G320" s="12"/>
      <c r="H320" s="36"/>
      <c r="J320" s="19"/>
      <c r="K320" s="19"/>
      <c r="L320" s="19"/>
      <c r="AF320" s="6"/>
      <c r="AG320" s="6"/>
      <c r="AH320" s="6"/>
      <c r="AI320" s="6"/>
      <c r="AN320" s="6"/>
      <c r="AO320" s="6"/>
      <c r="AP320" s="6"/>
      <c r="AQ320" s="6"/>
      <c r="AR320" s="27"/>
      <c r="AS320" s="27"/>
      <c r="AT320" s="27"/>
      <c r="AU320" s="12"/>
      <c r="AV320" s="28"/>
    </row>
    <row r="321" spans="4:48">
      <c r="D321" s="12"/>
      <c r="E321" s="12"/>
      <c r="F321" s="12"/>
      <c r="G321" s="12"/>
      <c r="H321" s="36"/>
      <c r="J321" s="19"/>
      <c r="K321" s="19"/>
      <c r="L321" s="19"/>
      <c r="AF321" s="6"/>
      <c r="AG321" s="6"/>
      <c r="AH321" s="6"/>
      <c r="AI321" s="6"/>
      <c r="AN321" s="6"/>
      <c r="AO321" s="6"/>
      <c r="AP321" s="6"/>
      <c r="AQ321" s="6"/>
      <c r="AR321" s="27"/>
      <c r="AS321" s="27"/>
      <c r="AT321" s="27"/>
      <c r="AU321" s="12"/>
      <c r="AV321" s="28"/>
    </row>
    <row r="322" spans="4:48">
      <c r="D322" s="12"/>
      <c r="E322" s="12"/>
      <c r="F322" s="12"/>
      <c r="G322" s="12"/>
      <c r="H322" s="36"/>
      <c r="J322" s="19"/>
      <c r="K322" s="19"/>
      <c r="L322" s="19"/>
      <c r="AF322" s="6"/>
      <c r="AG322" s="6"/>
      <c r="AH322" s="6"/>
      <c r="AI322" s="6"/>
      <c r="AN322" s="6"/>
      <c r="AO322" s="6"/>
      <c r="AP322" s="6"/>
      <c r="AQ322" s="6"/>
      <c r="AR322" s="27"/>
      <c r="AS322" s="27"/>
      <c r="AT322" s="27"/>
      <c r="AU322" s="12"/>
      <c r="AV322" s="28"/>
    </row>
    <row r="323" spans="4:48">
      <c r="D323" s="12"/>
      <c r="E323" s="12"/>
      <c r="F323" s="12"/>
      <c r="G323" s="12"/>
      <c r="H323" s="36"/>
      <c r="J323" s="19"/>
      <c r="K323" s="19"/>
      <c r="L323" s="19"/>
      <c r="AF323" s="6"/>
      <c r="AG323" s="6"/>
      <c r="AH323" s="6"/>
      <c r="AI323" s="6"/>
      <c r="AN323" s="6"/>
      <c r="AO323" s="6"/>
      <c r="AP323" s="6"/>
      <c r="AQ323" s="6"/>
      <c r="AR323" s="27"/>
      <c r="AS323" s="27"/>
      <c r="AT323" s="27"/>
      <c r="AU323" s="12"/>
      <c r="AV323" s="28"/>
    </row>
    <row r="324" spans="4:48">
      <c r="D324" s="12"/>
      <c r="E324" s="12"/>
      <c r="F324" s="12"/>
      <c r="G324" s="12"/>
      <c r="H324" s="36"/>
      <c r="J324" s="19"/>
      <c r="K324" s="19"/>
      <c r="L324" s="19"/>
      <c r="AF324" s="6"/>
      <c r="AG324" s="6"/>
      <c r="AH324" s="6"/>
      <c r="AI324" s="6"/>
      <c r="AN324" s="6"/>
      <c r="AO324" s="6"/>
      <c r="AP324" s="6"/>
      <c r="AQ324" s="6"/>
      <c r="AR324" s="27"/>
      <c r="AS324" s="27"/>
      <c r="AT324" s="27"/>
      <c r="AU324" s="12"/>
      <c r="AV324" s="28"/>
    </row>
    <row r="325" spans="4:48">
      <c r="D325" s="12"/>
      <c r="E325" s="12"/>
      <c r="F325" s="12"/>
      <c r="G325" s="12"/>
      <c r="H325" s="36"/>
      <c r="J325" s="19"/>
      <c r="K325" s="19"/>
      <c r="L325" s="19"/>
      <c r="AF325" s="6"/>
      <c r="AG325" s="6"/>
      <c r="AH325" s="6"/>
      <c r="AI325" s="6"/>
      <c r="AN325" s="6"/>
      <c r="AO325" s="6"/>
      <c r="AP325" s="6"/>
      <c r="AQ325" s="6"/>
      <c r="AR325" s="27"/>
      <c r="AS325" s="27"/>
      <c r="AT325" s="27"/>
      <c r="AU325" s="12"/>
      <c r="AV325" s="28"/>
    </row>
    <row r="326" spans="4:48">
      <c r="D326" s="12"/>
      <c r="E326" s="12"/>
      <c r="F326" s="12"/>
      <c r="G326" s="12"/>
      <c r="H326" s="36"/>
      <c r="J326" s="19"/>
      <c r="K326" s="19"/>
      <c r="L326" s="19"/>
      <c r="AF326" s="6"/>
      <c r="AG326" s="6"/>
      <c r="AH326" s="6"/>
      <c r="AI326" s="6"/>
      <c r="AN326" s="6"/>
      <c r="AO326" s="6"/>
      <c r="AP326" s="6"/>
      <c r="AQ326" s="6"/>
      <c r="AR326" s="27"/>
      <c r="AS326" s="27"/>
      <c r="AT326" s="27"/>
      <c r="AU326" s="12"/>
      <c r="AV326" s="28"/>
    </row>
    <row r="327" spans="4:48">
      <c r="D327" s="12"/>
      <c r="E327" s="12"/>
      <c r="F327" s="12"/>
      <c r="G327" s="12"/>
      <c r="H327" s="36"/>
      <c r="J327" s="19"/>
      <c r="K327" s="19"/>
      <c r="L327" s="19"/>
      <c r="AF327" s="6"/>
      <c r="AG327" s="6"/>
      <c r="AH327" s="6"/>
      <c r="AI327" s="6"/>
      <c r="AN327" s="6"/>
      <c r="AO327" s="6"/>
      <c r="AP327" s="6"/>
      <c r="AQ327" s="6"/>
      <c r="AR327" s="27"/>
      <c r="AS327" s="27"/>
      <c r="AT327" s="27"/>
      <c r="AU327" s="12"/>
      <c r="AV327" s="28"/>
    </row>
    <row r="328" spans="4:48">
      <c r="D328" s="12"/>
      <c r="E328" s="12"/>
      <c r="F328" s="12"/>
      <c r="G328" s="12"/>
      <c r="H328" s="36"/>
      <c r="J328" s="19"/>
      <c r="K328" s="19"/>
      <c r="L328" s="19"/>
      <c r="AF328" s="6"/>
      <c r="AG328" s="6"/>
      <c r="AH328" s="6"/>
      <c r="AI328" s="6"/>
      <c r="AN328" s="6"/>
      <c r="AO328" s="6"/>
      <c r="AP328" s="6"/>
      <c r="AQ328" s="6"/>
      <c r="AR328" s="27"/>
      <c r="AS328" s="27"/>
      <c r="AT328" s="27"/>
      <c r="AU328" s="12"/>
      <c r="AV328" s="28"/>
    </row>
    <row r="329" spans="4:48">
      <c r="D329" s="12"/>
      <c r="E329" s="12"/>
      <c r="F329" s="12"/>
      <c r="G329" s="12"/>
      <c r="H329" s="36"/>
      <c r="J329" s="19"/>
      <c r="K329" s="19"/>
      <c r="L329" s="19"/>
      <c r="AF329" s="6"/>
      <c r="AG329" s="6"/>
      <c r="AH329" s="6"/>
      <c r="AI329" s="6"/>
      <c r="AN329" s="6"/>
      <c r="AO329" s="6"/>
      <c r="AP329" s="6"/>
      <c r="AQ329" s="6"/>
      <c r="AR329" s="27"/>
      <c r="AS329" s="27"/>
      <c r="AT329" s="27"/>
      <c r="AU329" s="12"/>
      <c r="AV329" s="28"/>
    </row>
    <row r="330" spans="4:48">
      <c r="D330" s="12"/>
      <c r="E330" s="12"/>
      <c r="F330" s="12"/>
      <c r="G330" s="12"/>
      <c r="H330" s="36"/>
      <c r="J330" s="19"/>
      <c r="K330" s="19"/>
      <c r="L330" s="19"/>
      <c r="AF330" s="6"/>
      <c r="AG330" s="6"/>
      <c r="AH330" s="6"/>
      <c r="AI330" s="6"/>
      <c r="AN330" s="6"/>
      <c r="AO330" s="6"/>
      <c r="AP330" s="6"/>
      <c r="AQ330" s="6"/>
      <c r="AR330" s="27"/>
      <c r="AS330" s="27"/>
      <c r="AT330" s="27"/>
      <c r="AU330" s="12"/>
      <c r="AV330" s="28"/>
    </row>
    <row r="331" spans="4:48">
      <c r="D331" s="12"/>
      <c r="E331" s="12"/>
      <c r="F331" s="12"/>
      <c r="G331" s="12"/>
      <c r="H331" s="36"/>
      <c r="J331" s="19"/>
      <c r="K331" s="19"/>
      <c r="L331" s="19"/>
      <c r="AF331" s="6"/>
      <c r="AG331" s="6"/>
      <c r="AH331" s="6"/>
      <c r="AI331" s="6"/>
      <c r="AN331" s="6"/>
      <c r="AO331" s="6"/>
      <c r="AP331" s="6"/>
      <c r="AQ331" s="6"/>
      <c r="AR331" s="27"/>
      <c r="AS331" s="27"/>
      <c r="AT331" s="27"/>
      <c r="AU331" s="12"/>
      <c r="AV331" s="28"/>
    </row>
    <row r="332" spans="4:48">
      <c r="D332" s="12"/>
      <c r="E332" s="12"/>
      <c r="F332" s="12"/>
      <c r="G332" s="12"/>
      <c r="H332" s="36"/>
      <c r="J332" s="19"/>
      <c r="K332" s="19"/>
      <c r="L332" s="19"/>
      <c r="AF332" s="6"/>
      <c r="AG332" s="6"/>
      <c r="AH332" s="6"/>
      <c r="AI332" s="6"/>
      <c r="AN332" s="6"/>
      <c r="AO332" s="6"/>
      <c r="AP332" s="6"/>
      <c r="AQ332" s="6"/>
      <c r="AR332" s="27"/>
      <c r="AS332" s="27"/>
      <c r="AT332" s="27"/>
      <c r="AU332" s="12"/>
      <c r="AV332" s="28"/>
    </row>
    <row r="333" spans="4:48">
      <c r="D333" s="12"/>
      <c r="E333" s="12"/>
      <c r="F333" s="12"/>
      <c r="G333" s="12"/>
      <c r="H333" s="36"/>
      <c r="J333" s="19"/>
      <c r="K333" s="19"/>
      <c r="L333" s="19"/>
      <c r="AF333" s="6"/>
      <c r="AG333" s="6"/>
      <c r="AH333" s="6"/>
      <c r="AI333" s="6"/>
      <c r="AN333" s="6"/>
      <c r="AO333" s="6"/>
      <c r="AP333" s="6"/>
      <c r="AQ333" s="6"/>
      <c r="AR333" s="27"/>
      <c r="AS333" s="27"/>
      <c r="AT333" s="27"/>
      <c r="AU333" s="12"/>
      <c r="AV333" s="28"/>
    </row>
    <row r="334" spans="4:48">
      <c r="D334" s="12"/>
      <c r="E334" s="12"/>
      <c r="F334" s="12"/>
      <c r="G334" s="12"/>
      <c r="H334" s="36"/>
      <c r="J334" s="19"/>
      <c r="K334" s="19"/>
      <c r="L334" s="19"/>
      <c r="AF334" s="6"/>
      <c r="AG334" s="6"/>
      <c r="AH334" s="6"/>
      <c r="AI334" s="6"/>
      <c r="AN334" s="6"/>
      <c r="AO334" s="6"/>
      <c r="AP334" s="6"/>
      <c r="AQ334" s="6"/>
      <c r="AR334" s="27"/>
      <c r="AS334" s="27"/>
      <c r="AT334" s="27"/>
      <c r="AU334" s="12"/>
      <c r="AV334" s="28"/>
    </row>
    <row r="335" spans="4:48">
      <c r="D335" s="12"/>
      <c r="E335" s="12"/>
      <c r="F335" s="12"/>
      <c r="G335" s="12"/>
      <c r="H335" s="36"/>
      <c r="J335" s="19"/>
      <c r="K335" s="19"/>
      <c r="L335" s="19"/>
      <c r="AF335" s="6"/>
      <c r="AG335" s="6"/>
      <c r="AH335" s="6"/>
      <c r="AI335" s="6"/>
      <c r="AN335" s="6"/>
      <c r="AO335" s="6"/>
      <c r="AP335" s="6"/>
      <c r="AQ335" s="6"/>
      <c r="AR335" s="27"/>
      <c r="AS335" s="27"/>
      <c r="AT335" s="27"/>
      <c r="AU335" s="12"/>
      <c r="AV335" s="28"/>
    </row>
    <row r="336" spans="4:48">
      <c r="D336" s="12"/>
      <c r="E336" s="12"/>
      <c r="F336" s="12"/>
      <c r="G336" s="12"/>
      <c r="H336" s="36"/>
      <c r="J336" s="19"/>
      <c r="K336" s="19"/>
      <c r="L336" s="19"/>
      <c r="AF336" s="6"/>
      <c r="AG336" s="6"/>
      <c r="AH336" s="6"/>
      <c r="AI336" s="6"/>
      <c r="AN336" s="6"/>
      <c r="AO336" s="6"/>
      <c r="AP336" s="6"/>
      <c r="AQ336" s="6"/>
      <c r="AR336" s="27"/>
      <c r="AS336" s="27"/>
      <c r="AT336" s="27"/>
      <c r="AU336" s="12"/>
      <c r="AV336" s="28"/>
    </row>
    <row r="337" spans="4:48">
      <c r="D337" s="12"/>
      <c r="E337" s="12"/>
      <c r="F337" s="12"/>
      <c r="G337" s="12"/>
      <c r="H337" s="36"/>
      <c r="J337" s="19"/>
      <c r="K337" s="19"/>
      <c r="L337" s="19"/>
      <c r="AF337" s="6"/>
      <c r="AG337" s="6"/>
      <c r="AH337" s="6"/>
      <c r="AI337" s="6"/>
      <c r="AN337" s="6"/>
      <c r="AO337" s="6"/>
      <c r="AP337" s="6"/>
      <c r="AQ337" s="6"/>
      <c r="AR337" s="27"/>
      <c r="AS337" s="27"/>
      <c r="AT337" s="27"/>
      <c r="AU337" s="12"/>
      <c r="AV337" s="28"/>
    </row>
    <row r="338" spans="4:48">
      <c r="D338" s="12"/>
      <c r="E338" s="12"/>
      <c r="F338" s="12"/>
      <c r="G338" s="12"/>
      <c r="H338" s="36"/>
      <c r="J338" s="19"/>
      <c r="K338" s="19"/>
      <c r="L338" s="19"/>
      <c r="AF338" s="6"/>
      <c r="AG338" s="6"/>
      <c r="AH338" s="6"/>
      <c r="AI338" s="6"/>
      <c r="AN338" s="6"/>
      <c r="AO338" s="6"/>
      <c r="AP338" s="6"/>
      <c r="AQ338" s="6"/>
      <c r="AR338" s="27"/>
      <c r="AS338" s="27"/>
      <c r="AT338" s="27"/>
      <c r="AU338" s="12"/>
      <c r="AV338" s="28"/>
    </row>
    <row r="339" spans="4:48">
      <c r="D339" s="12"/>
      <c r="E339" s="12"/>
      <c r="F339" s="12"/>
      <c r="G339" s="12"/>
      <c r="H339" s="36"/>
      <c r="J339" s="19"/>
      <c r="K339" s="19"/>
      <c r="L339" s="19"/>
      <c r="AF339" s="6"/>
      <c r="AG339" s="6"/>
      <c r="AH339" s="6"/>
      <c r="AI339" s="6"/>
      <c r="AN339" s="6"/>
      <c r="AO339" s="6"/>
      <c r="AP339" s="6"/>
      <c r="AQ339" s="6"/>
      <c r="AR339" s="27"/>
      <c r="AS339" s="27"/>
      <c r="AT339" s="27"/>
      <c r="AU339" s="12"/>
      <c r="AV339" s="28"/>
    </row>
    <row r="340" spans="4:48">
      <c r="D340" s="12"/>
      <c r="E340" s="12"/>
      <c r="F340" s="12"/>
      <c r="G340" s="12"/>
      <c r="H340" s="36"/>
      <c r="J340" s="19"/>
      <c r="K340" s="19"/>
      <c r="L340" s="19"/>
      <c r="AF340" s="6"/>
      <c r="AG340" s="6"/>
      <c r="AH340" s="6"/>
      <c r="AI340" s="6"/>
      <c r="AN340" s="6"/>
      <c r="AO340" s="6"/>
      <c r="AP340" s="6"/>
      <c r="AQ340" s="6"/>
      <c r="AR340" s="27"/>
      <c r="AS340" s="27"/>
      <c r="AT340" s="27"/>
      <c r="AU340" s="12"/>
      <c r="AV340" s="28"/>
    </row>
    <row r="341" spans="4:48">
      <c r="D341" s="12"/>
      <c r="E341" s="12"/>
      <c r="F341" s="12"/>
      <c r="G341" s="12"/>
      <c r="H341" s="36"/>
      <c r="J341" s="19"/>
      <c r="K341" s="19"/>
      <c r="L341" s="19"/>
      <c r="AF341" s="6"/>
      <c r="AG341" s="6"/>
      <c r="AH341" s="6"/>
      <c r="AI341" s="6"/>
      <c r="AN341" s="6"/>
      <c r="AO341" s="6"/>
      <c r="AP341" s="6"/>
      <c r="AQ341" s="6"/>
      <c r="AR341" s="27"/>
      <c r="AS341" s="27"/>
      <c r="AT341" s="27"/>
      <c r="AU341" s="12"/>
      <c r="AV341" s="28"/>
    </row>
    <row r="342" spans="4:48">
      <c r="D342" s="12"/>
      <c r="E342" s="12"/>
      <c r="F342" s="12"/>
      <c r="G342" s="12"/>
      <c r="H342" s="36"/>
      <c r="J342" s="19"/>
      <c r="K342" s="19"/>
      <c r="L342" s="19"/>
      <c r="AF342" s="6"/>
      <c r="AG342" s="6"/>
      <c r="AH342" s="6"/>
      <c r="AI342" s="6"/>
      <c r="AN342" s="6"/>
      <c r="AO342" s="6"/>
      <c r="AP342" s="6"/>
      <c r="AQ342" s="6"/>
      <c r="AR342" s="27"/>
      <c r="AS342" s="27"/>
      <c r="AT342" s="27"/>
      <c r="AU342" s="12"/>
      <c r="AV342" s="28"/>
    </row>
    <row r="343" spans="4:48">
      <c r="D343" s="12"/>
      <c r="E343" s="12"/>
      <c r="F343" s="12"/>
      <c r="G343" s="12"/>
      <c r="H343" s="36"/>
      <c r="J343" s="19"/>
      <c r="K343" s="19"/>
      <c r="L343" s="19"/>
      <c r="AF343" s="6"/>
      <c r="AG343" s="6"/>
      <c r="AH343" s="6"/>
      <c r="AI343" s="6"/>
      <c r="AN343" s="6"/>
      <c r="AO343" s="6"/>
      <c r="AP343" s="6"/>
      <c r="AQ343" s="6"/>
      <c r="AR343" s="27"/>
      <c r="AS343" s="27"/>
      <c r="AT343" s="27"/>
      <c r="AU343" s="12"/>
      <c r="AV343" s="28"/>
    </row>
    <row r="344" spans="4:48">
      <c r="D344" s="12"/>
      <c r="E344" s="12"/>
      <c r="F344" s="12"/>
      <c r="G344" s="12"/>
      <c r="H344" s="36"/>
      <c r="J344" s="19"/>
      <c r="K344" s="19"/>
      <c r="L344" s="19"/>
      <c r="AF344" s="6"/>
      <c r="AG344" s="6"/>
      <c r="AH344" s="6"/>
      <c r="AI344" s="6"/>
      <c r="AN344" s="6"/>
      <c r="AO344" s="6"/>
      <c r="AP344" s="6"/>
      <c r="AQ344" s="6"/>
      <c r="AR344" s="27"/>
      <c r="AS344" s="27"/>
      <c r="AT344" s="27"/>
      <c r="AU344" s="12"/>
      <c r="AV344" s="28"/>
    </row>
    <row r="345" spans="4:48">
      <c r="D345" s="12"/>
      <c r="E345" s="12"/>
      <c r="F345" s="12"/>
      <c r="G345" s="12"/>
      <c r="H345" s="36"/>
      <c r="J345" s="19"/>
      <c r="K345" s="19"/>
      <c r="L345" s="19"/>
      <c r="AF345" s="6"/>
      <c r="AG345" s="6"/>
      <c r="AH345" s="6"/>
      <c r="AI345" s="6"/>
      <c r="AN345" s="6"/>
      <c r="AO345" s="6"/>
      <c r="AP345" s="6"/>
      <c r="AQ345" s="6"/>
      <c r="AR345" s="27"/>
      <c r="AS345" s="27"/>
      <c r="AT345" s="27"/>
      <c r="AU345" s="12"/>
      <c r="AV345" s="28"/>
    </row>
    <row r="346" spans="4:48">
      <c r="D346" s="12"/>
      <c r="E346" s="12"/>
      <c r="F346" s="12"/>
      <c r="G346" s="12"/>
      <c r="H346" s="36"/>
      <c r="J346" s="19"/>
      <c r="K346" s="19"/>
      <c r="L346" s="19"/>
      <c r="AF346" s="6"/>
      <c r="AG346" s="6"/>
      <c r="AH346" s="6"/>
      <c r="AI346" s="6"/>
      <c r="AN346" s="6"/>
      <c r="AO346" s="6"/>
      <c r="AP346" s="6"/>
      <c r="AQ346" s="6"/>
      <c r="AR346" s="27"/>
      <c r="AS346" s="27"/>
      <c r="AT346" s="27"/>
      <c r="AU346" s="12"/>
      <c r="AV346" s="28"/>
    </row>
    <row r="347" spans="4:48">
      <c r="D347" s="12"/>
      <c r="E347" s="12"/>
      <c r="F347" s="12"/>
      <c r="G347" s="12"/>
      <c r="H347" s="36"/>
      <c r="J347" s="19"/>
      <c r="K347" s="19"/>
      <c r="L347" s="19"/>
      <c r="AF347" s="6"/>
      <c r="AG347" s="6"/>
      <c r="AH347" s="6"/>
      <c r="AI347" s="6"/>
      <c r="AN347" s="6"/>
      <c r="AO347" s="6"/>
      <c r="AP347" s="6"/>
      <c r="AQ347" s="6"/>
      <c r="AR347" s="27"/>
      <c r="AS347" s="27"/>
      <c r="AT347" s="27"/>
      <c r="AU347" s="12"/>
      <c r="AV347" s="28"/>
    </row>
    <row r="348" spans="4:48">
      <c r="D348" s="12"/>
      <c r="E348" s="12"/>
      <c r="F348" s="12"/>
      <c r="G348" s="12"/>
      <c r="H348" s="36"/>
      <c r="J348" s="19"/>
      <c r="K348" s="19"/>
      <c r="L348" s="19"/>
      <c r="AF348" s="6"/>
      <c r="AG348" s="6"/>
      <c r="AH348" s="6"/>
      <c r="AI348" s="6"/>
      <c r="AN348" s="6"/>
      <c r="AO348" s="6"/>
      <c r="AP348" s="6"/>
      <c r="AQ348" s="6"/>
      <c r="AR348" s="27"/>
      <c r="AS348" s="27"/>
      <c r="AT348" s="27"/>
      <c r="AU348" s="12"/>
      <c r="AV348" s="28"/>
    </row>
    <row r="349" spans="4:48">
      <c r="D349" s="12"/>
      <c r="E349" s="12"/>
      <c r="F349" s="12"/>
      <c r="G349" s="12"/>
      <c r="H349" s="36"/>
      <c r="J349" s="19"/>
      <c r="K349" s="19"/>
      <c r="L349" s="19"/>
      <c r="AF349" s="6"/>
      <c r="AG349" s="6"/>
      <c r="AH349" s="6"/>
      <c r="AI349" s="6"/>
      <c r="AN349" s="6"/>
      <c r="AO349" s="6"/>
      <c r="AP349" s="6"/>
      <c r="AQ349" s="6"/>
      <c r="AR349" s="27"/>
      <c r="AS349" s="27"/>
      <c r="AT349" s="27"/>
      <c r="AU349" s="12"/>
      <c r="AV349" s="28"/>
    </row>
    <row r="350" spans="4:48">
      <c r="D350" s="12"/>
      <c r="E350" s="12"/>
      <c r="F350" s="12"/>
      <c r="G350" s="12"/>
      <c r="H350" s="36"/>
      <c r="J350" s="19"/>
      <c r="K350" s="19"/>
      <c r="L350" s="19"/>
      <c r="AF350" s="6"/>
      <c r="AG350" s="6"/>
      <c r="AH350" s="6"/>
      <c r="AI350" s="6"/>
      <c r="AN350" s="6"/>
      <c r="AO350" s="6"/>
      <c r="AP350" s="6"/>
      <c r="AQ350" s="6"/>
      <c r="AR350" s="27"/>
      <c r="AS350" s="27"/>
      <c r="AT350" s="27"/>
      <c r="AU350" s="12"/>
      <c r="AV350" s="28"/>
    </row>
    <row r="351" spans="4:48">
      <c r="D351" s="12"/>
      <c r="E351" s="12"/>
      <c r="F351" s="12"/>
      <c r="G351" s="12"/>
      <c r="H351" s="36"/>
      <c r="J351" s="19"/>
      <c r="K351" s="19"/>
      <c r="L351" s="19"/>
      <c r="AF351" s="6"/>
      <c r="AG351" s="6"/>
      <c r="AH351" s="6"/>
      <c r="AI351" s="6"/>
      <c r="AN351" s="6"/>
      <c r="AO351" s="6"/>
      <c r="AP351" s="6"/>
      <c r="AQ351" s="6"/>
      <c r="AR351" s="27"/>
      <c r="AS351" s="27"/>
      <c r="AT351" s="27"/>
      <c r="AU351" s="12"/>
      <c r="AV351" s="28"/>
    </row>
    <row r="352" spans="4:48">
      <c r="D352" s="12"/>
      <c r="E352" s="12"/>
      <c r="F352" s="12"/>
      <c r="G352" s="12"/>
      <c r="H352" s="36"/>
      <c r="J352" s="19"/>
      <c r="K352" s="19"/>
      <c r="L352" s="19"/>
      <c r="AF352" s="6"/>
      <c r="AG352" s="6"/>
      <c r="AH352" s="6"/>
      <c r="AI352" s="6"/>
      <c r="AN352" s="6"/>
      <c r="AO352" s="6"/>
      <c r="AP352" s="6"/>
      <c r="AQ352" s="6"/>
      <c r="AR352" s="27"/>
      <c r="AS352" s="27"/>
      <c r="AT352" s="27"/>
      <c r="AU352" s="12"/>
      <c r="AV352" s="28"/>
    </row>
    <row r="353" spans="4:48">
      <c r="D353" s="12"/>
      <c r="E353" s="12"/>
      <c r="F353" s="12"/>
      <c r="G353" s="12"/>
      <c r="H353" s="36"/>
      <c r="J353" s="19"/>
      <c r="K353" s="19"/>
      <c r="L353" s="19"/>
      <c r="AF353" s="6"/>
      <c r="AG353" s="6"/>
      <c r="AH353" s="6"/>
      <c r="AI353" s="6"/>
      <c r="AN353" s="6"/>
      <c r="AO353" s="6"/>
      <c r="AP353" s="6"/>
      <c r="AQ353" s="6"/>
      <c r="AR353" s="27"/>
      <c r="AS353" s="27"/>
      <c r="AT353" s="27"/>
      <c r="AU353" s="12"/>
      <c r="AV353" s="28"/>
    </row>
    <row r="354" spans="4:48">
      <c r="D354" s="12"/>
      <c r="E354" s="12"/>
      <c r="F354" s="12"/>
      <c r="G354" s="12"/>
      <c r="H354" s="36"/>
      <c r="J354" s="19"/>
      <c r="K354" s="19"/>
      <c r="L354" s="19"/>
      <c r="AF354" s="6"/>
      <c r="AG354" s="6"/>
      <c r="AH354" s="6"/>
      <c r="AI354" s="6"/>
      <c r="AN354" s="6"/>
      <c r="AO354" s="6"/>
      <c r="AP354" s="6"/>
      <c r="AQ354" s="6"/>
      <c r="AR354" s="27"/>
      <c r="AS354" s="27"/>
      <c r="AT354" s="27"/>
      <c r="AU354" s="12"/>
      <c r="AV354" s="28"/>
    </row>
    <row r="355" spans="4:48">
      <c r="D355" s="12"/>
      <c r="E355" s="12"/>
      <c r="F355" s="12"/>
      <c r="G355" s="12"/>
      <c r="H355" s="36"/>
      <c r="J355" s="19"/>
      <c r="K355" s="19"/>
      <c r="L355" s="19"/>
      <c r="AF355" s="6"/>
      <c r="AG355" s="6"/>
      <c r="AH355" s="6"/>
      <c r="AI355" s="6"/>
      <c r="AN355" s="6"/>
      <c r="AO355" s="6"/>
      <c r="AP355" s="6"/>
      <c r="AQ355" s="6"/>
      <c r="AR355" s="27"/>
      <c r="AS355" s="27"/>
      <c r="AT355" s="27"/>
      <c r="AU355" s="12"/>
      <c r="AV355" s="28"/>
    </row>
    <row r="356" spans="4:48">
      <c r="D356" s="12"/>
      <c r="E356" s="12"/>
      <c r="F356" s="12"/>
      <c r="G356" s="12"/>
      <c r="H356" s="36"/>
      <c r="J356" s="19"/>
      <c r="K356" s="19"/>
      <c r="L356" s="19"/>
      <c r="AF356" s="6"/>
      <c r="AG356" s="6"/>
      <c r="AH356" s="6"/>
      <c r="AI356" s="6"/>
      <c r="AN356" s="6"/>
      <c r="AO356" s="6"/>
      <c r="AP356" s="6"/>
      <c r="AQ356" s="6"/>
      <c r="AR356" s="27"/>
      <c r="AS356" s="27"/>
      <c r="AT356" s="27"/>
      <c r="AU356" s="12"/>
      <c r="AV356" s="28"/>
    </row>
    <row r="357" spans="4:48">
      <c r="D357" s="12"/>
      <c r="E357" s="12"/>
      <c r="F357" s="12"/>
      <c r="G357" s="12"/>
      <c r="H357" s="36"/>
      <c r="J357" s="19"/>
      <c r="K357" s="19"/>
      <c r="L357" s="19"/>
      <c r="AF357" s="6"/>
      <c r="AG357" s="6"/>
      <c r="AH357" s="6"/>
      <c r="AI357" s="6"/>
      <c r="AN357" s="6"/>
      <c r="AO357" s="6"/>
      <c r="AP357" s="6"/>
      <c r="AQ357" s="6"/>
      <c r="AR357" s="27"/>
      <c r="AS357" s="27"/>
      <c r="AT357" s="27"/>
      <c r="AU357" s="12"/>
      <c r="AV357" s="28"/>
    </row>
    <row r="358" spans="4:48">
      <c r="D358" s="12"/>
      <c r="E358" s="12"/>
      <c r="F358" s="12"/>
      <c r="G358" s="12"/>
      <c r="H358" s="36"/>
      <c r="J358" s="19"/>
      <c r="K358" s="19"/>
      <c r="L358" s="19"/>
      <c r="AF358" s="6"/>
      <c r="AG358" s="6"/>
      <c r="AH358" s="6"/>
      <c r="AI358" s="6"/>
      <c r="AN358" s="6"/>
      <c r="AO358" s="6"/>
      <c r="AP358" s="6"/>
      <c r="AQ358" s="6"/>
      <c r="AR358" s="27"/>
      <c r="AS358" s="27"/>
      <c r="AT358" s="27"/>
      <c r="AU358" s="12"/>
      <c r="AV358" s="28"/>
    </row>
    <row r="359" spans="4:48">
      <c r="D359" s="12"/>
      <c r="E359" s="12"/>
      <c r="F359" s="12"/>
      <c r="G359" s="12"/>
      <c r="H359" s="36"/>
      <c r="J359" s="19"/>
      <c r="K359" s="19"/>
      <c r="L359" s="19"/>
      <c r="AF359" s="6"/>
      <c r="AG359" s="6"/>
      <c r="AH359" s="6"/>
      <c r="AI359" s="6"/>
      <c r="AN359" s="6"/>
      <c r="AO359" s="6"/>
      <c r="AP359" s="6"/>
      <c r="AQ359" s="6"/>
      <c r="AR359" s="27"/>
      <c r="AS359" s="27"/>
      <c r="AT359" s="27"/>
      <c r="AU359" s="12"/>
      <c r="AV359" s="28"/>
    </row>
    <row r="360" spans="4:48">
      <c r="D360" s="12"/>
      <c r="E360" s="12"/>
      <c r="F360" s="12"/>
      <c r="G360" s="12"/>
      <c r="H360" s="36"/>
      <c r="J360" s="19"/>
      <c r="K360" s="19"/>
      <c r="L360" s="19"/>
      <c r="AF360" s="6"/>
      <c r="AG360" s="6"/>
      <c r="AH360" s="6"/>
      <c r="AI360" s="6"/>
      <c r="AN360" s="6"/>
      <c r="AO360" s="6"/>
      <c r="AP360" s="6"/>
      <c r="AQ360" s="6"/>
      <c r="AR360" s="27"/>
      <c r="AS360" s="27"/>
      <c r="AT360" s="27"/>
      <c r="AU360" s="12"/>
      <c r="AV360" s="28"/>
    </row>
    <row r="361" spans="4:48">
      <c r="D361" s="12"/>
      <c r="E361" s="12"/>
      <c r="F361" s="12"/>
      <c r="G361" s="12"/>
      <c r="H361" s="36"/>
      <c r="J361" s="19"/>
      <c r="K361" s="19"/>
      <c r="L361" s="19"/>
      <c r="AF361" s="6"/>
      <c r="AG361" s="6"/>
      <c r="AH361" s="6"/>
      <c r="AI361" s="6"/>
      <c r="AN361" s="6"/>
      <c r="AO361" s="6"/>
      <c r="AP361" s="6"/>
      <c r="AQ361" s="6"/>
      <c r="AR361" s="27"/>
      <c r="AS361" s="27"/>
      <c r="AT361" s="27"/>
      <c r="AU361" s="12"/>
      <c r="AV361" s="28"/>
    </row>
    <row r="362" spans="4:48">
      <c r="D362" s="12"/>
      <c r="E362" s="12"/>
      <c r="F362" s="12"/>
      <c r="G362" s="12"/>
      <c r="H362" s="36"/>
      <c r="J362" s="19"/>
      <c r="K362" s="19"/>
      <c r="L362" s="19"/>
      <c r="AF362" s="6"/>
      <c r="AG362" s="6"/>
      <c r="AH362" s="6"/>
      <c r="AI362" s="6"/>
      <c r="AN362" s="6"/>
      <c r="AO362" s="6"/>
      <c r="AP362" s="6"/>
      <c r="AQ362" s="6"/>
      <c r="AR362" s="27"/>
      <c r="AS362" s="27"/>
      <c r="AT362" s="27"/>
      <c r="AU362" s="12"/>
      <c r="AV362" s="28"/>
    </row>
    <row r="363" spans="4:48">
      <c r="D363" s="12"/>
      <c r="E363" s="12"/>
      <c r="F363" s="12"/>
      <c r="G363" s="12"/>
      <c r="H363" s="36"/>
      <c r="J363" s="19"/>
      <c r="K363" s="19"/>
      <c r="L363" s="19"/>
      <c r="AF363" s="6"/>
      <c r="AG363" s="6"/>
      <c r="AH363" s="6"/>
      <c r="AI363" s="6"/>
      <c r="AN363" s="6"/>
      <c r="AO363" s="6"/>
      <c r="AP363" s="6"/>
      <c r="AQ363" s="6"/>
      <c r="AR363" s="27"/>
      <c r="AS363" s="27"/>
      <c r="AT363" s="27"/>
      <c r="AU363" s="12"/>
      <c r="AV363" s="28"/>
    </row>
    <row r="364" spans="4:48">
      <c r="D364" s="12"/>
      <c r="E364" s="12"/>
      <c r="F364" s="12"/>
      <c r="G364" s="12"/>
      <c r="H364" s="36"/>
      <c r="J364" s="19"/>
      <c r="K364" s="19"/>
      <c r="L364" s="19"/>
      <c r="AF364" s="6"/>
      <c r="AG364" s="6"/>
      <c r="AH364" s="6"/>
      <c r="AI364" s="6"/>
      <c r="AN364" s="6"/>
      <c r="AO364" s="6"/>
      <c r="AP364" s="6"/>
      <c r="AQ364" s="6"/>
      <c r="AR364" s="27"/>
      <c r="AS364" s="27"/>
      <c r="AT364" s="27"/>
      <c r="AU364" s="12"/>
      <c r="AV364" s="28"/>
    </row>
    <row r="365" spans="4:48">
      <c r="D365" s="12"/>
      <c r="E365" s="12"/>
      <c r="F365" s="12"/>
      <c r="G365" s="12"/>
      <c r="H365" s="36"/>
      <c r="J365" s="19"/>
      <c r="K365" s="19"/>
      <c r="L365" s="19"/>
      <c r="AF365" s="6"/>
      <c r="AG365" s="6"/>
      <c r="AH365" s="6"/>
      <c r="AI365" s="6"/>
      <c r="AN365" s="6"/>
      <c r="AO365" s="6"/>
      <c r="AP365" s="6"/>
      <c r="AQ365" s="6"/>
      <c r="AR365" s="27"/>
      <c r="AS365" s="27"/>
      <c r="AT365" s="27"/>
      <c r="AU365" s="12"/>
      <c r="AV365" s="28"/>
    </row>
    <row r="366" spans="4:48">
      <c r="D366" s="12"/>
      <c r="E366" s="12"/>
      <c r="F366" s="12"/>
      <c r="G366" s="12"/>
      <c r="H366" s="36"/>
      <c r="J366" s="19"/>
      <c r="K366" s="19"/>
      <c r="L366" s="19"/>
      <c r="AF366" s="6"/>
      <c r="AG366" s="6"/>
      <c r="AH366" s="6"/>
      <c r="AI366" s="6"/>
      <c r="AN366" s="6"/>
      <c r="AO366" s="6"/>
      <c r="AP366" s="6"/>
      <c r="AQ366" s="6"/>
      <c r="AR366" s="27"/>
      <c r="AS366" s="27"/>
      <c r="AT366" s="27"/>
      <c r="AU366" s="12"/>
      <c r="AV366" s="28"/>
    </row>
    <row r="367" spans="4:48">
      <c r="D367" s="12"/>
      <c r="E367" s="12"/>
      <c r="F367" s="12"/>
      <c r="G367" s="12"/>
      <c r="H367" s="36"/>
      <c r="J367" s="19"/>
      <c r="K367" s="19"/>
      <c r="L367" s="19"/>
      <c r="AF367" s="6"/>
      <c r="AG367" s="6"/>
      <c r="AH367" s="6"/>
      <c r="AI367" s="6"/>
      <c r="AN367" s="6"/>
      <c r="AO367" s="6"/>
      <c r="AP367" s="6"/>
      <c r="AQ367" s="6"/>
      <c r="AR367" s="27"/>
      <c r="AS367" s="27"/>
      <c r="AT367" s="27"/>
      <c r="AU367" s="12"/>
      <c r="AV367" s="28"/>
    </row>
    <row r="368" spans="4:48">
      <c r="D368" s="12"/>
      <c r="E368" s="12"/>
      <c r="F368" s="12"/>
      <c r="G368" s="12"/>
      <c r="H368" s="36"/>
      <c r="J368" s="19"/>
      <c r="K368" s="19"/>
      <c r="L368" s="19"/>
      <c r="AF368" s="6"/>
      <c r="AG368" s="6"/>
      <c r="AH368" s="6"/>
      <c r="AI368" s="6"/>
      <c r="AN368" s="6"/>
      <c r="AO368" s="6"/>
      <c r="AP368" s="6"/>
      <c r="AQ368" s="6"/>
      <c r="AR368" s="27"/>
      <c r="AS368" s="27"/>
      <c r="AT368" s="27"/>
      <c r="AU368" s="12"/>
      <c r="AV368" s="28"/>
    </row>
    <row r="369" spans="4:48">
      <c r="D369" s="12"/>
      <c r="E369" s="12"/>
      <c r="F369" s="12"/>
      <c r="G369" s="12"/>
      <c r="H369" s="36"/>
      <c r="J369" s="19"/>
      <c r="K369" s="19"/>
      <c r="L369" s="19"/>
      <c r="AF369" s="6"/>
      <c r="AG369" s="6"/>
      <c r="AH369" s="6"/>
      <c r="AI369" s="6"/>
      <c r="AN369" s="6"/>
      <c r="AO369" s="6"/>
      <c r="AP369" s="6"/>
      <c r="AQ369" s="6"/>
      <c r="AR369" s="27"/>
      <c r="AS369" s="27"/>
      <c r="AT369" s="27"/>
      <c r="AU369" s="12"/>
      <c r="AV369" s="28"/>
    </row>
    <row r="370" spans="4:48">
      <c r="D370" s="12"/>
      <c r="E370" s="12"/>
      <c r="F370" s="12"/>
      <c r="G370" s="12"/>
      <c r="H370" s="36"/>
      <c r="J370" s="19"/>
      <c r="K370" s="19"/>
      <c r="L370" s="19"/>
      <c r="AF370" s="6"/>
      <c r="AG370" s="6"/>
      <c r="AH370" s="6"/>
      <c r="AI370" s="6"/>
      <c r="AN370" s="6"/>
      <c r="AO370" s="6"/>
      <c r="AP370" s="6"/>
      <c r="AQ370" s="6"/>
      <c r="AR370" s="27"/>
      <c r="AS370" s="27"/>
      <c r="AT370" s="27"/>
      <c r="AU370" s="12"/>
      <c r="AV370" s="28"/>
    </row>
    <row r="371" spans="4:48">
      <c r="D371" s="12"/>
      <c r="E371" s="12"/>
      <c r="F371" s="12"/>
      <c r="G371" s="12"/>
      <c r="H371" s="36"/>
      <c r="J371" s="19"/>
      <c r="K371" s="19"/>
      <c r="L371" s="19"/>
      <c r="AF371" s="6"/>
      <c r="AG371" s="6"/>
      <c r="AH371" s="6"/>
      <c r="AI371" s="6"/>
      <c r="AN371" s="6"/>
      <c r="AO371" s="6"/>
      <c r="AP371" s="6"/>
      <c r="AQ371" s="6"/>
      <c r="AR371" s="27"/>
      <c r="AS371" s="27"/>
      <c r="AT371" s="27"/>
      <c r="AU371" s="12"/>
      <c r="AV371" s="28"/>
    </row>
    <row r="372" spans="4:48">
      <c r="D372" s="12"/>
      <c r="E372" s="12"/>
      <c r="F372" s="12"/>
      <c r="G372" s="12"/>
      <c r="H372" s="36"/>
      <c r="J372" s="19"/>
      <c r="K372" s="19"/>
      <c r="L372" s="19"/>
      <c r="AF372" s="6"/>
      <c r="AG372" s="6"/>
      <c r="AH372" s="6"/>
      <c r="AI372" s="6"/>
      <c r="AN372" s="6"/>
      <c r="AO372" s="6"/>
      <c r="AP372" s="6"/>
      <c r="AQ372" s="6"/>
      <c r="AR372" s="27"/>
      <c r="AS372" s="27"/>
      <c r="AT372" s="27"/>
      <c r="AU372" s="12"/>
      <c r="AV372" s="28"/>
    </row>
    <row r="373" spans="4:48">
      <c r="D373" s="12"/>
      <c r="E373" s="12"/>
      <c r="F373" s="12"/>
      <c r="G373" s="12"/>
      <c r="H373" s="36"/>
      <c r="J373" s="19"/>
      <c r="K373" s="19"/>
      <c r="L373" s="19"/>
      <c r="AF373" s="6"/>
      <c r="AG373" s="6"/>
      <c r="AH373" s="6"/>
      <c r="AI373" s="6"/>
      <c r="AN373" s="6"/>
      <c r="AO373" s="6"/>
      <c r="AP373" s="6"/>
      <c r="AQ373" s="6"/>
      <c r="AR373" s="27"/>
      <c r="AS373" s="27"/>
      <c r="AT373" s="27"/>
      <c r="AU373" s="12"/>
      <c r="AV373" s="28"/>
    </row>
    <row r="374" spans="4:48">
      <c r="D374" s="12"/>
      <c r="E374" s="12"/>
      <c r="F374" s="12"/>
      <c r="G374" s="12"/>
      <c r="H374" s="36"/>
      <c r="J374" s="19"/>
      <c r="K374" s="19"/>
      <c r="L374" s="19"/>
      <c r="AF374" s="6"/>
      <c r="AG374" s="6"/>
      <c r="AH374" s="6"/>
      <c r="AI374" s="6"/>
      <c r="AN374" s="6"/>
      <c r="AO374" s="6"/>
      <c r="AP374" s="6"/>
      <c r="AQ374" s="6"/>
      <c r="AR374" s="27"/>
      <c r="AS374" s="27"/>
      <c r="AT374" s="27"/>
      <c r="AU374" s="12"/>
      <c r="AV374" s="28"/>
    </row>
    <row r="375" spans="4:48">
      <c r="D375" s="12"/>
      <c r="E375" s="12"/>
      <c r="F375" s="12"/>
      <c r="G375" s="12"/>
      <c r="H375" s="36"/>
      <c r="J375" s="19"/>
      <c r="K375" s="19"/>
      <c r="L375" s="19"/>
      <c r="AF375" s="6"/>
      <c r="AG375" s="6"/>
      <c r="AH375" s="6"/>
      <c r="AI375" s="6"/>
      <c r="AN375" s="6"/>
      <c r="AO375" s="6"/>
      <c r="AP375" s="6"/>
      <c r="AQ375" s="6"/>
      <c r="AR375" s="27"/>
      <c r="AS375" s="27"/>
      <c r="AT375" s="27"/>
      <c r="AU375" s="12"/>
      <c r="AV375" s="28"/>
    </row>
    <row r="376" spans="4:48">
      <c r="D376" s="12"/>
      <c r="E376" s="12"/>
      <c r="F376" s="12"/>
      <c r="G376" s="12"/>
      <c r="H376" s="36"/>
      <c r="J376" s="19"/>
      <c r="K376" s="19"/>
      <c r="L376" s="19"/>
      <c r="AF376" s="6"/>
      <c r="AG376" s="6"/>
      <c r="AH376" s="6"/>
      <c r="AI376" s="6"/>
      <c r="AN376" s="6"/>
      <c r="AO376" s="6"/>
      <c r="AP376" s="6"/>
      <c r="AQ376" s="6"/>
      <c r="AR376" s="27"/>
      <c r="AS376" s="27"/>
      <c r="AT376" s="27"/>
      <c r="AU376" s="12"/>
      <c r="AV376" s="28"/>
    </row>
    <row r="377" spans="4:48">
      <c r="D377" s="12"/>
      <c r="E377" s="12"/>
      <c r="F377" s="12"/>
      <c r="G377" s="12"/>
      <c r="H377" s="36"/>
      <c r="J377" s="19"/>
      <c r="K377" s="19"/>
      <c r="L377" s="19"/>
      <c r="AF377" s="6"/>
      <c r="AG377" s="6"/>
      <c r="AH377" s="6"/>
      <c r="AI377" s="6"/>
      <c r="AN377" s="6"/>
      <c r="AO377" s="6"/>
      <c r="AP377" s="6"/>
      <c r="AQ377" s="6"/>
      <c r="AR377" s="27"/>
      <c r="AS377" s="27"/>
      <c r="AT377" s="27"/>
      <c r="AU377" s="12"/>
      <c r="AV377" s="28"/>
    </row>
    <row r="378" spans="4:48">
      <c r="D378" s="12"/>
      <c r="E378" s="12"/>
      <c r="F378" s="12"/>
      <c r="G378" s="12"/>
      <c r="H378" s="36"/>
      <c r="J378" s="19"/>
      <c r="K378" s="19"/>
      <c r="L378" s="19"/>
      <c r="AF378" s="6"/>
      <c r="AG378" s="6"/>
      <c r="AH378" s="6"/>
      <c r="AI378" s="6"/>
      <c r="AN378" s="6"/>
      <c r="AO378" s="6"/>
      <c r="AP378" s="6"/>
      <c r="AQ378" s="6"/>
      <c r="AR378" s="27"/>
      <c r="AS378" s="27"/>
      <c r="AT378" s="27"/>
      <c r="AU378" s="12"/>
      <c r="AV378" s="28"/>
    </row>
    <row r="379" spans="4:48">
      <c r="D379" s="12"/>
      <c r="E379" s="12"/>
      <c r="F379" s="12"/>
      <c r="G379" s="12"/>
      <c r="H379" s="36"/>
      <c r="J379" s="19"/>
      <c r="K379" s="19"/>
      <c r="L379" s="19"/>
      <c r="AF379" s="6"/>
      <c r="AG379" s="6"/>
      <c r="AH379" s="6"/>
      <c r="AI379" s="6"/>
      <c r="AN379" s="6"/>
      <c r="AO379" s="6"/>
      <c r="AP379" s="6"/>
      <c r="AQ379" s="6"/>
      <c r="AR379" s="27"/>
      <c r="AS379" s="27"/>
      <c r="AT379" s="27"/>
      <c r="AU379" s="12"/>
      <c r="AV379" s="28"/>
    </row>
    <row r="380" spans="4:48">
      <c r="D380" s="12"/>
      <c r="E380" s="12"/>
      <c r="F380" s="12"/>
      <c r="G380" s="12"/>
      <c r="H380" s="36"/>
      <c r="J380" s="19"/>
      <c r="K380" s="19"/>
      <c r="L380" s="19"/>
      <c r="AF380" s="6"/>
      <c r="AG380" s="6"/>
      <c r="AH380" s="6"/>
      <c r="AI380" s="6"/>
      <c r="AN380" s="6"/>
      <c r="AO380" s="6"/>
      <c r="AP380" s="6"/>
      <c r="AQ380" s="6"/>
      <c r="AR380" s="27"/>
      <c r="AS380" s="27"/>
      <c r="AT380" s="27"/>
      <c r="AU380" s="12"/>
      <c r="AV380" s="28"/>
    </row>
    <row r="381" spans="4:48">
      <c r="D381" s="12"/>
      <c r="E381" s="12"/>
      <c r="F381" s="12"/>
      <c r="G381" s="12"/>
      <c r="H381" s="36"/>
      <c r="J381" s="19"/>
      <c r="K381" s="19"/>
      <c r="L381" s="19"/>
      <c r="AF381" s="6"/>
      <c r="AG381" s="6"/>
      <c r="AH381" s="6"/>
      <c r="AI381" s="6"/>
      <c r="AN381" s="6"/>
      <c r="AO381" s="6"/>
      <c r="AP381" s="6"/>
      <c r="AQ381" s="6"/>
      <c r="AR381" s="27"/>
      <c r="AS381" s="27"/>
      <c r="AT381" s="27"/>
      <c r="AU381" s="12"/>
      <c r="AV381" s="28"/>
    </row>
    <row r="382" spans="4:48">
      <c r="D382" s="12"/>
      <c r="E382" s="12"/>
      <c r="F382" s="12"/>
      <c r="G382" s="12"/>
      <c r="H382" s="36"/>
      <c r="J382" s="19"/>
      <c r="K382" s="19"/>
      <c r="L382" s="19"/>
      <c r="AF382" s="6"/>
      <c r="AG382" s="6"/>
      <c r="AH382" s="6"/>
      <c r="AI382" s="6"/>
      <c r="AN382" s="6"/>
      <c r="AO382" s="6"/>
      <c r="AP382" s="6"/>
      <c r="AQ382" s="6"/>
      <c r="AR382" s="27"/>
      <c r="AS382" s="27"/>
      <c r="AT382" s="27"/>
      <c r="AU382" s="12"/>
      <c r="AV382" s="28"/>
    </row>
    <row r="383" spans="4:48">
      <c r="D383" s="12"/>
      <c r="E383" s="12"/>
      <c r="F383" s="12"/>
      <c r="G383" s="12"/>
      <c r="H383" s="36"/>
      <c r="J383" s="19"/>
      <c r="K383" s="19"/>
      <c r="L383" s="19"/>
      <c r="AF383" s="6"/>
      <c r="AG383" s="6"/>
      <c r="AH383" s="6"/>
      <c r="AI383" s="6"/>
      <c r="AN383" s="6"/>
      <c r="AO383" s="6"/>
      <c r="AP383" s="6"/>
      <c r="AQ383" s="6"/>
      <c r="AR383" s="27"/>
      <c r="AS383" s="27"/>
      <c r="AT383" s="27"/>
      <c r="AU383" s="12"/>
      <c r="AV383" s="28"/>
    </row>
    <row r="384" spans="4:48">
      <c r="D384" s="12"/>
      <c r="E384" s="12"/>
      <c r="F384" s="12"/>
      <c r="G384" s="12"/>
      <c r="H384" s="36"/>
      <c r="J384" s="19"/>
      <c r="K384" s="19"/>
      <c r="L384" s="19"/>
      <c r="AF384" s="6"/>
      <c r="AG384" s="6"/>
      <c r="AH384" s="6"/>
      <c r="AI384" s="6"/>
      <c r="AN384" s="6"/>
      <c r="AO384" s="6"/>
      <c r="AP384" s="6"/>
      <c r="AQ384" s="6"/>
      <c r="AR384" s="27"/>
      <c r="AS384" s="27"/>
      <c r="AT384" s="27"/>
      <c r="AU384" s="12"/>
      <c r="AV384" s="28"/>
    </row>
    <row r="385" spans="4:48">
      <c r="D385" s="12"/>
      <c r="E385" s="12"/>
      <c r="F385" s="12"/>
      <c r="G385" s="12"/>
      <c r="H385" s="36"/>
      <c r="J385" s="19"/>
      <c r="K385" s="19"/>
      <c r="L385" s="19"/>
      <c r="AF385" s="6"/>
      <c r="AG385" s="6"/>
      <c r="AH385" s="6"/>
      <c r="AI385" s="6"/>
      <c r="AN385" s="6"/>
      <c r="AO385" s="6"/>
      <c r="AP385" s="6"/>
      <c r="AQ385" s="6"/>
      <c r="AR385" s="27"/>
      <c r="AS385" s="27"/>
      <c r="AT385" s="27"/>
      <c r="AU385" s="12"/>
      <c r="AV385" s="28"/>
    </row>
    <row r="386" spans="4:48">
      <c r="D386" s="12"/>
      <c r="E386" s="12"/>
      <c r="F386" s="12"/>
      <c r="G386" s="12"/>
      <c r="H386" s="36"/>
      <c r="J386" s="19"/>
      <c r="K386" s="19"/>
      <c r="L386" s="19"/>
      <c r="AF386" s="6"/>
      <c r="AG386" s="6"/>
      <c r="AH386" s="6"/>
      <c r="AI386" s="6"/>
      <c r="AN386" s="6"/>
      <c r="AO386" s="6"/>
      <c r="AP386" s="6"/>
      <c r="AQ386" s="6"/>
      <c r="AR386" s="27"/>
      <c r="AS386" s="27"/>
      <c r="AT386" s="27"/>
      <c r="AU386" s="12"/>
      <c r="AV386" s="28"/>
    </row>
    <row r="387" spans="4:48">
      <c r="D387" s="12"/>
      <c r="E387" s="12"/>
      <c r="F387" s="12"/>
      <c r="G387" s="12"/>
      <c r="H387" s="36"/>
      <c r="J387" s="19"/>
      <c r="K387" s="19"/>
      <c r="L387" s="19"/>
      <c r="AF387" s="6"/>
      <c r="AG387" s="6"/>
      <c r="AH387" s="6"/>
      <c r="AI387" s="6"/>
      <c r="AN387" s="6"/>
      <c r="AO387" s="6"/>
      <c r="AP387" s="6"/>
      <c r="AQ387" s="6"/>
      <c r="AR387" s="27"/>
      <c r="AS387" s="27"/>
      <c r="AT387" s="27"/>
      <c r="AU387" s="12"/>
      <c r="AV387" s="28"/>
    </row>
    <row r="388" spans="4:48">
      <c r="D388" s="12"/>
      <c r="E388" s="12"/>
      <c r="F388" s="12"/>
      <c r="G388" s="12"/>
      <c r="H388" s="36"/>
      <c r="J388" s="19"/>
      <c r="K388" s="19"/>
      <c r="L388" s="19"/>
      <c r="AF388" s="6"/>
      <c r="AG388" s="6"/>
      <c r="AH388" s="6"/>
      <c r="AI388" s="6"/>
      <c r="AN388" s="6"/>
      <c r="AO388" s="6"/>
      <c r="AP388" s="6"/>
      <c r="AQ388" s="6"/>
      <c r="AR388" s="27"/>
      <c r="AS388" s="27"/>
      <c r="AT388" s="27"/>
      <c r="AU388" s="12"/>
      <c r="AV388" s="28"/>
    </row>
    <row r="389" spans="4:48">
      <c r="D389" s="12"/>
      <c r="E389" s="12"/>
      <c r="F389" s="12"/>
      <c r="G389" s="12"/>
      <c r="H389" s="36"/>
      <c r="J389" s="19"/>
      <c r="K389" s="19"/>
      <c r="L389" s="19"/>
      <c r="AF389" s="6"/>
      <c r="AG389" s="6"/>
      <c r="AH389" s="6"/>
      <c r="AI389" s="6"/>
      <c r="AN389" s="6"/>
      <c r="AO389" s="6"/>
      <c r="AP389" s="6"/>
      <c r="AQ389" s="6"/>
      <c r="AR389" s="27"/>
      <c r="AS389" s="27"/>
      <c r="AT389" s="27"/>
      <c r="AU389" s="12"/>
      <c r="AV389" s="28"/>
    </row>
    <row r="390" spans="4:48">
      <c r="D390" s="12"/>
      <c r="E390" s="12"/>
      <c r="F390" s="12"/>
      <c r="G390" s="12"/>
      <c r="H390" s="36"/>
      <c r="J390" s="19"/>
      <c r="K390" s="19"/>
      <c r="L390" s="19"/>
      <c r="AF390" s="6"/>
      <c r="AG390" s="6"/>
      <c r="AH390" s="6"/>
      <c r="AI390" s="6"/>
      <c r="AN390" s="6"/>
      <c r="AO390" s="6"/>
      <c r="AP390" s="6"/>
      <c r="AQ390" s="6"/>
      <c r="AR390" s="27"/>
      <c r="AS390" s="27"/>
      <c r="AT390" s="27"/>
      <c r="AU390" s="12"/>
      <c r="AV390" s="28"/>
    </row>
    <row r="391" spans="4:48">
      <c r="D391" s="12"/>
      <c r="E391" s="12"/>
      <c r="F391" s="12"/>
      <c r="G391" s="12"/>
      <c r="H391" s="36"/>
      <c r="J391" s="19"/>
      <c r="K391" s="19"/>
      <c r="L391" s="19"/>
      <c r="AF391" s="6"/>
      <c r="AG391" s="6"/>
      <c r="AH391" s="6"/>
      <c r="AI391" s="6"/>
      <c r="AN391" s="6"/>
      <c r="AO391" s="6"/>
      <c r="AP391" s="6"/>
      <c r="AQ391" s="6"/>
      <c r="AR391" s="27"/>
      <c r="AS391" s="27"/>
      <c r="AT391" s="27"/>
      <c r="AU391" s="12"/>
      <c r="AV391" s="28"/>
    </row>
    <row r="392" spans="4:48">
      <c r="D392" s="12"/>
      <c r="E392" s="12"/>
      <c r="F392" s="12"/>
      <c r="G392" s="12"/>
      <c r="H392" s="36"/>
      <c r="J392" s="19"/>
      <c r="K392" s="19"/>
      <c r="L392" s="19"/>
      <c r="AF392" s="6"/>
      <c r="AG392" s="6"/>
      <c r="AH392" s="6"/>
      <c r="AI392" s="6"/>
      <c r="AN392" s="6"/>
      <c r="AO392" s="6"/>
      <c r="AP392" s="6"/>
      <c r="AQ392" s="6"/>
      <c r="AR392" s="27"/>
      <c r="AS392" s="27"/>
      <c r="AT392" s="27"/>
      <c r="AU392" s="12"/>
      <c r="AV392" s="28"/>
    </row>
    <row r="393" spans="4:48">
      <c r="D393" s="12"/>
      <c r="E393" s="12"/>
      <c r="F393" s="12"/>
      <c r="G393" s="12"/>
      <c r="H393" s="36"/>
      <c r="J393" s="19"/>
      <c r="K393" s="19"/>
      <c r="L393" s="19"/>
      <c r="AF393" s="6"/>
      <c r="AG393" s="6"/>
      <c r="AH393" s="6"/>
      <c r="AI393" s="6"/>
      <c r="AN393" s="6"/>
      <c r="AO393" s="6"/>
      <c r="AP393" s="6"/>
      <c r="AQ393" s="6"/>
      <c r="AR393" s="27"/>
      <c r="AS393" s="27"/>
      <c r="AT393" s="27"/>
      <c r="AU393" s="12"/>
      <c r="AV393" s="28"/>
    </row>
    <row r="394" spans="4:48">
      <c r="D394" s="12"/>
      <c r="E394" s="12"/>
      <c r="F394" s="12"/>
      <c r="G394" s="12"/>
      <c r="H394" s="36"/>
      <c r="J394" s="19"/>
      <c r="K394" s="19"/>
      <c r="L394" s="19"/>
      <c r="AF394" s="6"/>
      <c r="AG394" s="6"/>
      <c r="AH394" s="6"/>
      <c r="AI394" s="6"/>
      <c r="AN394" s="6"/>
      <c r="AO394" s="6"/>
      <c r="AP394" s="6"/>
      <c r="AQ394" s="6"/>
      <c r="AR394" s="27"/>
      <c r="AS394" s="27"/>
      <c r="AT394" s="27"/>
      <c r="AU394" s="12"/>
      <c r="AV394" s="28"/>
    </row>
    <row r="395" spans="4:48">
      <c r="D395" s="12"/>
      <c r="E395" s="12"/>
      <c r="F395" s="12"/>
      <c r="G395" s="12"/>
      <c r="H395" s="36"/>
      <c r="J395" s="19"/>
      <c r="K395" s="19"/>
      <c r="L395" s="19"/>
      <c r="AF395" s="6"/>
      <c r="AG395" s="6"/>
      <c r="AH395" s="6"/>
      <c r="AI395" s="6"/>
      <c r="AN395" s="6"/>
      <c r="AO395" s="6"/>
      <c r="AP395" s="6"/>
      <c r="AQ395" s="6"/>
      <c r="AR395" s="27"/>
      <c r="AS395" s="27"/>
      <c r="AT395" s="27"/>
      <c r="AU395" s="12"/>
      <c r="AV395" s="28"/>
    </row>
    <row r="396" spans="4:48">
      <c r="D396" s="12"/>
      <c r="E396" s="12"/>
      <c r="F396" s="12"/>
      <c r="G396" s="12"/>
      <c r="H396" s="36"/>
      <c r="J396" s="19"/>
      <c r="K396" s="19"/>
      <c r="L396" s="19"/>
      <c r="AF396" s="6"/>
      <c r="AG396" s="6"/>
      <c r="AH396" s="6"/>
      <c r="AI396" s="6"/>
      <c r="AN396" s="6"/>
      <c r="AO396" s="6"/>
      <c r="AP396" s="6"/>
      <c r="AQ396" s="6"/>
      <c r="AR396" s="27"/>
      <c r="AS396" s="27"/>
      <c r="AT396" s="27"/>
      <c r="AU396" s="12"/>
      <c r="AV396" s="28"/>
    </row>
    <row r="397" spans="4:48">
      <c r="D397" s="12"/>
      <c r="E397" s="12"/>
      <c r="F397" s="12"/>
      <c r="G397" s="12"/>
      <c r="H397" s="36"/>
      <c r="J397" s="19"/>
      <c r="K397" s="19"/>
      <c r="L397" s="19"/>
      <c r="AF397" s="6"/>
      <c r="AG397" s="6"/>
      <c r="AH397" s="6"/>
      <c r="AI397" s="6"/>
      <c r="AN397" s="6"/>
      <c r="AO397" s="6"/>
      <c r="AP397" s="6"/>
      <c r="AQ397" s="6"/>
      <c r="AR397" s="27"/>
      <c r="AS397" s="27"/>
      <c r="AT397" s="27"/>
      <c r="AU397" s="12"/>
      <c r="AV397" s="28"/>
    </row>
    <row r="398" spans="4:48">
      <c r="D398" s="12"/>
      <c r="E398" s="12"/>
      <c r="F398" s="12"/>
      <c r="G398" s="12"/>
      <c r="H398" s="36"/>
      <c r="J398" s="19"/>
      <c r="K398" s="19"/>
      <c r="L398" s="19"/>
      <c r="AF398" s="6"/>
      <c r="AG398" s="6"/>
      <c r="AH398" s="6"/>
      <c r="AI398" s="6"/>
      <c r="AN398" s="6"/>
      <c r="AO398" s="6"/>
      <c r="AP398" s="6"/>
      <c r="AQ398" s="6"/>
      <c r="AR398" s="27"/>
      <c r="AS398" s="27"/>
      <c r="AT398" s="27"/>
      <c r="AU398" s="12"/>
      <c r="AV398" s="28"/>
    </row>
    <row r="399" spans="4:48">
      <c r="D399" s="12"/>
      <c r="E399" s="12"/>
      <c r="F399" s="12"/>
      <c r="G399" s="12"/>
      <c r="H399" s="36"/>
      <c r="J399" s="19"/>
      <c r="K399" s="19"/>
      <c r="L399" s="19"/>
      <c r="AF399" s="6"/>
      <c r="AG399" s="6"/>
      <c r="AH399" s="6"/>
      <c r="AI399" s="6"/>
      <c r="AN399" s="6"/>
      <c r="AO399" s="6"/>
      <c r="AP399" s="6"/>
      <c r="AQ399" s="6"/>
      <c r="AR399" s="27"/>
      <c r="AS399" s="27"/>
      <c r="AT399" s="27"/>
      <c r="AU399" s="12"/>
      <c r="AV399" s="28"/>
    </row>
    <row r="400" spans="4:48">
      <c r="D400" s="12"/>
      <c r="E400" s="12"/>
      <c r="F400" s="12"/>
      <c r="G400" s="12"/>
      <c r="H400" s="36"/>
      <c r="J400" s="19"/>
      <c r="K400" s="19"/>
      <c r="L400" s="19"/>
      <c r="AF400" s="6"/>
      <c r="AG400" s="6"/>
      <c r="AH400" s="6"/>
      <c r="AI400" s="6"/>
      <c r="AN400" s="6"/>
      <c r="AO400" s="6"/>
      <c r="AP400" s="6"/>
      <c r="AQ400" s="6"/>
      <c r="AR400" s="27"/>
      <c r="AS400" s="27"/>
      <c r="AT400" s="27"/>
      <c r="AU400" s="12"/>
      <c r="AV400" s="28"/>
    </row>
    <row r="401" spans="4:48">
      <c r="D401" s="12"/>
      <c r="E401" s="12"/>
      <c r="F401" s="12"/>
      <c r="G401" s="12"/>
      <c r="H401" s="36"/>
      <c r="J401" s="19"/>
      <c r="K401" s="19"/>
      <c r="L401" s="19"/>
      <c r="AF401" s="6"/>
      <c r="AG401" s="6"/>
      <c r="AH401" s="6"/>
      <c r="AI401" s="6"/>
      <c r="AN401" s="6"/>
      <c r="AO401" s="6"/>
      <c r="AP401" s="6"/>
      <c r="AQ401" s="6"/>
      <c r="AR401" s="27"/>
      <c r="AS401" s="27"/>
      <c r="AT401" s="27"/>
      <c r="AU401" s="12"/>
      <c r="AV401" s="28"/>
    </row>
    <row r="402" spans="4:48">
      <c r="D402" s="12"/>
      <c r="E402" s="12"/>
      <c r="F402" s="12"/>
      <c r="G402" s="12"/>
      <c r="H402" s="36"/>
      <c r="J402" s="19"/>
      <c r="K402" s="19"/>
      <c r="L402" s="19"/>
      <c r="AF402" s="6"/>
      <c r="AG402" s="6"/>
      <c r="AH402" s="6"/>
      <c r="AI402" s="6"/>
      <c r="AN402" s="6"/>
      <c r="AO402" s="6"/>
      <c r="AP402" s="6"/>
      <c r="AQ402" s="6"/>
      <c r="AR402" s="27"/>
      <c r="AS402" s="27"/>
      <c r="AT402" s="27"/>
      <c r="AU402" s="12"/>
      <c r="AV402" s="28"/>
    </row>
    <row r="403" spans="4:48">
      <c r="D403" s="12"/>
      <c r="E403" s="12"/>
      <c r="F403" s="12"/>
      <c r="G403" s="12"/>
      <c r="H403" s="36"/>
      <c r="J403" s="19"/>
      <c r="K403" s="19"/>
      <c r="L403" s="19"/>
      <c r="AF403" s="6"/>
      <c r="AG403" s="6"/>
      <c r="AH403" s="6"/>
      <c r="AI403" s="6"/>
      <c r="AN403" s="6"/>
      <c r="AO403" s="6"/>
      <c r="AP403" s="6"/>
      <c r="AQ403" s="6"/>
      <c r="AR403" s="27"/>
      <c r="AS403" s="27"/>
      <c r="AT403" s="27"/>
      <c r="AU403" s="12"/>
      <c r="AV403" s="28"/>
    </row>
    <row r="404" spans="4:48">
      <c r="D404" s="12"/>
      <c r="E404" s="12"/>
      <c r="F404" s="12"/>
      <c r="G404" s="12"/>
      <c r="H404" s="36"/>
      <c r="J404" s="19"/>
      <c r="K404" s="19"/>
      <c r="L404" s="19"/>
      <c r="AF404" s="6"/>
      <c r="AG404" s="6"/>
      <c r="AH404" s="6"/>
      <c r="AI404" s="6"/>
      <c r="AN404" s="6"/>
      <c r="AO404" s="6"/>
      <c r="AP404" s="6"/>
      <c r="AQ404" s="6"/>
      <c r="AR404" s="27"/>
      <c r="AS404" s="27"/>
      <c r="AT404" s="27"/>
      <c r="AU404" s="12"/>
      <c r="AV404" s="28"/>
    </row>
    <row r="405" spans="4:48">
      <c r="D405" s="12"/>
      <c r="E405" s="12"/>
      <c r="F405" s="12"/>
      <c r="G405" s="12"/>
      <c r="H405" s="36"/>
      <c r="J405" s="19"/>
      <c r="K405" s="19"/>
      <c r="L405" s="19"/>
      <c r="AF405" s="6"/>
      <c r="AG405" s="6"/>
      <c r="AH405" s="6"/>
      <c r="AI405" s="6"/>
      <c r="AN405" s="6"/>
      <c r="AO405" s="6"/>
      <c r="AP405" s="6"/>
      <c r="AQ405" s="6"/>
      <c r="AR405" s="27"/>
      <c r="AS405" s="27"/>
      <c r="AT405" s="27"/>
      <c r="AU405" s="12"/>
      <c r="AV405" s="28"/>
    </row>
    <row r="406" spans="4:48">
      <c r="D406" s="12"/>
      <c r="E406" s="12"/>
      <c r="F406" s="12"/>
      <c r="G406" s="12"/>
      <c r="H406" s="36"/>
      <c r="J406" s="19"/>
      <c r="K406" s="19"/>
      <c r="L406" s="19"/>
      <c r="AF406" s="6"/>
      <c r="AG406" s="6"/>
      <c r="AH406" s="6"/>
      <c r="AI406" s="6"/>
      <c r="AN406" s="6"/>
      <c r="AO406" s="6"/>
      <c r="AP406" s="6"/>
      <c r="AQ406" s="6"/>
      <c r="AR406" s="27"/>
      <c r="AS406" s="27"/>
      <c r="AT406" s="27"/>
      <c r="AU406" s="12"/>
      <c r="AV406" s="28"/>
    </row>
    <row r="407" spans="4:48">
      <c r="D407" s="12"/>
      <c r="E407" s="12"/>
      <c r="F407" s="12"/>
      <c r="G407" s="12"/>
      <c r="H407" s="36"/>
      <c r="J407" s="19"/>
      <c r="K407" s="19"/>
      <c r="L407" s="19"/>
      <c r="AF407" s="6"/>
      <c r="AG407" s="6"/>
      <c r="AH407" s="6"/>
      <c r="AI407" s="6"/>
      <c r="AN407" s="6"/>
      <c r="AO407" s="6"/>
      <c r="AP407" s="6"/>
      <c r="AQ407" s="6"/>
      <c r="AR407" s="27"/>
      <c r="AS407" s="27"/>
      <c r="AT407" s="27"/>
      <c r="AU407" s="12"/>
      <c r="AV407" s="28"/>
    </row>
    <row r="408" spans="4:48">
      <c r="D408" s="12"/>
      <c r="E408" s="12"/>
      <c r="F408" s="12"/>
      <c r="G408" s="12"/>
      <c r="H408" s="36"/>
      <c r="J408" s="19"/>
      <c r="K408" s="19"/>
      <c r="L408" s="19"/>
      <c r="AF408" s="6"/>
      <c r="AG408" s="6"/>
      <c r="AH408" s="6"/>
      <c r="AI408" s="6"/>
      <c r="AN408" s="6"/>
      <c r="AO408" s="6"/>
      <c r="AP408" s="6"/>
      <c r="AQ408" s="6"/>
      <c r="AR408" s="27"/>
      <c r="AS408" s="27"/>
      <c r="AT408" s="27"/>
      <c r="AU408" s="12"/>
      <c r="AV408" s="28"/>
    </row>
    <row r="409" spans="4:48">
      <c r="D409" s="12"/>
      <c r="E409" s="12"/>
      <c r="F409" s="12"/>
      <c r="G409" s="12"/>
      <c r="H409" s="36"/>
      <c r="J409" s="19"/>
      <c r="K409" s="19"/>
      <c r="L409" s="19"/>
      <c r="AF409" s="6"/>
      <c r="AG409" s="6"/>
      <c r="AH409" s="6"/>
      <c r="AI409" s="6"/>
      <c r="AN409" s="6"/>
      <c r="AO409" s="6"/>
      <c r="AP409" s="6"/>
      <c r="AQ409" s="6"/>
      <c r="AR409" s="27"/>
      <c r="AS409" s="27"/>
      <c r="AT409" s="27"/>
      <c r="AU409" s="12"/>
      <c r="AV409" s="28"/>
    </row>
    <row r="410" spans="4:48">
      <c r="D410" s="12"/>
      <c r="E410" s="12"/>
      <c r="F410" s="12"/>
      <c r="G410" s="12"/>
      <c r="H410" s="36"/>
      <c r="J410" s="19"/>
      <c r="K410" s="19"/>
      <c r="L410" s="19"/>
      <c r="AF410" s="6"/>
      <c r="AG410" s="6"/>
      <c r="AH410" s="6"/>
      <c r="AI410" s="6"/>
      <c r="AN410" s="6"/>
      <c r="AO410" s="6"/>
      <c r="AP410" s="6"/>
      <c r="AQ410" s="6"/>
      <c r="AR410" s="27"/>
      <c r="AS410" s="27"/>
      <c r="AT410" s="27"/>
      <c r="AU410" s="12"/>
      <c r="AV410" s="28"/>
    </row>
    <row r="411" spans="4:48">
      <c r="D411" s="12"/>
      <c r="E411" s="12"/>
      <c r="F411" s="12"/>
      <c r="G411" s="12"/>
      <c r="H411" s="36"/>
      <c r="J411" s="19"/>
      <c r="K411" s="19"/>
      <c r="L411" s="19"/>
      <c r="AF411" s="6"/>
      <c r="AG411" s="6"/>
      <c r="AH411" s="6"/>
      <c r="AI411" s="6"/>
      <c r="AN411" s="6"/>
      <c r="AO411" s="6"/>
      <c r="AP411" s="6"/>
      <c r="AQ411" s="6"/>
      <c r="AR411" s="27"/>
      <c r="AS411" s="27"/>
      <c r="AT411" s="27"/>
      <c r="AU411" s="12"/>
      <c r="AV411" s="28"/>
    </row>
    <row r="412" spans="4:48">
      <c r="D412" s="12"/>
      <c r="E412" s="12"/>
      <c r="F412" s="12"/>
      <c r="G412" s="12"/>
      <c r="H412" s="36"/>
      <c r="J412" s="19"/>
      <c r="K412" s="19"/>
      <c r="L412" s="19"/>
      <c r="AF412" s="6"/>
      <c r="AG412" s="6"/>
      <c r="AH412" s="6"/>
      <c r="AI412" s="6"/>
      <c r="AN412" s="6"/>
      <c r="AO412" s="6"/>
      <c r="AP412" s="6"/>
      <c r="AQ412" s="6"/>
      <c r="AR412" s="27"/>
      <c r="AS412" s="27"/>
      <c r="AT412" s="27"/>
      <c r="AU412" s="12"/>
      <c r="AV412" s="28"/>
    </row>
    <row r="413" spans="4:48">
      <c r="D413" s="12"/>
      <c r="E413" s="12"/>
      <c r="F413" s="12"/>
      <c r="G413" s="12"/>
      <c r="H413" s="36"/>
      <c r="J413" s="19"/>
      <c r="K413" s="19"/>
      <c r="L413" s="19"/>
      <c r="AF413" s="6"/>
      <c r="AG413" s="6"/>
      <c r="AH413" s="6"/>
      <c r="AI413" s="6"/>
      <c r="AN413" s="6"/>
      <c r="AO413" s="6"/>
      <c r="AP413" s="6"/>
      <c r="AQ413" s="6"/>
      <c r="AR413" s="27"/>
      <c r="AS413" s="27"/>
      <c r="AT413" s="27"/>
      <c r="AU413" s="12"/>
      <c r="AV413" s="28"/>
    </row>
    <row r="414" spans="4:48">
      <c r="D414" s="12"/>
      <c r="E414" s="12"/>
      <c r="F414" s="12"/>
      <c r="G414" s="12"/>
      <c r="H414" s="36"/>
      <c r="J414" s="19"/>
      <c r="K414" s="19"/>
      <c r="L414" s="19"/>
      <c r="AF414" s="6"/>
      <c r="AG414" s="6"/>
      <c r="AH414" s="6"/>
      <c r="AI414" s="6"/>
      <c r="AN414" s="6"/>
      <c r="AO414" s="6"/>
      <c r="AP414" s="6"/>
      <c r="AQ414" s="6"/>
      <c r="AR414" s="27"/>
      <c r="AS414" s="27"/>
      <c r="AT414" s="27"/>
      <c r="AU414" s="12"/>
      <c r="AV414" s="28"/>
    </row>
    <row r="415" spans="4:48">
      <c r="D415" s="12"/>
      <c r="E415" s="12"/>
      <c r="F415" s="12"/>
      <c r="G415" s="12"/>
      <c r="H415" s="36"/>
      <c r="J415" s="19"/>
      <c r="K415" s="19"/>
      <c r="L415" s="19"/>
      <c r="AF415" s="6"/>
      <c r="AG415" s="6"/>
      <c r="AH415" s="6"/>
      <c r="AI415" s="6"/>
      <c r="AN415" s="6"/>
      <c r="AO415" s="6"/>
      <c r="AP415" s="6"/>
      <c r="AQ415" s="6"/>
      <c r="AR415" s="27"/>
      <c r="AS415" s="27"/>
      <c r="AT415" s="27"/>
      <c r="AU415" s="12"/>
      <c r="AV415" s="28"/>
    </row>
    <row r="416" spans="4:48">
      <c r="D416" s="12"/>
      <c r="E416" s="12"/>
      <c r="F416" s="12"/>
      <c r="G416" s="12"/>
      <c r="H416" s="36"/>
      <c r="J416" s="19"/>
      <c r="K416" s="19"/>
      <c r="L416" s="19"/>
      <c r="AF416" s="6"/>
      <c r="AG416" s="6"/>
      <c r="AH416" s="6"/>
      <c r="AI416" s="6"/>
      <c r="AN416" s="6"/>
      <c r="AO416" s="6"/>
      <c r="AP416" s="6"/>
      <c r="AQ416" s="6"/>
      <c r="AR416" s="27"/>
      <c r="AS416" s="27"/>
      <c r="AT416" s="27"/>
      <c r="AU416" s="12"/>
      <c r="AV416" s="28"/>
    </row>
    <row r="417" spans="4:48">
      <c r="D417" s="12"/>
      <c r="E417" s="12"/>
      <c r="F417" s="12"/>
      <c r="G417" s="12"/>
      <c r="H417" s="36"/>
      <c r="J417" s="19"/>
      <c r="K417" s="19"/>
      <c r="L417" s="19"/>
      <c r="AF417" s="6"/>
      <c r="AG417" s="6"/>
      <c r="AH417" s="6"/>
      <c r="AI417" s="6"/>
      <c r="AN417" s="6"/>
      <c r="AO417" s="6"/>
      <c r="AP417" s="6"/>
      <c r="AQ417" s="6"/>
      <c r="AR417" s="27"/>
      <c r="AS417" s="27"/>
      <c r="AT417" s="27"/>
      <c r="AU417" s="12"/>
      <c r="AV417" s="28"/>
    </row>
    <row r="418" spans="4:48">
      <c r="D418" s="12"/>
      <c r="E418" s="12"/>
      <c r="F418" s="12"/>
      <c r="G418" s="12"/>
      <c r="H418" s="36"/>
      <c r="J418" s="19"/>
      <c r="K418" s="19"/>
      <c r="L418" s="19"/>
      <c r="AF418" s="6"/>
      <c r="AG418" s="6"/>
      <c r="AH418" s="6"/>
      <c r="AI418" s="6"/>
      <c r="AN418" s="6"/>
      <c r="AO418" s="6"/>
      <c r="AP418" s="6"/>
      <c r="AQ418" s="6"/>
      <c r="AR418" s="27"/>
      <c r="AS418" s="27"/>
      <c r="AT418" s="27"/>
      <c r="AU418" s="12"/>
      <c r="AV418" s="28"/>
    </row>
    <row r="419" spans="4:48">
      <c r="D419" s="12"/>
      <c r="E419" s="12"/>
      <c r="F419" s="12"/>
      <c r="G419" s="12"/>
      <c r="H419" s="36"/>
      <c r="J419" s="19"/>
      <c r="K419" s="19"/>
      <c r="L419" s="19"/>
      <c r="AF419" s="6"/>
      <c r="AG419" s="6"/>
      <c r="AH419" s="6"/>
      <c r="AI419" s="6"/>
      <c r="AN419" s="6"/>
      <c r="AO419" s="6"/>
      <c r="AP419" s="6"/>
      <c r="AQ419" s="6"/>
      <c r="AR419" s="27"/>
      <c r="AS419" s="27"/>
      <c r="AT419" s="27"/>
      <c r="AU419" s="12"/>
      <c r="AV419" s="28"/>
    </row>
    <row r="420" spans="4:48">
      <c r="D420" s="12"/>
      <c r="E420" s="12"/>
      <c r="F420" s="12"/>
      <c r="G420" s="12"/>
      <c r="H420" s="36"/>
      <c r="J420" s="19"/>
      <c r="K420" s="19"/>
      <c r="L420" s="19"/>
      <c r="AF420" s="6"/>
      <c r="AG420" s="6"/>
      <c r="AH420" s="6"/>
      <c r="AI420" s="6"/>
      <c r="AN420" s="6"/>
      <c r="AO420" s="6"/>
      <c r="AP420" s="6"/>
      <c r="AQ420" s="6"/>
      <c r="AR420" s="27"/>
      <c r="AS420" s="27"/>
      <c r="AT420" s="27"/>
      <c r="AU420" s="12"/>
      <c r="AV420" s="28"/>
    </row>
    <row r="421" spans="4:48">
      <c r="D421" s="12"/>
      <c r="E421" s="12"/>
      <c r="F421" s="12"/>
      <c r="G421" s="12"/>
      <c r="H421" s="36"/>
      <c r="J421" s="19"/>
      <c r="K421" s="19"/>
      <c r="L421" s="19"/>
      <c r="AF421" s="6"/>
      <c r="AG421" s="6"/>
      <c r="AH421" s="6"/>
      <c r="AI421" s="6"/>
      <c r="AN421" s="6"/>
      <c r="AO421" s="6"/>
      <c r="AP421" s="6"/>
      <c r="AQ421" s="6"/>
      <c r="AR421" s="27"/>
      <c r="AS421" s="27"/>
      <c r="AT421" s="27"/>
      <c r="AU421" s="12"/>
      <c r="AV421" s="28"/>
    </row>
    <row r="422" spans="4:48">
      <c r="D422" s="12"/>
      <c r="E422" s="12"/>
      <c r="F422" s="12"/>
      <c r="G422" s="12"/>
      <c r="H422" s="36"/>
      <c r="J422" s="19"/>
      <c r="K422" s="19"/>
      <c r="L422" s="19"/>
      <c r="AF422" s="6"/>
      <c r="AG422" s="6"/>
      <c r="AH422" s="6"/>
      <c r="AI422" s="6"/>
      <c r="AN422" s="6"/>
      <c r="AO422" s="6"/>
      <c r="AP422" s="6"/>
      <c r="AQ422" s="6"/>
      <c r="AR422" s="27"/>
      <c r="AS422" s="27"/>
      <c r="AT422" s="27"/>
      <c r="AU422" s="12"/>
      <c r="AV422" s="28"/>
    </row>
    <row r="423" spans="4:48">
      <c r="D423" s="12"/>
      <c r="E423" s="12"/>
      <c r="F423" s="12"/>
      <c r="G423" s="12"/>
      <c r="H423" s="36"/>
      <c r="J423" s="19"/>
      <c r="K423" s="19"/>
      <c r="L423" s="19"/>
      <c r="AF423" s="6"/>
      <c r="AG423" s="6"/>
      <c r="AH423" s="6"/>
      <c r="AI423" s="6"/>
      <c r="AN423" s="6"/>
      <c r="AO423" s="6"/>
      <c r="AP423" s="6"/>
      <c r="AQ423" s="6"/>
      <c r="AR423" s="27"/>
      <c r="AS423" s="27"/>
      <c r="AT423" s="27"/>
      <c r="AU423" s="12"/>
      <c r="AV423" s="28"/>
    </row>
    <row r="424" spans="4:48">
      <c r="D424" s="12"/>
      <c r="E424" s="12"/>
      <c r="F424" s="12"/>
      <c r="G424" s="12"/>
      <c r="H424" s="36"/>
      <c r="J424" s="19"/>
      <c r="K424" s="19"/>
      <c r="L424" s="19"/>
      <c r="AF424" s="6"/>
      <c r="AG424" s="6"/>
      <c r="AH424" s="6"/>
      <c r="AI424" s="6"/>
      <c r="AN424" s="6"/>
      <c r="AO424" s="6"/>
      <c r="AP424" s="6"/>
      <c r="AQ424" s="6"/>
      <c r="AR424" s="27"/>
      <c r="AS424" s="27"/>
      <c r="AT424" s="27"/>
      <c r="AU424" s="12"/>
      <c r="AV424" s="28"/>
    </row>
    <row r="425" spans="4:48">
      <c r="D425" s="12"/>
      <c r="E425" s="12"/>
      <c r="F425" s="12"/>
      <c r="G425" s="12"/>
      <c r="H425" s="36"/>
      <c r="J425" s="19"/>
      <c r="K425" s="19"/>
      <c r="L425" s="19"/>
      <c r="AF425" s="6"/>
      <c r="AG425" s="6"/>
      <c r="AH425" s="6"/>
      <c r="AI425" s="6"/>
      <c r="AN425" s="6"/>
      <c r="AO425" s="6"/>
      <c r="AP425" s="6"/>
      <c r="AQ425" s="6"/>
      <c r="AR425" s="27"/>
      <c r="AS425" s="27"/>
      <c r="AT425" s="27"/>
      <c r="AU425" s="12"/>
      <c r="AV425" s="28"/>
    </row>
    <row r="426" spans="4:48">
      <c r="D426" s="12"/>
      <c r="E426" s="12"/>
      <c r="F426" s="12"/>
      <c r="G426" s="12"/>
      <c r="H426" s="36"/>
      <c r="J426" s="19"/>
      <c r="K426" s="19"/>
      <c r="L426" s="19"/>
      <c r="AF426" s="6"/>
      <c r="AG426" s="6"/>
      <c r="AH426" s="6"/>
      <c r="AI426" s="6"/>
      <c r="AN426" s="6"/>
      <c r="AO426" s="6"/>
      <c r="AP426" s="6"/>
      <c r="AQ426" s="6"/>
      <c r="AR426" s="27"/>
      <c r="AS426" s="27"/>
      <c r="AT426" s="27"/>
      <c r="AU426" s="12"/>
      <c r="AV426" s="28"/>
    </row>
    <row r="427" spans="4:48">
      <c r="D427" s="12"/>
      <c r="E427" s="12"/>
      <c r="F427" s="12"/>
      <c r="G427" s="12"/>
      <c r="H427" s="36"/>
      <c r="J427" s="19"/>
      <c r="K427" s="19"/>
      <c r="L427" s="19"/>
      <c r="AF427" s="6"/>
      <c r="AG427" s="6"/>
      <c r="AH427" s="6"/>
      <c r="AI427" s="6"/>
      <c r="AN427" s="6"/>
      <c r="AO427" s="6"/>
      <c r="AP427" s="6"/>
      <c r="AQ427" s="6"/>
      <c r="AR427" s="27"/>
      <c r="AS427" s="27"/>
      <c r="AT427" s="27"/>
      <c r="AU427" s="12"/>
      <c r="AV427" s="28"/>
    </row>
    <row r="428" spans="4:48">
      <c r="D428" s="12"/>
      <c r="E428" s="12"/>
      <c r="F428" s="12"/>
      <c r="G428" s="12"/>
      <c r="H428" s="36"/>
      <c r="J428" s="19"/>
      <c r="K428" s="19"/>
      <c r="L428" s="19"/>
      <c r="AF428" s="6"/>
      <c r="AG428" s="6"/>
      <c r="AH428" s="6"/>
      <c r="AI428" s="6"/>
      <c r="AN428" s="6"/>
      <c r="AO428" s="6"/>
      <c r="AP428" s="6"/>
      <c r="AQ428" s="6"/>
      <c r="AR428" s="27"/>
      <c r="AS428" s="27"/>
      <c r="AT428" s="27"/>
      <c r="AU428" s="12"/>
      <c r="AV428" s="28"/>
    </row>
    <row r="429" spans="4:48">
      <c r="D429" s="12"/>
      <c r="E429" s="12"/>
      <c r="F429" s="12"/>
      <c r="G429" s="12"/>
      <c r="H429" s="36"/>
      <c r="J429" s="19"/>
      <c r="K429" s="19"/>
      <c r="L429" s="19"/>
      <c r="AF429" s="6"/>
      <c r="AG429" s="6"/>
      <c r="AH429" s="6"/>
      <c r="AI429" s="6"/>
      <c r="AN429" s="6"/>
      <c r="AO429" s="6"/>
      <c r="AP429" s="6"/>
      <c r="AQ429" s="6"/>
      <c r="AR429" s="27"/>
      <c r="AS429" s="27"/>
      <c r="AT429" s="27"/>
      <c r="AU429" s="12"/>
      <c r="AV429" s="28"/>
    </row>
    <row r="430" spans="4:48">
      <c r="D430" s="12"/>
      <c r="E430" s="12"/>
      <c r="F430" s="12"/>
      <c r="G430" s="12"/>
      <c r="H430" s="36"/>
      <c r="J430" s="19"/>
      <c r="K430" s="19"/>
      <c r="L430" s="19"/>
      <c r="AF430" s="6"/>
      <c r="AG430" s="6"/>
      <c r="AH430" s="6"/>
      <c r="AI430" s="6"/>
      <c r="AN430" s="6"/>
      <c r="AO430" s="6"/>
      <c r="AP430" s="6"/>
      <c r="AQ430" s="6"/>
      <c r="AR430" s="27"/>
      <c r="AS430" s="27"/>
      <c r="AT430" s="27"/>
      <c r="AU430" s="12"/>
      <c r="AV430" s="28"/>
    </row>
    <row r="431" spans="4:48">
      <c r="D431" s="12"/>
      <c r="E431" s="12"/>
      <c r="F431" s="12"/>
      <c r="G431" s="12"/>
      <c r="H431" s="36"/>
      <c r="J431" s="19"/>
      <c r="K431" s="19"/>
      <c r="L431" s="19"/>
      <c r="AF431" s="6"/>
      <c r="AG431" s="6"/>
      <c r="AH431" s="6"/>
      <c r="AI431" s="6"/>
      <c r="AN431" s="6"/>
      <c r="AO431" s="6"/>
      <c r="AP431" s="6"/>
      <c r="AQ431" s="6"/>
      <c r="AR431" s="27"/>
      <c r="AS431" s="27"/>
      <c r="AT431" s="27"/>
      <c r="AU431" s="12"/>
      <c r="AV431" s="28"/>
    </row>
    <row r="432" spans="4:48">
      <c r="D432" s="12"/>
      <c r="E432" s="12"/>
      <c r="F432" s="12"/>
      <c r="G432" s="12"/>
      <c r="H432" s="36"/>
      <c r="J432" s="19"/>
      <c r="K432" s="19"/>
      <c r="L432" s="19"/>
      <c r="AF432" s="6"/>
      <c r="AG432" s="6"/>
      <c r="AH432" s="6"/>
      <c r="AI432" s="6"/>
      <c r="AN432" s="6"/>
      <c r="AO432" s="6"/>
      <c r="AP432" s="6"/>
      <c r="AQ432" s="6"/>
      <c r="AR432" s="27"/>
      <c r="AS432" s="27"/>
      <c r="AT432" s="27"/>
      <c r="AU432" s="12"/>
      <c r="AV432" s="28"/>
    </row>
    <row r="433" spans="4:48">
      <c r="D433" s="12"/>
      <c r="E433" s="12"/>
      <c r="F433" s="12"/>
      <c r="G433" s="12"/>
      <c r="H433" s="36"/>
      <c r="J433" s="19"/>
      <c r="K433" s="19"/>
      <c r="L433" s="19"/>
      <c r="AF433" s="6"/>
      <c r="AG433" s="6"/>
      <c r="AH433" s="6"/>
      <c r="AI433" s="6"/>
      <c r="AN433" s="6"/>
      <c r="AO433" s="6"/>
      <c r="AP433" s="6"/>
      <c r="AQ433" s="6"/>
      <c r="AR433" s="27"/>
      <c r="AS433" s="27"/>
      <c r="AT433" s="27"/>
      <c r="AU433" s="12"/>
      <c r="AV433" s="28"/>
    </row>
    <row r="434" spans="4:48">
      <c r="D434" s="12"/>
      <c r="E434" s="12"/>
      <c r="F434" s="12"/>
      <c r="G434" s="12"/>
      <c r="H434" s="36"/>
      <c r="J434" s="19"/>
      <c r="K434" s="19"/>
      <c r="L434" s="19"/>
      <c r="AF434" s="6"/>
      <c r="AG434" s="6"/>
      <c r="AH434" s="6"/>
      <c r="AI434" s="6"/>
      <c r="AN434" s="6"/>
      <c r="AO434" s="6"/>
      <c r="AP434" s="6"/>
      <c r="AQ434" s="6"/>
      <c r="AR434" s="27"/>
      <c r="AS434" s="27"/>
      <c r="AT434" s="27"/>
      <c r="AU434" s="12"/>
      <c r="AV434" s="28"/>
    </row>
    <row r="435" spans="4:48">
      <c r="D435" s="12"/>
      <c r="E435" s="12"/>
      <c r="F435" s="12"/>
      <c r="G435" s="12"/>
      <c r="H435" s="36"/>
      <c r="J435" s="19"/>
      <c r="K435" s="19"/>
      <c r="L435" s="19"/>
      <c r="AF435" s="6"/>
      <c r="AG435" s="6"/>
      <c r="AH435" s="6"/>
      <c r="AI435" s="6"/>
      <c r="AN435" s="6"/>
      <c r="AO435" s="6"/>
      <c r="AP435" s="6"/>
      <c r="AQ435" s="6"/>
      <c r="AR435" s="27"/>
      <c r="AS435" s="27"/>
      <c r="AT435" s="27"/>
      <c r="AU435" s="12"/>
      <c r="AV435" s="28"/>
    </row>
    <row r="436" spans="4:48">
      <c r="D436" s="12"/>
      <c r="E436" s="12"/>
      <c r="F436" s="12"/>
      <c r="G436" s="12"/>
      <c r="H436" s="36"/>
      <c r="J436" s="19"/>
      <c r="K436" s="19"/>
      <c r="L436" s="19"/>
      <c r="AF436" s="6"/>
      <c r="AG436" s="6"/>
      <c r="AH436" s="6"/>
      <c r="AI436" s="6"/>
      <c r="AN436" s="6"/>
      <c r="AO436" s="6"/>
      <c r="AP436" s="6"/>
      <c r="AQ436" s="6"/>
      <c r="AR436" s="27"/>
      <c r="AS436" s="27"/>
      <c r="AT436" s="27"/>
      <c r="AU436" s="12"/>
      <c r="AV436" s="28"/>
    </row>
    <row r="437" spans="4:48">
      <c r="D437" s="12"/>
      <c r="E437" s="12"/>
      <c r="F437" s="12"/>
      <c r="G437" s="12"/>
      <c r="H437" s="36"/>
      <c r="J437" s="19"/>
      <c r="K437" s="19"/>
      <c r="L437" s="19"/>
      <c r="AF437" s="6"/>
      <c r="AG437" s="6"/>
      <c r="AH437" s="6"/>
      <c r="AI437" s="6"/>
      <c r="AN437" s="6"/>
      <c r="AO437" s="6"/>
      <c r="AP437" s="6"/>
      <c r="AQ437" s="6"/>
      <c r="AR437" s="27"/>
      <c r="AS437" s="27"/>
      <c r="AT437" s="27"/>
      <c r="AU437" s="12"/>
      <c r="AV437" s="28"/>
    </row>
    <row r="438" spans="4:48">
      <c r="D438" s="12"/>
      <c r="E438" s="12"/>
      <c r="F438" s="12"/>
      <c r="G438" s="12"/>
      <c r="H438" s="36"/>
      <c r="J438" s="19"/>
      <c r="K438" s="19"/>
      <c r="L438" s="19"/>
      <c r="AF438" s="6"/>
      <c r="AG438" s="6"/>
      <c r="AH438" s="6"/>
      <c r="AI438" s="6"/>
      <c r="AN438" s="6"/>
      <c r="AO438" s="6"/>
      <c r="AP438" s="6"/>
      <c r="AQ438" s="6"/>
      <c r="AR438" s="27"/>
      <c r="AS438" s="27"/>
      <c r="AT438" s="27"/>
      <c r="AU438" s="12"/>
      <c r="AV438" s="28"/>
    </row>
    <row r="439" spans="4:48">
      <c r="D439" s="12"/>
      <c r="E439" s="12"/>
      <c r="F439" s="12"/>
      <c r="G439" s="12"/>
      <c r="H439" s="36"/>
      <c r="J439" s="19"/>
      <c r="K439" s="19"/>
      <c r="L439" s="19"/>
      <c r="AF439" s="6"/>
      <c r="AG439" s="6"/>
      <c r="AH439" s="6"/>
      <c r="AI439" s="6"/>
      <c r="AN439" s="6"/>
      <c r="AO439" s="6"/>
      <c r="AP439" s="6"/>
      <c r="AQ439" s="6"/>
      <c r="AR439" s="27"/>
      <c r="AS439" s="27"/>
      <c r="AT439" s="27"/>
      <c r="AU439" s="12"/>
      <c r="AV439" s="28"/>
    </row>
    <row r="440" spans="4:48">
      <c r="D440" s="12"/>
      <c r="E440" s="12"/>
      <c r="F440" s="12"/>
      <c r="G440" s="12"/>
      <c r="H440" s="36"/>
      <c r="J440" s="19"/>
      <c r="K440" s="19"/>
      <c r="L440" s="19"/>
      <c r="AF440" s="6"/>
      <c r="AG440" s="6"/>
      <c r="AH440" s="6"/>
      <c r="AI440" s="6"/>
      <c r="AN440" s="6"/>
      <c r="AO440" s="6"/>
      <c r="AP440" s="6"/>
      <c r="AQ440" s="6"/>
      <c r="AR440" s="27"/>
      <c r="AS440" s="27"/>
      <c r="AT440" s="27"/>
      <c r="AU440" s="12"/>
      <c r="AV440" s="28"/>
    </row>
    <row r="441" spans="4:48">
      <c r="D441" s="12"/>
      <c r="E441" s="12"/>
      <c r="F441" s="12"/>
      <c r="G441" s="12"/>
      <c r="H441" s="36"/>
      <c r="J441" s="19"/>
      <c r="K441" s="19"/>
      <c r="L441" s="19"/>
      <c r="AF441" s="6"/>
      <c r="AG441" s="6"/>
      <c r="AH441" s="6"/>
      <c r="AI441" s="6"/>
      <c r="AN441" s="6"/>
      <c r="AO441" s="6"/>
      <c r="AP441" s="6"/>
      <c r="AQ441" s="6"/>
      <c r="AR441" s="27"/>
      <c r="AS441" s="27"/>
      <c r="AT441" s="27"/>
      <c r="AU441" s="12"/>
      <c r="AV441" s="28"/>
    </row>
    <row r="442" spans="4:48">
      <c r="D442" s="12"/>
      <c r="E442" s="12"/>
      <c r="F442" s="12"/>
      <c r="G442" s="12"/>
      <c r="H442" s="36"/>
      <c r="J442" s="19"/>
      <c r="K442" s="19"/>
      <c r="L442" s="19"/>
      <c r="AF442" s="6"/>
      <c r="AG442" s="6"/>
      <c r="AH442" s="6"/>
      <c r="AI442" s="6"/>
      <c r="AN442" s="6"/>
      <c r="AO442" s="6"/>
      <c r="AP442" s="6"/>
      <c r="AQ442" s="6"/>
      <c r="AR442" s="27"/>
      <c r="AS442" s="27"/>
      <c r="AT442" s="27"/>
      <c r="AU442" s="12"/>
      <c r="AV442" s="28"/>
    </row>
    <row r="443" spans="4:48">
      <c r="D443" s="12"/>
      <c r="E443" s="12"/>
      <c r="F443" s="12"/>
      <c r="G443" s="12"/>
      <c r="H443" s="36"/>
      <c r="J443" s="19"/>
      <c r="K443" s="19"/>
      <c r="L443" s="19"/>
      <c r="AF443" s="6"/>
      <c r="AG443" s="6"/>
      <c r="AH443" s="6"/>
      <c r="AI443" s="6"/>
      <c r="AN443" s="6"/>
      <c r="AO443" s="6"/>
      <c r="AP443" s="6"/>
      <c r="AQ443" s="6"/>
      <c r="AR443" s="27"/>
      <c r="AS443" s="27"/>
      <c r="AT443" s="27"/>
      <c r="AU443" s="12"/>
      <c r="AV443" s="28"/>
    </row>
    <row r="444" spans="4:48">
      <c r="D444" s="12"/>
      <c r="E444" s="12"/>
      <c r="F444" s="12"/>
      <c r="G444" s="12"/>
      <c r="H444" s="36"/>
      <c r="J444" s="19"/>
      <c r="K444" s="19"/>
      <c r="L444" s="19"/>
      <c r="AF444" s="6"/>
      <c r="AG444" s="6"/>
      <c r="AH444" s="6"/>
      <c r="AI444" s="6"/>
      <c r="AN444" s="6"/>
      <c r="AO444" s="6"/>
      <c r="AP444" s="6"/>
      <c r="AQ444" s="6"/>
      <c r="AR444" s="27"/>
      <c r="AS444" s="27"/>
      <c r="AT444" s="27"/>
      <c r="AU444" s="12"/>
      <c r="AV444" s="28"/>
    </row>
    <row r="445" spans="4:48">
      <c r="D445" s="12"/>
      <c r="E445" s="12"/>
      <c r="F445" s="12"/>
      <c r="G445" s="12"/>
      <c r="H445" s="36"/>
      <c r="J445" s="19"/>
      <c r="K445" s="19"/>
      <c r="L445" s="19"/>
      <c r="AF445" s="6"/>
      <c r="AG445" s="6"/>
      <c r="AH445" s="6"/>
      <c r="AI445" s="6"/>
      <c r="AN445" s="6"/>
      <c r="AO445" s="6"/>
      <c r="AP445" s="6"/>
      <c r="AQ445" s="6"/>
      <c r="AR445" s="27"/>
      <c r="AS445" s="27"/>
      <c r="AT445" s="27"/>
      <c r="AU445" s="12"/>
      <c r="AV445" s="28"/>
    </row>
    <row r="446" spans="4:48">
      <c r="D446" s="12"/>
      <c r="E446" s="12"/>
      <c r="F446" s="12"/>
      <c r="G446" s="12"/>
      <c r="H446" s="36"/>
      <c r="J446" s="19"/>
      <c r="K446" s="19"/>
      <c r="L446" s="19"/>
      <c r="AF446" s="6"/>
      <c r="AG446" s="6"/>
      <c r="AH446" s="6"/>
      <c r="AI446" s="6"/>
      <c r="AN446" s="6"/>
      <c r="AO446" s="6"/>
      <c r="AP446" s="6"/>
      <c r="AQ446" s="6"/>
      <c r="AR446" s="27"/>
      <c r="AS446" s="27"/>
      <c r="AT446" s="27"/>
      <c r="AU446" s="12"/>
      <c r="AV446" s="28"/>
    </row>
    <row r="447" spans="4:48">
      <c r="D447" s="12"/>
      <c r="E447" s="12"/>
      <c r="F447" s="12"/>
      <c r="G447" s="12"/>
      <c r="H447" s="36"/>
      <c r="J447" s="19"/>
      <c r="K447" s="19"/>
      <c r="L447" s="19"/>
      <c r="AF447" s="6"/>
      <c r="AG447" s="6"/>
      <c r="AH447" s="6"/>
      <c r="AI447" s="6"/>
      <c r="AN447" s="6"/>
      <c r="AO447" s="6"/>
      <c r="AP447" s="6"/>
      <c r="AQ447" s="6"/>
      <c r="AR447" s="27"/>
      <c r="AS447" s="27"/>
      <c r="AT447" s="27"/>
      <c r="AU447" s="12"/>
      <c r="AV447" s="28"/>
    </row>
    <row r="448" spans="4:48">
      <c r="D448" s="12"/>
      <c r="E448" s="12"/>
      <c r="F448" s="12"/>
      <c r="G448" s="12"/>
      <c r="H448" s="36"/>
      <c r="J448" s="19"/>
      <c r="K448" s="19"/>
      <c r="L448" s="19"/>
      <c r="AF448" s="6"/>
      <c r="AG448" s="6"/>
      <c r="AH448" s="6"/>
      <c r="AI448" s="6"/>
      <c r="AN448" s="6"/>
      <c r="AO448" s="6"/>
      <c r="AP448" s="6"/>
      <c r="AQ448" s="6"/>
      <c r="AR448" s="27"/>
      <c r="AS448" s="27"/>
      <c r="AT448" s="27"/>
      <c r="AU448" s="12"/>
      <c r="AV448" s="28"/>
    </row>
    <row r="449" spans="4:48">
      <c r="D449" s="12"/>
      <c r="E449" s="12"/>
      <c r="F449" s="12"/>
      <c r="G449" s="12"/>
      <c r="H449" s="36"/>
      <c r="J449" s="19"/>
      <c r="K449" s="19"/>
      <c r="L449" s="19"/>
      <c r="AF449" s="6"/>
      <c r="AG449" s="6"/>
      <c r="AH449" s="6"/>
      <c r="AI449" s="6"/>
      <c r="AN449" s="6"/>
      <c r="AO449" s="6"/>
      <c r="AP449" s="6"/>
      <c r="AQ449" s="6"/>
      <c r="AR449" s="27"/>
      <c r="AS449" s="27"/>
      <c r="AT449" s="27"/>
      <c r="AU449" s="12"/>
      <c r="AV449" s="28"/>
    </row>
    <row r="450" spans="4:48">
      <c r="D450" s="12"/>
      <c r="E450" s="12"/>
      <c r="F450" s="12"/>
      <c r="G450" s="12"/>
      <c r="H450" s="36"/>
      <c r="J450" s="19"/>
      <c r="K450" s="19"/>
      <c r="L450" s="19"/>
      <c r="AF450" s="6"/>
      <c r="AG450" s="6"/>
      <c r="AH450" s="6"/>
      <c r="AI450" s="6"/>
      <c r="AN450" s="6"/>
      <c r="AO450" s="6"/>
      <c r="AP450" s="6"/>
      <c r="AQ450" s="6"/>
      <c r="AR450" s="27"/>
      <c r="AS450" s="27"/>
      <c r="AT450" s="27"/>
      <c r="AU450" s="12"/>
      <c r="AV450" s="28"/>
    </row>
    <row r="451" spans="4:48">
      <c r="D451" s="12"/>
      <c r="E451" s="12"/>
      <c r="F451" s="12"/>
      <c r="G451" s="12"/>
      <c r="H451" s="36"/>
      <c r="J451" s="19"/>
      <c r="K451" s="19"/>
      <c r="L451" s="19"/>
      <c r="AF451" s="6"/>
      <c r="AG451" s="6"/>
      <c r="AH451" s="6"/>
      <c r="AI451" s="6"/>
      <c r="AN451" s="6"/>
      <c r="AO451" s="6"/>
      <c r="AP451" s="6"/>
      <c r="AQ451" s="6"/>
      <c r="AR451" s="27"/>
      <c r="AS451" s="27"/>
      <c r="AT451" s="27"/>
      <c r="AU451" s="12"/>
      <c r="AV451" s="28"/>
    </row>
    <row r="452" spans="4:48">
      <c r="D452" s="12"/>
      <c r="E452" s="12"/>
      <c r="F452" s="12"/>
      <c r="G452" s="12"/>
      <c r="H452" s="36"/>
      <c r="J452" s="19"/>
      <c r="K452" s="19"/>
      <c r="L452" s="19"/>
      <c r="AF452" s="6"/>
      <c r="AG452" s="6"/>
      <c r="AH452" s="6"/>
      <c r="AI452" s="6"/>
      <c r="AN452" s="6"/>
      <c r="AO452" s="6"/>
      <c r="AP452" s="6"/>
      <c r="AQ452" s="6"/>
      <c r="AR452" s="27"/>
      <c r="AS452" s="27"/>
      <c r="AT452" s="27"/>
      <c r="AU452" s="12"/>
      <c r="AV452" s="28"/>
    </row>
    <row r="453" spans="4:48">
      <c r="D453" s="12"/>
      <c r="E453" s="12"/>
      <c r="F453" s="12"/>
      <c r="G453" s="12"/>
      <c r="H453" s="36"/>
      <c r="J453" s="19"/>
      <c r="K453" s="19"/>
      <c r="L453" s="19"/>
      <c r="AF453" s="6"/>
      <c r="AG453" s="6"/>
      <c r="AH453" s="6"/>
      <c r="AI453" s="6"/>
      <c r="AN453" s="6"/>
      <c r="AO453" s="6"/>
      <c r="AP453" s="6"/>
      <c r="AQ453" s="6"/>
      <c r="AR453" s="27"/>
      <c r="AS453" s="27"/>
      <c r="AT453" s="27"/>
      <c r="AU453" s="12"/>
      <c r="AV453" s="28"/>
    </row>
    <row r="454" spans="4:48">
      <c r="D454" s="12"/>
      <c r="E454" s="12"/>
      <c r="F454" s="12"/>
      <c r="G454" s="12"/>
      <c r="H454" s="36"/>
      <c r="J454" s="19"/>
      <c r="K454" s="19"/>
      <c r="L454" s="19"/>
      <c r="AF454" s="6"/>
      <c r="AG454" s="6"/>
      <c r="AH454" s="6"/>
      <c r="AI454" s="6"/>
      <c r="AN454" s="6"/>
      <c r="AO454" s="6"/>
      <c r="AP454" s="6"/>
      <c r="AQ454" s="6"/>
      <c r="AR454" s="27"/>
      <c r="AS454" s="27"/>
      <c r="AT454" s="27"/>
      <c r="AU454" s="12"/>
      <c r="AV454" s="28"/>
    </row>
    <row r="455" spans="4:48">
      <c r="D455" s="12"/>
      <c r="E455" s="12"/>
      <c r="F455" s="12"/>
      <c r="G455" s="12"/>
      <c r="H455" s="36"/>
      <c r="J455" s="19"/>
      <c r="K455" s="19"/>
      <c r="L455" s="19"/>
      <c r="AF455" s="6"/>
      <c r="AG455" s="6"/>
      <c r="AH455" s="6"/>
      <c r="AI455" s="6"/>
      <c r="AN455" s="6"/>
      <c r="AO455" s="6"/>
      <c r="AP455" s="6"/>
      <c r="AQ455" s="6"/>
      <c r="AR455" s="27"/>
      <c r="AS455" s="27"/>
      <c r="AT455" s="27"/>
      <c r="AU455" s="12"/>
      <c r="AV455" s="28"/>
    </row>
    <row r="456" spans="4:48">
      <c r="D456" s="12"/>
      <c r="E456" s="12"/>
      <c r="F456" s="12"/>
      <c r="G456" s="12"/>
      <c r="H456" s="36"/>
      <c r="J456" s="19"/>
      <c r="K456" s="19"/>
      <c r="L456" s="19"/>
      <c r="AF456" s="6"/>
      <c r="AG456" s="6"/>
      <c r="AH456" s="6"/>
      <c r="AI456" s="6"/>
      <c r="AN456" s="6"/>
      <c r="AO456" s="6"/>
      <c r="AP456" s="6"/>
      <c r="AQ456" s="6"/>
      <c r="AR456" s="27"/>
      <c r="AS456" s="27"/>
      <c r="AT456" s="27"/>
      <c r="AU456" s="12"/>
      <c r="AV456" s="28"/>
    </row>
    <row r="457" spans="4:48">
      <c r="D457" s="12"/>
      <c r="E457" s="12"/>
      <c r="F457" s="12"/>
      <c r="G457" s="12"/>
      <c r="H457" s="36"/>
      <c r="J457" s="19"/>
      <c r="K457" s="19"/>
      <c r="L457" s="19"/>
      <c r="AF457" s="6"/>
      <c r="AG457" s="6"/>
      <c r="AH457" s="6"/>
      <c r="AI457" s="6"/>
      <c r="AN457" s="6"/>
      <c r="AO457" s="6"/>
      <c r="AP457" s="6"/>
      <c r="AQ457" s="6"/>
      <c r="AR457" s="27"/>
      <c r="AS457" s="27"/>
      <c r="AT457" s="27"/>
      <c r="AU457" s="12"/>
      <c r="AV457" s="28"/>
    </row>
    <row r="458" spans="4:48">
      <c r="D458" s="12"/>
      <c r="E458" s="12"/>
      <c r="F458" s="12"/>
      <c r="G458" s="12"/>
      <c r="H458" s="36"/>
      <c r="J458" s="19"/>
      <c r="K458" s="19"/>
      <c r="L458" s="19"/>
      <c r="AF458" s="6"/>
      <c r="AG458" s="6"/>
      <c r="AH458" s="6"/>
      <c r="AI458" s="6"/>
      <c r="AN458" s="6"/>
      <c r="AO458" s="6"/>
      <c r="AP458" s="6"/>
      <c r="AQ458" s="6"/>
      <c r="AR458" s="27"/>
      <c r="AS458" s="27"/>
      <c r="AT458" s="27"/>
      <c r="AU458" s="12"/>
      <c r="AV458" s="28"/>
    </row>
    <row r="459" spans="4:48">
      <c r="D459" s="12"/>
      <c r="E459" s="12"/>
      <c r="F459" s="12"/>
      <c r="G459" s="12"/>
      <c r="H459" s="36"/>
      <c r="J459" s="19"/>
      <c r="K459" s="19"/>
      <c r="L459" s="19"/>
      <c r="AF459" s="6"/>
      <c r="AG459" s="6"/>
      <c r="AH459" s="6"/>
      <c r="AI459" s="6"/>
      <c r="AN459" s="6"/>
      <c r="AO459" s="6"/>
      <c r="AP459" s="6"/>
      <c r="AQ459" s="6"/>
      <c r="AR459" s="27"/>
      <c r="AS459" s="27"/>
      <c r="AT459" s="27"/>
      <c r="AU459" s="12"/>
      <c r="AV459" s="28"/>
    </row>
    <row r="460" spans="4:48">
      <c r="D460" s="12"/>
      <c r="E460" s="12"/>
      <c r="F460" s="12"/>
      <c r="G460" s="12"/>
      <c r="H460" s="36"/>
      <c r="J460" s="19"/>
      <c r="K460" s="19"/>
      <c r="L460" s="19"/>
      <c r="AF460" s="6"/>
      <c r="AG460" s="6"/>
      <c r="AH460" s="6"/>
      <c r="AI460" s="6"/>
      <c r="AN460" s="6"/>
      <c r="AO460" s="6"/>
      <c r="AP460" s="6"/>
      <c r="AQ460" s="6"/>
      <c r="AR460" s="27"/>
      <c r="AS460" s="27"/>
      <c r="AT460" s="27"/>
      <c r="AU460" s="12"/>
      <c r="AV460" s="28"/>
    </row>
    <row r="461" spans="4:48">
      <c r="D461" s="12"/>
      <c r="E461" s="12"/>
      <c r="F461" s="12"/>
      <c r="G461" s="12"/>
      <c r="H461" s="36"/>
      <c r="J461" s="19"/>
      <c r="K461" s="19"/>
      <c r="L461" s="19"/>
      <c r="AF461" s="6"/>
      <c r="AG461" s="6"/>
      <c r="AH461" s="6"/>
      <c r="AI461" s="6"/>
      <c r="AN461" s="6"/>
      <c r="AO461" s="6"/>
      <c r="AP461" s="6"/>
      <c r="AQ461" s="6"/>
      <c r="AR461" s="27"/>
      <c r="AS461" s="27"/>
      <c r="AT461" s="27"/>
      <c r="AU461" s="12"/>
      <c r="AV461" s="28"/>
    </row>
    <row r="462" spans="4:48">
      <c r="D462" s="12"/>
      <c r="E462" s="12"/>
      <c r="F462" s="12"/>
      <c r="G462" s="12"/>
      <c r="H462" s="36"/>
      <c r="J462" s="19"/>
      <c r="K462" s="19"/>
      <c r="L462" s="19"/>
      <c r="AF462" s="6"/>
      <c r="AG462" s="6"/>
      <c r="AH462" s="6"/>
      <c r="AI462" s="6"/>
      <c r="AN462" s="6"/>
      <c r="AO462" s="6"/>
      <c r="AP462" s="6"/>
      <c r="AQ462" s="6"/>
      <c r="AR462" s="27"/>
      <c r="AS462" s="27"/>
      <c r="AT462" s="27"/>
      <c r="AU462" s="12"/>
      <c r="AV462" s="28"/>
    </row>
    <row r="463" spans="4:48">
      <c r="D463" s="12"/>
      <c r="E463" s="12"/>
      <c r="F463" s="12"/>
      <c r="G463" s="12"/>
      <c r="H463" s="36"/>
      <c r="J463" s="19"/>
      <c r="K463" s="19"/>
      <c r="L463" s="19"/>
      <c r="AF463" s="6"/>
      <c r="AG463" s="6"/>
      <c r="AH463" s="6"/>
      <c r="AI463" s="6"/>
      <c r="AN463" s="6"/>
      <c r="AO463" s="6"/>
      <c r="AP463" s="6"/>
      <c r="AQ463" s="6"/>
      <c r="AR463" s="27"/>
      <c r="AS463" s="27"/>
      <c r="AT463" s="27"/>
      <c r="AU463" s="12"/>
      <c r="AV463" s="28"/>
    </row>
    <row r="464" spans="4:48">
      <c r="D464" s="12"/>
      <c r="E464" s="12"/>
      <c r="F464" s="12"/>
      <c r="G464" s="12"/>
      <c r="H464" s="36"/>
      <c r="J464" s="19"/>
      <c r="K464" s="19"/>
      <c r="L464" s="19"/>
      <c r="AF464" s="6"/>
      <c r="AG464" s="6"/>
      <c r="AH464" s="6"/>
      <c r="AI464" s="6"/>
      <c r="AN464" s="6"/>
      <c r="AO464" s="6"/>
      <c r="AP464" s="6"/>
      <c r="AQ464" s="6"/>
      <c r="AR464" s="27"/>
      <c r="AS464" s="27"/>
      <c r="AT464" s="27"/>
      <c r="AU464" s="12"/>
      <c r="AV464" s="28"/>
    </row>
    <row r="465" spans="4:48">
      <c r="D465" s="12"/>
      <c r="E465" s="12"/>
      <c r="F465" s="12"/>
      <c r="G465" s="12"/>
      <c r="H465" s="36"/>
      <c r="J465" s="19"/>
      <c r="K465" s="19"/>
      <c r="L465" s="19"/>
      <c r="AF465" s="6"/>
      <c r="AG465" s="6"/>
      <c r="AH465" s="6"/>
      <c r="AI465" s="6"/>
      <c r="AN465" s="6"/>
      <c r="AO465" s="6"/>
      <c r="AP465" s="6"/>
      <c r="AQ465" s="6"/>
      <c r="AR465" s="27"/>
      <c r="AS465" s="27"/>
      <c r="AT465" s="27"/>
      <c r="AU465" s="12"/>
      <c r="AV465" s="28"/>
    </row>
    <row r="466" spans="4:48">
      <c r="D466" s="12"/>
      <c r="E466" s="12"/>
      <c r="F466" s="12"/>
      <c r="G466" s="12"/>
      <c r="H466" s="36"/>
      <c r="J466" s="19"/>
      <c r="K466" s="19"/>
      <c r="L466" s="19"/>
      <c r="AF466" s="6"/>
      <c r="AG466" s="6"/>
      <c r="AH466" s="6"/>
      <c r="AI466" s="6"/>
      <c r="AN466" s="6"/>
      <c r="AO466" s="6"/>
      <c r="AP466" s="6"/>
      <c r="AQ466" s="6"/>
      <c r="AR466" s="27"/>
      <c r="AS466" s="27"/>
      <c r="AT466" s="27"/>
      <c r="AU466" s="12"/>
      <c r="AV466" s="28"/>
    </row>
    <row r="467" spans="4:48">
      <c r="D467" s="12"/>
      <c r="E467" s="12"/>
      <c r="F467" s="12"/>
      <c r="G467" s="12"/>
      <c r="H467" s="36"/>
      <c r="J467" s="19"/>
      <c r="K467" s="19"/>
      <c r="L467" s="19"/>
      <c r="AF467" s="6"/>
      <c r="AG467" s="6"/>
      <c r="AH467" s="6"/>
      <c r="AI467" s="6"/>
      <c r="AN467" s="6"/>
      <c r="AO467" s="6"/>
      <c r="AP467" s="6"/>
      <c r="AQ467" s="6"/>
      <c r="AR467" s="27"/>
      <c r="AS467" s="27"/>
      <c r="AT467" s="27"/>
      <c r="AU467" s="12"/>
      <c r="AV467" s="28"/>
    </row>
    <row r="468" spans="4:48">
      <c r="D468" s="12"/>
      <c r="E468" s="12"/>
      <c r="F468" s="12"/>
      <c r="G468" s="12"/>
      <c r="H468" s="36"/>
      <c r="J468" s="19"/>
      <c r="K468" s="19"/>
      <c r="L468" s="19"/>
      <c r="AF468" s="6"/>
      <c r="AG468" s="6"/>
      <c r="AH468" s="6"/>
      <c r="AI468" s="6"/>
      <c r="AN468" s="6"/>
      <c r="AO468" s="6"/>
      <c r="AP468" s="6"/>
      <c r="AQ468" s="6"/>
      <c r="AR468" s="27"/>
      <c r="AS468" s="27"/>
      <c r="AT468" s="27"/>
      <c r="AU468" s="12"/>
      <c r="AV468" s="28"/>
    </row>
    <row r="469" spans="4:48">
      <c r="D469" s="12"/>
      <c r="E469" s="12"/>
      <c r="F469" s="12"/>
      <c r="G469" s="12"/>
      <c r="H469" s="36"/>
      <c r="J469" s="19"/>
      <c r="K469" s="19"/>
      <c r="L469" s="19"/>
      <c r="AF469" s="6"/>
      <c r="AG469" s="6"/>
      <c r="AH469" s="6"/>
      <c r="AI469" s="6"/>
      <c r="AN469" s="6"/>
      <c r="AO469" s="6"/>
      <c r="AP469" s="6"/>
      <c r="AQ469" s="6"/>
      <c r="AR469" s="27"/>
      <c r="AS469" s="27"/>
      <c r="AT469" s="27"/>
      <c r="AU469" s="12"/>
      <c r="AV469" s="28"/>
    </row>
    <row r="470" spans="4:48">
      <c r="D470" s="12"/>
      <c r="E470" s="12"/>
      <c r="F470" s="12"/>
      <c r="G470" s="12"/>
      <c r="H470" s="36"/>
      <c r="J470" s="19"/>
      <c r="K470" s="19"/>
      <c r="L470" s="19"/>
      <c r="AF470" s="6"/>
      <c r="AG470" s="6"/>
      <c r="AH470" s="6"/>
      <c r="AI470" s="6"/>
      <c r="AN470" s="6"/>
      <c r="AO470" s="6"/>
      <c r="AP470" s="6"/>
      <c r="AQ470" s="6"/>
      <c r="AR470" s="27"/>
      <c r="AS470" s="27"/>
      <c r="AT470" s="27"/>
      <c r="AU470" s="12"/>
      <c r="AV470" s="28"/>
    </row>
    <row r="471" spans="4:48">
      <c r="D471" s="12"/>
      <c r="E471" s="12"/>
      <c r="F471" s="12"/>
      <c r="G471" s="12"/>
      <c r="H471" s="36"/>
      <c r="J471" s="19"/>
      <c r="K471" s="19"/>
      <c r="L471" s="19"/>
      <c r="AF471" s="6"/>
      <c r="AG471" s="6"/>
      <c r="AH471" s="6"/>
      <c r="AI471" s="6"/>
      <c r="AN471" s="6"/>
      <c r="AO471" s="6"/>
      <c r="AP471" s="6"/>
      <c r="AQ471" s="6"/>
      <c r="AR471" s="27"/>
      <c r="AS471" s="27"/>
      <c r="AT471" s="27"/>
      <c r="AU471" s="12"/>
      <c r="AV471" s="28"/>
    </row>
    <row r="472" spans="4:48">
      <c r="D472" s="12"/>
      <c r="E472" s="12"/>
      <c r="F472" s="12"/>
      <c r="G472" s="12"/>
      <c r="H472" s="36"/>
      <c r="J472" s="19"/>
      <c r="K472" s="19"/>
      <c r="L472" s="19"/>
      <c r="AF472" s="6"/>
      <c r="AG472" s="6"/>
      <c r="AH472" s="6"/>
      <c r="AI472" s="6"/>
      <c r="AN472" s="6"/>
      <c r="AO472" s="6"/>
      <c r="AP472" s="6"/>
      <c r="AQ472" s="6"/>
      <c r="AR472" s="27"/>
      <c r="AS472" s="27"/>
      <c r="AT472" s="27"/>
      <c r="AU472" s="12"/>
      <c r="AV472" s="28"/>
    </row>
    <row r="473" spans="4:48">
      <c r="D473" s="12"/>
      <c r="E473" s="12"/>
      <c r="F473" s="12"/>
      <c r="G473" s="12"/>
      <c r="H473" s="36"/>
      <c r="J473" s="19"/>
      <c r="K473" s="19"/>
      <c r="L473" s="19"/>
      <c r="AF473" s="6"/>
      <c r="AG473" s="6"/>
      <c r="AH473" s="6"/>
      <c r="AI473" s="6"/>
      <c r="AN473" s="6"/>
      <c r="AO473" s="6"/>
      <c r="AP473" s="6"/>
      <c r="AQ473" s="6"/>
      <c r="AR473" s="27"/>
      <c r="AS473" s="27"/>
      <c r="AT473" s="27"/>
      <c r="AU473" s="12"/>
      <c r="AV473" s="28"/>
    </row>
    <row r="474" spans="4:48">
      <c r="D474" s="12"/>
      <c r="E474" s="12"/>
      <c r="F474" s="12"/>
      <c r="G474" s="12"/>
      <c r="H474" s="36"/>
      <c r="J474" s="19"/>
      <c r="K474" s="19"/>
      <c r="L474" s="19"/>
      <c r="AF474" s="6"/>
      <c r="AG474" s="6"/>
      <c r="AH474" s="6"/>
      <c r="AI474" s="6"/>
      <c r="AN474" s="6"/>
      <c r="AO474" s="6"/>
      <c r="AP474" s="6"/>
      <c r="AQ474" s="6"/>
      <c r="AR474" s="27"/>
      <c r="AS474" s="27"/>
      <c r="AT474" s="27"/>
      <c r="AU474" s="12"/>
      <c r="AV474" s="28"/>
    </row>
    <row r="475" spans="4:48">
      <c r="D475" s="12"/>
      <c r="E475" s="12"/>
      <c r="F475" s="12"/>
      <c r="G475" s="12"/>
      <c r="H475" s="36"/>
      <c r="J475" s="19"/>
      <c r="K475" s="19"/>
      <c r="L475" s="19"/>
      <c r="AF475" s="6"/>
      <c r="AG475" s="6"/>
      <c r="AH475" s="6"/>
      <c r="AI475" s="6"/>
      <c r="AN475" s="6"/>
      <c r="AO475" s="6"/>
      <c r="AP475" s="6"/>
      <c r="AQ475" s="6"/>
      <c r="AR475" s="27"/>
      <c r="AS475" s="27"/>
      <c r="AT475" s="27"/>
      <c r="AU475" s="12"/>
      <c r="AV475" s="28"/>
    </row>
    <row r="476" spans="4:48">
      <c r="D476" s="12"/>
      <c r="E476" s="12"/>
      <c r="F476" s="12"/>
      <c r="G476" s="12"/>
      <c r="H476" s="36"/>
      <c r="J476" s="19"/>
      <c r="K476" s="19"/>
      <c r="L476" s="19"/>
      <c r="AF476" s="6"/>
      <c r="AG476" s="6"/>
      <c r="AH476" s="6"/>
      <c r="AI476" s="6"/>
      <c r="AN476" s="6"/>
      <c r="AO476" s="6"/>
      <c r="AP476" s="6"/>
      <c r="AQ476" s="6"/>
      <c r="AR476" s="27"/>
      <c r="AS476" s="27"/>
      <c r="AT476" s="27"/>
      <c r="AU476" s="12"/>
      <c r="AV476" s="28"/>
    </row>
    <row r="477" spans="4:48">
      <c r="D477" s="12"/>
      <c r="E477" s="12"/>
      <c r="F477" s="12"/>
      <c r="G477" s="12"/>
      <c r="H477" s="36"/>
      <c r="J477" s="19"/>
      <c r="K477" s="19"/>
      <c r="L477" s="19"/>
      <c r="AF477" s="6"/>
      <c r="AG477" s="6"/>
      <c r="AH477" s="6"/>
      <c r="AI477" s="6"/>
      <c r="AN477" s="6"/>
      <c r="AO477" s="6"/>
      <c r="AP477" s="6"/>
      <c r="AQ477" s="6"/>
      <c r="AR477" s="27"/>
      <c r="AS477" s="27"/>
      <c r="AT477" s="27"/>
      <c r="AU477" s="12"/>
      <c r="AV477" s="28"/>
    </row>
    <row r="478" spans="4:48">
      <c r="D478" s="12"/>
      <c r="E478" s="12"/>
      <c r="F478" s="12"/>
      <c r="G478" s="12"/>
      <c r="H478" s="36"/>
      <c r="J478" s="19"/>
      <c r="K478" s="19"/>
      <c r="L478" s="19"/>
      <c r="AF478" s="6"/>
      <c r="AG478" s="6"/>
      <c r="AH478" s="6"/>
      <c r="AI478" s="6"/>
      <c r="AN478" s="6"/>
      <c r="AO478" s="6"/>
      <c r="AP478" s="6"/>
      <c r="AQ478" s="6"/>
      <c r="AR478" s="27"/>
      <c r="AS478" s="27"/>
      <c r="AT478" s="27"/>
      <c r="AU478" s="12"/>
      <c r="AV478" s="28"/>
    </row>
    <row r="479" spans="4:48">
      <c r="D479" s="12"/>
      <c r="E479" s="12"/>
      <c r="F479" s="12"/>
      <c r="G479" s="12"/>
      <c r="H479" s="36"/>
      <c r="J479" s="19"/>
      <c r="K479" s="19"/>
      <c r="L479" s="19"/>
      <c r="AF479" s="6"/>
      <c r="AG479" s="6"/>
      <c r="AH479" s="6"/>
      <c r="AI479" s="6"/>
      <c r="AN479" s="6"/>
      <c r="AO479" s="6"/>
      <c r="AP479" s="6"/>
      <c r="AQ479" s="6"/>
      <c r="AR479" s="27"/>
      <c r="AS479" s="27"/>
      <c r="AT479" s="27"/>
      <c r="AU479" s="12"/>
      <c r="AV479" s="28"/>
    </row>
    <row r="480" spans="4:48">
      <c r="D480" s="12"/>
      <c r="E480" s="12"/>
      <c r="F480" s="12"/>
      <c r="G480" s="12"/>
      <c r="H480" s="36"/>
      <c r="J480" s="19"/>
      <c r="K480" s="19"/>
      <c r="L480" s="19"/>
      <c r="AF480" s="6"/>
      <c r="AG480" s="6"/>
      <c r="AH480" s="6"/>
      <c r="AI480" s="6"/>
      <c r="AN480" s="6"/>
      <c r="AO480" s="6"/>
      <c r="AP480" s="6"/>
      <c r="AQ480" s="6"/>
      <c r="AR480" s="27"/>
      <c r="AS480" s="27"/>
      <c r="AT480" s="27"/>
      <c r="AU480" s="12"/>
      <c r="AV480" s="28"/>
    </row>
    <row r="481" spans="4:48">
      <c r="D481" s="12"/>
      <c r="E481" s="12"/>
      <c r="F481" s="12"/>
      <c r="G481" s="12"/>
      <c r="H481" s="36"/>
      <c r="J481" s="19"/>
      <c r="K481" s="19"/>
      <c r="L481" s="19"/>
      <c r="AF481" s="6"/>
      <c r="AG481" s="6"/>
      <c r="AH481" s="6"/>
      <c r="AI481" s="6"/>
      <c r="AN481" s="6"/>
      <c r="AO481" s="6"/>
      <c r="AP481" s="6"/>
      <c r="AQ481" s="6"/>
      <c r="AR481" s="27"/>
      <c r="AS481" s="27"/>
      <c r="AT481" s="27"/>
      <c r="AU481" s="12"/>
      <c r="AV481" s="28"/>
    </row>
    <row r="482" spans="4:48">
      <c r="D482" s="12"/>
      <c r="E482" s="12"/>
      <c r="F482" s="12"/>
      <c r="G482" s="12"/>
      <c r="H482" s="36"/>
      <c r="J482" s="19"/>
      <c r="K482" s="19"/>
      <c r="L482" s="19"/>
      <c r="AF482" s="6"/>
      <c r="AG482" s="6"/>
      <c r="AH482" s="6"/>
      <c r="AI482" s="6"/>
      <c r="AN482" s="6"/>
      <c r="AO482" s="6"/>
      <c r="AP482" s="6"/>
      <c r="AQ482" s="6"/>
      <c r="AR482" s="27"/>
      <c r="AS482" s="27"/>
      <c r="AT482" s="27"/>
      <c r="AU482" s="12"/>
      <c r="AV482" s="28"/>
    </row>
    <row r="483" spans="4:48">
      <c r="D483" s="12"/>
      <c r="E483" s="12"/>
      <c r="F483" s="12"/>
      <c r="G483" s="12"/>
      <c r="H483" s="36"/>
      <c r="J483" s="19"/>
      <c r="K483" s="19"/>
      <c r="L483" s="19"/>
      <c r="AF483" s="6"/>
      <c r="AG483" s="6"/>
      <c r="AH483" s="6"/>
      <c r="AI483" s="6"/>
      <c r="AN483" s="6"/>
      <c r="AO483" s="6"/>
      <c r="AP483" s="6"/>
      <c r="AQ483" s="6"/>
      <c r="AR483" s="27"/>
      <c r="AS483" s="27"/>
      <c r="AT483" s="27"/>
      <c r="AU483" s="12"/>
      <c r="AV483" s="28"/>
    </row>
    <row r="484" spans="4:48">
      <c r="D484" s="12"/>
      <c r="E484" s="12"/>
      <c r="F484" s="12"/>
      <c r="G484" s="12"/>
      <c r="H484" s="36"/>
      <c r="J484" s="19"/>
      <c r="K484" s="19"/>
      <c r="L484" s="19"/>
      <c r="AF484" s="6"/>
      <c r="AG484" s="6"/>
      <c r="AH484" s="6"/>
      <c r="AI484" s="6"/>
      <c r="AN484" s="6"/>
      <c r="AO484" s="6"/>
      <c r="AP484" s="6"/>
      <c r="AQ484" s="6"/>
      <c r="AR484" s="27"/>
      <c r="AS484" s="27"/>
      <c r="AT484" s="27"/>
      <c r="AU484" s="12"/>
      <c r="AV484" s="28"/>
    </row>
    <row r="485" spans="4:48">
      <c r="D485" s="12"/>
      <c r="E485" s="12"/>
      <c r="F485" s="12"/>
      <c r="G485" s="12"/>
      <c r="H485" s="36"/>
      <c r="J485" s="19"/>
      <c r="K485" s="19"/>
      <c r="L485" s="19"/>
      <c r="AF485" s="6"/>
      <c r="AG485" s="6"/>
      <c r="AH485" s="6"/>
      <c r="AI485" s="6"/>
      <c r="AN485" s="6"/>
      <c r="AO485" s="6"/>
      <c r="AP485" s="6"/>
      <c r="AQ485" s="6"/>
      <c r="AR485" s="27"/>
      <c r="AS485" s="27"/>
      <c r="AT485" s="27"/>
      <c r="AU485" s="12"/>
      <c r="AV485" s="28"/>
    </row>
    <row r="486" spans="4:48">
      <c r="D486" s="12"/>
      <c r="E486" s="12"/>
      <c r="F486" s="12"/>
      <c r="G486" s="12"/>
      <c r="H486" s="36"/>
      <c r="J486" s="19"/>
      <c r="K486" s="19"/>
      <c r="L486" s="19"/>
      <c r="AF486" s="6"/>
      <c r="AG486" s="6"/>
      <c r="AH486" s="6"/>
      <c r="AI486" s="6"/>
      <c r="AN486" s="6"/>
      <c r="AO486" s="6"/>
      <c r="AP486" s="6"/>
      <c r="AQ486" s="6"/>
      <c r="AR486" s="27"/>
      <c r="AS486" s="27"/>
      <c r="AT486" s="27"/>
      <c r="AU486" s="12"/>
      <c r="AV486" s="28"/>
    </row>
    <row r="487" spans="4:48">
      <c r="D487" s="12"/>
      <c r="E487" s="12"/>
      <c r="F487" s="12"/>
      <c r="G487" s="12"/>
      <c r="H487" s="36"/>
      <c r="J487" s="19"/>
      <c r="K487" s="19"/>
      <c r="L487" s="19"/>
      <c r="AF487" s="6"/>
      <c r="AG487" s="6"/>
      <c r="AH487" s="6"/>
      <c r="AI487" s="6"/>
      <c r="AN487" s="6"/>
      <c r="AO487" s="6"/>
      <c r="AP487" s="6"/>
      <c r="AQ487" s="6"/>
      <c r="AR487" s="27"/>
      <c r="AS487" s="27"/>
      <c r="AT487" s="27"/>
      <c r="AU487" s="12"/>
      <c r="AV487" s="28"/>
    </row>
    <row r="488" spans="4:48">
      <c r="D488" s="12"/>
      <c r="E488" s="12"/>
      <c r="F488" s="12"/>
      <c r="G488" s="12"/>
      <c r="H488" s="36"/>
      <c r="J488" s="19"/>
      <c r="K488" s="19"/>
      <c r="L488" s="19"/>
      <c r="AF488" s="6"/>
      <c r="AG488" s="6"/>
      <c r="AH488" s="6"/>
      <c r="AI488" s="6"/>
      <c r="AN488" s="6"/>
      <c r="AO488" s="6"/>
      <c r="AP488" s="6"/>
      <c r="AQ488" s="6"/>
      <c r="AR488" s="27"/>
      <c r="AS488" s="27"/>
      <c r="AT488" s="27"/>
      <c r="AU488" s="12"/>
      <c r="AV488" s="28"/>
    </row>
    <row r="489" spans="4:48">
      <c r="D489" s="12"/>
      <c r="E489" s="12"/>
      <c r="F489" s="12"/>
      <c r="G489" s="12"/>
      <c r="H489" s="36"/>
      <c r="J489" s="19"/>
      <c r="K489" s="19"/>
      <c r="L489" s="19"/>
      <c r="AF489" s="6"/>
      <c r="AG489" s="6"/>
      <c r="AH489" s="6"/>
      <c r="AI489" s="6"/>
      <c r="AN489" s="6"/>
      <c r="AO489" s="6"/>
      <c r="AP489" s="6"/>
      <c r="AQ489" s="6"/>
      <c r="AR489" s="27"/>
      <c r="AS489" s="27"/>
      <c r="AT489" s="27"/>
      <c r="AU489" s="12"/>
      <c r="AV489" s="28"/>
    </row>
    <row r="490" spans="4:48">
      <c r="D490" s="12"/>
      <c r="E490" s="12"/>
      <c r="F490" s="12"/>
      <c r="G490" s="12"/>
      <c r="H490" s="36"/>
      <c r="J490" s="19"/>
      <c r="K490" s="19"/>
      <c r="L490" s="19"/>
      <c r="AF490" s="6"/>
      <c r="AG490" s="6"/>
      <c r="AH490" s="6"/>
      <c r="AI490" s="6"/>
      <c r="AN490" s="6"/>
      <c r="AO490" s="6"/>
      <c r="AP490" s="6"/>
      <c r="AQ490" s="6"/>
      <c r="AR490" s="27"/>
      <c r="AS490" s="27"/>
      <c r="AT490" s="27"/>
      <c r="AU490" s="12"/>
      <c r="AV490" s="28"/>
    </row>
    <row r="491" spans="4:48">
      <c r="D491" s="12"/>
      <c r="E491" s="12"/>
      <c r="F491" s="12"/>
      <c r="G491" s="12"/>
      <c r="H491" s="36"/>
      <c r="J491" s="19"/>
      <c r="K491" s="19"/>
      <c r="L491" s="19"/>
      <c r="AF491" s="6"/>
      <c r="AG491" s="6"/>
      <c r="AH491" s="6"/>
      <c r="AI491" s="6"/>
      <c r="AN491" s="6"/>
      <c r="AO491" s="6"/>
      <c r="AP491" s="6"/>
      <c r="AQ491" s="6"/>
      <c r="AR491" s="27"/>
      <c r="AS491" s="27"/>
      <c r="AT491" s="27"/>
      <c r="AU491" s="12"/>
      <c r="AV491" s="28"/>
    </row>
    <row r="492" spans="4:48">
      <c r="D492" s="12"/>
      <c r="E492" s="12"/>
      <c r="F492" s="12"/>
      <c r="G492" s="12"/>
      <c r="H492" s="36"/>
      <c r="J492" s="19"/>
      <c r="K492" s="19"/>
      <c r="L492" s="19"/>
      <c r="AF492" s="6"/>
      <c r="AG492" s="6"/>
      <c r="AH492" s="6"/>
      <c r="AI492" s="6"/>
      <c r="AN492" s="6"/>
      <c r="AO492" s="6"/>
      <c r="AP492" s="6"/>
      <c r="AQ492" s="6"/>
      <c r="AR492" s="27"/>
      <c r="AS492" s="27"/>
      <c r="AT492" s="27"/>
      <c r="AU492" s="12"/>
      <c r="AV492" s="28"/>
    </row>
    <row r="493" spans="4:48">
      <c r="D493" s="12"/>
      <c r="E493" s="12"/>
      <c r="F493" s="12"/>
      <c r="G493" s="12"/>
      <c r="H493" s="36"/>
      <c r="J493" s="19"/>
      <c r="K493" s="19"/>
      <c r="L493" s="19"/>
      <c r="AF493" s="6"/>
      <c r="AG493" s="6"/>
      <c r="AH493" s="6"/>
      <c r="AI493" s="6"/>
      <c r="AN493" s="6"/>
      <c r="AO493" s="6"/>
      <c r="AP493" s="6"/>
      <c r="AQ493" s="6"/>
      <c r="AR493" s="27"/>
      <c r="AS493" s="27"/>
      <c r="AT493" s="27"/>
      <c r="AU493" s="12"/>
      <c r="AV493" s="28"/>
    </row>
    <row r="494" spans="4:48">
      <c r="D494" s="12"/>
      <c r="E494" s="12"/>
      <c r="F494" s="12"/>
      <c r="G494" s="12"/>
      <c r="H494" s="36"/>
      <c r="J494" s="19"/>
      <c r="K494" s="19"/>
      <c r="L494" s="19"/>
      <c r="AF494" s="6"/>
      <c r="AG494" s="6"/>
      <c r="AH494" s="6"/>
      <c r="AI494" s="6"/>
      <c r="AN494" s="6"/>
      <c r="AO494" s="6"/>
      <c r="AP494" s="6"/>
      <c r="AQ494" s="6"/>
      <c r="AR494" s="27"/>
      <c r="AS494" s="27"/>
      <c r="AT494" s="27"/>
      <c r="AU494" s="12"/>
      <c r="AV494" s="28"/>
    </row>
    <row r="495" spans="4:48">
      <c r="D495" s="12"/>
      <c r="E495" s="12"/>
      <c r="F495" s="12"/>
      <c r="G495" s="12"/>
      <c r="H495" s="36"/>
      <c r="J495" s="19"/>
      <c r="K495" s="19"/>
      <c r="L495" s="19"/>
      <c r="AF495" s="6"/>
      <c r="AG495" s="6"/>
      <c r="AH495" s="6"/>
      <c r="AI495" s="6"/>
      <c r="AN495" s="6"/>
      <c r="AO495" s="6"/>
      <c r="AP495" s="6"/>
      <c r="AQ495" s="6"/>
      <c r="AR495" s="27"/>
      <c r="AS495" s="27"/>
      <c r="AT495" s="27"/>
      <c r="AU495" s="12"/>
      <c r="AV495" s="28"/>
    </row>
    <row r="496" spans="4:48">
      <c r="D496" s="12"/>
      <c r="E496" s="12"/>
      <c r="F496" s="12"/>
      <c r="G496" s="12"/>
      <c r="H496" s="36"/>
      <c r="J496" s="19"/>
      <c r="K496" s="19"/>
      <c r="L496" s="19"/>
      <c r="AF496" s="6"/>
      <c r="AG496" s="6"/>
      <c r="AH496" s="6"/>
      <c r="AI496" s="6"/>
      <c r="AN496" s="6"/>
      <c r="AO496" s="6"/>
      <c r="AP496" s="6"/>
      <c r="AQ496" s="6"/>
      <c r="AR496" s="27"/>
      <c r="AS496" s="27"/>
      <c r="AT496" s="27"/>
      <c r="AU496" s="12"/>
      <c r="AV496" s="28"/>
    </row>
    <row r="497" spans="4:48">
      <c r="D497" s="12"/>
      <c r="E497" s="12"/>
      <c r="F497" s="12"/>
      <c r="G497" s="12"/>
      <c r="H497" s="36"/>
      <c r="J497" s="19"/>
      <c r="K497" s="19"/>
      <c r="L497" s="19"/>
      <c r="AF497" s="6"/>
      <c r="AG497" s="6"/>
      <c r="AH497" s="6"/>
      <c r="AI497" s="6"/>
      <c r="AN497" s="6"/>
      <c r="AO497" s="6"/>
      <c r="AP497" s="6"/>
      <c r="AQ497" s="6"/>
      <c r="AR497" s="27"/>
      <c r="AS497" s="27"/>
      <c r="AT497" s="27"/>
      <c r="AU497" s="12"/>
      <c r="AV497" s="28"/>
    </row>
    <row r="498" spans="4:48">
      <c r="D498" s="12"/>
      <c r="E498" s="12"/>
      <c r="F498" s="12"/>
      <c r="G498" s="12"/>
      <c r="H498" s="36"/>
      <c r="J498" s="19"/>
      <c r="K498" s="19"/>
      <c r="L498" s="19"/>
      <c r="AF498" s="6"/>
      <c r="AG498" s="6"/>
      <c r="AH498" s="6"/>
      <c r="AI498" s="6"/>
      <c r="AN498" s="6"/>
      <c r="AO498" s="6"/>
      <c r="AP498" s="6"/>
      <c r="AQ498" s="6"/>
      <c r="AR498" s="27"/>
      <c r="AS498" s="27"/>
      <c r="AT498" s="27"/>
      <c r="AU498" s="12"/>
      <c r="AV498" s="28"/>
    </row>
    <row r="499" spans="4:48">
      <c r="D499" s="12"/>
      <c r="E499" s="12"/>
      <c r="F499" s="12"/>
      <c r="G499" s="12"/>
      <c r="H499" s="36"/>
      <c r="J499" s="19"/>
      <c r="K499" s="19"/>
      <c r="L499" s="19"/>
      <c r="AF499" s="6"/>
      <c r="AG499" s="6"/>
      <c r="AH499" s="6"/>
      <c r="AI499" s="6"/>
      <c r="AN499" s="6"/>
      <c r="AO499" s="6"/>
      <c r="AP499" s="6"/>
      <c r="AQ499" s="6"/>
      <c r="AR499" s="27"/>
      <c r="AS499" s="27"/>
      <c r="AT499" s="27"/>
      <c r="AU499" s="12"/>
      <c r="AV499" s="28"/>
    </row>
    <row r="500" spans="4:48">
      <c r="D500" s="12"/>
      <c r="E500" s="12"/>
      <c r="F500" s="12"/>
      <c r="G500" s="12"/>
      <c r="H500" s="36"/>
      <c r="J500" s="19"/>
      <c r="K500" s="19"/>
      <c r="L500" s="19"/>
      <c r="AF500" s="6"/>
      <c r="AG500" s="6"/>
      <c r="AH500" s="6"/>
      <c r="AI500" s="6"/>
      <c r="AN500" s="6"/>
      <c r="AO500" s="6"/>
      <c r="AP500" s="6"/>
      <c r="AQ500" s="6"/>
      <c r="AR500" s="27"/>
      <c r="AS500" s="27"/>
      <c r="AT500" s="27"/>
      <c r="AU500" s="12"/>
      <c r="AV500" s="28"/>
    </row>
    <row r="501" spans="4:48">
      <c r="D501" s="12"/>
      <c r="E501" s="12"/>
      <c r="F501" s="12"/>
      <c r="G501" s="12"/>
      <c r="H501" s="36"/>
      <c r="J501" s="19"/>
      <c r="K501" s="19"/>
      <c r="L501" s="19"/>
      <c r="AF501" s="6"/>
      <c r="AG501" s="6"/>
      <c r="AH501" s="6"/>
      <c r="AI501" s="6"/>
      <c r="AN501" s="6"/>
      <c r="AO501" s="6"/>
      <c r="AP501" s="6"/>
      <c r="AQ501" s="6"/>
      <c r="AR501" s="27"/>
      <c r="AS501" s="27"/>
      <c r="AT501" s="27"/>
      <c r="AU501" s="12"/>
      <c r="AV501" s="28"/>
    </row>
    <row r="502" spans="4:48">
      <c r="D502" s="12"/>
      <c r="E502" s="12"/>
      <c r="F502" s="12"/>
      <c r="G502" s="12"/>
      <c r="H502" s="36"/>
      <c r="J502" s="19"/>
      <c r="K502" s="19"/>
      <c r="L502" s="19"/>
      <c r="AF502" s="6"/>
      <c r="AG502" s="6"/>
      <c r="AH502" s="6"/>
      <c r="AI502" s="6"/>
      <c r="AN502" s="6"/>
      <c r="AO502" s="6"/>
      <c r="AP502" s="6"/>
      <c r="AQ502" s="6"/>
      <c r="AR502" s="27"/>
      <c r="AS502" s="27"/>
      <c r="AT502" s="27"/>
      <c r="AU502" s="12"/>
      <c r="AV502" s="28"/>
    </row>
    <row r="503" spans="4:48">
      <c r="D503" s="12"/>
      <c r="E503" s="12"/>
      <c r="F503" s="12"/>
      <c r="G503" s="12"/>
      <c r="H503" s="36"/>
      <c r="J503" s="19"/>
      <c r="K503" s="19"/>
      <c r="L503" s="19"/>
      <c r="AF503" s="6"/>
      <c r="AG503" s="6"/>
      <c r="AH503" s="6"/>
      <c r="AI503" s="6"/>
      <c r="AN503" s="6"/>
      <c r="AO503" s="6"/>
      <c r="AP503" s="6"/>
      <c r="AQ503" s="6"/>
      <c r="AR503" s="27"/>
      <c r="AS503" s="27"/>
      <c r="AT503" s="27"/>
      <c r="AU503" s="12"/>
      <c r="AV503" s="28"/>
    </row>
    <row r="504" spans="4:48">
      <c r="D504" s="12"/>
      <c r="E504" s="12"/>
      <c r="F504" s="12"/>
      <c r="G504" s="12"/>
      <c r="H504" s="36"/>
      <c r="J504" s="19"/>
      <c r="K504" s="19"/>
      <c r="L504" s="19"/>
      <c r="AF504" s="6"/>
      <c r="AG504" s="6"/>
      <c r="AH504" s="6"/>
      <c r="AI504" s="6"/>
      <c r="AN504" s="6"/>
      <c r="AO504" s="6"/>
      <c r="AP504" s="6"/>
      <c r="AQ504" s="6"/>
      <c r="AR504" s="27"/>
      <c r="AS504" s="27"/>
      <c r="AT504" s="27"/>
      <c r="AU504" s="12"/>
      <c r="AV504" s="28"/>
    </row>
    <row r="505" spans="4:48">
      <c r="D505" s="12"/>
      <c r="E505" s="12"/>
      <c r="F505" s="12"/>
      <c r="G505" s="12"/>
      <c r="H505" s="36"/>
      <c r="J505" s="19"/>
      <c r="K505" s="19"/>
      <c r="L505" s="19"/>
      <c r="AF505" s="6"/>
      <c r="AG505" s="6"/>
      <c r="AH505" s="6"/>
      <c r="AI505" s="6"/>
      <c r="AN505" s="6"/>
      <c r="AO505" s="6"/>
      <c r="AP505" s="6"/>
      <c r="AQ505" s="6"/>
      <c r="AR505" s="27"/>
      <c r="AS505" s="27"/>
      <c r="AT505" s="27"/>
      <c r="AU505" s="12"/>
      <c r="AV505" s="28"/>
    </row>
    <row r="506" spans="4:48">
      <c r="D506" s="12"/>
      <c r="E506" s="12"/>
      <c r="F506" s="12"/>
      <c r="G506" s="12"/>
      <c r="H506" s="36"/>
      <c r="J506" s="19"/>
      <c r="K506" s="19"/>
      <c r="L506" s="19"/>
      <c r="AF506" s="6"/>
      <c r="AG506" s="6"/>
      <c r="AH506" s="6"/>
      <c r="AI506" s="6"/>
      <c r="AN506" s="6"/>
      <c r="AO506" s="6"/>
      <c r="AP506" s="6"/>
      <c r="AQ506" s="6"/>
      <c r="AR506" s="27"/>
      <c r="AS506" s="27"/>
      <c r="AT506" s="27"/>
      <c r="AU506" s="12"/>
      <c r="AV506" s="28"/>
    </row>
    <row r="507" spans="4:48">
      <c r="D507" s="12"/>
      <c r="E507" s="12"/>
      <c r="F507" s="12"/>
      <c r="G507" s="12"/>
      <c r="H507" s="36"/>
      <c r="J507" s="19"/>
      <c r="K507" s="19"/>
      <c r="L507" s="19"/>
      <c r="AF507" s="6"/>
      <c r="AG507" s="6"/>
      <c r="AH507" s="6"/>
      <c r="AI507" s="6"/>
      <c r="AN507" s="6"/>
      <c r="AO507" s="6"/>
      <c r="AP507" s="6"/>
      <c r="AQ507" s="6"/>
      <c r="AR507" s="27"/>
      <c r="AS507" s="27"/>
      <c r="AT507" s="27"/>
      <c r="AU507" s="12"/>
      <c r="AV507" s="28"/>
    </row>
    <row r="508" spans="4:48">
      <c r="D508" s="12"/>
      <c r="E508" s="12"/>
      <c r="F508" s="12"/>
      <c r="G508" s="12"/>
      <c r="H508" s="36"/>
      <c r="J508" s="19"/>
      <c r="K508" s="19"/>
      <c r="L508" s="19"/>
      <c r="AF508" s="6"/>
      <c r="AG508" s="6"/>
      <c r="AH508" s="6"/>
      <c r="AI508" s="6"/>
      <c r="AN508" s="6"/>
      <c r="AO508" s="6"/>
      <c r="AP508" s="6"/>
      <c r="AQ508" s="6"/>
      <c r="AR508" s="27"/>
      <c r="AS508" s="27"/>
      <c r="AT508" s="27"/>
      <c r="AU508" s="12"/>
      <c r="AV508" s="28"/>
    </row>
    <row r="509" spans="4:48">
      <c r="D509" s="12"/>
      <c r="E509" s="12"/>
      <c r="F509" s="12"/>
      <c r="G509" s="12"/>
      <c r="H509" s="36"/>
      <c r="J509" s="19"/>
      <c r="K509" s="19"/>
      <c r="L509" s="19"/>
      <c r="AF509" s="6"/>
      <c r="AG509" s="6"/>
      <c r="AH509" s="6"/>
      <c r="AI509" s="6"/>
      <c r="AN509" s="6"/>
      <c r="AO509" s="6"/>
      <c r="AP509" s="6"/>
      <c r="AQ509" s="6"/>
      <c r="AR509" s="27"/>
      <c r="AS509" s="27"/>
      <c r="AT509" s="27"/>
      <c r="AU509" s="12"/>
      <c r="AV509" s="28"/>
    </row>
    <row r="510" spans="4:48">
      <c r="D510" s="12"/>
      <c r="E510" s="12"/>
      <c r="F510" s="12"/>
      <c r="G510" s="12"/>
      <c r="H510" s="36"/>
      <c r="J510" s="19"/>
      <c r="K510" s="19"/>
      <c r="L510" s="19"/>
      <c r="AF510" s="6"/>
      <c r="AG510" s="6"/>
      <c r="AH510" s="6"/>
      <c r="AI510" s="6"/>
      <c r="AN510" s="6"/>
      <c r="AO510" s="6"/>
      <c r="AP510" s="6"/>
      <c r="AQ510" s="6"/>
      <c r="AR510" s="27"/>
      <c r="AS510" s="27"/>
      <c r="AT510" s="27"/>
      <c r="AU510" s="12"/>
      <c r="AV510" s="28"/>
    </row>
    <row r="511" spans="4:48">
      <c r="D511" s="12"/>
      <c r="E511" s="12"/>
      <c r="F511" s="12"/>
      <c r="G511" s="12"/>
      <c r="H511" s="36"/>
      <c r="J511" s="19"/>
      <c r="K511" s="19"/>
      <c r="L511" s="19"/>
      <c r="AF511" s="6"/>
      <c r="AG511" s="6"/>
      <c r="AH511" s="6"/>
      <c r="AI511" s="6"/>
      <c r="AN511" s="6"/>
      <c r="AO511" s="6"/>
      <c r="AP511" s="6"/>
      <c r="AQ511" s="6"/>
      <c r="AR511" s="27"/>
      <c r="AS511" s="27"/>
      <c r="AT511" s="27"/>
      <c r="AU511" s="12"/>
      <c r="AV511" s="28"/>
    </row>
    <row r="512" spans="4:48">
      <c r="D512" s="12"/>
      <c r="E512" s="12"/>
      <c r="F512" s="12"/>
      <c r="G512" s="12"/>
      <c r="H512" s="36"/>
      <c r="J512" s="19"/>
      <c r="K512" s="19"/>
      <c r="L512" s="19"/>
      <c r="AF512" s="6"/>
      <c r="AG512" s="6"/>
      <c r="AH512" s="6"/>
      <c r="AI512" s="6"/>
      <c r="AN512" s="6"/>
      <c r="AO512" s="6"/>
      <c r="AP512" s="6"/>
      <c r="AQ512" s="6"/>
      <c r="AR512" s="27"/>
      <c r="AS512" s="27"/>
      <c r="AT512" s="27"/>
      <c r="AU512" s="12"/>
      <c r="AV512" s="28"/>
    </row>
    <row r="513" spans="4:48">
      <c r="D513" s="12"/>
      <c r="E513" s="12"/>
      <c r="F513" s="12"/>
      <c r="G513" s="12"/>
      <c r="H513" s="36"/>
      <c r="J513" s="19"/>
      <c r="K513" s="19"/>
      <c r="L513" s="19"/>
      <c r="AF513" s="6"/>
      <c r="AG513" s="6"/>
      <c r="AH513" s="6"/>
      <c r="AI513" s="6"/>
      <c r="AN513" s="6"/>
      <c r="AO513" s="6"/>
      <c r="AP513" s="6"/>
      <c r="AQ513" s="6"/>
      <c r="AR513" s="27"/>
      <c r="AS513" s="27"/>
      <c r="AT513" s="27"/>
      <c r="AU513" s="12"/>
      <c r="AV513" s="28"/>
    </row>
    <row r="514" spans="4:48">
      <c r="D514" s="12"/>
      <c r="E514" s="12"/>
      <c r="F514" s="12"/>
      <c r="G514" s="12"/>
      <c r="H514" s="36"/>
      <c r="J514" s="19"/>
      <c r="K514" s="19"/>
      <c r="L514" s="19"/>
      <c r="AF514" s="6"/>
      <c r="AG514" s="6"/>
      <c r="AH514" s="6"/>
      <c r="AI514" s="6"/>
      <c r="AN514" s="6"/>
      <c r="AO514" s="6"/>
      <c r="AP514" s="6"/>
      <c r="AQ514" s="6"/>
      <c r="AR514" s="27"/>
      <c r="AS514" s="27"/>
      <c r="AT514" s="27"/>
      <c r="AU514" s="12"/>
      <c r="AV514" s="28"/>
    </row>
    <row r="515" spans="4:48">
      <c r="D515" s="12"/>
      <c r="E515" s="12"/>
      <c r="F515" s="12"/>
      <c r="G515" s="12"/>
      <c r="H515" s="36"/>
      <c r="J515" s="19"/>
      <c r="K515" s="19"/>
      <c r="L515" s="19"/>
      <c r="AF515" s="6"/>
      <c r="AG515" s="6"/>
      <c r="AH515" s="6"/>
      <c r="AI515" s="6"/>
      <c r="AN515" s="6"/>
      <c r="AO515" s="6"/>
      <c r="AP515" s="6"/>
      <c r="AQ515" s="6"/>
      <c r="AR515" s="27"/>
      <c r="AS515" s="27"/>
      <c r="AT515" s="27"/>
      <c r="AU515" s="12"/>
      <c r="AV515" s="28"/>
    </row>
    <row r="516" spans="4:48">
      <c r="D516" s="12"/>
      <c r="E516" s="12"/>
      <c r="F516" s="12"/>
      <c r="G516" s="12"/>
      <c r="H516" s="36"/>
      <c r="J516" s="19"/>
      <c r="K516" s="19"/>
      <c r="L516" s="19"/>
      <c r="AF516" s="6"/>
      <c r="AG516" s="6"/>
      <c r="AH516" s="6"/>
      <c r="AI516" s="6"/>
      <c r="AN516" s="6"/>
      <c r="AO516" s="6"/>
      <c r="AP516" s="6"/>
      <c r="AQ516" s="6"/>
      <c r="AR516" s="27"/>
      <c r="AS516" s="27"/>
      <c r="AT516" s="27"/>
      <c r="AU516" s="12"/>
      <c r="AV516" s="28"/>
    </row>
    <row r="517" spans="4:48">
      <c r="D517" s="12"/>
      <c r="E517" s="12"/>
      <c r="F517" s="12"/>
      <c r="G517" s="12"/>
      <c r="H517" s="36"/>
      <c r="J517" s="19"/>
      <c r="K517" s="19"/>
      <c r="L517" s="19"/>
      <c r="AF517" s="6"/>
      <c r="AG517" s="6"/>
      <c r="AH517" s="6"/>
      <c r="AI517" s="6"/>
      <c r="AN517" s="6"/>
      <c r="AO517" s="6"/>
      <c r="AP517" s="6"/>
      <c r="AQ517" s="6"/>
      <c r="AR517" s="27"/>
      <c r="AS517" s="27"/>
      <c r="AT517" s="27"/>
      <c r="AU517" s="12"/>
      <c r="AV517" s="28"/>
    </row>
    <row r="518" spans="4:48">
      <c r="D518" s="12"/>
      <c r="E518" s="12"/>
      <c r="F518" s="12"/>
      <c r="G518" s="12"/>
      <c r="H518" s="36"/>
      <c r="J518" s="19"/>
      <c r="K518" s="19"/>
      <c r="L518" s="19"/>
      <c r="AF518" s="6"/>
      <c r="AG518" s="6"/>
      <c r="AH518" s="6"/>
      <c r="AI518" s="6"/>
      <c r="AN518" s="6"/>
      <c r="AO518" s="6"/>
      <c r="AP518" s="6"/>
      <c r="AQ518" s="6"/>
      <c r="AR518" s="27"/>
      <c r="AS518" s="27"/>
      <c r="AT518" s="27"/>
      <c r="AU518" s="12"/>
      <c r="AV518" s="28"/>
    </row>
    <row r="519" spans="4:48">
      <c r="D519" s="12"/>
      <c r="E519" s="12"/>
      <c r="F519" s="12"/>
      <c r="G519" s="12"/>
      <c r="H519" s="36"/>
      <c r="J519" s="19"/>
      <c r="K519" s="19"/>
      <c r="L519" s="19"/>
      <c r="AF519" s="6"/>
      <c r="AG519" s="6"/>
      <c r="AH519" s="6"/>
      <c r="AI519" s="6"/>
      <c r="AN519" s="6"/>
      <c r="AO519" s="6"/>
      <c r="AP519" s="6"/>
      <c r="AQ519" s="6"/>
      <c r="AR519" s="27"/>
      <c r="AS519" s="27"/>
      <c r="AT519" s="27"/>
      <c r="AU519" s="12"/>
      <c r="AV519" s="28"/>
    </row>
    <row r="520" spans="4:48">
      <c r="D520" s="12"/>
      <c r="E520" s="12"/>
      <c r="F520" s="12"/>
      <c r="G520" s="12"/>
      <c r="H520" s="36"/>
      <c r="J520" s="19"/>
      <c r="K520" s="19"/>
      <c r="L520" s="19"/>
      <c r="AF520" s="6"/>
      <c r="AG520" s="6"/>
      <c r="AH520" s="6"/>
      <c r="AI520" s="6"/>
      <c r="AN520" s="6"/>
      <c r="AO520" s="6"/>
      <c r="AP520" s="6"/>
      <c r="AQ520" s="6"/>
      <c r="AR520" s="27"/>
      <c r="AS520" s="27"/>
      <c r="AT520" s="27"/>
      <c r="AU520" s="12"/>
      <c r="AV520" s="28"/>
    </row>
    <row r="521" spans="4:48">
      <c r="D521" s="12"/>
      <c r="E521" s="12"/>
      <c r="F521" s="12"/>
      <c r="G521" s="12"/>
      <c r="H521" s="36"/>
      <c r="J521" s="19"/>
      <c r="K521" s="19"/>
      <c r="L521" s="19"/>
      <c r="AF521" s="6"/>
      <c r="AG521" s="6"/>
      <c r="AH521" s="6"/>
      <c r="AI521" s="6"/>
      <c r="AN521" s="6"/>
      <c r="AO521" s="6"/>
      <c r="AP521" s="6"/>
      <c r="AQ521" s="6"/>
      <c r="AR521" s="27"/>
      <c r="AS521" s="27"/>
      <c r="AT521" s="27"/>
      <c r="AU521" s="12"/>
      <c r="AV521" s="28"/>
    </row>
    <row r="522" spans="4:48">
      <c r="D522" s="12"/>
      <c r="E522" s="12"/>
      <c r="F522" s="12"/>
      <c r="G522" s="12"/>
      <c r="H522" s="36"/>
      <c r="J522" s="19"/>
      <c r="K522" s="19"/>
      <c r="L522" s="19"/>
      <c r="AF522" s="6"/>
      <c r="AG522" s="6"/>
      <c r="AH522" s="6"/>
      <c r="AI522" s="6"/>
      <c r="AN522" s="6"/>
      <c r="AO522" s="6"/>
      <c r="AP522" s="6"/>
      <c r="AQ522" s="6"/>
      <c r="AR522" s="27"/>
      <c r="AS522" s="27"/>
      <c r="AT522" s="27"/>
      <c r="AU522" s="12"/>
      <c r="AV522" s="28"/>
    </row>
    <row r="523" spans="4:48">
      <c r="D523" s="12"/>
      <c r="E523" s="12"/>
      <c r="F523" s="12"/>
      <c r="G523" s="12"/>
      <c r="H523" s="36"/>
      <c r="J523" s="19"/>
      <c r="K523" s="19"/>
      <c r="L523" s="19"/>
      <c r="AF523" s="6"/>
      <c r="AG523" s="6"/>
      <c r="AH523" s="6"/>
      <c r="AI523" s="6"/>
      <c r="AN523" s="6"/>
      <c r="AO523" s="6"/>
      <c r="AP523" s="6"/>
      <c r="AQ523" s="6"/>
      <c r="AR523" s="27"/>
      <c r="AS523" s="27"/>
      <c r="AT523" s="27"/>
      <c r="AU523" s="12"/>
      <c r="AV523" s="28"/>
    </row>
    <row r="524" spans="4:48">
      <c r="D524" s="12"/>
      <c r="E524" s="12"/>
      <c r="F524" s="12"/>
      <c r="G524" s="12"/>
      <c r="H524" s="36"/>
      <c r="J524" s="19"/>
      <c r="K524" s="19"/>
      <c r="L524" s="19"/>
      <c r="AF524" s="6"/>
      <c r="AG524" s="6"/>
      <c r="AH524" s="6"/>
      <c r="AI524" s="6"/>
      <c r="AN524" s="6"/>
      <c r="AO524" s="6"/>
      <c r="AP524" s="6"/>
      <c r="AQ524" s="6"/>
      <c r="AR524" s="27"/>
      <c r="AS524" s="27"/>
      <c r="AT524" s="27"/>
      <c r="AU524" s="12"/>
      <c r="AV524" s="28"/>
    </row>
    <row r="525" spans="4:48">
      <c r="D525" s="12"/>
      <c r="E525" s="12"/>
      <c r="F525" s="12"/>
      <c r="G525" s="12"/>
      <c r="H525" s="36"/>
      <c r="J525" s="19"/>
      <c r="K525" s="19"/>
      <c r="L525" s="19"/>
      <c r="AF525" s="6"/>
      <c r="AG525" s="6"/>
      <c r="AH525" s="6"/>
      <c r="AI525" s="6"/>
      <c r="AN525" s="6"/>
      <c r="AO525" s="6"/>
      <c r="AP525" s="6"/>
      <c r="AQ525" s="6"/>
      <c r="AR525" s="27"/>
      <c r="AS525" s="27"/>
      <c r="AT525" s="27"/>
      <c r="AU525" s="12"/>
      <c r="AV525" s="28"/>
    </row>
    <row r="526" spans="4:48">
      <c r="D526" s="12"/>
      <c r="E526" s="12"/>
      <c r="F526" s="12"/>
      <c r="G526" s="12"/>
      <c r="H526" s="36"/>
      <c r="J526" s="19"/>
      <c r="K526" s="19"/>
      <c r="L526" s="19"/>
      <c r="AF526" s="6"/>
      <c r="AG526" s="6"/>
      <c r="AH526" s="6"/>
      <c r="AI526" s="6"/>
      <c r="AN526" s="6"/>
      <c r="AO526" s="6"/>
      <c r="AP526" s="6"/>
      <c r="AQ526" s="6"/>
      <c r="AR526" s="27"/>
      <c r="AS526" s="27"/>
      <c r="AT526" s="27"/>
      <c r="AU526" s="12"/>
      <c r="AV526" s="28"/>
    </row>
    <row r="527" spans="4:48">
      <c r="D527" s="12"/>
      <c r="E527" s="12"/>
      <c r="F527" s="12"/>
      <c r="G527" s="12"/>
      <c r="H527" s="36"/>
      <c r="J527" s="19"/>
      <c r="K527" s="19"/>
      <c r="L527" s="19"/>
      <c r="AF527" s="6"/>
      <c r="AG527" s="6"/>
      <c r="AH527" s="6"/>
      <c r="AI527" s="6"/>
      <c r="AN527" s="6"/>
      <c r="AO527" s="6"/>
      <c r="AP527" s="6"/>
      <c r="AQ527" s="6"/>
      <c r="AR527" s="27"/>
      <c r="AS527" s="27"/>
      <c r="AT527" s="27"/>
      <c r="AU527" s="12"/>
      <c r="AV527" s="28"/>
    </row>
    <row r="528" spans="4:48">
      <c r="D528" s="12"/>
      <c r="E528" s="12"/>
      <c r="F528" s="12"/>
      <c r="G528" s="12"/>
      <c r="H528" s="36"/>
      <c r="J528" s="19"/>
      <c r="K528" s="19"/>
      <c r="L528" s="19"/>
      <c r="AF528" s="6"/>
      <c r="AG528" s="6"/>
      <c r="AH528" s="6"/>
      <c r="AI528" s="6"/>
      <c r="AN528" s="6"/>
      <c r="AO528" s="6"/>
      <c r="AP528" s="6"/>
      <c r="AQ528" s="6"/>
      <c r="AR528" s="27"/>
      <c r="AS528" s="27"/>
      <c r="AT528" s="27"/>
      <c r="AU528" s="12"/>
      <c r="AV528" s="28"/>
    </row>
    <row r="529" spans="4:48">
      <c r="D529" s="12"/>
      <c r="E529" s="12"/>
      <c r="F529" s="12"/>
      <c r="G529" s="12"/>
      <c r="H529" s="36"/>
      <c r="J529" s="19"/>
      <c r="K529" s="19"/>
      <c r="L529" s="19"/>
      <c r="AF529" s="6"/>
      <c r="AG529" s="6"/>
      <c r="AH529" s="6"/>
      <c r="AI529" s="6"/>
      <c r="AN529" s="6"/>
      <c r="AO529" s="6"/>
      <c r="AP529" s="6"/>
      <c r="AQ529" s="6"/>
      <c r="AR529" s="27"/>
      <c r="AS529" s="27"/>
      <c r="AT529" s="27"/>
      <c r="AU529" s="12"/>
      <c r="AV529" s="28"/>
    </row>
    <row r="530" spans="4:48">
      <c r="D530" s="12"/>
      <c r="E530" s="12"/>
      <c r="F530" s="12"/>
      <c r="G530" s="12"/>
      <c r="H530" s="36"/>
      <c r="J530" s="19"/>
      <c r="K530" s="19"/>
      <c r="L530" s="19"/>
      <c r="AF530" s="6"/>
      <c r="AG530" s="6"/>
      <c r="AH530" s="6"/>
      <c r="AI530" s="6"/>
      <c r="AN530" s="6"/>
      <c r="AO530" s="6"/>
      <c r="AP530" s="6"/>
      <c r="AQ530" s="6"/>
      <c r="AR530" s="27"/>
      <c r="AS530" s="27"/>
      <c r="AT530" s="27"/>
      <c r="AU530" s="12"/>
      <c r="AV530" s="28"/>
    </row>
    <row r="531" spans="4:48">
      <c r="D531" s="12"/>
      <c r="E531" s="12"/>
      <c r="F531" s="12"/>
      <c r="G531" s="12"/>
      <c r="H531" s="36"/>
      <c r="J531" s="19"/>
      <c r="K531" s="19"/>
      <c r="L531" s="19"/>
      <c r="AF531" s="6"/>
      <c r="AG531" s="6"/>
      <c r="AH531" s="6"/>
      <c r="AI531" s="6"/>
      <c r="AN531" s="6"/>
      <c r="AO531" s="6"/>
      <c r="AP531" s="6"/>
      <c r="AQ531" s="6"/>
      <c r="AR531" s="27"/>
      <c r="AS531" s="27"/>
      <c r="AT531" s="27"/>
      <c r="AU531" s="12"/>
      <c r="AV531" s="28"/>
    </row>
    <row r="532" spans="4:48">
      <c r="D532" s="12"/>
      <c r="E532" s="12"/>
      <c r="F532" s="12"/>
      <c r="G532" s="12"/>
      <c r="H532" s="36"/>
      <c r="J532" s="19"/>
      <c r="K532" s="19"/>
      <c r="L532" s="19"/>
      <c r="AF532" s="6"/>
      <c r="AG532" s="6"/>
      <c r="AH532" s="6"/>
      <c r="AI532" s="6"/>
      <c r="AN532" s="6"/>
      <c r="AO532" s="6"/>
      <c r="AP532" s="6"/>
      <c r="AQ532" s="6"/>
      <c r="AR532" s="27"/>
      <c r="AS532" s="27"/>
      <c r="AT532" s="27"/>
      <c r="AU532" s="12"/>
      <c r="AV532" s="28"/>
    </row>
    <row r="533" spans="4:48">
      <c r="D533" s="12"/>
      <c r="E533" s="12"/>
      <c r="F533" s="12"/>
      <c r="G533" s="12"/>
      <c r="H533" s="36"/>
      <c r="J533" s="19"/>
      <c r="K533" s="19"/>
      <c r="L533" s="19"/>
      <c r="AF533" s="6"/>
      <c r="AG533" s="6"/>
      <c r="AH533" s="6"/>
      <c r="AI533" s="6"/>
      <c r="AN533" s="6"/>
      <c r="AO533" s="6"/>
      <c r="AP533" s="6"/>
      <c r="AQ533" s="6"/>
      <c r="AR533" s="27"/>
      <c r="AS533" s="27"/>
      <c r="AT533" s="27"/>
      <c r="AU533" s="12"/>
      <c r="AV533" s="28"/>
    </row>
    <row r="534" spans="4:48">
      <c r="D534" s="12"/>
      <c r="E534" s="12"/>
      <c r="F534" s="12"/>
      <c r="G534" s="12"/>
      <c r="H534" s="36"/>
      <c r="J534" s="19"/>
      <c r="K534" s="19"/>
      <c r="L534" s="19"/>
      <c r="AF534" s="6"/>
      <c r="AG534" s="6"/>
      <c r="AH534" s="6"/>
      <c r="AI534" s="6"/>
      <c r="AN534" s="6"/>
      <c r="AO534" s="6"/>
      <c r="AP534" s="6"/>
      <c r="AQ534" s="6"/>
      <c r="AR534" s="27"/>
      <c r="AS534" s="27"/>
      <c r="AT534" s="27"/>
      <c r="AU534" s="12"/>
      <c r="AV534" s="28"/>
    </row>
    <row r="535" spans="4:48">
      <c r="D535" s="12"/>
      <c r="E535" s="12"/>
      <c r="F535" s="12"/>
      <c r="G535" s="12"/>
      <c r="H535" s="36"/>
      <c r="J535" s="19"/>
      <c r="K535" s="19"/>
      <c r="L535" s="19"/>
      <c r="AF535" s="6"/>
      <c r="AG535" s="6"/>
      <c r="AH535" s="6"/>
      <c r="AI535" s="6"/>
      <c r="AN535" s="6"/>
      <c r="AO535" s="6"/>
      <c r="AP535" s="6"/>
      <c r="AQ535" s="6"/>
      <c r="AR535" s="27"/>
      <c r="AS535" s="27"/>
      <c r="AT535" s="27"/>
      <c r="AU535" s="12"/>
      <c r="AV535" s="28"/>
    </row>
    <row r="536" spans="4:48">
      <c r="D536" s="12"/>
      <c r="E536" s="12"/>
      <c r="F536" s="12"/>
      <c r="G536" s="12"/>
      <c r="H536" s="36"/>
      <c r="J536" s="19"/>
      <c r="K536" s="19"/>
      <c r="L536" s="19"/>
      <c r="AF536" s="6"/>
      <c r="AG536" s="6"/>
      <c r="AH536" s="6"/>
      <c r="AI536" s="6"/>
      <c r="AN536" s="6"/>
      <c r="AO536" s="6"/>
      <c r="AP536" s="6"/>
      <c r="AQ536" s="6"/>
      <c r="AR536" s="27"/>
      <c r="AS536" s="27"/>
      <c r="AT536" s="27"/>
      <c r="AU536" s="12"/>
      <c r="AV536" s="28"/>
    </row>
    <row r="537" spans="4:48">
      <c r="D537" s="12"/>
      <c r="E537" s="12"/>
      <c r="F537" s="12"/>
      <c r="G537" s="12"/>
      <c r="H537" s="36"/>
      <c r="J537" s="19"/>
      <c r="K537" s="19"/>
      <c r="L537" s="19"/>
      <c r="AF537" s="6"/>
      <c r="AG537" s="6"/>
      <c r="AH537" s="6"/>
      <c r="AI537" s="6"/>
      <c r="AN537" s="6"/>
      <c r="AO537" s="6"/>
      <c r="AP537" s="6"/>
      <c r="AQ537" s="6"/>
      <c r="AR537" s="27"/>
      <c r="AS537" s="27"/>
      <c r="AT537" s="27"/>
      <c r="AU537" s="12"/>
      <c r="AV537" s="28"/>
    </row>
    <row r="538" spans="4:48">
      <c r="D538" s="12"/>
      <c r="E538" s="12"/>
      <c r="F538" s="12"/>
      <c r="G538" s="12"/>
      <c r="H538" s="36"/>
      <c r="J538" s="19"/>
      <c r="K538" s="19"/>
      <c r="L538" s="19"/>
      <c r="AF538" s="6"/>
      <c r="AG538" s="6"/>
      <c r="AH538" s="6"/>
      <c r="AI538" s="6"/>
      <c r="AN538" s="6"/>
      <c r="AO538" s="6"/>
      <c r="AP538" s="6"/>
      <c r="AQ538" s="6"/>
      <c r="AR538" s="27"/>
      <c r="AS538" s="27"/>
      <c r="AT538" s="27"/>
      <c r="AU538" s="12"/>
      <c r="AV538" s="28"/>
    </row>
    <row r="539" spans="4:48">
      <c r="D539" s="12"/>
      <c r="E539" s="12"/>
      <c r="F539" s="12"/>
      <c r="G539" s="12"/>
      <c r="H539" s="36"/>
      <c r="J539" s="19"/>
      <c r="K539" s="19"/>
      <c r="L539" s="19"/>
      <c r="AF539" s="6"/>
      <c r="AG539" s="6"/>
      <c r="AH539" s="6"/>
      <c r="AI539" s="6"/>
      <c r="AN539" s="6"/>
      <c r="AO539" s="6"/>
      <c r="AP539" s="6"/>
      <c r="AQ539" s="6"/>
      <c r="AR539" s="27"/>
      <c r="AS539" s="27"/>
      <c r="AT539" s="27"/>
      <c r="AU539" s="12"/>
      <c r="AV539" s="28"/>
    </row>
    <row r="540" spans="4:48">
      <c r="D540" s="12"/>
      <c r="E540" s="12"/>
      <c r="F540" s="12"/>
      <c r="G540" s="12"/>
      <c r="H540" s="36"/>
      <c r="J540" s="19"/>
      <c r="K540" s="19"/>
      <c r="L540" s="19"/>
      <c r="AF540" s="6"/>
      <c r="AG540" s="6"/>
      <c r="AH540" s="6"/>
      <c r="AI540" s="6"/>
      <c r="AN540" s="6"/>
      <c r="AO540" s="6"/>
      <c r="AP540" s="6"/>
      <c r="AQ540" s="6"/>
      <c r="AR540" s="27"/>
      <c r="AS540" s="27"/>
      <c r="AT540" s="27"/>
      <c r="AU540" s="12"/>
      <c r="AV540" s="28"/>
    </row>
    <row r="541" spans="4:48">
      <c r="D541" s="12"/>
      <c r="E541" s="12"/>
      <c r="F541" s="12"/>
      <c r="G541" s="12"/>
      <c r="H541" s="36"/>
      <c r="J541" s="19"/>
      <c r="K541" s="19"/>
      <c r="L541" s="19"/>
      <c r="AF541" s="6"/>
      <c r="AG541" s="6"/>
      <c r="AH541" s="6"/>
      <c r="AI541" s="6"/>
      <c r="AN541" s="6"/>
      <c r="AO541" s="6"/>
      <c r="AP541" s="6"/>
      <c r="AQ541" s="6"/>
      <c r="AR541" s="27"/>
      <c r="AS541" s="27"/>
      <c r="AT541" s="27"/>
      <c r="AU541" s="12"/>
      <c r="AV541" s="28"/>
    </row>
    <row r="542" spans="4:48">
      <c r="D542" s="12"/>
      <c r="E542" s="12"/>
      <c r="F542" s="12"/>
      <c r="G542" s="12"/>
      <c r="H542" s="36"/>
      <c r="J542" s="19"/>
      <c r="K542" s="19"/>
      <c r="L542" s="19"/>
      <c r="AF542" s="6"/>
      <c r="AG542" s="6"/>
      <c r="AH542" s="6"/>
      <c r="AI542" s="6"/>
      <c r="AN542" s="6"/>
      <c r="AO542" s="6"/>
      <c r="AP542" s="6"/>
      <c r="AQ542" s="6"/>
      <c r="AR542" s="27"/>
      <c r="AS542" s="27"/>
      <c r="AT542" s="27"/>
      <c r="AU542" s="12"/>
      <c r="AV542" s="28"/>
    </row>
    <row r="543" spans="4:48">
      <c r="D543" s="12"/>
      <c r="E543" s="12"/>
      <c r="F543" s="12"/>
      <c r="G543" s="12"/>
      <c r="H543" s="36"/>
      <c r="J543" s="19"/>
      <c r="K543" s="19"/>
      <c r="L543" s="19"/>
      <c r="AF543" s="6"/>
      <c r="AG543" s="6"/>
      <c r="AH543" s="6"/>
      <c r="AI543" s="6"/>
      <c r="AN543" s="6"/>
      <c r="AO543" s="6"/>
      <c r="AP543" s="6"/>
      <c r="AQ543" s="6"/>
      <c r="AR543" s="27"/>
      <c r="AS543" s="27"/>
      <c r="AT543" s="27"/>
      <c r="AU543" s="12"/>
      <c r="AV543" s="28"/>
    </row>
    <row r="544" spans="4:48">
      <c r="D544" s="12"/>
      <c r="E544" s="12"/>
      <c r="F544" s="12"/>
      <c r="G544" s="12"/>
      <c r="H544" s="36"/>
      <c r="J544" s="19"/>
      <c r="K544" s="19"/>
      <c r="L544" s="19"/>
      <c r="AF544" s="6"/>
      <c r="AG544" s="6"/>
      <c r="AH544" s="6"/>
      <c r="AI544" s="6"/>
      <c r="AN544" s="6"/>
      <c r="AO544" s="6"/>
      <c r="AP544" s="6"/>
      <c r="AQ544" s="6"/>
      <c r="AR544" s="27"/>
      <c r="AS544" s="27"/>
      <c r="AT544" s="27"/>
      <c r="AU544" s="12"/>
      <c r="AV544" s="28"/>
    </row>
    <row r="545" spans="4:48">
      <c r="D545" s="12"/>
      <c r="E545" s="12"/>
      <c r="F545" s="12"/>
      <c r="G545" s="12"/>
      <c r="H545" s="36"/>
      <c r="J545" s="19"/>
      <c r="K545" s="19"/>
      <c r="L545" s="19"/>
      <c r="AF545" s="6"/>
      <c r="AG545" s="6"/>
      <c r="AH545" s="6"/>
      <c r="AI545" s="6"/>
      <c r="AN545" s="6"/>
      <c r="AO545" s="6"/>
      <c r="AP545" s="6"/>
      <c r="AQ545" s="6"/>
      <c r="AR545" s="27"/>
      <c r="AS545" s="27"/>
      <c r="AT545" s="27"/>
      <c r="AU545" s="12"/>
      <c r="AV545" s="28"/>
    </row>
    <row r="546" spans="4:48">
      <c r="D546" s="12"/>
      <c r="E546" s="12"/>
      <c r="F546" s="12"/>
      <c r="G546" s="12"/>
      <c r="H546" s="36"/>
      <c r="J546" s="19"/>
      <c r="K546" s="19"/>
      <c r="L546" s="19"/>
      <c r="AF546" s="6"/>
      <c r="AG546" s="6"/>
      <c r="AH546" s="6"/>
      <c r="AI546" s="6"/>
      <c r="AN546" s="6"/>
      <c r="AO546" s="6"/>
      <c r="AP546" s="6"/>
      <c r="AQ546" s="6"/>
      <c r="AR546" s="27"/>
      <c r="AS546" s="27"/>
      <c r="AT546" s="27"/>
      <c r="AU546" s="12"/>
      <c r="AV546" s="28"/>
    </row>
    <row r="547" spans="4:48">
      <c r="D547" s="12"/>
      <c r="E547" s="12"/>
      <c r="F547" s="12"/>
      <c r="G547" s="12"/>
      <c r="H547" s="36"/>
      <c r="J547" s="19"/>
      <c r="K547" s="19"/>
      <c r="L547" s="19"/>
      <c r="AF547" s="6"/>
      <c r="AG547" s="6"/>
      <c r="AH547" s="6"/>
      <c r="AI547" s="6"/>
      <c r="AN547" s="6"/>
      <c r="AO547" s="6"/>
      <c r="AP547" s="6"/>
      <c r="AQ547" s="6"/>
      <c r="AR547" s="27"/>
      <c r="AS547" s="27"/>
      <c r="AT547" s="27"/>
      <c r="AU547" s="12"/>
      <c r="AV547" s="28"/>
    </row>
    <row r="548" spans="4:48">
      <c r="D548" s="12"/>
      <c r="E548" s="12"/>
      <c r="F548" s="12"/>
      <c r="G548" s="12"/>
      <c r="H548" s="36"/>
      <c r="J548" s="19"/>
      <c r="K548" s="19"/>
      <c r="L548" s="19"/>
      <c r="AF548" s="6"/>
      <c r="AG548" s="6"/>
      <c r="AH548" s="6"/>
      <c r="AI548" s="6"/>
      <c r="AN548" s="6"/>
      <c r="AO548" s="6"/>
      <c r="AP548" s="6"/>
      <c r="AQ548" s="6"/>
      <c r="AR548" s="27"/>
      <c r="AS548" s="27"/>
      <c r="AT548" s="27"/>
      <c r="AU548" s="12"/>
      <c r="AV548" s="28"/>
    </row>
    <row r="549" spans="4:48">
      <c r="D549" s="12"/>
      <c r="E549" s="12"/>
      <c r="F549" s="12"/>
      <c r="G549" s="12"/>
      <c r="H549" s="36"/>
      <c r="J549" s="19"/>
      <c r="K549" s="19"/>
      <c r="L549" s="19"/>
      <c r="AF549" s="6"/>
      <c r="AG549" s="6"/>
      <c r="AH549" s="6"/>
      <c r="AI549" s="6"/>
      <c r="AN549" s="6"/>
      <c r="AO549" s="6"/>
      <c r="AP549" s="6"/>
      <c r="AQ549" s="6"/>
      <c r="AR549" s="27"/>
      <c r="AS549" s="27"/>
      <c r="AT549" s="27"/>
      <c r="AU549" s="12"/>
      <c r="AV549" s="28"/>
    </row>
    <row r="550" spans="4:48">
      <c r="D550" s="12"/>
      <c r="E550" s="12"/>
      <c r="F550" s="12"/>
      <c r="G550" s="12"/>
      <c r="H550" s="36"/>
      <c r="J550" s="19"/>
      <c r="K550" s="19"/>
      <c r="L550" s="19"/>
      <c r="AF550" s="6"/>
      <c r="AG550" s="6"/>
      <c r="AH550" s="6"/>
      <c r="AI550" s="6"/>
      <c r="AN550" s="6"/>
      <c r="AO550" s="6"/>
      <c r="AP550" s="6"/>
      <c r="AQ550" s="6"/>
      <c r="AR550" s="27"/>
      <c r="AS550" s="27"/>
      <c r="AT550" s="27"/>
      <c r="AU550" s="12"/>
      <c r="AV550" s="28"/>
    </row>
    <row r="551" spans="4:48">
      <c r="D551" s="12"/>
      <c r="E551" s="12"/>
      <c r="F551" s="12"/>
      <c r="G551" s="12"/>
      <c r="H551" s="36"/>
      <c r="J551" s="19"/>
      <c r="K551" s="19"/>
      <c r="L551" s="19"/>
      <c r="AF551" s="6"/>
      <c r="AG551" s="6"/>
      <c r="AH551" s="6"/>
      <c r="AI551" s="6"/>
      <c r="AN551" s="6"/>
      <c r="AO551" s="6"/>
      <c r="AP551" s="6"/>
      <c r="AQ551" s="6"/>
      <c r="AR551" s="27"/>
      <c r="AS551" s="27"/>
      <c r="AT551" s="27"/>
      <c r="AU551" s="12"/>
      <c r="AV551" s="28"/>
    </row>
    <row r="552" spans="4:48">
      <c r="D552" s="12"/>
      <c r="E552" s="12"/>
      <c r="F552" s="12"/>
      <c r="G552" s="12"/>
      <c r="H552" s="36"/>
      <c r="J552" s="19"/>
      <c r="K552" s="19"/>
      <c r="L552" s="19"/>
      <c r="AF552" s="6"/>
      <c r="AG552" s="6"/>
      <c r="AH552" s="6"/>
      <c r="AI552" s="6"/>
      <c r="AN552" s="6"/>
      <c r="AO552" s="6"/>
      <c r="AP552" s="6"/>
      <c r="AQ552" s="6"/>
      <c r="AR552" s="27"/>
      <c r="AS552" s="27"/>
      <c r="AT552" s="27"/>
      <c r="AU552" s="12"/>
      <c r="AV552" s="28"/>
    </row>
    <row r="553" spans="4:48">
      <c r="D553" s="12"/>
      <c r="E553" s="12"/>
      <c r="F553" s="12"/>
      <c r="G553" s="12"/>
      <c r="H553" s="36"/>
      <c r="J553" s="19"/>
      <c r="K553" s="19"/>
      <c r="L553" s="19"/>
      <c r="AF553" s="6"/>
      <c r="AG553" s="6"/>
      <c r="AH553" s="6"/>
      <c r="AI553" s="6"/>
      <c r="AN553" s="6"/>
      <c r="AO553" s="6"/>
      <c r="AP553" s="6"/>
      <c r="AQ553" s="6"/>
      <c r="AR553" s="27"/>
      <c r="AS553" s="27"/>
      <c r="AT553" s="27"/>
      <c r="AU553" s="12"/>
      <c r="AV553" s="28"/>
    </row>
    <row r="554" spans="4:48">
      <c r="D554" s="12"/>
      <c r="E554" s="12"/>
      <c r="F554" s="12"/>
      <c r="G554" s="12"/>
      <c r="H554" s="36"/>
      <c r="J554" s="19"/>
      <c r="K554" s="19"/>
      <c r="L554" s="19"/>
      <c r="AF554" s="6"/>
      <c r="AG554" s="6"/>
      <c r="AH554" s="6"/>
      <c r="AI554" s="6"/>
      <c r="AN554" s="6"/>
      <c r="AO554" s="6"/>
      <c r="AP554" s="6"/>
      <c r="AQ554" s="6"/>
      <c r="AR554" s="27"/>
      <c r="AS554" s="27"/>
      <c r="AT554" s="27"/>
      <c r="AU554" s="12"/>
      <c r="AV554" s="28"/>
    </row>
    <row r="555" spans="4:48">
      <c r="D555" s="12"/>
      <c r="E555" s="12"/>
      <c r="F555" s="12"/>
      <c r="G555" s="12"/>
      <c r="H555" s="36"/>
      <c r="J555" s="19"/>
      <c r="K555" s="19"/>
      <c r="L555" s="19"/>
      <c r="AF555" s="6"/>
      <c r="AG555" s="6"/>
      <c r="AH555" s="6"/>
      <c r="AI555" s="6"/>
      <c r="AN555" s="6"/>
      <c r="AO555" s="6"/>
      <c r="AP555" s="6"/>
      <c r="AQ555" s="6"/>
      <c r="AR555" s="27"/>
      <c r="AS555" s="27"/>
      <c r="AT555" s="27"/>
      <c r="AU555" s="12"/>
      <c r="AV555" s="28"/>
    </row>
    <row r="556" spans="4:48">
      <c r="D556" s="12"/>
      <c r="E556" s="12"/>
      <c r="F556" s="12"/>
      <c r="G556" s="12"/>
      <c r="H556" s="36"/>
      <c r="J556" s="19"/>
      <c r="K556" s="19"/>
      <c r="L556" s="19"/>
      <c r="AF556" s="6"/>
      <c r="AG556" s="6"/>
      <c r="AH556" s="6"/>
      <c r="AI556" s="6"/>
      <c r="AN556" s="6"/>
      <c r="AO556" s="6"/>
      <c r="AP556" s="6"/>
      <c r="AQ556" s="6"/>
      <c r="AR556" s="27"/>
      <c r="AS556" s="27"/>
      <c r="AT556" s="27"/>
      <c r="AU556" s="12"/>
      <c r="AV556" s="28"/>
    </row>
    <row r="557" spans="4:48">
      <c r="D557" s="12"/>
      <c r="E557" s="12"/>
      <c r="F557" s="12"/>
      <c r="G557" s="12"/>
      <c r="H557" s="36"/>
      <c r="J557" s="19"/>
      <c r="K557" s="19"/>
      <c r="L557" s="19"/>
      <c r="AF557" s="6"/>
      <c r="AG557" s="6"/>
      <c r="AH557" s="6"/>
      <c r="AI557" s="6"/>
      <c r="AN557" s="6"/>
      <c r="AO557" s="6"/>
      <c r="AP557" s="6"/>
      <c r="AQ557" s="6"/>
      <c r="AR557" s="27"/>
      <c r="AS557" s="27"/>
      <c r="AT557" s="27"/>
      <c r="AU557" s="12"/>
      <c r="AV557" s="28"/>
    </row>
    <row r="558" spans="4:48">
      <c r="D558" s="12"/>
      <c r="E558" s="12"/>
      <c r="F558" s="12"/>
      <c r="G558" s="12"/>
      <c r="H558" s="36"/>
      <c r="J558" s="19"/>
      <c r="K558" s="19"/>
      <c r="L558" s="19"/>
      <c r="AF558" s="6"/>
      <c r="AG558" s="6"/>
      <c r="AH558" s="6"/>
      <c r="AI558" s="6"/>
      <c r="AN558" s="6"/>
      <c r="AO558" s="6"/>
      <c r="AP558" s="6"/>
      <c r="AQ558" s="6"/>
      <c r="AR558" s="27"/>
      <c r="AS558" s="27"/>
      <c r="AT558" s="27"/>
      <c r="AU558" s="12"/>
      <c r="AV558" s="28"/>
    </row>
    <row r="559" spans="4:48">
      <c r="D559" s="12"/>
      <c r="E559" s="12"/>
      <c r="F559" s="12"/>
      <c r="G559" s="12"/>
      <c r="H559" s="36"/>
      <c r="J559" s="19"/>
      <c r="K559" s="19"/>
      <c r="L559" s="19"/>
      <c r="AF559" s="6"/>
      <c r="AG559" s="6"/>
      <c r="AH559" s="6"/>
      <c r="AI559" s="6"/>
      <c r="AN559" s="6"/>
      <c r="AO559" s="6"/>
      <c r="AP559" s="6"/>
      <c r="AQ559" s="6"/>
      <c r="AR559" s="27"/>
      <c r="AS559" s="27"/>
      <c r="AT559" s="27"/>
      <c r="AU559" s="12"/>
      <c r="AV559" s="28"/>
    </row>
    <row r="560" spans="4:48">
      <c r="D560" s="12"/>
      <c r="E560" s="12"/>
      <c r="F560" s="12"/>
      <c r="G560" s="12"/>
      <c r="H560" s="36"/>
      <c r="J560" s="19"/>
      <c r="K560" s="19"/>
      <c r="L560" s="19"/>
      <c r="AF560" s="6"/>
      <c r="AG560" s="6"/>
      <c r="AH560" s="6"/>
      <c r="AI560" s="6"/>
      <c r="AN560" s="6"/>
      <c r="AO560" s="6"/>
      <c r="AP560" s="6"/>
      <c r="AQ560" s="6"/>
      <c r="AR560" s="27"/>
      <c r="AS560" s="27"/>
      <c r="AT560" s="27"/>
      <c r="AU560" s="12"/>
      <c r="AV560" s="28"/>
    </row>
    <row r="561" spans="4:48">
      <c r="D561" s="12"/>
      <c r="E561" s="12"/>
      <c r="F561" s="12"/>
      <c r="G561" s="12"/>
      <c r="H561" s="36"/>
      <c r="J561" s="19"/>
      <c r="K561" s="19"/>
      <c r="L561" s="19"/>
      <c r="AF561" s="6"/>
      <c r="AG561" s="6"/>
      <c r="AH561" s="6"/>
      <c r="AI561" s="6"/>
      <c r="AN561" s="6"/>
      <c r="AO561" s="6"/>
      <c r="AP561" s="6"/>
      <c r="AQ561" s="6"/>
      <c r="AR561" s="27"/>
      <c r="AS561" s="27"/>
      <c r="AT561" s="27"/>
      <c r="AU561" s="12"/>
      <c r="AV561" s="28"/>
    </row>
    <row r="562" spans="4:48">
      <c r="D562" s="12"/>
      <c r="E562" s="12"/>
      <c r="F562" s="12"/>
      <c r="G562" s="12"/>
      <c r="H562" s="36"/>
      <c r="J562" s="19"/>
      <c r="K562" s="19"/>
      <c r="L562" s="19"/>
      <c r="AF562" s="6"/>
      <c r="AG562" s="6"/>
      <c r="AH562" s="6"/>
      <c r="AI562" s="6"/>
      <c r="AN562" s="6"/>
      <c r="AO562" s="6"/>
      <c r="AP562" s="6"/>
      <c r="AQ562" s="6"/>
      <c r="AR562" s="27"/>
      <c r="AS562" s="27"/>
      <c r="AT562" s="27"/>
      <c r="AU562" s="12"/>
      <c r="AV562" s="28"/>
    </row>
    <row r="563" spans="4:48">
      <c r="D563" s="12"/>
      <c r="E563" s="12"/>
      <c r="F563" s="12"/>
      <c r="G563" s="12"/>
      <c r="H563" s="36"/>
      <c r="J563" s="19"/>
      <c r="K563" s="19"/>
      <c r="L563" s="19"/>
      <c r="AF563" s="6"/>
      <c r="AG563" s="6"/>
      <c r="AH563" s="6"/>
      <c r="AI563" s="6"/>
      <c r="AN563" s="6"/>
      <c r="AO563" s="6"/>
      <c r="AP563" s="6"/>
      <c r="AQ563" s="6"/>
      <c r="AR563" s="27"/>
      <c r="AS563" s="27"/>
      <c r="AT563" s="27"/>
      <c r="AU563" s="12"/>
      <c r="AV563" s="28"/>
    </row>
    <row r="564" spans="4:48">
      <c r="D564" s="12"/>
      <c r="E564" s="12"/>
      <c r="F564" s="12"/>
      <c r="G564" s="12"/>
      <c r="H564" s="36"/>
      <c r="J564" s="19"/>
      <c r="K564" s="19"/>
      <c r="L564" s="19"/>
      <c r="AF564" s="6"/>
      <c r="AG564" s="6"/>
      <c r="AH564" s="6"/>
      <c r="AI564" s="6"/>
      <c r="AN564" s="6"/>
      <c r="AO564" s="6"/>
      <c r="AP564" s="6"/>
      <c r="AQ564" s="6"/>
      <c r="AR564" s="27"/>
      <c r="AS564" s="27"/>
      <c r="AT564" s="27"/>
      <c r="AU564" s="12"/>
      <c r="AV564" s="28"/>
    </row>
    <row r="565" spans="4:48">
      <c r="D565" s="12"/>
      <c r="E565" s="12"/>
      <c r="F565" s="12"/>
      <c r="G565" s="12"/>
      <c r="H565" s="36"/>
      <c r="J565" s="19"/>
      <c r="K565" s="19"/>
      <c r="L565" s="19"/>
      <c r="AF565" s="6"/>
      <c r="AG565" s="6"/>
      <c r="AH565" s="6"/>
      <c r="AI565" s="6"/>
      <c r="AN565" s="6"/>
      <c r="AO565" s="6"/>
      <c r="AP565" s="6"/>
      <c r="AQ565" s="6"/>
      <c r="AR565" s="27"/>
      <c r="AS565" s="27"/>
      <c r="AT565" s="27"/>
      <c r="AU565" s="12"/>
      <c r="AV565" s="28"/>
    </row>
    <row r="566" spans="4:48">
      <c r="D566" s="12"/>
      <c r="E566" s="12"/>
      <c r="F566" s="12"/>
      <c r="G566" s="12"/>
      <c r="H566" s="36"/>
      <c r="J566" s="19"/>
      <c r="K566" s="19"/>
      <c r="L566" s="19"/>
      <c r="AF566" s="6"/>
      <c r="AG566" s="6"/>
      <c r="AH566" s="6"/>
      <c r="AI566" s="6"/>
      <c r="AN566" s="6"/>
      <c r="AO566" s="6"/>
      <c r="AP566" s="6"/>
      <c r="AQ566" s="6"/>
      <c r="AR566" s="27"/>
      <c r="AS566" s="27"/>
      <c r="AT566" s="27"/>
      <c r="AU566" s="12"/>
      <c r="AV566" s="28"/>
    </row>
    <row r="567" spans="4:48">
      <c r="D567" s="12"/>
      <c r="E567" s="12"/>
      <c r="F567" s="12"/>
      <c r="G567" s="12"/>
      <c r="H567" s="36"/>
      <c r="J567" s="19"/>
      <c r="K567" s="19"/>
      <c r="L567" s="19"/>
      <c r="AF567" s="6"/>
      <c r="AG567" s="6"/>
      <c r="AH567" s="6"/>
      <c r="AI567" s="6"/>
      <c r="AN567" s="6"/>
      <c r="AO567" s="6"/>
      <c r="AP567" s="6"/>
      <c r="AQ567" s="6"/>
      <c r="AR567" s="27"/>
      <c r="AS567" s="27"/>
      <c r="AT567" s="27"/>
      <c r="AU567" s="12"/>
      <c r="AV567" s="28"/>
    </row>
    <row r="568" spans="4:48">
      <c r="D568" s="12"/>
      <c r="E568" s="12"/>
      <c r="F568" s="12"/>
      <c r="G568" s="12"/>
      <c r="H568" s="36"/>
      <c r="J568" s="19"/>
      <c r="K568" s="19"/>
      <c r="L568" s="19"/>
      <c r="AF568" s="6"/>
      <c r="AG568" s="6"/>
      <c r="AH568" s="6"/>
      <c r="AI568" s="6"/>
      <c r="AN568" s="6"/>
      <c r="AO568" s="6"/>
      <c r="AP568" s="6"/>
      <c r="AQ568" s="6"/>
      <c r="AR568" s="27"/>
      <c r="AS568" s="27"/>
      <c r="AT568" s="27"/>
      <c r="AU568" s="12"/>
      <c r="AV568" s="28"/>
    </row>
    <row r="569" spans="4:48">
      <c r="D569" s="12"/>
      <c r="E569" s="12"/>
      <c r="F569" s="12"/>
      <c r="G569" s="12"/>
      <c r="H569" s="36"/>
      <c r="J569" s="19"/>
      <c r="K569" s="19"/>
      <c r="L569" s="19"/>
      <c r="AF569" s="6"/>
      <c r="AG569" s="6"/>
      <c r="AH569" s="6"/>
      <c r="AI569" s="6"/>
      <c r="AN569" s="6"/>
      <c r="AO569" s="6"/>
      <c r="AP569" s="6"/>
      <c r="AQ569" s="6"/>
      <c r="AR569" s="27"/>
      <c r="AS569" s="27"/>
      <c r="AT569" s="27"/>
      <c r="AU569" s="12"/>
      <c r="AV569" s="28"/>
    </row>
    <row r="570" spans="4:48">
      <c r="D570" s="12"/>
      <c r="E570" s="12"/>
      <c r="F570" s="12"/>
      <c r="G570" s="12"/>
      <c r="H570" s="36"/>
      <c r="J570" s="19"/>
      <c r="K570" s="19"/>
      <c r="L570" s="19"/>
      <c r="AF570" s="6"/>
      <c r="AG570" s="6"/>
      <c r="AH570" s="6"/>
      <c r="AI570" s="6"/>
      <c r="AN570" s="6"/>
      <c r="AO570" s="6"/>
      <c r="AP570" s="6"/>
      <c r="AQ570" s="6"/>
      <c r="AR570" s="27"/>
      <c r="AS570" s="27"/>
      <c r="AT570" s="27"/>
      <c r="AU570" s="12"/>
      <c r="AV570" s="28"/>
    </row>
    <row r="571" spans="4:48">
      <c r="D571" s="12"/>
      <c r="E571" s="12"/>
      <c r="F571" s="12"/>
      <c r="G571" s="12"/>
      <c r="H571" s="36"/>
      <c r="J571" s="19"/>
      <c r="K571" s="19"/>
      <c r="L571" s="19"/>
      <c r="AF571" s="6"/>
      <c r="AG571" s="6"/>
      <c r="AH571" s="6"/>
      <c r="AI571" s="6"/>
      <c r="AN571" s="6"/>
      <c r="AO571" s="6"/>
      <c r="AP571" s="6"/>
      <c r="AQ571" s="6"/>
      <c r="AR571" s="27"/>
      <c r="AS571" s="27"/>
      <c r="AT571" s="27"/>
      <c r="AU571" s="12"/>
      <c r="AV571" s="28"/>
    </row>
    <row r="572" spans="4:48">
      <c r="D572" s="12"/>
      <c r="E572" s="12"/>
      <c r="F572" s="12"/>
      <c r="G572" s="12"/>
      <c r="H572" s="36"/>
      <c r="J572" s="19"/>
      <c r="K572" s="19"/>
      <c r="L572" s="19"/>
      <c r="AF572" s="6"/>
      <c r="AG572" s="6"/>
      <c r="AH572" s="6"/>
      <c r="AI572" s="6"/>
      <c r="AN572" s="6"/>
      <c r="AO572" s="6"/>
      <c r="AP572" s="6"/>
      <c r="AQ572" s="6"/>
      <c r="AR572" s="27"/>
      <c r="AS572" s="27"/>
      <c r="AT572" s="27"/>
      <c r="AU572" s="12"/>
      <c r="AV572" s="28"/>
    </row>
    <row r="573" spans="4:48">
      <c r="D573" s="12"/>
      <c r="E573" s="12"/>
      <c r="F573" s="12"/>
      <c r="G573" s="12"/>
      <c r="H573" s="36"/>
      <c r="J573" s="19"/>
      <c r="K573" s="19"/>
      <c r="L573" s="19"/>
      <c r="AF573" s="6"/>
      <c r="AG573" s="6"/>
      <c r="AH573" s="6"/>
      <c r="AI573" s="6"/>
      <c r="AN573" s="6"/>
      <c r="AO573" s="6"/>
      <c r="AP573" s="6"/>
      <c r="AQ573" s="6"/>
      <c r="AR573" s="27"/>
      <c r="AS573" s="27"/>
      <c r="AT573" s="27"/>
      <c r="AU573" s="12"/>
      <c r="AV573" s="28"/>
    </row>
    <row r="574" spans="4:48">
      <c r="D574" s="12"/>
      <c r="E574" s="12"/>
      <c r="F574" s="12"/>
      <c r="G574" s="12"/>
      <c r="H574" s="36"/>
      <c r="J574" s="19"/>
      <c r="K574" s="19"/>
      <c r="L574" s="19"/>
      <c r="AF574" s="6"/>
      <c r="AG574" s="6"/>
      <c r="AH574" s="6"/>
      <c r="AI574" s="6"/>
      <c r="AN574" s="6"/>
      <c r="AO574" s="6"/>
      <c r="AP574" s="6"/>
      <c r="AQ574" s="6"/>
      <c r="AR574" s="27"/>
      <c r="AS574" s="27"/>
      <c r="AT574" s="27"/>
      <c r="AU574" s="12"/>
      <c r="AV574" s="28"/>
    </row>
    <row r="575" spans="4:48">
      <c r="D575" s="12"/>
      <c r="E575" s="12"/>
      <c r="F575" s="12"/>
      <c r="G575" s="12"/>
      <c r="H575" s="36"/>
      <c r="J575" s="19"/>
      <c r="K575" s="19"/>
      <c r="L575" s="19"/>
      <c r="AF575" s="6"/>
      <c r="AG575" s="6"/>
      <c r="AH575" s="6"/>
      <c r="AI575" s="6"/>
      <c r="AN575" s="6"/>
      <c r="AO575" s="6"/>
      <c r="AP575" s="6"/>
      <c r="AQ575" s="6"/>
      <c r="AR575" s="27"/>
      <c r="AS575" s="27"/>
      <c r="AT575" s="27"/>
      <c r="AU575" s="12"/>
      <c r="AV575" s="28"/>
    </row>
    <row r="576" spans="4:48">
      <c r="D576" s="12"/>
      <c r="E576" s="12"/>
      <c r="F576" s="12"/>
      <c r="G576" s="12"/>
      <c r="H576" s="36"/>
      <c r="J576" s="19"/>
      <c r="K576" s="19"/>
      <c r="L576" s="19"/>
      <c r="AF576" s="6"/>
      <c r="AG576" s="6"/>
      <c r="AH576" s="6"/>
      <c r="AI576" s="6"/>
      <c r="AN576" s="6"/>
      <c r="AO576" s="6"/>
      <c r="AP576" s="6"/>
      <c r="AQ576" s="6"/>
      <c r="AR576" s="27"/>
      <c r="AS576" s="27"/>
      <c r="AT576" s="27"/>
      <c r="AU576" s="12"/>
      <c r="AV576" s="28"/>
    </row>
    <row r="577" spans="4:48">
      <c r="D577" s="12"/>
      <c r="E577" s="12"/>
      <c r="F577" s="12"/>
      <c r="G577" s="12"/>
      <c r="H577" s="36"/>
      <c r="J577" s="19"/>
      <c r="K577" s="19"/>
      <c r="L577" s="19"/>
      <c r="AF577" s="6"/>
      <c r="AG577" s="6"/>
      <c r="AH577" s="6"/>
      <c r="AI577" s="6"/>
      <c r="AN577" s="6"/>
      <c r="AO577" s="6"/>
      <c r="AP577" s="6"/>
      <c r="AQ577" s="6"/>
      <c r="AR577" s="27"/>
      <c r="AS577" s="27"/>
      <c r="AT577" s="27"/>
      <c r="AU577" s="12"/>
      <c r="AV577" s="28"/>
    </row>
    <row r="578" spans="4:48">
      <c r="D578" s="12"/>
      <c r="E578" s="12"/>
      <c r="F578" s="12"/>
      <c r="G578" s="12"/>
      <c r="H578" s="36"/>
      <c r="J578" s="19"/>
      <c r="K578" s="19"/>
      <c r="L578" s="19"/>
      <c r="AF578" s="6"/>
      <c r="AG578" s="6"/>
      <c r="AH578" s="6"/>
      <c r="AI578" s="6"/>
      <c r="AN578" s="6"/>
      <c r="AO578" s="6"/>
      <c r="AP578" s="6"/>
      <c r="AQ578" s="6"/>
      <c r="AR578" s="27"/>
      <c r="AS578" s="27"/>
      <c r="AT578" s="27"/>
      <c r="AU578" s="12"/>
      <c r="AV578" s="28"/>
    </row>
    <row r="579" spans="4:48">
      <c r="D579" s="12"/>
      <c r="E579" s="12"/>
      <c r="F579" s="12"/>
      <c r="G579" s="12"/>
      <c r="H579" s="36"/>
      <c r="J579" s="19"/>
      <c r="K579" s="19"/>
      <c r="L579" s="19"/>
      <c r="AF579" s="6"/>
      <c r="AG579" s="6"/>
      <c r="AH579" s="6"/>
      <c r="AI579" s="6"/>
      <c r="AN579" s="6"/>
      <c r="AO579" s="6"/>
      <c r="AP579" s="6"/>
      <c r="AQ579" s="6"/>
      <c r="AR579" s="27"/>
      <c r="AS579" s="27"/>
      <c r="AT579" s="27"/>
      <c r="AU579" s="12"/>
      <c r="AV579" s="28"/>
    </row>
    <row r="580" spans="4:48">
      <c r="D580" s="12"/>
      <c r="E580" s="12"/>
      <c r="F580" s="12"/>
      <c r="G580" s="12"/>
      <c r="H580" s="36"/>
      <c r="J580" s="19"/>
      <c r="K580" s="19"/>
      <c r="L580" s="19"/>
      <c r="AF580" s="6"/>
      <c r="AG580" s="6"/>
      <c r="AH580" s="6"/>
      <c r="AI580" s="6"/>
      <c r="AN580" s="6"/>
      <c r="AO580" s="6"/>
      <c r="AP580" s="6"/>
      <c r="AQ580" s="6"/>
      <c r="AR580" s="27"/>
      <c r="AS580" s="27"/>
      <c r="AT580" s="27"/>
      <c r="AU580" s="12"/>
      <c r="AV580" s="28"/>
    </row>
    <row r="581" spans="4:48">
      <c r="D581" s="12"/>
      <c r="E581" s="12"/>
      <c r="F581" s="12"/>
      <c r="G581" s="12"/>
      <c r="H581" s="36"/>
      <c r="J581" s="19"/>
      <c r="K581" s="19"/>
      <c r="L581" s="19"/>
      <c r="AF581" s="6"/>
      <c r="AG581" s="6"/>
      <c r="AH581" s="6"/>
      <c r="AI581" s="6"/>
      <c r="AN581" s="6"/>
      <c r="AO581" s="6"/>
      <c r="AP581" s="6"/>
      <c r="AQ581" s="6"/>
      <c r="AR581" s="27"/>
      <c r="AS581" s="27"/>
      <c r="AT581" s="27"/>
      <c r="AU581" s="12"/>
      <c r="AV581" s="28"/>
    </row>
    <row r="582" spans="4:48">
      <c r="D582" s="12"/>
      <c r="E582" s="12"/>
      <c r="F582" s="12"/>
      <c r="G582" s="12"/>
      <c r="H582" s="36"/>
      <c r="J582" s="19"/>
      <c r="K582" s="19"/>
      <c r="L582" s="19"/>
      <c r="AF582" s="6"/>
      <c r="AG582" s="6"/>
      <c r="AH582" s="6"/>
      <c r="AI582" s="6"/>
      <c r="AN582" s="6"/>
      <c r="AO582" s="6"/>
      <c r="AP582" s="6"/>
      <c r="AQ582" s="6"/>
      <c r="AR582" s="27"/>
      <c r="AS582" s="27"/>
      <c r="AT582" s="27"/>
      <c r="AU582" s="12"/>
      <c r="AV582" s="28"/>
    </row>
    <row r="583" spans="4:48">
      <c r="D583" s="12"/>
      <c r="E583" s="12"/>
      <c r="F583" s="12"/>
      <c r="G583" s="12"/>
      <c r="H583" s="36"/>
      <c r="J583" s="19"/>
      <c r="K583" s="19"/>
      <c r="L583" s="19"/>
      <c r="AF583" s="6"/>
      <c r="AG583" s="6"/>
      <c r="AH583" s="6"/>
      <c r="AI583" s="6"/>
      <c r="AN583" s="6"/>
      <c r="AO583" s="6"/>
      <c r="AP583" s="6"/>
      <c r="AQ583" s="6"/>
      <c r="AR583" s="27"/>
      <c r="AS583" s="27"/>
      <c r="AT583" s="27"/>
      <c r="AU583" s="12"/>
      <c r="AV583" s="28"/>
    </row>
    <row r="584" spans="4:48">
      <c r="D584" s="12"/>
      <c r="E584" s="12"/>
      <c r="F584" s="12"/>
      <c r="G584" s="12"/>
      <c r="H584" s="36"/>
      <c r="J584" s="19"/>
      <c r="K584" s="19"/>
      <c r="L584" s="19"/>
      <c r="AF584" s="6"/>
      <c r="AG584" s="6"/>
      <c r="AH584" s="6"/>
      <c r="AI584" s="6"/>
      <c r="AN584" s="6"/>
      <c r="AO584" s="6"/>
      <c r="AP584" s="6"/>
      <c r="AQ584" s="6"/>
      <c r="AR584" s="27"/>
      <c r="AS584" s="27"/>
      <c r="AT584" s="27"/>
      <c r="AU584" s="12"/>
      <c r="AV584" s="28"/>
    </row>
    <row r="585" spans="4:48">
      <c r="D585" s="12"/>
      <c r="E585" s="12"/>
      <c r="F585" s="12"/>
      <c r="G585" s="12"/>
      <c r="H585" s="36"/>
      <c r="J585" s="19"/>
      <c r="K585" s="19"/>
      <c r="L585" s="19"/>
      <c r="AF585" s="6"/>
      <c r="AG585" s="6"/>
      <c r="AH585" s="6"/>
      <c r="AI585" s="6"/>
      <c r="AN585" s="6"/>
      <c r="AO585" s="6"/>
      <c r="AP585" s="6"/>
      <c r="AQ585" s="6"/>
      <c r="AR585" s="27"/>
      <c r="AS585" s="27"/>
      <c r="AT585" s="27"/>
      <c r="AU585" s="12"/>
      <c r="AV585" s="28"/>
    </row>
    <row r="586" spans="4:48">
      <c r="D586" s="12"/>
      <c r="E586" s="12"/>
      <c r="F586" s="12"/>
      <c r="G586" s="12"/>
      <c r="H586" s="36"/>
      <c r="J586" s="19"/>
      <c r="K586" s="19"/>
      <c r="L586" s="19"/>
      <c r="AF586" s="6"/>
      <c r="AG586" s="6"/>
      <c r="AH586" s="6"/>
      <c r="AI586" s="6"/>
      <c r="AN586" s="6"/>
      <c r="AO586" s="6"/>
      <c r="AP586" s="6"/>
      <c r="AQ586" s="6"/>
      <c r="AR586" s="27"/>
      <c r="AS586" s="27"/>
      <c r="AT586" s="27"/>
      <c r="AU586" s="12"/>
      <c r="AV586" s="28"/>
    </row>
    <row r="587" spans="4:48">
      <c r="D587" s="12"/>
      <c r="E587" s="12"/>
      <c r="F587" s="12"/>
      <c r="G587" s="12"/>
      <c r="H587" s="36"/>
      <c r="J587" s="19"/>
      <c r="K587" s="19"/>
      <c r="L587" s="19"/>
      <c r="AF587" s="6"/>
      <c r="AG587" s="6"/>
      <c r="AH587" s="6"/>
      <c r="AI587" s="6"/>
      <c r="AN587" s="6"/>
      <c r="AO587" s="6"/>
      <c r="AP587" s="6"/>
      <c r="AQ587" s="6"/>
      <c r="AR587" s="27"/>
      <c r="AS587" s="27"/>
      <c r="AT587" s="27"/>
      <c r="AU587" s="12"/>
      <c r="AV587" s="28"/>
    </row>
    <row r="588" spans="4:48">
      <c r="D588" s="12"/>
      <c r="E588" s="12"/>
      <c r="F588" s="12"/>
      <c r="G588" s="12"/>
      <c r="H588" s="36"/>
      <c r="J588" s="19"/>
      <c r="K588" s="19"/>
      <c r="L588" s="19"/>
      <c r="AF588" s="6"/>
      <c r="AG588" s="6"/>
      <c r="AH588" s="6"/>
      <c r="AI588" s="6"/>
      <c r="AN588" s="6"/>
      <c r="AO588" s="6"/>
      <c r="AP588" s="6"/>
      <c r="AQ588" s="6"/>
      <c r="AR588" s="27"/>
      <c r="AS588" s="27"/>
      <c r="AT588" s="27"/>
      <c r="AU588" s="12"/>
      <c r="AV588" s="28"/>
    </row>
    <row r="589" spans="4:48">
      <c r="D589" s="12"/>
      <c r="E589" s="12"/>
      <c r="F589" s="12"/>
      <c r="G589" s="12"/>
      <c r="H589" s="36"/>
      <c r="J589" s="19"/>
      <c r="K589" s="19"/>
      <c r="L589" s="19"/>
      <c r="AF589" s="6"/>
      <c r="AG589" s="6"/>
      <c r="AH589" s="6"/>
      <c r="AI589" s="6"/>
      <c r="AN589" s="6"/>
      <c r="AO589" s="6"/>
      <c r="AP589" s="6"/>
      <c r="AQ589" s="6"/>
      <c r="AR589" s="27"/>
      <c r="AS589" s="27"/>
      <c r="AT589" s="27"/>
      <c r="AU589" s="12"/>
      <c r="AV589" s="28"/>
    </row>
    <row r="590" spans="4:48">
      <c r="D590" s="12"/>
      <c r="E590" s="12"/>
      <c r="F590" s="12"/>
      <c r="G590" s="12"/>
      <c r="H590" s="36"/>
      <c r="J590" s="19"/>
      <c r="K590" s="19"/>
      <c r="L590" s="19"/>
      <c r="AF590" s="6"/>
      <c r="AG590" s="6"/>
      <c r="AH590" s="6"/>
      <c r="AI590" s="6"/>
      <c r="AN590" s="6"/>
      <c r="AO590" s="6"/>
      <c r="AP590" s="6"/>
      <c r="AQ590" s="6"/>
      <c r="AR590" s="27"/>
      <c r="AS590" s="27"/>
      <c r="AT590" s="27"/>
      <c r="AU590" s="12"/>
      <c r="AV590" s="28"/>
    </row>
    <row r="591" spans="4:48">
      <c r="D591" s="12"/>
      <c r="E591" s="12"/>
      <c r="F591" s="12"/>
      <c r="G591" s="12"/>
      <c r="H591" s="36"/>
      <c r="J591" s="19"/>
      <c r="K591" s="19"/>
      <c r="L591" s="19"/>
      <c r="AF591" s="6"/>
      <c r="AG591" s="6"/>
      <c r="AH591" s="6"/>
      <c r="AI591" s="6"/>
      <c r="AN591" s="6"/>
      <c r="AO591" s="6"/>
      <c r="AP591" s="6"/>
      <c r="AQ591" s="6"/>
      <c r="AR591" s="27"/>
      <c r="AS591" s="27"/>
      <c r="AT591" s="27"/>
      <c r="AU591" s="12"/>
      <c r="AV591" s="28"/>
    </row>
    <row r="592" spans="4:48">
      <c r="D592" s="12"/>
      <c r="E592" s="12"/>
      <c r="F592" s="12"/>
      <c r="G592" s="12"/>
      <c r="H592" s="36"/>
      <c r="J592" s="19"/>
      <c r="K592" s="19"/>
      <c r="L592" s="19"/>
      <c r="AF592" s="6"/>
      <c r="AG592" s="6"/>
      <c r="AH592" s="6"/>
      <c r="AI592" s="6"/>
      <c r="AN592" s="6"/>
      <c r="AO592" s="6"/>
      <c r="AP592" s="6"/>
      <c r="AQ592" s="6"/>
      <c r="AR592" s="27"/>
      <c r="AS592" s="27"/>
      <c r="AT592" s="27"/>
      <c r="AU592" s="12"/>
      <c r="AV592" s="28"/>
    </row>
    <row r="593" spans="4:48">
      <c r="D593" s="12"/>
      <c r="E593" s="12"/>
      <c r="F593" s="12"/>
      <c r="G593" s="12"/>
      <c r="H593" s="36"/>
      <c r="J593" s="19"/>
      <c r="K593" s="19"/>
      <c r="L593" s="19"/>
      <c r="AF593" s="6"/>
      <c r="AG593" s="6"/>
      <c r="AH593" s="6"/>
      <c r="AI593" s="6"/>
      <c r="AN593" s="6"/>
      <c r="AO593" s="6"/>
      <c r="AP593" s="6"/>
      <c r="AQ593" s="6"/>
      <c r="AR593" s="27"/>
      <c r="AS593" s="27"/>
      <c r="AT593" s="27"/>
      <c r="AU593" s="12"/>
      <c r="AV593" s="28"/>
    </row>
    <row r="594" spans="4:48">
      <c r="D594" s="12"/>
      <c r="E594" s="12"/>
      <c r="F594" s="12"/>
      <c r="G594" s="12"/>
      <c r="H594" s="36"/>
      <c r="J594" s="19"/>
      <c r="K594" s="19"/>
      <c r="L594" s="19"/>
      <c r="AF594" s="6"/>
      <c r="AG594" s="6"/>
      <c r="AH594" s="6"/>
      <c r="AI594" s="6"/>
      <c r="AN594" s="6"/>
      <c r="AO594" s="6"/>
      <c r="AP594" s="6"/>
      <c r="AQ594" s="6"/>
      <c r="AR594" s="27"/>
      <c r="AS594" s="27"/>
      <c r="AT594" s="27"/>
      <c r="AU594" s="12"/>
      <c r="AV594" s="28"/>
    </row>
    <row r="595" spans="4:48">
      <c r="D595" s="12"/>
      <c r="E595" s="12"/>
      <c r="F595" s="12"/>
      <c r="G595" s="12"/>
      <c r="H595" s="36"/>
      <c r="J595" s="19"/>
      <c r="K595" s="19"/>
      <c r="L595" s="19"/>
      <c r="AF595" s="6"/>
      <c r="AG595" s="6"/>
      <c r="AH595" s="6"/>
      <c r="AI595" s="6"/>
      <c r="AN595" s="6"/>
      <c r="AO595" s="6"/>
      <c r="AP595" s="6"/>
      <c r="AQ595" s="6"/>
      <c r="AR595" s="27"/>
      <c r="AS595" s="27"/>
      <c r="AT595" s="27"/>
      <c r="AU595" s="12"/>
      <c r="AV595" s="28"/>
    </row>
    <row r="596" spans="4:48">
      <c r="D596" s="12"/>
      <c r="E596" s="12"/>
      <c r="F596" s="12"/>
      <c r="G596" s="12"/>
      <c r="H596" s="36"/>
      <c r="J596" s="19"/>
      <c r="K596" s="19"/>
      <c r="L596" s="19"/>
      <c r="AF596" s="6"/>
      <c r="AG596" s="6"/>
      <c r="AH596" s="6"/>
      <c r="AI596" s="6"/>
      <c r="AN596" s="6"/>
      <c r="AO596" s="6"/>
      <c r="AP596" s="6"/>
      <c r="AQ596" s="6"/>
      <c r="AR596" s="27"/>
      <c r="AS596" s="27"/>
      <c r="AT596" s="27"/>
      <c r="AU596" s="12"/>
      <c r="AV596" s="28"/>
    </row>
    <row r="597" spans="4:48">
      <c r="D597" s="12"/>
      <c r="E597" s="12"/>
      <c r="F597" s="12"/>
      <c r="G597" s="12"/>
      <c r="H597" s="36"/>
      <c r="J597" s="19"/>
      <c r="K597" s="19"/>
      <c r="L597" s="19"/>
      <c r="AF597" s="6"/>
      <c r="AG597" s="6"/>
      <c r="AH597" s="6"/>
      <c r="AI597" s="6"/>
      <c r="AN597" s="6"/>
      <c r="AO597" s="6"/>
      <c r="AP597" s="6"/>
      <c r="AQ597" s="6"/>
      <c r="AR597" s="27"/>
      <c r="AS597" s="27"/>
      <c r="AT597" s="27"/>
      <c r="AU597" s="12"/>
      <c r="AV597" s="28"/>
    </row>
    <row r="598" spans="4:48">
      <c r="D598" s="12"/>
      <c r="E598" s="12"/>
      <c r="F598" s="12"/>
      <c r="G598" s="12"/>
      <c r="H598" s="36"/>
      <c r="J598" s="19"/>
      <c r="K598" s="19"/>
      <c r="L598" s="19"/>
      <c r="AF598" s="6"/>
      <c r="AG598" s="6"/>
      <c r="AH598" s="6"/>
      <c r="AI598" s="6"/>
      <c r="AN598" s="6"/>
      <c r="AO598" s="6"/>
      <c r="AP598" s="6"/>
      <c r="AQ598" s="6"/>
      <c r="AR598" s="27"/>
      <c r="AS598" s="27"/>
      <c r="AT598" s="27"/>
      <c r="AU598" s="12"/>
      <c r="AV598" s="28"/>
    </row>
    <row r="599" spans="4:48">
      <c r="D599" s="12"/>
      <c r="E599" s="12"/>
      <c r="F599" s="12"/>
      <c r="G599" s="12"/>
      <c r="H599" s="36"/>
      <c r="J599" s="19"/>
      <c r="K599" s="19"/>
      <c r="L599" s="19"/>
      <c r="AF599" s="6"/>
      <c r="AG599" s="6"/>
      <c r="AH599" s="6"/>
      <c r="AI599" s="6"/>
      <c r="AN599" s="6"/>
      <c r="AO599" s="6"/>
      <c r="AP599" s="6"/>
      <c r="AQ599" s="6"/>
      <c r="AR599" s="27"/>
      <c r="AS599" s="27"/>
      <c r="AT599" s="27"/>
      <c r="AU599" s="12"/>
      <c r="AV599" s="28"/>
    </row>
    <row r="600" spans="4:48">
      <c r="D600" s="12"/>
      <c r="E600" s="12"/>
      <c r="F600" s="12"/>
      <c r="G600" s="12"/>
      <c r="H600" s="36"/>
      <c r="J600" s="19"/>
      <c r="K600" s="19"/>
      <c r="L600" s="19"/>
      <c r="AF600" s="6"/>
      <c r="AG600" s="6"/>
      <c r="AH600" s="6"/>
      <c r="AI600" s="6"/>
      <c r="AN600" s="6"/>
      <c r="AO600" s="6"/>
      <c r="AP600" s="6"/>
      <c r="AQ600" s="6"/>
      <c r="AR600" s="27"/>
      <c r="AS600" s="27"/>
      <c r="AT600" s="27"/>
      <c r="AU600" s="12"/>
      <c r="AV600" s="28"/>
    </row>
    <row r="601" spans="4:48">
      <c r="D601" s="12"/>
      <c r="E601" s="12"/>
      <c r="F601" s="12"/>
      <c r="G601" s="12"/>
      <c r="H601" s="36"/>
      <c r="J601" s="19"/>
      <c r="K601" s="19"/>
      <c r="L601" s="19"/>
      <c r="AF601" s="6"/>
      <c r="AG601" s="6"/>
      <c r="AH601" s="6"/>
      <c r="AI601" s="6"/>
      <c r="AN601" s="6"/>
      <c r="AO601" s="6"/>
      <c r="AP601" s="6"/>
      <c r="AQ601" s="6"/>
      <c r="AR601" s="27"/>
      <c r="AS601" s="27"/>
      <c r="AT601" s="27"/>
      <c r="AU601" s="12"/>
      <c r="AV601" s="28"/>
    </row>
    <row r="602" spans="4:48">
      <c r="D602" s="12"/>
      <c r="E602" s="12"/>
      <c r="F602" s="12"/>
      <c r="G602" s="12"/>
      <c r="H602" s="36"/>
      <c r="J602" s="19"/>
      <c r="K602" s="19"/>
      <c r="L602" s="19"/>
      <c r="AF602" s="6"/>
      <c r="AG602" s="6"/>
      <c r="AH602" s="6"/>
      <c r="AI602" s="6"/>
      <c r="AN602" s="6"/>
      <c r="AO602" s="6"/>
      <c r="AP602" s="6"/>
      <c r="AQ602" s="6"/>
      <c r="AR602" s="27"/>
      <c r="AS602" s="27"/>
      <c r="AT602" s="27"/>
      <c r="AU602" s="12"/>
      <c r="AV602" s="28"/>
    </row>
    <row r="603" spans="4:48">
      <c r="D603" s="12"/>
      <c r="E603" s="12"/>
      <c r="F603" s="12"/>
      <c r="G603" s="12"/>
      <c r="H603" s="36"/>
      <c r="J603" s="19"/>
      <c r="K603" s="19"/>
      <c r="L603" s="19"/>
      <c r="AF603" s="6"/>
      <c r="AG603" s="6"/>
      <c r="AH603" s="6"/>
      <c r="AI603" s="6"/>
      <c r="AN603" s="6"/>
      <c r="AO603" s="6"/>
      <c r="AP603" s="6"/>
      <c r="AQ603" s="6"/>
      <c r="AR603" s="27"/>
      <c r="AS603" s="27"/>
      <c r="AT603" s="27"/>
      <c r="AU603" s="12"/>
      <c r="AV603" s="28"/>
    </row>
    <row r="604" spans="4:48">
      <c r="D604" s="12"/>
      <c r="E604" s="12"/>
      <c r="F604" s="12"/>
      <c r="G604" s="12"/>
      <c r="H604" s="36"/>
      <c r="J604" s="19"/>
      <c r="K604" s="19"/>
      <c r="L604" s="19"/>
      <c r="AF604" s="6"/>
      <c r="AG604" s="6"/>
      <c r="AH604" s="6"/>
      <c r="AI604" s="6"/>
      <c r="AN604" s="6"/>
      <c r="AO604" s="6"/>
      <c r="AP604" s="6"/>
      <c r="AQ604" s="6"/>
      <c r="AR604" s="27"/>
      <c r="AS604" s="27"/>
      <c r="AT604" s="27"/>
      <c r="AU604" s="12"/>
      <c r="AV604" s="28"/>
    </row>
    <row r="605" spans="4:48">
      <c r="D605" s="12"/>
      <c r="E605" s="12"/>
      <c r="F605" s="12"/>
      <c r="G605" s="12"/>
      <c r="H605" s="36"/>
      <c r="J605" s="19"/>
      <c r="K605" s="19"/>
      <c r="L605" s="19"/>
      <c r="AF605" s="6"/>
      <c r="AG605" s="6"/>
      <c r="AH605" s="6"/>
      <c r="AI605" s="6"/>
      <c r="AN605" s="6"/>
      <c r="AO605" s="6"/>
      <c r="AP605" s="6"/>
      <c r="AQ605" s="6"/>
      <c r="AR605" s="27"/>
      <c r="AS605" s="27"/>
      <c r="AT605" s="27"/>
      <c r="AU605" s="12"/>
      <c r="AV605" s="28"/>
    </row>
    <row r="606" spans="4:48">
      <c r="D606" s="12"/>
      <c r="E606" s="12"/>
      <c r="F606" s="12"/>
      <c r="G606" s="12"/>
      <c r="H606" s="36"/>
      <c r="J606" s="19"/>
      <c r="K606" s="19"/>
      <c r="L606" s="19"/>
      <c r="AF606" s="6"/>
      <c r="AG606" s="6"/>
      <c r="AH606" s="6"/>
      <c r="AI606" s="6"/>
      <c r="AN606" s="6"/>
      <c r="AO606" s="6"/>
      <c r="AP606" s="6"/>
      <c r="AQ606" s="6"/>
      <c r="AR606" s="27"/>
      <c r="AS606" s="27"/>
      <c r="AT606" s="27"/>
      <c r="AU606" s="12"/>
      <c r="AV606" s="28"/>
    </row>
    <row r="607" spans="4:48">
      <c r="D607" s="12"/>
      <c r="E607" s="12"/>
      <c r="F607" s="12"/>
      <c r="G607" s="12"/>
      <c r="H607" s="36"/>
      <c r="J607" s="19"/>
      <c r="K607" s="19"/>
      <c r="L607" s="19"/>
      <c r="AF607" s="6"/>
      <c r="AG607" s="6"/>
      <c r="AH607" s="6"/>
      <c r="AI607" s="6"/>
      <c r="AN607" s="6"/>
      <c r="AO607" s="6"/>
      <c r="AP607" s="6"/>
      <c r="AQ607" s="6"/>
      <c r="AR607" s="27"/>
      <c r="AS607" s="27"/>
      <c r="AT607" s="27"/>
      <c r="AU607" s="12"/>
      <c r="AV607" s="28"/>
    </row>
    <row r="608" spans="4:48">
      <c r="D608" s="12"/>
      <c r="E608" s="12"/>
      <c r="F608" s="12"/>
      <c r="G608" s="12"/>
      <c r="H608" s="36"/>
      <c r="J608" s="19"/>
      <c r="K608" s="19"/>
      <c r="L608" s="19"/>
      <c r="AF608" s="6"/>
      <c r="AG608" s="6"/>
      <c r="AH608" s="6"/>
      <c r="AI608" s="6"/>
      <c r="AN608" s="6"/>
      <c r="AO608" s="6"/>
      <c r="AP608" s="6"/>
      <c r="AQ608" s="6"/>
      <c r="AR608" s="27"/>
      <c r="AS608" s="27"/>
      <c r="AT608" s="27"/>
      <c r="AU608" s="12"/>
      <c r="AV608" s="28"/>
    </row>
    <row r="609" spans="4:48">
      <c r="D609" s="12"/>
      <c r="E609" s="12"/>
      <c r="F609" s="12"/>
      <c r="G609" s="12"/>
      <c r="H609" s="36"/>
      <c r="J609" s="19"/>
      <c r="K609" s="19"/>
      <c r="L609" s="19"/>
      <c r="AF609" s="6"/>
      <c r="AG609" s="6"/>
      <c r="AH609" s="6"/>
      <c r="AI609" s="6"/>
      <c r="AN609" s="6"/>
      <c r="AO609" s="6"/>
      <c r="AP609" s="6"/>
      <c r="AQ609" s="6"/>
      <c r="AR609" s="27"/>
      <c r="AS609" s="27"/>
      <c r="AT609" s="27"/>
      <c r="AU609" s="12"/>
      <c r="AV609" s="28"/>
    </row>
    <row r="610" spans="4:48">
      <c r="D610" s="12"/>
      <c r="E610" s="12"/>
      <c r="F610" s="12"/>
      <c r="G610" s="12"/>
      <c r="H610" s="36"/>
      <c r="J610" s="19"/>
      <c r="K610" s="19"/>
      <c r="L610" s="19"/>
      <c r="AF610" s="6"/>
      <c r="AG610" s="6"/>
      <c r="AH610" s="6"/>
      <c r="AI610" s="6"/>
      <c r="AN610" s="6"/>
      <c r="AO610" s="6"/>
      <c r="AP610" s="6"/>
      <c r="AQ610" s="6"/>
      <c r="AR610" s="27"/>
      <c r="AS610" s="27"/>
      <c r="AT610" s="27"/>
      <c r="AU610" s="12"/>
      <c r="AV610" s="28"/>
    </row>
    <row r="611" spans="4:48">
      <c r="D611" s="12"/>
      <c r="E611" s="12"/>
      <c r="F611" s="12"/>
      <c r="G611" s="12"/>
      <c r="H611" s="36"/>
      <c r="J611" s="19"/>
      <c r="K611" s="19"/>
      <c r="L611" s="19"/>
      <c r="AF611" s="6"/>
      <c r="AG611" s="6"/>
      <c r="AH611" s="6"/>
      <c r="AI611" s="6"/>
      <c r="AN611" s="6"/>
      <c r="AO611" s="6"/>
      <c r="AP611" s="6"/>
      <c r="AQ611" s="6"/>
      <c r="AR611" s="27"/>
      <c r="AS611" s="27"/>
      <c r="AT611" s="27"/>
      <c r="AU611" s="12"/>
      <c r="AV611" s="28"/>
    </row>
    <row r="612" spans="4:48">
      <c r="D612" s="12"/>
      <c r="E612" s="12"/>
      <c r="F612" s="12"/>
      <c r="G612" s="12"/>
      <c r="H612" s="36"/>
      <c r="J612" s="19"/>
      <c r="K612" s="19"/>
      <c r="L612" s="19"/>
      <c r="AF612" s="6"/>
      <c r="AG612" s="6"/>
      <c r="AH612" s="6"/>
      <c r="AI612" s="6"/>
      <c r="AN612" s="6"/>
      <c r="AO612" s="6"/>
      <c r="AP612" s="6"/>
      <c r="AQ612" s="6"/>
      <c r="AR612" s="27"/>
      <c r="AS612" s="27"/>
      <c r="AT612" s="27"/>
      <c r="AU612" s="12"/>
      <c r="AV612" s="28"/>
    </row>
    <row r="613" spans="4:48">
      <c r="D613" s="12"/>
      <c r="E613" s="12"/>
      <c r="F613" s="12"/>
      <c r="G613" s="12"/>
      <c r="H613" s="36"/>
      <c r="J613" s="19"/>
      <c r="K613" s="19"/>
      <c r="L613" s="19"/>
      <c r="AF613" s="6"/>
      <c r="AG613" s="6"/>
      <c r="AH613" s="6"/>
      <c r="AI613" s="6"/>
      <c r="AN613" s="6"/>
      <c r="AO613" s="6"/>
      <c r="AP613" s="6"/>
      <c r="AQ613" s="6"/>
      <c r="AR613" s="27"/>
      <c r="AS613" s="27"/>
      <c r="AT613" s="27"/>
      <c r="AU613" s="12"/>
      <c r="AV613" s="28"/>
    </row>
    <row r="614" spans="4:48">
      <c r="D614" s="12"/>
      <c r="E614" s="12"/>
      <c r="F614" s="12"/>
      <c r="G614" s="12"/>
      <c r="H614" s="36"/>
      <c r="J614" s="19"/>
      <c r="K614" s="19"/>
      <c r="L614" s="19"/>
      <c r="AF614" s="6"/>
      <c r="AG614" s="6"/>
      <c r="AH614" s="6"/>
      <c r="AI614" s="6"/>
      <c r="AN614" s="6"/>
      <c r="AO614" s="6"/>
      <c r="AP614" s="6"/>
      <c r="AQ614" s="6"/>
      <c r="AR614" s="27"/>
      <c r="AS614" s="27"/>
      <c r="AT614" s="27"/>
      <c r="AU614" s="12"/>
      <c r="AV614" s="28"/>
    </row>
    <row r="615" spans="4:48">
      <c r="D615" s="12"/>
      <c r="E615" s="12"/>
      <c r="F615" s="12"/>
      <c r="G615" s="12"/>
      <c r="H615" s="36"/>
      <c r="J615" s="19"/>
      <c r="K615" s="19"/>
      <c r="L615" s="19"/>
      <c r="AF615" s="6"/>
      <c r="AG615" s="6"/>
      <c r="AH615" s="6"/>
      <c r="AI615" s="6"/>
      <c r="AN615" s="6"/>
      <c r="AO615" s="6"/>
      <c r="AP615" s="6"/>
      <c r="AQ615" s="6"/>
      <c r="AR615" s="27"/>
      <c r="AS615" s="27"/>
      <c r="AT615" s="27"/>
      <c r="AU615" s="12"/>
      <c r="AV615" s="28"/>
    </row>
    <row r="616" spans="4:48">
      <c r="D616" s="12"/>
      <c r="E616" s="12"/>
      <c r="F616" s="12"/>
      <c r="G616" s="12"/>
      <c r="H616" s="36"/>
      <c r="J616" s="19"/>
      <c r="K616" s="19"/>
      <c r="L616" s="19"/>
      <c r="AF616" s="6"/>
      <c r="AG616" s="6"/>
      <c r="AH616" s="6"/>
      <c r="AI616" s="6"/>
      <c r="AN616" s="6"/>
      <c r="AO616" s="6"/>
      <c r="AP616" s="6"/>
      <c r="AQ616" s="6"/>
      <c r="AR616" s="27"/>
      <c r="AS616" s="27"/>
      <c r="AT616" s="27"/>
      <c r="AU616" s="12"/>
      <c r="AV616" s="28"/>
    </row>
    <row r="617" spans="4:48">
      <c r="D617" s="12"/>
      <c r="E617" s="12"/>
      <c r="F617" s="12"/>
      <c r="G617" s="12"/>
      <c r="H617" s="36"/>
      <c r="J617" s="19"/>
      <c r="K617" s="19"/>
      <c r="L617" s="19"/>
      <c r="AF617" s="6"/>
      <c r="AG617" s="6"/>
      <c r="AH617" s="6"/>
      <c r="AI617" s="6"/>
      <c r="AN617" s="6"/>
      <c r="AO617" s="6"/>
      <c r="AP617" s="6"/>
      <c r="AQ617" s="6"/>
      <c r="AR617" s="27"/>
      <c r="AS617" s="27"/>
      <c r="AT617" s="27"/>
      <c r="AU617" s="12"/>
      <c r="AV617" s="28"/>
    </row>
    <row r="618" spans="4:48">
      <c r="D618" s="12"/>
      <c r="E618" s="12"/>
      <c r="F618" s="12"/>
      <c r="G618" s="12"/>
      <c r="H618" s="36"/>
      <c r="J618" s="19"/>
      <c r="K618" s="19"/>
      <c r="L618" s="19"/>
      <c r="AF618" s="6"/>
      <c r="AG618" s="6"/>
      <c r="AH618" s="6"/>
      <c r="AI618" s="6"/>
      <c r="AN618" s="6"/>
      <c r="AO618" s="6"/>
      <c r="AP618" s="6"/>
      <c r="AQ618" s="6"/>
      <c r="AR618" s="27"/>
      <c r="AS618" s="27"/>
      <c r="AT618" s="27"/>
      <c r="AU618" s="12"/>
      <c r="AV618" s="28"/>
    </row>
    <row r="619" spans="4:48">
      <c r="D619" s="12"/>
      <c r="E619" s="12"/>
      <c r="F619" s="12"/>
      <c r="G619" s="12"/>
      <c r="H619" s="36"/>
      <c r="J619" s="19"/>
      <c r="K619" s="19"/>
      <c r="L619" s="19"/>
      <c r="AF619" s="6"/>
      <c r="AG619" s="6"/>
      <c r="AH619" s="6"/>
      <c r="AI619" s="6"/>
      <c r="AN619" s="6"/>
      <c r="AO619" s="6"/>
      <c r="AP619" s="6"/>
      <c r="AQ619" s="6"/>
      <c r="AR619" s="27"/>
      <c r="AS619" s="27"/>
      <c r="AT619" s="27"/>
      <c r="AU619" s="12"/>
      <c r="AV619" s="28"/>
    </row>
    <row r="620" spans="4:48">
      <c r="D620" s="12"/>
      <c r="E620" s="12"/>
      <c r="F620" s="12"/>
      <c r="G620" s="12"/>
      <c r="H620" s="36"/>
      <c r="J620" s="19"/>
      <c r="K620" s="19"/>
      <c r="L620" s="19"/>
      <c r="AF620" s="6"/>
      <c r="AG620" s="6"/>
      <c r="AH620" s="6"/>
      <c r="AI620" s="6"/>
      <c r="AN620" s="6"/>
      <c r="AO620" s="6"/>
      <c r="AP620" s="6"/>
      <c r="AQ620" s="6"/>
      <c r="AR620" s="27"/>
      <c r="AS620" s="27"/>
      <c r="AT620" s="27"/>
      <c r="AU620" s="12"/>
      <c r="AV620" s="28"/>
    </row>
    <row r="621" spans="4:48">
      <c r="D621" s="12"/>
      <c r="E621" s="12"/>
      <c r="F621" s="12"/>
      <c r="G621" s="12"/>
      <c r="H621" s="36"/>
      <c r="J621" s="19"/>
      <c r="K621" s="19"/>
      <c r="L621" s="19"/>
      <c r="AF621" s="6"/>
      <c r="AG621" s="6"/>
      <c r="AH621" s="6"/>
      <c r="AI621" s="6"/>
      <c r="AN621" s="6"/>
      <c r="AO621" s="6"/>
      <c r="AP621" s="6"/>
      <c r="AQ621" s="6"/>
      <c r="AR621" s="27"/>
      <c r="AS621" s="27"/>
      <c r="AT621" s="27"/>
      <c r="AU621" s="12"/>
      <c r="AV621" s="28"/>
    </row>
    <row r="622" spans="4:48">
      <c r="D622" s="12"/>
      <c r="E622" s="12"/>
      <c r="F622" s="12"/>
      <c r="G622" s="12"/>
      <c r="H622" s="36"/>
      <c r="J622" s="19"/>
      <c r="K622" s="19"/>
      <c r="L622" s="19"/>
      <c r="AF622" s="6"/>
      <c r="AG622" s="6"/>
      <c r="AH622" s="6"/>
      <c r="AI622" s="6"/>
      <c r="AN622" s="6"/>
      <c r="AO622" s="6"/>
      <c r="AP622" s="6"/>
      <c r="AQ622" s="6"/>
      <c r="AR622" s="27"/>
      <c r="AS622" s="27"/>
      <c r="AT622" s="27"/>
      <c r="AU622" s="12"/>
      <c r="AV622" s="28"/>
    </row>
    <row r="623" spans="4:48">
      <c r="D623" s="12"/>
      <c r="E623" s="12"/>
      <c r="F623" s="12"/>
      <c r="G623" s="12"/>
      <c r="H623" s="36"/>
      <c r="J623" s="19"/>
      <c r="K623" s="19"/>
      <c r="L623" s="19"/>
      <c r="AF623" s="6"/>
      <c r="AG623" s="6"/>
      <c r="AH623" s="6"/>
      <c r="AI623" s="6"/>
      <c r="AN623" s="6"/>
      <c r="AO623" s="6"/>
      <c r="AP623" s="6"/>
      <c r="AQ623" s="6"/>
      <c r="AR623" s="27"/>
      <c r="AS623" s="27"/>
      <c r="AT623" s="27"/>
      <c r="AU623" s="12"/>
      <c r="AV623" s="28"/>
    </row>
    <row r="624" spans="4:48">
      <c r="D624" s="12"/>
      <c r="E624" s="12"/>
      <c r="F624" s="12"/>
      <c r="G624" s="12"/>
      <c r="H624" s="36"/>
      <c r="J624" s="19"/>
      <c r="K624" s="19"/>
      <c r="L624" s="19"/>
      <c r="AF624" s="6"/>
      <c r="AG624" s="6"/>
      <c r="AH624" s="6"/>
      <c r="AI624" s="6"/>
      <c r="AN624" s="6"/>
      <c r="AO624" s="6"/>
      <c r="AP624" s="6"/>
      <c r="AQ624" s="6"/>
      <c r="AR624" s="27"/>
      <c r="AS624" s="27"/>
      <c r="AT624" s="27"/>
      <c r="AU624" s="12"/>
      <c r="AV624" s="28"/>
    </row>
    <row r="625" spans="4:48">
      <c r="D625" s="12"/>
      <c r="E625" s="12"/>
      <c r="F625" s="12"/>
      <c r="G625" s="12"/>
      <c r="H625" s="36"/>
      <c r="J625" s="19"/>
      <c r="K625" s="19"/>
      <c r="L625" s="19"/>
      <c r="AF625" s="6"/>
      <c r="AG625" s="6"/>
      <c r="AH625" s="6"/>
      <c r="AI625" s="6"/>
      <c r="AN625" s="6"/>
      <c r="AO625" s="6"/>
      <c r="AP625" s="6"/>
      <c r="AQ625" s="6"/>
      <c r="AR625" s="27"/>
      <c r="AS625" s="27"/>
      <c r="AT625" s="27"/>
      <c r="AU625" s="12"/>
      <c r="AV625" s="28"/>
    </row>
    <row r="626" spans="4:48">
      <c r="D626" s="12"/>
      <c r="E626" s="12"/>
      <c r="F626" s="12"/>
      <c r="G626" s="12"/>
      <c r="H626" s="36"/>
      <c r="J626" s="19"/>
      <c r="K626" s="19"/>
      <c r="L626" s="19"/>
      <c r="AF626" s="6"/>
      <c r="AG626" s="6"/>
      <c r="AH626" s="6"/>
      <c r="AI626" s="6"/>
      <c r="AN626" s="6"/>
      <c r="AO626" s="6"/>
      <c r="AP626" s="6"/>
      <c r="AQ626" s="6"/>
      <c r="AR626" s="27"/>
      <c r="AS626" s="27"/>
      <c r="AT626" s="27"/>
      <c r="AU626" s="12"/>
      <c r="AV626" s="28"/>
    </row>
    <row r="627" spans="4:48">
      <c r="D627" s="12"/>
      <c r="E627" s="12"/>
      <c r="F627" s="12"/>
      <c r="G627" s="12"/>
      <c r="H627" s="36"/>
      <c r="J627" s="19"/>
      <c r="K627" s="19"/>
      <c r="L627" s="19"/>
      <c r="AF627" s="6"/>
      <c r="AG627" s="6"/>
      <c r="AH627" s="6"/>
      <c r="AI627" s="6"/>
      <c r="AN627" s="6"/>
      <c r="AO627" s="6"/>
      <c r="AP627" s="6"/>
      <c r="AQ627" s="6"/>
      <c r="AR627" s="27"/>
      <c r="AS627" s="27"/>
      <c r="AT627" s="27"/>
      <c r="AU627" s="12"/>
      <c r="AV627" s="28"/>
    </row>
    <row r="628" spans="4:48">
      <c r="D628" s="12"/>
      <c r="E628" s="12"/>
      <c r="F628" s="12"/>
      <c r="G628" s="12"/>
      <c r="H628" s="36"/>
      <c r="J628" s="19"/>
      <c r="K628" s="19"/>
      <c r="L628" s="19"/>
      <c r="AF628" s="6"/>
      <c r="AG628" s="6"/>
      <c r="AH628" s="6"/>
      <c r="AI628" s="6"/>
      <c r="AN628" s="6"/>
      <c r="AO628" s="6"/>
      <c r="AP628" s="6"/>
      <c r="AQ628" s="6"/>
      <c r="AR628" s="27"/>
      <c r="AS628" s="27"/>
      <c r="AT628" s="27"/>
      <c r="AU628" s="12"/>
      <c r="AV628" s="28"/>
    </row>
    <row r="629" spans="4:48">
      <c r="D629" s="12"/>
      <c r="E629" s="12"/>
      <c r="F629" s="12"/>
      <c r="G629" s="12"/>
      <c r="H629" s="36"/>
      <c r="J629" s="19"/>
      <c r="K629" s="19"/>
      <c r="L629" s="19"/>
      <c r="AF629" s="6"/>
      <c r="AG629" s="6"/>
      <c r="AH629" s="6"/>
      <c r="AI629" s="6"/>
      <c r="AN629" s="6"/>
      <c r="AO629" s="6"/>
      <c r="AP629" s="6"/>
      <c r="AQ629" s="6"/>
      <c r="AR629" s="27"/>
      <c r="AS629" s="27"/>
      <c r="AT629" s="27"/>
      <c r="AU629" s="12"/>
      <c r="AV629" s="28"/>
    </row>
    <row r="630" spans="4:48">
      <c r="D630" s="12"/>
      <c r="E630" s="12"/>
      <c r="F630" s="12"/>
      <c r="G630" s="12"/>
      <c r="H630" s="36"/>
      <c r="J630" s="19"/>
      <c r="K630" s="19"/>
      <c r="L630" s="19"/>
      <c r="AF630" s="6"/>
      <c r="AG630" s="6"/>
      <c r="AH630" s="6"/>
      <c r="AI630" s="6"/>
      <c r="AN630" s="6"/>
      <c r="AO630" s="6"/>
      <c r="AP630" s="6"/>
      <c r="AQ630" s="6"/>
      <c r="AR630" s="27"/>
      <c r="AS630" s="27"/>
      <c r="AT630" s="27"/>
      <c r="AU630" s="12"/>
      <c r="AV630" s="28"/>
    </row>
    <row r="631" spans="4:48">
      <c r="D631" s="12"/>
      <c r="E631" s="12"/>
      <c r="F631" s="12"/>
      <c r="G631" s="12"/>
      <c r="H631" s="36"/>
      <c r="J631" s="19"/>
      <c r="K631" s="19"/>
      <c r="L631" s="19"/>
      <c r="AF631" s="6"/>
      <c r="AG631" s="6"/>
      <c r="AH631" s="6"/>
      <c r="AI631" s="6"/>
      <c r="AN631" s="6"/>
      <c r="AO631" s="6"/>
      <c r="AP631" s="6"/>
      <c r="AQ631" s="6"/>
      <c r="AR631" s="27"/>
      <c r="AS631" s="27"/>
      <c r="AT631" s="27"/>
      <c r="AU631" s="12"/>
      <c r="AV631" s="28"/>
    </row>
    <row r="632" spans="4:48">
      <c r="D632" s="12"/>
      <c r="E632" s="12"/>
      <c r="F632" s="12"/>
      <c r="G632" s="12"/>
      <c r="H632" s="36"/>
      <c r="J632" s="19"/>
      <c r="K632" s="19"/>
      <c r="L632" s="19"/>
      <c r="AF632" s="6"/>
      <c r="AG632" s="6"/>
      <c r="AH632" s="6"/>
      <c r="AI632" s="6"/>
      <c r="AN632" s="6"/>
      <c r="AO632" s="6"/>
      <c r="AP632" s="6"/>
      <c r="AQ632" s="6"/>
      <c r="AR632" s="27"/>
      <c r="AS632" s="27"/>
      <c r="AT632" s="27"/>
      <c r="AU632" s="12"/>
      <c r="AV632" s="28"/>
    </row>
    <row r="633" spans="4:48">
      <c r="D633" s="12"/>
      <c r="E633" s="12"/>
      <c r="F633" s="12"/>
      <c r="G633" s="12"/>
      <c r="H633" s="36"/>
      <c r="J633" s="19"/>
      <c r="K633" s="19"/>
      <c r="L633" s="19"/>
      <c r="AF633" s="6"/>
      <c r="AG633" s="6"/>
      <c r="AH633" s="6"/>
      <c r="AI633" s="6"/>
      <c r="AN633" s="6"/>
      <c r="AO633" s="6"/>
      <c r="AP633" s="6"/>
      <c r="AQ633" s="6"/>
      <c r="AR633" s="27"/>
      <c r="AS633" s="27"/>
      <c r="AT633" s="27"/>
      <c r="AU633" s="12"/>
      <c r="AV633" s="28"/>
    </row>
    <row r="634" spans="4:48">
      <c r="D634" s="12"/>
      <c r="E634" s="12"/>
      <c r="F634" s="12"/>
      <c r="G634" s="12"/>
      <c r="H634" s="36"/>
      <c r="J634" s="19"/>
      <c r="K634" s="19"/>
      <c r="L634" s="19"/>
      <c r="AF634" s="6"/>
      <c r="AG634" s="6"/>
      <c r="AH634" s="6"/>
      <c r="AI634" s="6"/>
      <c r="AN634" s="6"/>
      <c r="AO634" s="6"/>
      <c r="AP634" s="6"/>
      <c r="AQ634" s="6"/>
      <c r="AR634" s="27"/>
      <c r="AS634" s="27"/>
      <c r="AT634" s="27"/>
      <c r="AU634" s="12"/>
      <c r="AV634" s="28"/>
    </row>
    <row r="635" spans="4:48">
      <c r="D635" s="12"/>
      <c r="E635" s="12"/>
      <c r="F635" s="12"/>
      <c r="G635" s="12"/>
      <c r="H635" s="36"/>
      <c r="J635" s="19"/>
      <c r="K635" s="19"/>
      <c r="L635" s="19"/>
      <c r="AF635" s="6"/>
      <c r="AG635" s="6"/>
      <c r="AH635" s="6"/>
      <c r="AI635" s="6"/>
      <c r="AN635" s="6"/>
      <c r="AO635" s="6"/>
      <c r="AP635" s="6"/>
      <c r="AQ635" s="6"/>
      <c r="AR635" s="27"/>
      <c r="AS635" s="27"/>
      <c r="AT635" s="27"/>
      <c r="AU635" s="12"/>
      <c r="AV635" s="28"/>
    </row>
    <row r="636" spans="4:48">
      <c r="D636" s="12"/>
      <c r="E636" s="12"/>
      <c r="F636" s="12"/>
      <c r="G636" s="12"/>
      <c r="H636" s="36"/>
      <c r="J636" s="19"/>
      <c r="K636" s="19"/>
      <c r="L636" s="19"/>
      <c r="AF636" s="6"/>
      <c r="AG636" s="6"/>
      <c r="AH636" s="6"/>
      <c r="AI636" s="6"/>
      <c r="AN636" s="6"/>
      <c r="AO636" s="6"/>
      <c r="AP636" s="6"/>
      <c r="AQ636" s="6"/>
      <c r="AR636" s="27"/>
      <c r="AS636" s="27"/>
      <c r="AT636" s="27"/>
      <c r="AU636" s="12"/>
      <c r="AV636" s="28"/>
    </row>
    <row r="637" spans="4:48">
      <c r="D637" s="12"/>
      <c r="E637" s="12"/>
      <c r="F637" s="12"/>
      <c r="G637" s="12"/>
      <c r="H637" s="36"/>
      <c r="J637" s="19"/>
      <c r="K637" s="19"/>
      <c r="L637" s="19"/>
      <c r="AF637" s="6"/>
      <c r="AG637" s="6"/>
      <c r="AH637" s="6"/>
      <c r="AI637" s="6"/>
      <c r="AN637" s="6"/>
      <c r="AO637" s="6"/>
      <c r="AP637" s="6"/>
      <c r="AQ637" s="6"/>
      <c r="AR637" s="27"/>
      <c r="AS637" s="27"/>
      <c r="AT637" s="27"/>
      <c r="AU637" s="12"/>
      <c r="AV637" s="28"/>
    </row>
    <row r="638" spans="4:48">
      <c r="D638" s="12"/>
      <c r="E638" s="12"/>
      <c r="F638" s="12"/>
      <c r="G638" s="12"/>
      <c r="H638" s="36"/>
      <c r="J638" s="19"/>
      <c r="K638" s="19"/>
      <c r="L638" s="19"/>
      <c r="AF638" s="6"/>
      <c r="AG638" s="6"/>
      <c r="AH638" s="6"/>
      <c r="AI638" s="6"/>
      <c r="AN638" s="6"/>
      <c r="AO638" s="6"/>
      <c r="AP638" s="6"/>
      <c r="AQ638" s="6"/>
      <c r="AR638" s="27"/>
      <c r="AS638" s="27"/>
      <c r="AT638" s="27"/>
      <c r="AU638" s="12"/>
      <c r="AV638" s="28"/>
    </row>
    <row r="639" spans="4:48">
      <c r="D639" s="12"/>
      <c r="E639" s="12"/>
      <c r="F639" s="12"/>
      <c r="G639" s="12"/>
      <c r="H639" s="36"/>
      <c r="J639" s="19"/>
      <c r="K639" s="19"/>
      <c r="L639" s="19"/>
      <c r="AF639" s="6"/>
      <c r="AG639" s="6"/>
      <c r="AH639" s="6"/>
      <c r="AI639" s="6"/>
      <c r="AN639" s="6"/>
      <c r="AO639" s="6"/>
      <c r="AP639" s="6"/>
      <c r="AQ639" s="6"/>
      <c r="AR639" s="27"/>
      <c r="AS639" s="27"/>
      <c r="AT639" s="27"/>
      <c r="AU639" s="12"/>
      <c r="AV639" s="28"/>
    </row>
    <row r="640" spans="4:48">
      <c r="D640" s="12"/>
      <c r="E640" s="12"/>
      <c r="F640" s="12"/>
      <c r="G640" s="12"/>
      <c r="H640" s="36"/>
      <c r="J640" s="19"/>
      <c r="K640" s="19"/>
      <c r="L640" s="19"/>
      <c r="AF640" s="6"/>
      <c r="AG640" s="6"/>
      <c r="AH640" s="6"/>
      <c r="AI640" s="6"/>
      <c r="AN640" s="6"/>
      <c r="AO640" s="6"/>
      <c r="AP640" s="6"/>
      <c r="AQ640" s="6"/>
      <c r="AR640" s="27"/>
      <c r="AS640" s="27"/>
      <c r="AT640" s="27"/>
      <c r="AU640" s="12"/>
      <c r="AV640" s="28"/>
    </row>
    <row r="641" spans="4:48">
      <c r="D641" s="12"/>
      <c r="E641" s="12"/>
      <c r="F641" s="12"/>
      <c r="G641" s="12"/>
      <c r="H641" s="36"/>
      <c r="J641" s="19"/>
      <c r="K641" s="19"/>
      <c r="L641" s="19"/>
      <c r="AF641" s="6"/>
      <c r="AG641" s="6"/>
      <c r="AH641" s="6"/>
      <c r="AI641" s="6"/>
      <c r="AN641" s="6"/>
      <c r="AO641" s="6"/>
      <c r="AP641" s="6"/>
      <c r="AQ641" s="6"/>
      <c r="AR641" s="27"/>
      <c r="AS641" s="27"/>
      <c r="AT641" s="27"/>
      <c r="AU641" s="12"/>
      <c r="AV641" s="28"/>
    </row>
    <row r="642" spans="4:48">
      <c r="D642" s="12"/>
      <c r="E642" s="12"/>
      <c r="F642" s="12"/>
      <c r="G642" s="12"/>
      <c r="H642" s="36"/>
      <c r="J642" s="19"/>
      <c r="K642" s="19"/>
      <c r="L642" s="19"/>
      <c r="AF642" s="6"/>
      <c r="AG642" s="6"/>
      <c r="AH642" s="6"/>
      <c r="AI642" s="6"/>
      <c r="AN642" s="6"/>
      <c r="AO642" s="6"/>
      <c r="AP642" s="6"/>
      <c r="AQ642" s="6"/>
      <c r="AR642" s="27"/>
      <c r="AS642" s="27"/>
      <c r="AT642" s="27"/>
      <c r="AU642" s="12"/>
      <c r="AV642" s="28"/>
    </row>
    <row r="643" spans="4:48">
      <c r="D643" s="12"/>
      <c r="E643" s="12"/>
      <c r="F643" s="12"/>
      <c r="G643" s="12"/>
      <c r="H643" s="36"/>
      <c r="J643" s="19"/>
      <c r="K643" s="19"/>
      <c r="L643" s="19"/>
      <c r="AF643" s="6"/>
      <c r="AG643" s="6"/>
      <c r="AH643" s="6"/>
      <c r="AI643" s="6"/>
      <c r="AN643" s="6"/>
      <c r="AO643" s="6"/>
      <c r="AP643" s="6"/>
      <c r="AQ643" s="6"/>
      <c r="AR643" s="27"/>
      <c r="AS643" s="27"/>
      <c r="AT643" s="27"/>
      <c r="AU643" s="12"/>
      <c r="AV643" s="28"/>
    </row>
    <row r="644" spans="4:48">
      <c r="D644" s="12"/>
      <c r="E644" s="12"/>
      <c r="F644" s="12"/>
      <c r="G644" s="12"/>
      <c r="H644" s="36"/>
      <c r="J644" s="19"/>
      <c r="K644" s="19"/>
      <c r="L644" s="19"/>
      <c r="AF644" s="6"/>
      <c r="AG644" s="6"/>
      <c r="AH644" s="6"/>
      <c r="AI644" s="6"/>
      <c r="AN644" s="6"/>
      <c r="AO644" s="6"/>
      <c r="AP644" s="6"/>
      <c r="AQ644" s="6"/>
      <c r="AR644" s="27"/>
      <c r="AS644" s="27"/>
      <c r="AT644" s="27"/>
      <c r="AU644" s="12"/>
      <c r="AV644" s="28"/>
    </row>
    <row r="645" spans="4:48">
      <c r="D645" s="12"/>
      <c r="E645" s="12"/>
      <c r="F645" s="12"/>
      <c r="G645" s="12"/>
      <c r="H645" s="36"/>
      <c r="J645" s="19"/>
      <c r="K645" s="19"/>
      <c r="L645" s="19"/>
      <c r="AF645" s="6"/>
      <c r="AG645" s="6"/>
      <c r="AH645" s="6"/>
      <c r="AI645" s="6"/>
      <c r="AN645" s="6"/>
      <c r="AO645" s="6"/>
      <c r="AP645" s="6"/>
      <c r="AQ645" s="6"/>
      <c r="AR645" s="27"/>
      <c r="AS645" s="27"/>
      <c r="AT645" s="27"/>
      <c r="AU645" s="12"/>
      <c r="AV645" s="28"/>
    </row>
    <row r="646" spans="4:48">
      <c r="D646" s="12"/>
      <c r="E646" s="12"/>
      <c r="F646" s="12"/>
      <c r="G646" s="12"/>
      <c r="H646" s="36"/>
      <c r="J646" s="19"/>
      <c r="K646" s="19"/>
      <c r="L646" s="19"/>
      <c r="AF646" s="6"/>
      <c r="AG646" s="6"/>
      <c r="AH646" s="6"/>
      <c r="AI646" s="6"/>
      <c r="AN646" s="6"/>
      <c r="AO646" s="6"/>
      <c r="AP646" s="6"/>
      <c r="AQ646" s="6"/>
      <c r="AR646" s="27"/>
      <c r="AS646" s="27"/>
      <c r="AT646" s="27"/>
      <c r="AU646" s="12"/>
      <c r="AV646" s="28"/>
    </row>
    <row r="647" spans="4:48">
      <c r="D647" s="12"/>
      <c r="E647" s="12"/>
      <c r="F647" s="12"/>
      <c r="G647" s="12"/>
      <c r="H647" s="36"/>
      <c r="J647" s="19"/>
      <c r="K647" s="19"/>
      <c r="L647" s="19"/>
      <c r="AF647" s="6"/>
      <c r="AG647" s="6"/>
      <c r="AH647" s="6"/>
      <c r="AI647" s="6"/>
      <c r="AN647" s="6"/>
      <c r="AO647" s="6"/>
      <c r="AP647" s="6"/>
      <c r="AQ647" s="6"/>
      <c r="AR647" s="27"/>
      <c r="AS647" s="27"/>
      <c r="AT647" s="27"/>
      <c r="AU647" s="12"/>
      <c r="AV647" s="28"/>
    </row>
    <row r="648" spans="4:48">
      <c r="D648" s="12"/>
      <c r="E648" s="12"/>
      <c r="F648" s="12"/>
      <c r="G648" s="12"/>
      <c r="H648" s="36"/>
      <c r="J648" s="19"/>
      <c r="K648" s="19"/>
      <c r="L648" s="19"/>
      <c r="AF648" s="6"/>
      <c r="AG648" s="6"/>
      <c r="AH648" s="6"/>
      <c r="AI648" s="6"/>
      <c r="AN648" s="6"/>
      <c r="AO648" s="6"/>
      <c r="AP648" s="6"/>
      <c r="AQ648" s="6"/>
      <c r="AR648" s="27"/>
      <c r="AS648" s="27"/>
      <c r="AT648" s="27"/>
      <c r="AU648" s="12"/>
      <c r="AV648" s="28"/>
    </row>
    <row r="649" spans="4:48">
      <c r="D649" s="12"/>
      <c r="E649" s="12"/>
      <c r="F649" s="12"/>
      <c r="G649" s="12"/>
      <c r="H649" s="36"/>
      <c r="J649" s="19"/>
      <c r="K649" s="19"/>
      <c r="L649" s="19"/>
      <c r="AF649" s="6"/>
      <c r="AG649" s="6"/>
      <c r="AH649" s="6"/>
      <c r="AI649" s="6"/>
      <c r="AN649" s="6"/>
      <c r="AO649" s="6"/>
      <c r="AP649" s="6"/>
      <c r="AQ649" s="6"/>
      <c r="AR649" s="27"/>
      <c r="AS649" s="27"/>
      <c r="AT649" s="27"/>
      <c r="AU649" s="12"/>
      <c r="AV649" s="28"/>
    </row>
    <row r="650" spans="4:48">
      <c r="D650" s="12"/>
      <c r="E650" s="12"/>
      <c r="F650" s="12"/>
      <c r="G650" s="12"/>
      <c r="H650" s="36"/>
      <c r="J650" s="19"/>
      <c r="K650" s="19"/>
      <c r="L650" s="19"/>
      <c r="AF650" s="6"/>
      <c r="AG650" s="6"/>
      <c r="AH650" s="6"/>
      <c r="AI650" s="6"/>
      <c r="AN650" s="6"/>
      <c r="AO650" s="6"/>
      <c r="AP650" s="6"/>
      <c r="AQ650" s="6"/>
      <c r="AR650" s="27"/>
      <c r="AS650" s="27"/>
      <c r="AT650" s="27"/>
      <c r="AU650" s="12"/>
      <c r="AV650" s="28"/>
    </row>
    <row r="651" spans="4:48">
      <c r="D651" s="12"/>
      <c r="E651" s="12"/>
      <c r="F651" s="12"/>
      <c r="G651" s="12"/>
      <c r="H651" s="36"/>
      <c r="J651" s="19"/>
      <c r="K651" s="19"/>
      <c r="L651" s="19"/>
      <c r="AF651" s="6"/>
      <c r="AG651" s="6"/>
      <c r="AH651" s="6"/>
      <c r="AI651" s="6"/>
      <c r="AN651" s="6"/>
      <c r="AO651" s="6"/>
      <c r="AP651" s="6"/>
      <c r="AQ651" s="6"/>
      <c r="AR651" s="27"/>
      <c r="AS651" s="27"/>
      <c r="AT651" s="27"/>
      <c r="AU651" s="12"/>
      <c r="AV651" s="28"/>
    </row>
    <row r="652" spans="4:48">
      <c r="D652" s="12"/>
      <c r="E652" s="12"/>
      <c r="F652" s="12"/>
      <c r="G652" s="12"/>
      <c r="H652" s="36"/>
      <c r="J652" s="19"/>
      <c r="K652" s="19"/>
      <c r="L652" s="19"/>
      <c r="AF652" s="6"/>
      <c r="AG652" s="6"/>
      <c r="AH652" s="6"/>
      <c r="AI652" s="6"/>
      <c r="AN652" s="6"/>
      <c r="AO652" s="6"/>
      <c r="AP652" s="6"/>
      <c r="AQ652" s="6"/>
      <c r="AR652" s="27"/>
      <c r="AS652" s="27"/>
      <c r="AT652" s="27"/>
      <c r="AU652" s="12"/>
      <c r="AV652" s="28"/>
    </row>
    <row r="653" spans="4:48">
      <c r="D653" s="12"/>
      <c r="E653" s="12"/>
      <c r="F653" s="12"/>
      <c r="G653" s="12"/>
      <c r="H653" s="36"/>
      <c r="J653" s="19"/>
      <c r="K653" s="19"/>
      <c r="L653" s="19"/>
      <c r="AF653" s="6"/>
      <c r="AG653" s="6"/>
      <c r="AH653" s="6"/>
      <c r="AI653" s="6"/>
      <c r="AN653" s="6"/>
      <c r="AO653" s="6"/>
      <c r="AP653" s="6"/>
      <c r="AQ653" s="6"/>
      <c r="AR653" s="27"/>
      <c r="AS653" s="27"/>
      <c r="AT653" s="27"/>
      <c r="AU653" s="12"/>
      <c r="AV653" s="28"/>
    </row>
    <row r="654" spans="4:48">
      <c r="D654" s="12"/>
      <c r="E654" s="12"/>
      <c r="F654" s="12"/>
      <c r="G654" s="12"/>
      <c r="H654" s="36"/>
      <c r="J654" s="19"/>
      <c r="K654" s="19"/>
      <c r="L654" s="19"/>
      <c r="AF654" s="6"/>
      <c r="AG654" s="6"/>
      <c r="AH654" s="6"/>
      <c r="AI654" s="6"/>
      <c r="AN654" s="6"/>
      <c r="AO654" s="6"/>
      <c r="AP654" s="6"/>
      <c r="AQ654" s="6"/>
      <c r="AR654" s="27"/>
      <c r="AS654" s="27"/>
      <c r="AT654" s="27"/>
      <c r="AU654" s="12"/>
      <c r="AV654" s="28"/>
    </row>
    <row r="655" spans="4:48">
      <c r="D655" s="12"/>
      <c r="E655" s="12"/>
      <c r="F655" s="12"/>
      <c r="G655" s="12"/>
      <c r="H655" s="36"/>
      <c r="J655" s="19"/>
      <c r="K655" s="19"/>
      <c r="L655" s="19"/>
      <c r="AF655" s="6"/>
      <c r="AG655" s="6"/>
      <c r="AH655" s="6"/>
      <c r="AI655" s="6"/>
      <c r="AN655" s="6"/>
      <c r="AO655" s="6"/>
      <c r="AP655" s="6"/>
      <c r="AQ655" s="6"/>
      <c r="AR655" s="27"/>
      <c r="AS655" s="27"/>
      <c r="AT655" s="27"/>
      <c r="AU655" s="12"/>
      <c r="AV655" s="28"/>
    </row>
    <row r="656" spans="4:48">
      <c r="D656" s="12"/>
      <c r="E656" s="12"/>
      <c r="F656" s="12"/>
      <c r="G656" s="12"/>
      <c r="H656" s="36"/>
      <c r="J656" s="19"/>
      <c r="K656" s="19"/>
      <c r="L656" s="19"/>
      <c r="AF656" s="6"/>
      <c r="AG656" s="6"/>
      <c r="AH656" s="6"/>
      <c r="AI656" s="6"/>
      <c r="AN656" s="6"/>
      <c r="AO656" s="6"/>
      <c r="AP656" s="6"/>
      <c r="AQ656" s="6"/>
      <c r="AR656" s="27"/>
      <c r="AS656" s="27"/>
      <c r="AT656" s="27"/>
      <c r="AU656" s="12"/>
      <c r="AV656" s="28"/>
    </row>
    <row r="657" spans="4:48">
      <c r="D657" s="12"/>
      <c r="E657" s="12"/>
      <c r="F657" s="12"/>
      <c r="G657" s="12"/>
      <c r="H657" s="36"/>
      <c r="J657" s="19"/>
      <c r="K657" s="19"/>
      <c r="L657" s="19"/>
      <c r="AF657" s="6"/>
      <c r="AG657" s="6"/>
      <c r="AH657" s="6"/>
      <c r="AI657" s="6"/>
      <c r="AN657" s="6"/>
      <c r="AO657" s="6"/>
      <c r="AP657" s="6"/>
      <c r="AQ657" s="6"/>
      <c r="AR657" s="27"/>
      <c r="AS657" s="27"/>
      <c r="AT657" s="27"/>
      <c r="AU657" s="12"/>
      <c r="AV657" s="28"/>
    </row>
    <row r="658" spans="4:48">
      <c r="D658" s="12"/>
      <c r="E658" s="12"/>
      <c r="F658" s="12"/>
      <c r="G658" s="12"/>
      <c r="H658" s="36"/>
      <c r="J658" s="19"/>
      <c r="K658" s="19"/>
      <c r="L658" s="19"/>
      <c r="AF658" s="6"/>
      <c r="AG658" s="6"/>
      <c r="AH658" s="6"/>
      <c r="AI658" s="6"/>
      <c r="AN658" s="6"/>
      <c r="AO658" s="6"/>
      <c r="AP658" s="6"/>
      <c r="AQ658" s="6"/>
      <c r="AR658" s="27"/>
      <c r="AS658" s="27"/>
      <c r="AT658" s="27"/>
      <c r="AU658" s="12"/>
      <c r="AV658" s="28"/>
    </row>
    <row r="659" spans="4:48">
      <c r="D659" s="12"/>
      <c r="E659" s="12"/>
      <c r="F659" s="12"/>
      <c r="G659" s="12"/>
      <c r="H659" s="36"/>
      <c r="J659" s="19"/>
      <c r="K659" s="19"/>
      <c r="L659" s="19"/>
      <c r="AF659" s="6"/>
      <c r="AG659" s="6"/>
      <c r="AH659" s="6"/>
      <c r="AI659" s="6"/>
      <c r="AN659" s="6"/>
      <c r="AO659" s="6"/>
      <c r="AP659" s="6"/>
      <c r="AQ659" s="6"/>
      <c r="AR659" s="27"/>
      <c r="AS659" s="27"/>
      <c r="AT659" s="27"/>
      <c r="AU659" s="12"/>
      <c r="AV659" s="28"/>
    </row>
    <row r="660" spans="4:48">
      <c r="D660" s="12"/>
      <c r="E660" s="12"/>
      <c r="F660" s="12"/>
      <c r="G660" s="12"/>
      <c r="H660" s="36"/>
      <c r="J660" s="19"/>
      <c r="K660" s="19"/>
      <c r="L660" s="19"/>
      <c r="AF660" s="6"/>
      <c r="AG660" s="6"/>
      <c r="AH660" s="6"/>
      <c r="AI660" s="6"/>
      <c r="AN660" s="6"/>
      <c r="AO660" s="6"/>
      <c r="AP660" s="6"/>
      <c r="AQ660" s="6"/>
      <c r="AR660" s="27"/>
      <c r="AS660" s="27"/>
      <c r="AT660" s="27"/>
      <c r="AU660" s="12"/>
      <c r="AV660" s="28"/>
    </row>
    <row r="661" spans="4:48">
      <c r="D661" s="12"/>
      <c r="E661" s="12"/>
      <c r="F661" s="12"/>
      <c r="G661" s="12"/>
      <c r="H661" s="36"/>
      <c r="J661" s="19"/>
      <c r="K661" s="19"/>
      <c r="L661" s="19"/>
      <c r="AF661" s="6"/>
      <c r="AG661" s="6"/>
      <c r="AH661" s="6"/>
      <c r="AI661" s="6"/>
      <c r="AN661" s="6"/>
      <c r="AO661" s="6"/>
      <c r="AP661" s="6"/>
      <c r="AQ661" s="6"/>
      <c r="AR661" s="27"/>
      <c r="AS661" s="27"/>
      <c r="AT661" s="27"/>
      <c r="AU661" s="12"/>
      <c r="AV661" s="28"/>
    </row>
    <row r="662" spans="4:48">
      <c r="D662" s="12"/>
      <c r="E662" s="12"/>
      <c r="F662" s="12"/>
      <c r="G662" s="12"/>
      <c r="H662" s="36"/>
      <c r="J662" s="19"/>
      <c r="K662" s="19"/>
      <c r="L662" s="19"/>
      <c r="AF662" s="6"/>
      <c r="AG662" s="6"/>
      <c r="AH662" s="6"/>
      <c r="AI662" s="6"/>
      <c r="AN662" s="6"/>
      <c r="AO662" s="6"/>
      <c r="AP662" s="6"/>
      <c r="AQ662" s="6"/>
      <c r="AR662" s="27"/>
      <c r="AS662" s="27"/>
      <c r="AT662" s="27"/>
      <c r="AU662" s="12"/>
      <c r="AV662" s="28"/>
    </row>
    <row r="663" spans="4:48">
      <c r="D663" s="12"/>
      <c r="E663" s="12"/>
      <c r="F663" s="12"/>
      <c r="G663" s="12"/>
      <c r="H663" s="36"/>
      <c r="J663" s="19"/>
      <c r="K663" s="19"/>
      <c r="L663" s="19"/>
      <c r="AF663" s="6"/>
      <c r="AG663" s="6"/>
      <c r="AH663" s="6"/>
      <c r="AI663" s="6"/>
      <c r="AN663" s="6"/>
      <c r="AO663" s="6"/>
      <c r="AP663" s="6"/>
      <c r="AQ663" s="6"/>
      <c r="AR663" s="27"/>
      <c r="AS663" s="27"/>
      <c r="AT663" s="27"/>
      <c r="AU663" s="12"/>
      <c r="AV663" s="28"/>
    </row>
    <row r="664" spans="4:48">
      <c r="D664" s="12"/>
      <c r="E664" s="12"/>
      <c r="F664" s="12"/>
      <c r="G664" s="12"/>
      <c r="H664" s="36"/>
      <c r="J664" s="19"/>
      <c r="K664" s="19"/>
      <c r="L664" s="19"/>
      <c r="AF664" s="6"/>
      <c r="AG664" s="6"/>
      <c r="AH664" s="6"/>
      <c r="AI664" s="6"/>
      <c r="AN664" s="6"/>
      <c r="AO664" s="6"/>
      <c r="AP664" s="6"/>
      <c r="AQ664" s="6"/>
      <c r="AR664" s="27"/>
      <c r="AS664" s="27"/>
      <c r="AT664" s="27"/>
      <c r="AU664" s="12"/>
      <c r="AV664" s="28"/>
    </row>
    <row r="665" spans="4:48">
      <c r="D665" s="12"/>
      <c r="E665" s="12"/>
      <c r="F665" s="12"/>
      <c r="G665" s="12"/>
      <c r="H665" s="36"/>
      <c r="J665" s="19"/>
      <c r="K665" s="19"/>
      <c r="L665" s="19"/>
      <c r="AF665" s="6"/>
      <c r="AG665" s="6"/>
      <c r="AH665" s="6"/>
      <c r="AI665" s="6"/>
      <c r="AN665" s="6"/>
      <c r="AO665" s="6"/>
      <c r="AP665" s="6"/>
      <c r="AQ665" s="6"/>
      <c r="AR665" s="27"/>
      <c r="AS665" s="27"/>
      <c r="AT665" s="27"/>
      <c r="AU665" s="12"/>
      <c r="AV665" s="28"/>
    </row>
    <row r="666" spans="4:48">
      <c r="D666" s="12"/>
      <c r="E666" s="12"/>
      <c r="F666" s="12"/>
      <c r="G666" s="12"/>
      <c r="H666" s="36"/>
      <c r="J666" s="19"/>
      <c r="K666" s="19"/>
      <c r="L666" s="19"/>
      <c r="AF666" s="6"/>
      <c r="AG666" s="6"/>
      <c r="AH666" s="6"/>
      <c r="AI666" s="6"/>
      <c r="AN666" s="6"/>
      <c r="AO666" s="6"/>
      <c r="AP666" s="6"/>
      <c r="AQ666" s="6"/>
      <c r="AR666" s="27"/>
      <c r="AS666" s="27"/>
      <c r="AT666" s="27"/>
      <c r="AU666" s="12"/>
      <c r="AV666" s="28"/>
    </row>
    <row r="667" spans="4:48">
      <c r="D667" s="12"/>
      <c r="E667" s="12"/>
      <c r="F667" s="12"/>
      <c r="G667" s="12"/>
      <c r="H667" s="36"/>
      <c r="J667" s="19"/>
      <c r="K667" s="19"/>
      <c r="L667" s="19"/>
      <c r="AF667" s="6"/>
      <c r="AG667" s="6"/>
      <c r="AH667" s="6"/>
      <c r="AI667" s="6"/>
      <c r="AN667" s="6"/>
      <c r="AO667" s="6"/>
      <c r="AP667" s="6"/>
      <c r="AQ667" s="6"/>
      <c r="AR667" s="27"/>
      <c r="AS667" s="27"/>
      <c r="AT667" s="27"/>
      <c r="AU667" s="12"/>
      <c r="AV667" s="28"/>
    </row>
    <row r="668" spans="4:48">
      <c r="D668" s="12"/>
      <c r="E668" s="12"/>
      <c r="F668" s="12"/>
      <c r="G668" s="12"/>
      <c r="H668" s="36"/>
      <c r="J668" s="19"/>
      <c r="K668" s="19"/>
      <c r="L668" s="19"/>
      <c r="AF668" s="6"/>
      <c r="AG668" s="6"/>
      <c r="AH668" s="6"/>
      <c r="AI668" s="6"/>
      <c r="AN668" s="6"/>
      <c r="AO668" s="6"/>
      <c r="AP668" s="6"/>
      <c r="AQ668" s="6"/>
      <c r="AR668" s="27"/>
      <c r="AS668" s="27"/>
      <c r="AT668" s="27"/>
      <c r="AU668" s="12"/>
      <c r="AV668" s="28"/>
    </row>
    <row r="669" spans="4:48">
      <c r="D669" s="12"/>
      <c r="E669" s="12"/>
      <c r="F669" s="12"/>
      <c r="G669" s="12"/>
      <c r="H669" s="36"/>
      <c r="J669" s="19"/>
      <c r="K669" s="19"/>
      <c r="L669" s="19"/>
      <c r="AF669" s="6"/>
      <c r="AG669" s="6"/>
      <c r="AH669" s="6"/>
      <c r="AI669" s="6"/>
      <c r="AN669" s="6"/>
      <c r="AO669" s="6"/>
      <c r="AP669" s="6"/>
      <c r="AQ669" s="6"/>
      <c r="AR669" s="27"/>
      <c r="AS669" s="27"/>
      <c r="AT669" s="27"/>
      <c r="AU669" s="12"/>
      <c r="AV669" s="28"/>
    </row>
    <row r="670" spans="4:48">
      <c r="D670" s="12"/>
      <c r="E670" s="12"/>
      <c r="F670" s="12"/>
      <c r="G670" s="12"/>
      <c r="H670" s="36"/>
      <c r="J670" s="19"/>
      <c r="K670" s="19"/>
      <c r="L670" s="19"/>
      <c r="AF670" s="6"/>
      <c r="AG670" s="6"/>
      <c r="AH670" s="6"/>
      <c r="AI670" s="6"/>
      <c r="AN670" s="6"/>
      <c r="AO670" s="6"/>
      <c r="AP670" s="6"/>
      <c r="AQ670" s="6"/>
      <c r="AR670" s="27"/>
      <c r="AS670" s="27"/>
      <c r="AT670" s="27"/>
      <c r="AU670" s="12"/>
      <c r="AV670" s="28"/>
    </row>
    <row r="671" spans="4:48">
      <c r="D671" s="12"/>
      <c r="E671" s="12"/>
      <c r="F671" s="12"/>
      <c r="G671" s="12"/>
      <c r="H671" s="36"/>
      <c r="J671" s="19"/>
      <c r="K671" s="19"/>
      <c r="L671" s="19"/>
      <c r="AF671" s="6"/>
      <c r="AG671" s="6"/>
      <c r="AH671" s="6"/>
      <c r="AI671" s="6"/>
      <c r="AN671" s="6"/>
      <c r="AO671" s="6"/>
      <c r="AP671" s="6"/>
      <c r="AQ671" s="6"/>
      <c r="AR671" s="27"/>
      <c r="AS671" s="27"/>
      <c r="AT671" s="27"/>
      <c r="AU671" s="12"/>
      <c r="AV671" s="28"/>
    </row>
    <row r="672" spans="4:48">
      <c r="D672" s="12"/>
      <c r="E672" s="12"/>
      <c r="F672" s="12"/>
      <c r="G672" s="12"/>
      <c r="H672" s="36"/>
      <c r="J672" s="19"/>
      <c r="K672" s="19"/>
      <c r="L672" s="19"/>
      <c r="AF672" s="6"/>
      <c r="AG672" s="6"/>
      <c r="AH672" s="6"/>
      <c r="AI672" s="6"/>
      <c r="AN672" s="6"/>
      <c r="AO672" s="6"/>
      <c r="AP672" s="6"/>
      <c r="AQ672" s="6"/>
      <c r="AR672" s="27"/>
      <c r="AS672" s="27"/>
      <c r="AT672" s="27"/>
      <c r="AU672" s="12"/>
      <c r="AV672" s="28"/>
    </row>
    <row r="673" spans="4:48">
      <c r="D673" s="12"/>
      <c r="E673" s="12"/>
      <c r="F673" s="12"/>
      <c r="G673" s="12"/>
      <c r="H673" s="36"/>
      <c r="J673" s="19"/>
      <c r="K673" s="19"/>
      <c r="L673" s="19"/>
      <c r="AF673" s="6"/>
      <c r="AG673" s="6"/>
      <c r="AH673" s="6"/>
      <c r="AI673" s="6"/>
      <c r="AN673" s="6"/>
      <c r="AO673" s="6"/>
      <c r="AP673" s="6"/>
      <c r="AQ673" s="6"/>
      <c r="AR673" s="27"/>
      <c r="AS673" s="27"/>
      <c r="AT673" s="27"/>
      <c r="AU673" s="12"/>
      <c r="AV673" s="28"/>
    </row>
    <row r="674" spans="4:48">
      <c r="D674" s="12"/>
      <c r="E674" s="12"/>
      <c r="F674" s="12"/>
      <c r="G674" s="12"/>
      <c r="H674" s="36"/>
      <c r="J674" s="19"/>
      <c r="K674" s="19"/>
      <c r="L674" s="19"/>
      <c r="AF674" s="6"/>
      <c r="AG674" s="6"/>
      <c r="AH674" s="6"/>
      <c r="AI674" s="6"/>
      <c r="AN674" s="6"/>
      <c r="AO674" s="6"/>
      <c r="AP674" s="6"/>
      <c r="AQ674" s="6"/>
      <c r="AR674" s="27"/>
      <c r="AS674" s="27"/>
      <c r="AT674" s="27"/>
      <c r="AU674" s="12"/>
      <c r="AV674" s="28"/>
    </row>
    <row r="675" spans="4:48">
      <c r="D675" s="12"/>
      <c r="E675" s="12"/>
      <c r="F675" s="12"/>
      <c r="G675" s="12"/>
      <c r="H675" s="36"/>
      <c r="J675" s="19"/>
      <c r="K675" s="19"/>
      <c r="L675" s="19"/>
      <c r="AF675" s="6"/>
      <c r="AG675" s="6"/>
      <c r="AH675" s="6"/>
      <c r="AI675" s="6"/>
      <c r="AN675" s="6"/>
      <c r="AO675" s="6"/>
      <c r="AP675" s="6"/>
      <c r="AQ675" s="6"/>
      <c r="AR675" s="27"/>
      <c r="AS675" s="27"/>
      <c r="AT675" s="27"/>
      <c r="AU675" s="12"/>
      <c r="AV675" s="28"/>
    </row>
    <row r="676" spans="4:48">
      <c r="D676" s="12"/>
      <c r="E676" s="12"/>
      <c r="F676" s="12"/>
      <c r="G676" s="12"/>
      <c r="H676" s="36"/>
      <c r="J676" s="19"/>
      <c r="K676" s="19"/>
      <c r="L676" s="19"/>
      <c r="AF676" s="6"/>
      <c r="AG676" s="6"/>
      <c r="AH676" s="6"/>
      <c r="AI676" s="6"/>
      <c r="AN676" s="6"/>
      <c r="AO676" s="6"/>
      <c r="AP676" s="6"/>
      <c r="AQ676" s="6"/>
      <c r="AR676" s="27"/>
      <c r="AS676" s="27"/>
      <c r="AT676" s="27"/>
      <c r="AU676" s="12"/>
      <c r="AV676" s="28"/>
    </row>
    <row r="677" spans="4:48">
      <c r="D677" s="12"/>
      <c r="E677" s="12"/>
      <c r="F677" s="12"/>
      <c r="G677" s="12"/>
      <c r="H677" s="36"/>
      <c r="J677" s="19"/>
      <c r="K677" s="19"/>
      <c r="L677" s="19"/>
      <c r="AF677" s="6"/>
      <c r="AG677" s="6"/>
      <c r="AH677" s="6"/>
      <c r="AI677" s="6"/>
      <c r="AN677" s="6"/>
      <c r="AO677" s="6"/>
      <c r="AP677" s="6"/>
      <c r="AQ677" s="6"/>
      <c r="AR677" s="27"/>
      <c r="AS677" s="27"/>
      <c r="AT677" s="27"/>
      <c r="AU677" s="12"/>
      <c r="AV677" s="28"/>
    </row>
    <row r="678" spans="4:48">
      <c r="D678" s="12"/>
      <c r="E678" s="12"/>
      <c r="F678" s="12"/>
      <c r="G678" s="12"/>
      <c r="H678" s="36"/>
      <c r="J678" s="19"/>
      <c r="K678" s="19"/>
      <c r="L678" s="19"/>
      <c r="AF678" s="6"/>
      <c r="AG678" s="6"/>
      <c r="AH678" s="6"/>
      <c r="AI678" s="6"/>
      <c r="AN678" s="6"/>
      <c r="AO678" s="6"/>
      <c r="AP678" s="6"/>
      <c r="AQ678" s="6"/>
      <c r="AR678" s="27"/>
      <c r="AS678" s="27"/>
      <c r="AT678" s="27"/>
      <c r="AU678" s="12"/>
      <c r="AV678" s="28"/>
    </row>
    <row r="679" spans="4:48">
      <c r="D679" s="12"/>
      <c r="E679" s="12"/>
      <c r="F679" s="12"/>
      <c r="G679" s="12"/>
      <c r="H679" s="36"/>
      <c r="J679" s="19"/>
      <c r="K679" s="19"/>
      <c r="L679" s="19"/>
      <c r="AF679" s="6"/>
      <c r="AG679" s="6"/>
      <c r="AH679" s="6"/>
      <c r="AI679" s="6"/>
      <c r="AN679" s="6"/>
      <c r="AO679" s="6"/>
      <c r="AP679" s="6"/>
      <c r="AQ679" s="6"/>
      <c r="AR679" s="27"/>
      <c r="AS679" s="27"/>
      <c r="AT679" s="27"/>
      <c r="AU679" s="12"/>
      <c r="AV679" s="28"/>
    </row>
    <row r="680" spans="4:48">
      <c r="D680" s="12"/>
      <c r="E680" s="12"/>
      <c r="F680" s="12"/>
      <c r="G680" s="12"/>
      <c r="H680" s="36"/>
      <c r="J680" s="19"/>
      <c r="K680" s="19"/>
      <c r="L680" s="19"/>
      <c r="AF680" s="6"/>
      <c r="AG680" s="6"/>
      <c r="AH680" s="6"/>
      <c r="AI680" s="6"/>
      <c r="AN680" s="6"/>
      <c r="AO680" s="6"/>
      <c r="AP680" s="6"/>
      <c r="AQ680" s="6"/>
      <c r="AR680" s="27"/>
      <c r="AS680" s="27"/>
      <c r="AT680" s="27"/>
      <c r="AU680" s="12"/>
      <c r="AV680" s="28"/>
    </row>
    <row r="681" spans="4:48">
      <c r="D681" s="12"/>
      <c r="E681" s="12"/>
      <c r="F681" s="12"/>
      <c r="G681" s="12"/>
      <c r="H681" s="36"/>
      <c r="J681" s="19"/>
      <c r="K681" s="19"/>
      <c r="L681" s="19"/>
      <c r="AF681" s="6"/>
      <c r="AG681" s="6"/>
      <c r="AH681" s="6"/>
      <c r="AI681" s="6"/>
      <c r="AN681" s="6"/>
      <c r="AO681" s="6"/>
      <c r="AP681" s="6"/>
      <c r="AQ681" s="6"/>
      <c r="AR681" s="27"/>
      <c r="AS681" s="27"/>
      <c r="AT681" s="27"/>
      <c r="AU681" s="12"/>
      <c r="AV681" s="28"/>
    </row>
    <row r="682" spans="4:48">
      <c r="D682" s="12"/>
      <c r="E682" s="12"/>
      <c r="F682" s="12"/>
      <c r="G682" s="12"/>
      <c r="H682" s="36"/>
      <c r="J682" s="19"/>
      <c r="K682" s="19"/>
      <c r="L682" s="19"/>
      <c r="AF682" s="6"/>
      <c r="AG682" s="6"/>
      <c r="AH682" s="6"/>
      <c r="AI682" s="6"/>
      <c r="AN682" s="6"/>
      <c r="AO682" s="6"/>
      <c r="AP682" s="6"/>
      <c r="AQ682" s="6"/>
      <c r="AR682" s="27"/>
      <c r="AS682" s="27"/>
      <c r="AT682" s="27"/>
      <c r="AU682" s="12"/>
      <c r="AV682" s="28"/>
    </row>
    <row r="683" spans="4:48">
      <c r="D683" s="12"/>
      <c r="E683" s="12"/>
      <c r="F683" s="12"/>
      <c r="G683" s="12"/>
      <c r="H683" s="36"/>
      <c r="J683" s="19"/>
      <c r="K683" s="19"/>
      <c r="L683" s="19"/>
      <c r="AF683" s="6"/>
      <c r="AG683" s="6"/>
      <c r="AH683" s="6"/>
      <c r="AI683" s="6"/>
      <c r="AN683" s="6"/>
      <c r="AO683" s="6"/>
      <c r="AP683" s="6"/>
      <c r="AQ683" s="6"/>
      <c r="AR683" s="27"/>
      <c r="AS683" s="27"/>
      <c r="AT683" s="27"/>
      <c r="AU683" s="12"/>
      <c r="AV683" s="28"/>
    </row>
    <row r="684" spans="4:48">
      <c r="D684" s="12"/>
      <c r="E684" s="12"/>
      <c r="F684" s="12"/>
      <c r="G684" s="12"/>
      <c r="H684" s="36"/>
      <c r="J684" s="19"/>
      <c r="K684" s="19"/>
      <c r="L684" s="19"/>
      <c r="AF684" s="6"/>
      <c r="AG684" s="6"/>
      <c r="AH684" s="6"/>
      <c r="AI684" s="6"/>
      <c r="AN684" s="6"/>
      <c r="AO684" s="6"/>
      <c r="AP684" s="6"/>
      <c r="AQ684" s="6"/>
      <c r="AR684" s="27"/>
      <c r="AS684" s="27"/>
      <c r="AT684" s="27"/>
      <c r="AU684" s="12"/>
      <c r="AV684" s="28"/>
    </row>
    <row r="685" spans="4:48">
      <c r="D685" s="12"/>
      <c r="E685" s="12"/>
      <c r="F685" s="12"/>
      <c r="G685" s="12"/>
      <c r="H685" s="36"/>
      <c r="J685" s="19"/>
      <c r="K685" s="19"/>
      <c r="L685" s="19"/>
      <c r="AF685" s="6"/>
      <c r="AG685" s="6"/>
      <c r="AH685" s="6"/>
      <c r="AI685" s="6"/>
      <c r="AN685" s="6"/>
      <c r="AO685" s="6"/>
      <c r="AP685" s="6"/>
      <c r="AQ685" s="6"/>
      <c r="AR685" s="27"/>
      <c r="AS685" s="27"/>
      <c r="AT685" s="27"/>
      <c r="AU685" s="12"/>
      <c r="AV685" s="28"/>
    </row>
    <row r="686" spans="4:48">
      <c r="D686" s="12"/>
      <c r="E686" s="12"/>
      <c r="F686" s="12"/>
      <c r="G686" s="12"/>
      <c r="H686" s="36"/>
      <c r="J686" s="19"/>
      <c r="K686" s="19"/>
      <c r="L686" s="19"/>
      <c r="AF686" s="6"/>
      <c r="AG686" s="6"/>
      <c r="AH686" s="6"/>
      <c r="AI686" s="6"/>
      <c r="AN686" s="6"/>
      <c r="AO686" s="6"/>
      <c r="AP686" s="6"/>
      <c r="AQ686" s="6"/>
      <c r="AR686" s="27"/>
      <c r="AS686" s="27"/>
      <c r="AT686" s="27"/>
      <c r="AU686" s="12"/>
      <c r="AV686" s="28"/>
    </row>
    <row r="687" spans="4:48">
      <c r="D687" s="12"/>
      <c r="E687" s="12"/>
      <c r="F687" s="12"/>
      <c r="G687" s="12"/>
      <c r="H687" s="36"/>
      <c r="J687" s="19"/>
      <c r="K687" s="19"/>
      <c r="L687" s="19"/>
      <c r="AF687" s="6"/>
      <c r="AG687" s="6"/>
      <c r="AH687" s="6"/>
      <c r="AI687" s="6"/>
      <c r="AN687" s="6"/>
      <c r="AO687" s="6"/>
      <c r="AP687" s="6"/>
      <c r="AQ687" s="6"/>
      <c r="AR687" s="27"/>
      <c r="AS687" s="27"/>
      <c r="AT687" s="27"/>
      <c r="AU687" s="12"/>
      <c r="AV687" s="28"/>
    </row>
    <row r="688" spans="4:48">
      <c r="D688" s="12"/>
      <c r="E688" s="12"/>
      <c r="F688" s="12"/>
      <c r="G688" s="12"/>
      <c r="H688" s="36"/>
      <c r="J688" s="19"/>
      <c r="K688" s="19"/>
      <c r="L688" s="19"/>
      <c r="AF688" s="6"/>
      <c r="AG688" s="6"/>
      <c r="AH688" s="6"/>
      <c r="AI688" s="6"/>
      <c r="AN688" s="6"/>
      <c r="AO688" s="6"/>
      <c r="AP688" s="6"/>
      <c r="AQ688" s="6"/>
      <c r="AR688" s="27"/>
      <c r="AS688" s="27"/>
      <c r="AT688" s="27"/>
      <c r="AU688" s="12"/>
      <c r="AV688" s="28"/>
    </row>
    <row r="689" spans="4:48">
      <c r="D689" s="12"/>
      <c r="E689" s="12"/>
      <c r="F689" s="12"/>
      <c r="G689" s="12"/>
      <c r="H689" s="36"/>
      <c r="J689" s="19"/>
      <c r="K689" s="19"/>
      <c r="L689" s="19"/>
      <c r="AF689" s="6"/>
      <c r="AG689" s="6"/>
      <c r="AH689" s="6"/>
      <c r="AI689" s="6"/>
      <c r="AN689" s="6"/>
      <c r="AO689" s="6"/>
      <c r="AP689" s="6"/>
      <c r="AQ689" s="6"/>
      <c r="AR689" s="27"/>
      <c r="AS689" s="27"/>
      <c r="AT689" s="27"/>
      <c r="AU689" s="12"/>
      <c r="AV689" s="28"/>
    </row>
    <row r="690" spans="4:48">
      <c r="D690" s="12"/>
      <c r="E690" s="12"/>
      <c r="F690" s="12"/>
      <c r="G690" s="12"/>
      <c r="H690" s="36"/>
      <c r="J690" s="19"/>
      <c r="K690" s="19"/>
      <c r="L690" s="19"/>
      <c r="AF690" s="6"/>
      <c r="AG690" s="6"/>
      <c r="AH690" s="6"/>
      <c r="AI690" s="6"/>
      <c r="AN690" s="6"/>
      <c r="AO690" s="6"/>
      <c r="AP690" s="6"/>
      <c r="AQ690" s="6"/>
      <c r="AR690" s="27"/>
      <c r="AS690" s="27"/>
      <c r="AT690" s="27"/>
      <c r="AU690" s="12"/>
      <c r="AV690" s="28"/>
    </row>
    <row r="691" spans="4:48">
      <c r="D691" s="12"/>
      <c r="E691" s="12"/>
      <c r="F691" s="12"/>
      <c r="G691" s="12"/>
      <c r="H691" s="36"/>
      <c r="J691" s="19"/>
      <c r="K691" s="19"/>
      <c r="L691" s="19"/>
      <c r="AF691" s="6"/>
      <c r="AG691" s="6"/>
      <c r="AH691" s="6"/>
      <c r="AI691" s="6"/>
      <c r="AN691" s="6"/>
      <c r="AO691" s="6"/>
      <c r="AP691" s="6"/>
      <c r="AQ691" s="6"/>
      <c r="AR691" s="27"/>
      <c r="AS691" s="27"/>
      <c r="AT691" s="27"/>
      <c r="AU691" s="12"/>
      <c r="AV691" s="28"/>
    </row>
    <row r="692" spans="4:48">
      <c r="D692" s="12"/>
      <c r="E692" s="12"/>
      <c r="F692" s="12"/>
      <c r="G692" s="12"/>
      <c r="H692" s="36"/>
      <c r="J692" s="19"/>
      <c r="K692" s="19"/>
      <c r="L692" s="19"/>
      <c r="AF692" s="6"/>
      <c r="AG692" s="6"/>
      <c r="AH692" s="6"/>
      <c r="AI692" s="6"/>
      <c r="AN692" s="6"/>
      <c r="AO692" s="6"/>
      <c r="AP692" s="6"/>
      <c r="AQ692" s="6"/>
      <c r="AR692" s="27"/>
      <c r="AS692" s="27"/>
      <c r="AT692" s="27"/>
      <c r="AU692" s="12"/>
      <c r="AV692" s="28"/>
    </row>
    <row r="693" spans="4:48">
      <c r="D693" s="12"/>
      <c r="E693" s="12"/>
      <c r="F693" s="12"/>
      <c r="G693" s="12"/>
      <c r="H693" s="36"/>
      <c r="J693" s="19"/>
      <c r="K693" s="19"/>
      <c r="L693" s="19"/>
      <c r="AF693" s="6"/>
      <c r="AG693" s="6"/>
      <c r="AH693" s="6"/>
      <c r="AI693" s="6"/>
      <c r="AN693" s="6"/>
      <c r="AO693" s="6"/>
      <c r="AP693" s="6"/>
      <c r="AQ693" s="6"/>
      <c r="AR693" s="27"/>
      <c r="AS693" s="27"/>
      <c r="AT693" s="27"/>
      <c r="AU693" s="12"/>
      <c r="AV693" s="28"/>
    </row>
    <row r="694" spans="4:48">
      <c r="D694" s="12"/>
      <c r="E694" s="12"/>
      <c r="F694" s="12"/>
      <c r="G694" s="12"/>
      <c r="H694" s="36"/>
      <c r="J694" s="19"/>
      <c r="K694" s="19"/>
      <c r="L694" s="19"/>
      <c r="AF694" s="6"/>
      <c r="AG694" s="6"/>
      <c r="AH694" s="6"/>
      <c r="AI694" s="6"/>
      <c r="AN694" s="6"/>
      <c r="AO694" s="6"/>
      <c r="AP694" s="6"/>
      <c r="AQ694" s="6"/>
      <c r="AR694" s="27"/>
      <c r="AS694" s="27"/>
      <c r="AT694" s="27"/>
      <c r="AU694" s="12"/>
      <c r="AV694" s="28"/>
    </row>
    <row r="695" spans="4:48">
      <c r="D695" s="12"/>
      <c r="E695" s="12"/>
      <c r="F695" s="12"/>
      <c r="G695" s="12"/>
      <c r="H695" s="36"/>
      <c r="J695" s="19"/>
      <c r="K695" s="19"/>
      <c r="L695" s="19"/>
      <c r="AF695" s="6"/>
      <c r="AG695" s="6"/>
      <c r="AH695" s="6"/>
      <c r="AI695" s="6"/>
      <c r="AN695" s="6"/>
      <c r="AO695" s="6"/>
      <c r="AP695" s="6"/>
      <c r="AQ695" s="6"/>
      <c r="AR695" s="27"/>
      <c r="AS695" s="27"/>
      <c r="AT695" s="27"/>
      <c r="AU695" s="12"/>
      <c r="AV695" s="28"/>
    </row>
    <row r="696" spans="4:48">
      <c r="D696" s="12"/>
      <c r="E696" s="12"/>
      <c r="F696" s="12"/>
      <c r="G696" s="12"/>
      <c r="H696" s="36"/>
      <c r="J696" s="19"/>
      <c r="K696" s="19"/>
      <c r="L696" s="19"/>
      <c r="AF696" s="6"/>
      <c r="AG696" s="6"/>
      <c r="AH696" s="6"/>
      <c r="AI696" s="6"/>
      <c r="AN696" s="6"/>
      <c r="AO696" s="6"/>
      <c r="AP696" s="6"/>
      <c r="AQ696" s="6"/>
      <c r="AR696" s="27"/>
      <c r="AS696" s="27"/>
      <c r="AT696" s="27"/>
      <c r="AU696" s="12"/>
      <c r="AV696" s="28"/>
    </row>
    <row r="697" spans="4:48">
      <c r="D697" s="12"/>
      <c r="E697" s="12"/>
      <c r="F697" s="12"/>
      <c r="G697" s="12"/>
      <c r="H697" s="36"/>
      <c r="J697" s="19"/>
      <c r="K697" s="19"/>
      <c r="L697" s="19"/>
      <c r="AF697" s="6"/>
      <c r="AG697" s="6"/>
      <c r="AH697" s="6"/>
      <c r="AI697" s="6"/>
      <c r="AN697" s="6"/>
      <c r="AO697" s="6"/>
      <c r="AP697" s="6"/>
      <c r="AQ697" s="6"/>
      <c r="AR697" s="27"/>
      <c r="AS697" s="27"/>
      <c r="AT697" s="27"/>
      <c r="AU697" s="12"/>
      <c r="AV697" s="28"/>
    </row>
    <row r="698" spans="4:48">
      <c r="D698" s="12"/>
      <c r="E698" s="12"/>
      <c r="F698" s="12"/>
      <c r="G698" s="12"/>
      <c r="H698" s="36"/>
      <c r="J698" s="19"/>
      <c r="K698" s="19"/>
      <c r="L698" s="19"/>
      <c r="AF698" s="6"/>
      <c r="AG698" s="6"/>
      <c r="AH698" s="6"/>
      <c r="AI698" s="6"/>
      <c r="AN698" s="6"/>
      <c r="AO698" s="6"/>
      <c r="AP698" s="6"/>
      <c r="AQ698" s="6"/>
      <c r="AR698" s="27"/>
      <c r="AS698" s="27"/>
      <c r="AT698" s="27"/>
      <c r="AU698" s="12"/>
      <c r="AV698" s="28"/>
    </row>
    <row r="699" spans="4:48">
      <c r="D699" s="12"/>
      <c r="E699" s="12"/>
      <c r="F699" s="12"/>
      <c r="G699" s="12"/>
      <c r="H699" s="36"/>
      <c r="J699" s="19"/>
      <c r="K699" s="19"/>
      <c r="L699" s="19"/>
      <c r="AF699" s="6"/>
      <c r="AG699" s="6"/>
      <c r="AH699" s="6"/>
      <c r="AI699" s="6"/>
      <c r="AN699" s="6"/>
      <c r="AO699" s="6"/>
      <c r="AP699" s="6"/>
      <c r="AQ699" s="6"/>
      <c r="AR699" s="27"/>
      <c r="AS699" s="27"/>
      <c r="AT699" s="27"/>
      <c r="AU699" s="12"/>
      <c r="AV699" s="28"/>
    </row>
    <row r="700" spans="4:48">
      <c r="D700" s="12"/>
      <c r="E700" s="12"/>
      <c r="F700" s="12"/>
      <c r="G700" s="12"/>
      <c r="H700" s="36"/>
      <c r="J700" s="19"/>
      <c r="K700" s="19"/>
      <c r="L700" s="19"/>
      <c r="AF700" s="6"/>
      <c r="AG700" s="6"/>
      <c r="AH700" s="6"/>
      <c r="AI700" s="6"/>
      <c r="AN700" s="6"/>
      <c r="AO700" s="6"/>
      <c r="AP700" s="6"/>
      <c r="AQ700" s="6"/>
      <c r="AR700" s="27"/>
      <c r="AS700" s="27"/>
      <c r="AT700" s="27"/>
      <c r="AU700" s="12"/>
      <c r="AV700" s="28"/>
    </row>
    <row r="701" spans="4:48">
      <c r="D701" s="12"/>
      <c r="E701" s="12"/>
      <c r="F701" s="12"/>
      <c r="G701" s="12"/>
      <c r="H701" s="36"/>
      <c r="J701" s="19"/>
      <c r="K701" s="19"/>
      <c r="L701" s="19"/>
      <c r="AF701" s="6"/>
      <c r="AG701" s="6"/>
      <c r="AH701" s="6"/>
      <c r="AI701" s="6"/>
      <c r="AN701" s="6"/>
      <c r="AO701" s="6"/>
      <c r="AP701" s="6"/>
      <c r="AQ701" s="6"/>
      <c r="AR701" s="27"/>
      <c r="AS701" s="27"/>
      <c r="AT701" s="27"/>
      <c r="AU701" s="12"/>
      <c r="AV701" s="28"/>
    </row>
    <row r="702" spans="4:48">
      <c r="D702" s="12"/>
      <c r="E702" s="12"/>
      <c r="F702" s="12"/>
      <c r="G702" s="12"/>
      <c r="H702" s="36"/>
      <c r="J702" s="19"/>
      <c r="K702" s="19"/>
      <c r="L702" s="19"/>
      <c r="AF702" s="6"/>
      <c r="AG702" s="6"/>
      <c r="AH702" s="6"/>
      <c r="AI702" s="6"/>
      <c r="AN702" s="6"/>
      <c r="AO702" s="6"/>
      <c r="AP702" s="6"/>
      <c r="AQ702" s="6"/>
      <c r="AR702" s="27"/>
      <c r="AS702" s="27"/>
      <c r="AT702" s="27"/>
      <c r="AU702" s="12"/>
      <c r="AV702" s="28"/>
    </row>
    <row r="703" spans="4:48">
      <c r="D703" s="12"/>
      <c r="E703" s="12"/>
      <c r="F703" s="12"/>
      <c r="G703" s="12"/>
      <c r="H703" s="36"/>
      <c r="J703" s="19"/>
      <c r="K703" s="19"/>
      <c r="L703" s="19"/>
      <c r="AF703" s="6"/>
      <c r="AG703" s="6"/>
      <c r="AH703" s="6"/>
      <c r="AI703" s="6"/>
      <c r="AN703" s="6"/>
      <c r="AO703" s="6"/>
      <c r="AP703" s="6"/>
      <c r="AQ703" s="6"/>
      <c r="AR703" s="27"/>
      <c r="AS703" s="27"/>
      <c r="AT703" s="27"/>
      <c r="AU703" s="12"/>
      <c r="AV703" s="28"/>
    </row>
    <row r="704" spans="4:48">
      <c r="D704" s="12"/>
      <c r="E704" s="12"/>
      <c r="F704" s="12"/>
      <c r="G704" s="12"/>
      <c r="H704" s="36"/>
      <c r="J704" s="19"/>
      <c r="K704" s="19"/>
      <c r="L704" s="19"/>
      <c r="AF704" s="6"/>
      <c r="AG704" s="6"/>
      <c r="AH704" s="6"/>
      <c r="AI704" s="6"/>
      <c r="AN704" s="6"/>
      <c r="AO704" s="6"/>
      <c r="AP704" s="6"/>
      <c r="AQ704" s="6"/>
      <c r="AR704" s="27"/>
      <c r="AS704" s="27"/>
      <c r="AT704" s="27"/>
      <c r="AU704" s="12"/>
      <c r="AV704" s="28"/>
    </row>
    <row r="705" spans="4:48">
      <c r="D705" s="12"/>
      <c r="E705" s="12"/>
      <c r="F705" s="12"/>
      <c r="G705" s="12"/>
      <c r="H705" s="36"/>
      <c r="J705" s="19"/>
      <c r="K705" s="19"/>
      <c r="L705" s="19"/>
      <c r="AF705" s="6"/>
      <c r="AG705" s="6"/>
      <c r="AH705" s="6"/>
      <c r="AI705" s="6"/>
      <c r="AN705" s="6"/>
      <c r="AO705" s="6"/>
      <c r="AP705" s="6"/>
      <c r="AQ705" s="6"/>
      <c r="AR705" s="27"/>
      <c r="AS705" s="27"/>
      <c r="AT705" s="27"/>
      <c r="AU705" s="12"/>
      <c r="AV705" s="28"/>
    </row>
    <row r="706" spans="4:48">
      <c r="D706" s="12"/>
      <c r="E706" s="12"/>
      <c r="F706" s="12"/>
      <c r="G706" s="12"/>
      <c r="H706" s="36"/>
      <c r="J706" s="19"/>
      <c r="K706" s="19"/>
      <c r="L706" s="19"/>
      <c r="AF706" s="6"/>
      <c r="AG706" s="6"/>
      <c r="AH706" s="6"/>
      <c r="AI706" s="6"/>
      <c r="AN706" s="6"/>
      <c r="AO706" s="6"/>
      <c r="AP706" s="6"/>
      <c r="AQ706" s="6"/>
      <c r="AR706" s="27"/>
      <c r="AS706" s="27"/>
      <c r="AT706" s="27"/>
      <c r="AU706" s="12"/>
      <c r="AV706" s="28"/>
    </row>
    <row r="707" spans="4:48">
      <c r="D707" s="12"/>
      <c r="E707" s="12"/>
      <c r="F707" s="12"/>
      <c r="G707" s="12"/>
      <c r="H707" s="36"/>
      <c r="J707" s="19"/>
      <c r="K707" s="19"/>
      <c r="L707" s="19"/>
      <c r="AF707" s="6"/>
      <c r="AG707" s="6"/>
      <c r="AH707" s="6"/>
      <c r="AI707" s="6"/>
      <c r="AN707" s="6"/>
      <c r="AO707" s="6"/>
      <c r="AP707" s="6"/>
      <c r="AQ707" s="6"/>
      <c r="AR707" s="27"/>
      <c r="AS707" s="27"/>
      <c r="AT707" s="27"/>
      <c r="AU707" s="12"/>
      <c r="AV707" s="28"/>
    </row>
    <row r="708" spans="4:48">
      <c r="D708" s="12"/>
      <c r="E708" s="12"/>
      <c r="F708" s="12"/>
      <c r="G708" s="12"/>
      <c r="H708" s="36"/>
      <c r="J708" s="19"/>
      <c r="K708" s="19"/>
      <c r="L708" s="19"/>
      <c r="AF708" s="6"/>
      <c r="AG708" s="6"/>
      <c r="AH708" s="6"/>
      <c r="AI708" s="6"/>
      <c r="AN708" s="6"/>
      <c r="AO708" s="6"/>
      <c r="AP708" s="6"/>
      <c r="AQ708" s="6"/>
      <c r="AR708" s="27"/>
      <c r="AS708" s="27"/>
      <c r="AT708" s="27"/>
      <c r="AU708" s="12"/>
      <c r="AV708" s="28"/>
    </row>
    <row r="709" spans="4:48">
      <c r="D709" s="12"/>
      <c r="E709" s="12"/>
      <c r="F709" s="12"/>
      <c r="G709" s="12"/>
      <c r="H709" s="36"/>
      <c r="J709" s="19"/>
      <c r="K709" s="19"/>
      <c r="L709" s="19"/>
      <c r="AF709" s="6"/>
      <c r="AG709" s="6"/>
      <c r="AH709" s="6"/>
      <c r="AI709" s="6"/>
      <c r="AN709" s="6"/>
      <c r="AO709" s="6"/>
      <c r="AP709" s="6"/>
      <c r="AQ709" s="6"/>
      <c r="AR709" s="27"/>
      <c r="AS709" s="27"/>
      <c r="AT709" s="27"/>
      <c r="AU709" s="12"/>
      <c r="AV709" s="28"/>
    </row>
    <row r="710" spans="4:48">
      <c r="D710" s="12"/>
      <c r="E710" s="12"/>
      <c r="F710" s="12"/>
      <c r="G710" s="12"/>
      <c r="H710" s="36"/>
      <c r="J710" s="19"/>
      <c r="K710" s="19"/>
      <c r="L710" s="19"/>
      <c r="AF710" s="6"/>
      <c r="AG710" s="6"/>
      <c r="AH710" s="6"/>
      <c r="AI710" s="6"/>
      <c r="AN710" s="6"/>
      <c r="AO710" s="6"/>
      <c r="AP710" s="6"/>
      <c r="AQ710" s="6"/>
      <c r="AR710" s="27"/>
      <c r="AS710" s="27"/>
      <c r="AT710" s="27"/>
      <c r="AU710" s="12"/>
      <c r="AV710" s="28"/>
    </row>
    <row r="711" spans="4:48">
      <c r="D711" s="12"/>
      <c r="E711" s="12"/>
      <c r="F711" s="12"/>
      <c r="G711" s="12"/>
      <c r="H711" s="36"/>
      <c r="J711" s="19"/>
      <c r="K711" s="19"/>
      <c r="L711" s="19"/>
      <c r="AF711" s="6"/>
      <c r="AG711" s="6"/>
      <c r="AH711" s="6"/>
      <c r="AI711" s="6"/>
      <c r="AN711" s="6"/>
      <c r="AO711" s="6"/>
      <c r="AP711" s="6"/>
      <c r="AQ711" s="6"/>
      <c r="AR711" s="27"/>
      <c r="AS711" s="27"/>
      <c r="AT711" s="27"/>
      <c r="AU711" s="12"/>
      <c r="AV711" s="28"/>
    </row>
    <row r="712" spans="4:48">
      <c r="D712" s="12"/>
      <c r="E712" s="12"/>
      <c r="F712" s="12"/>
      <c r="G712" s="12"/>
      <c r="H712" s="36"/>
      <c r="J712" s="19"/>
      <c r="K712" s="19"/>
      <c r="L712" s="19"/>
      <c r="AF712" s="6"/>
      <c r="AG712" s="6"/>
      <c r="AH712" s="6"/>
      <c r="AI712" s="6"/>
      <c r="AN712" s="6"/>
      <c r="AO712" s="6"/>
      <c r="AP712" s="6"/>
      <c r="AQ712" s="6"/>
      <c r="AR712" s="27"/>
      <c r="AS712" s="27"/>
      <c r="AT712" s="27"/>
      <c r="AU712" s="12"/>
      <c r="AV712" s="28"/>
    </row>
    <row r="713" spans="4:48">
      <c r="D713" s="12"/>
      <c r="E713" s="12"/>
      <c r="F713" s="12"/>
      <c r="G713" s="12"/>
      <c r="H713" s="36"/>
      <c r="J713" s="19"/>
      <c r="K713" s="19"/>
      <c r="L713" s="19"/>
      <c r="AF713" s="6"/>
      <c r="AG713" s="6"/>
      <c r="AH713" s="6"/>
      <c r="AI713" s="6"/>
      <c r="AN713" s="6"/>
      <c r="AO713" s="6"/>
      <c r="AP713" s="6"/>
      <c r="AQ713" s="6"/>
      <c r="AR713" s="27"/>
      <c r="AS713" s="27"/>
      <c r="AT713" s="27"/>
      <c r="AU713" s="12"/>
      <c r="AV713" s="28"/>
    </row>
    <row r="714" spans="4:48">
      <c r="D714" s="12"/>
      <c r="E714" s="12"/>
      <c r="F714" s="12"/>
      <c r="G714" s="12"/>
      <c r="H714" s="36"/>
      <c r="J714" s="19"/>
      <c r="K714" s="19"/>
      <c r="L714" s="19"/>
      <c r="AF714" s="6"/>
      <c r="AG714" s="6"/>
      <c r="AH714" s="6"/>
      <c r="AI714" s="6"/>
      <c r="AN714" s="6"/>
      <c r="AO714" s="6"/>
      <c r="AP714" s="6"/>
      <c r="AQ714" s="6"/>
      <c r="AR714" s="27"/>
      <c r="AS714" s="27"/>
      <c r="AT714" s="27"/>
      <c r="AU714" s="12"/>
      <c r="AV714" s="28"/>
    </row>
    <row r="715" spans="4:48">
      <c r="D715" s="12"/>
      <c r="E715" s="12"/>
      <c r="F715" s="12"/>
      <c r="G715" s="12"/>
      <c r="H715" s="36"/>
      <c r="J715" s="19"/>
      <c r="K715" s="19"/>
      <c r="L715" s="19"/>
      <c r="AF715" s="6"/>
      <c r="AG715" s="6"/>
      <c r="AH715" s="6"/>
      <c r="AI715" s="6"/>
      <c r="AN715" s="6"/>
      <c r="AO715" s="6"/>
      <c r="AP715" s="6"/>
      <c r="AQ715" s="6"/>
      <c r="AR715" s="27"/>
      <c r="AS715" s="27"/>
      <c r="AT715" s="27"/>
      <c r="AU715" s="12"/>
      <c r="AV715" s="28"/>
    </row>
    <row r="716" spans="4:48">
      <c r="D716" s="12"/>
      <c r="E716" s="12"/>
      <c r="F716" s="12"/>
      <c r="G716" s="12"/>
      <c r="H716" s="36"/>
      <c r="J716" s="19"/>
      <c r="K716" s="19"/>
      <c r="L716" s="19"/>
      <c r="AF716" s="6"/>
      <c r="AG716" s="6"/>
      <c r="AH716" s="6"/>
      <c r="AI716" s="6"/>
      <c r="AN716" s="6"/>
      <c r="AO716" s="6"/>
      <c r="AP716" s="6"/>
      <c r="AQ716" s="6"/>
      <c r="AR716" s="27"/>
      <c r="AS716" s="27"/>
      <c r="AT716" s="27"/>
      <c r="AU716" s="12"/>
      <c r="AV716" s="28"/>
    </row>
    <row r="717" spans="4:48">
      <c r="D717" s="12"/>
      <c r="E717" s="12"/>
      <c r="F717" s="12"/>
      <c r="G717" s="12"/>
      <c r="H717" s="36"/>
      <c r="J717" s="19"/>
      <c r="K717" s="19"/>
      <c r="L717" s="19"/>
      <c r="AF717" s="6"/>
      <c r="AG717" s="6"/>
      <c r="AH717" s="6"/>
      <c r="AI717" s="6"/>
      <c r="AN717" s="6"/>
      <c r="AO717" s="6"/>
      <c r="AP717" s="6"/>
      <c r="AQ717" s="6"/>
      <c r="AR717" s="27"/>
      <c r="AS717" s="27"/>
      <c r="AT717" s="27"/>
      <c r="AU717" s="12"/>
      <c r="AV717" s="28"/>
    </row>
    <row r="718" spans="4:48">
      <c r="D718" s="12"/>
      <c r="E718" s="12"/>
      <c r="F718" s="12"/>
      <c r="G718" s="12"/>
      <c r="H718" s="36"/>
      <c r="J718" s="19"/>
      <c r="K718" s="19"/>
      <c r="L718" s="19"/>
      <c r="AF718" s="6"/>
      <c r="AG718" s="6"/>
      <c r="AH718" s="6"/>
      <c r="AI718" s="6"/>
      <c r="AN718" s="6"/>
      <c r="AO718" s="6"/>
      <c r="AP718" s="6"/>
      <c r="AQ718" s="6"/>
      <c r="AR718" s="27"/>
      <c r="AS718" s="27"/>
      <c r="AT718" s="27"/>
      <c r="AU718" s="12"/>
      <c r="AV718" s="28"/>
    </row>
    <row r="719" spans="4:48">
      <c r="D719" s="12"/>
      <c r="E719" s="12"/>
      <c r="F719" s="12"/>
      <c r="G719" s="12"/>
      <c r="H719" s="36"/>
      <c r="J719" s="19"/>
      <c r="K719" s="19"/>
      <c r="L719" s="19"/>
      <c r="AF719" s="6"/>
      <c r="AG719" s="6"/>
      <c r="AH719" s="6"/>
      <c r="AI719" s="6"/>
      <c r="AN719" s="6"/>
      <c r="AO719" s="6"/>
      <c r="AP719" s="6"/>
      <c r="AQ719" s="6"/>
      <c r="AR719" s="27"/>
      <c r="AS719" s="27"/>
      <c r="AT719" s="27"/>
      <c r="AU719" s="12"/>
      <c r="AV719" s="28"/>
    </row>
    <row r="720" spans="4:48">
      <c r="D720" s="12"/>
      <c r="E720" s="12"/>
      <c r="F720" s="12"/>
      <c r="G720" s="12"/>
      <c r="H720" s="36"/>
      <c r="J720" s="19"/>
      <c r="K720" s="19"/>
      <c r="L720" s="19"/>
      <c r="AF720" s="6"/>
      <c r="AG720" s="6"/>
      <c r="AH720" s="6"/>
      <c r="AI720" s="6"/>
      <c r="AN720" s="6"/>
      <c r="AO720" s="6"/>
      <c r="AP720" s="6"/>
      <c r="AQ720" s="6"/>
      <c r="AR720" s="27"/>
      <c r="AS720" s="27"/>
      <c r="AT720" s="27"/>
      <c r="AU720" s="12"/>
      <c r="AV720" s="28"/>
    </row>
    <row r="721" spans="4:48">
      <c r="D721" s="12"/>
      <c r="E721" s="12"/>
      <c r="F721" s="12"/>
      <c r="G721" s="12"/>
      <c r="H721" s="36"/>
      <c r="J721" s="19"/>
      <c r="K721" s="19"/>
      <c r="L721" s="19"/>
      <c r="AF721" s="6"/>
      <c r="AG721" s="6"/>
      <c r="AH721" s="6"/>
      <c r="AI721" s="6"/>
      <c r="AN721" s="6"/>
      <c r="AO721" s="6"/>
      <c r="AP721" s="6"/>
      <c r="AQ721" s="6"/>
      <c r="AR721" s="27"/>
      <c r="AS721" s="27"/>
      <c r="AT721" s="27"/>
      <c r="AU721" s="12"/>
      <c r="AV721" s="28"/>
    </row>
    <row r="722" spans="4:48">
      <c r="D722" s="12"/>
      <c r="E722" s="12"/>
      <c r="F722" s="12"/>
      <c r="G722" s="12"/>
      <c r="H722" s="36"/>
      <c r="J722" s="19"/>
      <c r="K722" s="19"/>
      <c r="L722" s="19"/>
      <c r="AF722" s="6"/>
      <c r="AG722" s="6"/>
      <c r="AH722" s="6"/>
      <c r="AI722" s="6"/>
      <c r="AN722" s="6"/>
      <c r="AO722" s="6"/>
      <c r="AP722" s="6"/>
      <c r="AQ722" s="6"/>
      <c r="AR722" s="27"/>
      <c r="AS722" s="27"/>
      <c r="AT722" s="27"/>
      <c r="AU722" s="12"/>
      <c r="AV722" s="28"/>
    </row>
    <row r="723" spans="4:48">
      <c r="D723" s="12"/>
      <c r="E723" s="12"/>
      <c r="F723" s="12"/>
      <c r="G723" s="12"/>
      <c r="H723" s="36"/>
      <c r="J723" s="19"/>
      <c r="K723" s="19"/>
      <c r="L723" s="19"/>
      <c r="AF723" s="6"/>
      <c r="AG723" s="6"/>
      <c r="AH723" s="6"/>
      <c r="AI723" s="6"/>
      <c r="AN723" s="6"/>
      <c r="AO723" s="6"/>
      <c r="AP723" s="6"/>
      <c r="AQ723" s="6"/>
      <c r="AR723" s="27"/>
      <c r="AS723" s="27"/>
      <c r="AT723" s="27"/>
      <c r="AU723" s="12"/>
      <c r="AV723" s="28"/>
    </row>
    <row r="724" spans="4:48">
      <c r="D724" s="12"/>
      <c r="E724" s="12"/>
      <c r="F724" s="12"/>
      <c r="G724" s="12"/>
      <c r="H724" s="36"/>
      <c r="J724" s="19"/>
      <c r="K724" s="19"/>
      <c r="L724" s="19"/>
      <c r="AF724" s="6"/>
      <c r="AG724" s="6"/>
      <c r="AH724" s="6"/>
      <c r="AI724" s="6"/>
      <c r="AN724" s="6"/>
      <c r="AO724" s="6"/>
      <c r="AP724" s="6"/>
      <c r="AQ724" s="6"/>
      <c r="AR724" s="27"/>
      <c r="AS724" s="27"/>
      <c r="AT724" s="27"/>
      <c r="AU724" s="12"/>
      <c r="AV724" s="28"/>
    </row>
    <row r="725" spans="4:48">
      <c r="D725" s="12"/>
      <c r="E725" s="12"/>
      <c r="F725" s="12"/>
      <c r="G725" s="12"/>
      <c r="H725" s="36"/>
      <c r="J725" s="19"/>
      <c r="K725" s="19"/>
      <c r="L725" s="19"/>
      <c r="AF725" s="6"/>
      <c r="AG725" s="6"/>
      <c r="AH725" s="6"/>
      <c r="AI725" s="6"/>
      <c r="AN725" s="6"/>
      <c r="AO725" s="6"/>
      <c r="AP725" s="6"/>
      <c r="AQ725" s="6"/>
      <c r="AR725" s="27"/>
      <c r="AS725" s="27"/>
      <c r="AT725" s="27"/>
      <c r="AU725" s="12"/>
      <c r="AV725" s="28"/>
    </row>
    <row r="726" spans="4:48">
      <c r="D726" s="12"/>
      <c r="E726" s="12"/>
      <c r="F726" s="12"/>
      <c r="G726" s="12"/>
      <c r="H726" s="36"/>
      <c r="J726" s="19"/>
      <c r="K726" s="19"/>
      <c r="L726" s="19"/>
      <c r="AF726" s="6"/>
      <c r="AG726" s="6"/>
      <c r="AH726" s="6"/>
      <c r="AI726" s="6"/>
      <c r="AN726" s="6"/>
      <c r="AO726" s="6"/>
      <c r="AP726" s="6"/>
      <c r="AQ726" s="6"/>
      <c r="AR726" s="27"/>
      <c r="AS726" s="27"/>
      <c r="AT726" s="27"/>
      <c r="AU726" s="12"/>
      <c r="AV726" s="28"/>
    </row>
    <row r="727" spans="4:48">
      <c r="D727" s="12"/>
      <c r="E727" s="12"/>
      <c r="F727" s="12"/>
      <c r="G727" s="12"/>
      <c r="H727" s="36"/>
      <c r="J727" s="19"/>
      <c r="K727" s="19"/>
      <c r="L727" s="19"/>
      <c r="AF727" s="6"/>
      <c r="AG727" s="6"/>
      <c r="AH727" s="6"/>
      <c r="AI727" s="6"/>
      <c r="AN727" s="6"/>
      <c r="AO727" s="6"/>
      <c r="AP727" s="6"/>
      <c r="AQ727" s="6"/>
      <c r="AR727" s="27"/>
      <c r="AS727" s="27"/>
      <c r="AT727" s="27"/>
      <c r="AU727" s="12"/>
      <c r="AV727" s="28"/>
    </row>
    <row r="728" spans="4:48">
      <c r="D728" s="12"/>
      <c r="E728" s="12"/>
      <c r="F728" s="12"/>
      <c r="G728" s="12"/>
      <c r="H728" s="36"/>
      <c r="J728" s="19"/>
      <c r="K728" s="19"/>
      <c r="L728" s="19"/>
      <c r="AF728" s="6"/>
      <c r="AG728" s="6"/>
      <c r="AH728" s="6"/>
      <c r="AI728" s="6"/>
      <c r="AN728" s="6"/>
      <c r="AO728" s="6"/>
      <c r="AP728" s="6"/>
      <c r="AQ728" s="6"/>
      <c r="AR728" s="27"/>
      <c r="AS728" s="27"/>
      <c r="AT728" s="27"/>
      <c r="AU728" s="12"/>
      <c r="AV728" s="28"/>
    </row>
    <row r="729" spans="4:48">
      <c r="D729" s="12"/>
      <c r="E729" s="12"/>
      <c r="F729" s="12"/>
      <c r="G729" s="12"/>
      <c r="H729" s="36"/>
      <c r="J729" s="19"/>
      <c r="K729" s="19"/>
      <c r="L729" s="19"/>
      <c r="AF729" s="6"/>
      <c r="AG729" s="6"/>
      <c r="AH729" s="6"/>
      <c r="AI729" s="6"/>
      <c r="AN729" s="6"/>
      <c r="AO729" s="6"/>
      <c r="AP729" s="6"/>
      <c r="AQ729" s="6"/>
      <c r="AR729" s="27"/>
      <c r="AS729" s="27"/>
      <c r="AT729" s="27"/>
      <c r="AU729" s="12"/>
      <c r="AV729" s="28"/>
    </row>
    <row r="730" spans="4:48">
      <c r="D730" s="12"/>
      <c r="E730" s="12"/>
      <c r="F730" s="12"/>
      <c r="G730" s="12"/>
      <c r="H730" s="36"/>
      <c r="J730" s="19"/>
      <c r="K730" s="19"/>
      <c r="L730" s="19"/>
      <c r="AF730" s="6"/>
      <c r="AG730" s="6"/>
      <c r="AH730" s="6"/>
      <c r="AI730" s="6"/>
      <c r="AN730" s="6"/>
      <c r="AO730" s="6"/>
      <c r="AP730" s="6"/>
      <c r="AQ730" s="6"/>
      <c r="AR730" s="27"/>
      <c r="AS730" s="27"/>
      <c r="AT730" s="27"/>
      <c r="AU730" s="12"/>
      <c r="AV730" s="28"/>
    </row>
    <row r="731" spans="4:48">
      <c r="D731" s="12"/>
      <c r="E731" s="12"/>
      <c r="F731" s="12"/>
      <c r="G731" s="12"/>
      <c r="H731" s="36"/>
      <c r="J731" s="19"/>
      <c r="K731" s="19"/>
      <c r="L731" s="19"/>
      <c r="AF731" s="6"/>
      <c r="AG731" s="6"/>
      <c r="AH731" s="6"/>
      <c r="AI731" s="6"/>
      <c r="AN731" s="6"/>
      <c r="AO731" s="6"/>
      <c r="AP731" s="6"/>
      <c r="AQ731" s="6"/>
      <c r="AR731" s="27"/>
      <c r="AS731" s="27"/>
      <c r="AT731" s="27"/>
      <c r="AU731" s="12"/>
      <c r="AV731" s="28"/>
    </row>
    <row r="732" spans="4:48">
      <c r="D732" s="12"/>
      <c r="E732" s="12"/>
      <c r="F732" s="12"/>
      <c r="G732" s="12"/>
      <c r="H732" s="36"/>
      <c r="J732" s="19"/>
      <c r="K732" s="19"/>
      <c r="L732" s="19"/>
      <c r="AF732" s="6"/>
      <c r="AG732" s="6"/>
      <c r="AH732" s="6"/>
      <c r="AI732" s="6"/>
      <c r="AN732" s="6"/>
      <c r="AO732" s="6"/>
      <c r="AP732" s="6"/>
      <c r="AQ732" s="6"/>
      <c r="AR732" s="27"/>
      <c r="AS732" s="27"/>
      <c r="AT732" s="27"/>
      <c r="AU732" s="12"/>
      <c r="AV732" s="28"/>
    </row>
    <row r="733" spans="4:48">
      <c r="D733" s="12"/>
      <c r="E733" s="12"/>
      <c r="F733" s="12"/>
      <c r="G733" s="12"/>
      <c r="H733" s="36"/>
      <c r="J733" s="19"/>
      <c r="K733" s="19"/>
      <c r="L733" s="19"/>
      <c r="AF733" s="6"/>
      <c r="AG733" s="6"/>
      <c r="AH733" s="6"/>
      <c r="AI733" s="6"/>
      <c r="AN733" s="6"/>
      <c r="AO733" s="6"/>
      <c r="AP733" s="6"/>
      <c r="AQ733" s="6"/>
      <c r="AR733" s="27"/>
      <c r="AS733" s="27"/>
      <c r="AT733" s="27"/>
      <c r="AU733" s="12"/>
      <c r="AV733" s="28"/>
    </row>
    <row r="734" spans="4:48">
      <c r="D734" s="12"/>
      <c r="E734" s="12"/>
      <c r="F734" s="12"/>
      <c r="G734" s="12"/>
      <c r="H734" s="36"/>
      <c r="J734" s="19"/>
      <c r="K734" s="19"/>
      <c r="L734" s="19"/>
      <c r="AF734" s="6"/>
      <c r="AG734" s="6"/>
      <c r="AH734" s="6"/>
      <c r="AI734" s="6"/>
      <c r="AN734" s="6"/>
      <c r="AO734" s="6"/>
      <c r="AP734" s="6"/>
      <c r="AQ734" s="6"/>
      <c r="AR734" s="27"/>
      <c r="AS734" s="27"/>
      <c r="AT734" s="27"/>
      <c r="AU734" s="12"/>
      <c r="AV734" s="28"/>
    </row>
    <row r="735" spans="4:48">
      <c r="D735" s="12"/>
      <c r="E735" s="12"/>
      <c r="F735" s="12"/>
      <c r="G735" s="12"/>
      <c r="H735" s="36"/>
      <c r="J735" s="19"/>
      <c r="K735" s="19"/>
      <c r="L735" s="19"/>
      <c r="AF735" s="6"/>
      <c r="AG735" s="6"/>
      <c r="AH735" s="6"/>
      <c r="AI735" s="6"/>
      <c r="AN735" s="6"/>
      <c r="AO735" s="6"/>
      <c r="AP735" s="6"/>
      <c r="AQ735" s="6"/>
      <c r="AR735" s="27"/>
      <c r="AS735" s="27"/>
      <c r="AT735" s="27"/>
      <c r="AU735" s="12"/>
      <c r="AV735" s="28"/>
    </row>
    <row r="736" spans="4:48">
      <c r="D736" s="12"/>
      <c r="E736" s="12"/>
      <c r="F736" s="12"/>
      <c r="G736" s="12"/>
      <c r="H736" s="36"/>
      <c r="J736" s="19"/>
      <c r="K736" s="19"/>
      <c r="L736" s="19"/>
      <c r="AF736" s="6"/>
      <c r="AG736" s="6"/>
      <c r="AH736" s="6"/>
      <c r="AI736" s="6"/>
      <c r="AN736" s="6"/>
      <c r="AO736" s="6"/>
      <c r="AP736" s="6"/>
      <c r="AQ736" s="6"/>
      <c r="AR736" s="27"/>
      <c r="AS736" s="27"/>
      <c r="AT736" s="27"/>
      <c r="AU736" s="12"/>
      <c r="AV736" s="28"/>
    </row>
    <row r="737" spans="4:48">
      <c r="D737" s="12"/>
      <c r="E737" s="12"/>
      <c r="F737" s="12"/>
      <c r="G737" s="12"/>
      <c r="H737" s="36"/>
      <c r="J737" s="19"/>
      <c r="K737" s="19"/>
      <c r="L737" s="19"/>
      <c r="AF737" s="6"/>
      <c r="AG737" s="6"/>
      <c r="AH737" s="6"/>
      <c r="AI737" s="6"/>
      <c r="AN737" s="6"/>
      <c r="AO737" s="6"/>
      <c r="AP737" s="6"/>
      <c r="AQ737" s="6"/>
      <c r="AR737" s="27"/>
      <c r="AS737" s="27"/>
      <c r="AT737" s="27"/>
      <c r="AU737" s="12"/>
      <c r="AV737" s="28"/>
    </row>
    <row r="738" spans="4:48">
      <c r="D738" s="12"/>
      <c r="E738" s="12"/>
      <c r="F738" s="12"/>
      <c r="G738" s="12"/>
      <c r="H738" s="36"/>
      <c r="J738" s="19"/>
      <c r="K738" s="19"/>
      <c r="L738" s="19"/>
      <c r="AF738" s="6"/>
      <c r="AG738" s="6"/>
      <c r="AH738" s="6"/>
      <c r="AI738" s="6"/>
      <c r="AN738" s="6"/>
      <c r="AO738" s="6"/>
      <c r="AP738" s="6"/>
      <c r="AQ738" s="6"/>
      <c r="AR738" s="27"/>
      <c r="AS738" s="27"/>
      <c r="AT738" s="27"/>
      <c r="AU738" s="12"/>
      <c r="AV738" s="28"/>
    </row>
    <row r="739" spans="4:48">
      <c r="D739" s="12"/>
      <c r="E739" s="12"/>
      <c r="F739" s="12"/>
      <c r="G739" s="12"/>
      <c r="H739" s="36"/>
      <c r="J739" s="19"/>
      <c r="K739" s="19"/>
      <c r="L739" s="19"/>
      <c r="AF739" s="6"/>
      <c r="AG739" s="6"/>
      <c r="AH739" s="6"/>
      <c r="AI739" s="6"/>
      <c r="AN739" s="6"/>
      <c r="AO739" s="6"/>
      <c r="AP739" s="6"/>
      <c r="AQ739" s="6"/>
      <c r="AR739" s="27"/>
      <c r="AS739" s="27"/>
      <c r="AT739" s="27"/>
      <c r="AU739" s="12"/>
      <c r="AV739" s="28"/>
    </row>
    <row r="740" spans="4:48">
      <c r="D740" s="12"/>
      <c r="E740" s="12"/>
      <c r="F740" s="12"/>
      <c r="G740" s="12"/>
      <c r="H740" s="36"/>
      <c r="J740" s="19"/>
      <c r="K740" s="19"/>
      <c r="L740" s="19"/>
      <c r="AF740" s="6"/>
      <c r="AG740" s="6"/>
      <c r="AH740" s="6"/>
      <c r="AI740" s="6"/>
      <c r="AN740" s="6"/>
      <c r="AO740" s="6"/>
      <c r="AP740" s="6"/>
      <c r="AQ740" s="6"/>
      <c r="AR740" s="27"/>
      <c r="AS740" s="27"/>
      <c r="AT740" s="27"/>
      <c r="AU740" s="12"/>
      <c r="AV740" s="28"/>
    </row>
    <row r="741" spans="4:48">
      <c r="D741" s="12"/>
      <c r="E741" s="12"/>
      <c r="F741" s="12"/>
      <c r="G741" s="12"/>
      <c r="H741" s="36"/>
      <c r="J741" s="19"/>
      <c r="K741" s="19"/>
      <c r="L741" s="19"/>
      <c r="AF741" s="6"/>
      <c r="AG741" s="6"/>
      <c r="AH741" s="6"/>
      <c r="AI741" s="6"/>
      <c r="AN741" s="6"/>
      <c r="AO741" s="6"/>
      <c r="AP741" s="6"/>
      <c r="AQ741" s="6"/>
      <c r="AR741" s="27"/>
      <c r="AS741" s="27"/>
      <c r="AT741" s="27"/>
      <c r="AU741" s="12"/>
      <c r="AV741" s="28"/>
    </row>
    <row r="742" spans="4:48">
      <c r="D742" s="12"/>
      <c r="E742" s="12"/>
      <c r="F742" s="12"/>
      <c r="G742" s="12"/>
      <c r="H742" s="36"/>
      <c r="J742" s="19"/>
      <c r="K742" s="19"/>
      <c r="L742" s="19"/>
      <c r="AF742" s="6"/>
      <c r="AG742" s="6"/>
      <c r="AH742" s="6"/>
      <c r="AI742" s="6"/>
      <c r="AN742" s="6"/>
      <c r="AO742" s="6"/>
      <c r="AP742" s="6"/>
      <c r="AQ742" s="6"/>
      <c r="AR742" s="27"/>
      <c r="AS742" s="27"/>
      <c r="AT742" s="27"/>
      <c r="AU742" s="12"/>
      <c r="AV742" s="28"/>
    </row>
    <row r="743" spans="4:48">
      <c r="D743" s="12"/>
      <c r="E743" s="12"/>
      <c r="F743" s="12"/>
      <c r="G743" s="12"/>
      <c r="H743" s="36"/>
      <c r="J743" s="19"/>
      <c r="K743" s="19"/>
      <c r="L743" s="19"/>
      <c r="AF743" s="6"/>
      <c r="AG743" s="6"/>
      <c r="AH743" s="6"/>
      <c r="AI743" s="6"/>
      <c r="AN743" s="6"/>
      <c r="AO743" s="6"/>
      <c r="AP743" s="6"/>
      <c r="AQ743" s="6"/>
      <c r="AR743" s="27"/>
      <c r="AS743" s="27"/>
      <c r="AT743" s="27"/>
      <c r="AU743" s="12"/>
      <c r="AV743" s="28"/>
    </row>
    <row r="744" spans="4:48">
      <c r="D744" s="12"/>
      <c r="E744" s="12"/>
      <c r="F744" s="12"/>
      <c r="G744" s="12"/>
      <c r="H744" s="36"/>
      <c r="J744" s="19"/>
      <c r="K744" s="19"/>
      <c r="L744" s="19"/>
      <c r="AF744" s="6"/>
      <c r="AG744" s="6"/>
      <c r="AH744" s="6"/>
      <c r="AI744" s="6"/>
      <c r="AN744" s="6"/>
      <c r="AO744" s="6"/>
      <c r="AP744" s="6"/>
      <c r="AQ744" s="6"/>
      <c r="AR744" s="27"/>
      <c r="AS744" s="27"/>
      <c r="AT744" s="27"/>
      <c r="AU744" s="12"/>
      <c r="AV744" s="28"/>
    </row>
    <row r="745" spans="4:48">
      <c r="D745" s="12"/>
      <c r="E745" s="12"/>
      <c r="F745" s="12"/>
      <c r="G745" s="12"/>
      <c r="H745" s="36"/>
      <c r="J745" s="19"/>
      <c r="K745" s="19"/>
      <c r="L745" s="19"/>
      <c r="AF745" s="6"/>
      <c r="AG745" s="6"/>
      <c r="AH745" s="6"/>
      <c r="AI745" s="6"/>
      <c r="AN745" s="6"/>
      <c r="AO745" s="6"/>
      <c r="AP745" s="6"/>
      <c r="AQ745" s="6"/>
      <c r="AR745" s="27"/>
      <c r="AS745" s="27"/>
      <c r="AT745" s="27"/>
      <c r="AU745" s="12"/>
      <c r="AV745" s="28"/>
    </row>
    <row r="746" spans="4:48">
      <c r="D746" s="12"/>
      <c r="E746" s="12"/>
      <c r="F746" s="12"/>
      <c r="G746" s="12"/>
      <c r="H746" s="36"/>
      <c r="J746" s="19"/>
      <c r="K746" s="19"/>
      <c r="L746" s="19"/>
      <c r="AF746" s="6"/>
      <c r="AG746" s="6"/>
      <c r="AH746" s="6"/>
      <c r="AI746" s="6"/>
      <c r="AN746" s="6"/>
      <c r="AO746" s="6"/>
      <c r="AP746" s="6"/>
      <c r="AQ746" s="6"/>
      <c r="AR746" s="27"/>
      <c r="AS746" s="27"/>
      <c r="AT746" s="27"/>
      <c r="AU746" s="12"/>
      <c r="AV746" s="28"/>
    </row>
    <row r="747" spans="4:48">
      <c r="D747" s="12"/>
      <c r="E747" s="12"/>
      <c r="F747" s="12"/>
      <c r="G747" s="12"/>
      <c r="H747" s="36"/>
      <c r="J747" s="19"/>
      <c r="K747" s="19"/>
      <c r="L747" s="19"/>
      <c r="AF747" s="6"/>
      <c r="AG747" s="6"/>
      <c r="AH747" s="6"/>
      <c r="AI747" s="6"/>
      <c r="AN747" s="6"/>
      <c r="AO747" s="6"/>
      <c r="AP747" s="6"/>
      <c r="AQ747" s="6"/>
      <c r="AR747" s="27"/>
      <c r="AS747" s="27"/>
      <c r="AT747" s="27"/>
      <c r="AU747" s="12"/>
      <c r="AV747" s="28"/>
    </row>
    <row r="748" spans="4:48">
      <c r="D748" s="12"/>
      <c r="E748" s="12"/>
      <c r="F748" s="12"/>
      <c r="G748" s="12"/>
      <c r="H748" s="36"/>
      <c r="J748" s="19"/>
      <c r="K748" s="19"/>
      <c r="L748" s="19"/>
      <c r="AF748" s="6"/>
      <c r="AG748" s="6"/>
      <c r="AH748" s="6"/>
      <c r="AI748" s="6"/>
      <c r="AN748" s="6"/>
      <c r="AO748" s="6"/>
      <c r="AP748" s="6"/>
      <c r="AQ748" s="6"/>
      <c r="AR748" s="27"/>
      <c r="AS748" s="27"/>
      <c r="AT748" s="27"/>
      <c r="AU748" s="12"/>
      <c r="AV748" s="28"/>
    </row>
    <row r="749" spans="4:48">
      <c r="D749" s="12"/>
      <c r="E749" s="12"/>
      <c r="F749" s="12"/>
      <c r="G749" s="12"/>
      <c r="H749" s="36"/>
      <c r="J749" s="19"/>
      <c r="K749" s="19"/>
      <c r="L749" s="19"/>
      <c r="AF749" s="6"/>
      <c r="AG749" s="6"/>
      <c r="AH749" s="6"/>
      <c r="AI749" s="6"/>
      <c r="AN749" s="6"/>
      <c r="AO749" s="6"/>
      <c r="AP749" s="6"/>
      <c r="AQ749" s="6"/>
      <c r="AR749" s="27"/>
      <c r="AS749" s="27"/>
      <c r="AT749" s="27"/>
      <c r="AU749" s="12"/>
      <c r="AV749" s="28"/>
    </row>
    <row r="750" spans="4:48">
      <c r="D750" s="12"/>
      <c r="E750" s="12"/>
      <c r="F750" s="12"/>
      <c r="G750" s="12"/>
      <c r="H750" s="36"/>
      <c r="J750" s="19"/>
      <c r="K750" s="19"/>
      <c r="L750" s="19"/>
      <c r="AF750" s="6"/>
      <c r="AG750" s="6"/>
      <c r="AH750" s="6"/>
      <c r="AI750" s="6"/>
      <c r="AN750" s="6"/>
      <c r="AO750" s="6"/>
      <c r="AP750" s="6"/>
      <c r="AQ750" s="6"/>
      <c r="AR750" s="27"/>
      <c r="AS750" s="27"/>
      <c r="AT750" s="27"/>
      <c r="AU750" s="12"/>
      <c r="AV750" s="28"/>
    </row>
    <row r="751" spans="4:48">
      <c r="D751" s="12"/>
      <c r="E751" s="12"/>
      <c r="F751" s="12"/>
      <c r="G751" s="12"/>
      <c r="H751" s="36"/>
      <c r="J751" s="19"/>
      <c r="K751" s="19"/>
      <c r="L751" s="19"/>
      <c r="AF751" s="6"/>
      <c r="AG751" s="6"/>
      <c r="AH751" s="6"/>
      <c r="AI751" s="6"/>
      <c r="AN751" s="6"/>
      <c r="AO751" s="6"/>
      <c r="AP751" s="6"/>
      <c r="AQ751" s="6"/>
      <c r="AR751" s="27"/>
      <c r="AS751" s="27"/>
      <c r="AT751" s="27"/>
      <c r="AU751" s="12"/>
      <c r="AV751" s="28"/>
    </row>
    <row r="752" spans="4:48">
      <c r="D752" s="12"/>
      <c r="E752" s="12"/>
      <c r="F752" s="12"/>
      <c r="G752" s="12"/>
      <c r="H752" s="36"/>
      <c r="J752" s="19"/>
      <c r="K752" s="19"/>
      <c r="L752" s="19"/>
      <c r="AF752" s="6"/>
      <c r="AG752" s="6"/>
      <c r="AH752" s="6"/>
      <c r="AI752" s="6"/>
      <c r="AN752" s="6"/>
      <c r="AO752" s="6"/>
      <c r="AP752" s="6"/>
      <c r="AQ752" s="6"/>
      <c r="AR752" s="27"/>
      <c r="AS752" s="27"/>
      <c r="AT752" s="27"/>
      <c r="AU752" s="12"/>
      <c r="AV752" s="28"/>
    </row>
    <row r="753" spans="4:48">
      <c r="D753" s="12"/>
      <c r="E753" s="12"/>
      <c r="F753" s="12"/>
      <c r="G753" s="12"/>
      <c r="H753" s="36"/>
      <c r="J753" s="19"/>
      <c r="K753" s="19"/>
      <c r="L753" s="19"/>
      <c r="AF753" s="6"/>
      <c r="AG753" s="6"/>
      <c r="AH753" s="6"/>
      <c r="AI753" s="6"/>
      <c r="AN753" s="6"/>
      <c r="AO753" s="6"/>
      <c r="AP753" s="6"/>
      <c r="AQ753" s="6"/>
      <c r="AR753" s="27"/>
      <c r="AS753" s="27"/>
      <c r="AT753" s="27"/>
      <c r="AU753" s="12"/>
      <c r="AV753" s="28"/>
    </row>
    <row r="754" spans="4:48">
      <c r="D754" s="12"/>
      <c r="E754" s="12"/>
      <c r="F754" s="12"/>
      <c r="G754" s="12"/>
      <c r="H754" s="36"/>
      <c r="J754" s="19"/>
      <c r="K754" s="19"/>
      <c r="L754" s="19"/>
      <c r="AF754" s="6"/>
      <c r="AG754" s="6"/>
      <c r="AH754" s="6"/>
      <c r="AI754" s="6"/>
      <c r="AN754" s="6"/>
      <c r="AO754" s="6"/>
      <c r="AP754" s="6"/>
      <c r="AQ754" s="6"/>
      <c r="AR754" s="27"/>
      <c r="AS754" s="27"/>
      <c r="AT754" s="27"/>
      <c r="AU754" s="12"/>
      <c r="AV754" s="28"/>
    </row>
    <row r="755" spans="4:48">
      <c r="D755" s="12"/>
      <c r="E755" s="12"/>
      <c r="F755" s="12"/>
      <c r="G755" s="12"/>
      <c r="H755" s="36"/>
      <c r="J755" s="19"/>
      <c r="K755" s="19"/>
      <c r="L755" s="19"/>
      <c r="AF755" s="6"/>
      <c r="AG755" s="6"/>
      <c r="AH755" s="6"/>
      <c r="AI755" s="6"/>
      <c r="AN755" s="6"/>
      <c r="AO755" s="6"/>
      <c r="AP755" s="6"/>
      <c r="AQ755" s="6"/>
      <c r="AR755" s="27"/>
      <c r="AS755" s="27"/>
      <c r="AT755" s="27"/>
      <c r="AU755" s="12"/>
      <c r="AV755" s="28"/>
    </row>
    <row r="756" spans="4:48">
      <c r="D756" s="12"/>
      <c r="E756" s="12"/>
      <c r="F756" s="12"/>
      <c r="G756" s="12"/>
      <c r="H756" s="36"/>
      <c r="J756" s="19"/>
      <c r="K756" s="19"/>
      <c r="L756" s="19"/>
      <c r="AF756" s="6"/>
      <c r="AG756" s="6"/>
      <c r="AH756" s="6"/>
      <c r="AI756" s="6"/>
      <c r="AN756" s="6"/>
      <c r="AO756" s="6"/>
      <c r="AP756" s="6"/>
      <c r="AQ756" s="6"/>
      <c r="AR756" s="27"/>
      <c r="AS756" s="27"/>
      <c r="AT756" s="27"/>
      <c r="AU756" s="12"/>
      <c r="AV756" s="28"/>
    </row>
    <row r="757" spans="4:48">
      <c r="D757" s="12"/>
      <c r="E757" s="12"/>
      <c r="F757" s="12"/>
      <c r="G757" s="12"/>
      <c r="H757" s="36"/>
      <c r="J757" s="19"/>
      <c r="K757" s="19"/>
      <c r="L757" s="19"/>
      <c r="AF757" s="6"/>
      <c r="AG757" s="6"/>
      <c r="AH757" s="6"/>
      <c r="AI757" s="6"/>
      <c r="AN757" s="6"/>
      <c r="AO757" s="6"/>
      <c r="AP757" s="6"/>
      <c r="AQ757" s="6"/>
      <c r="AR757" s="27"/>
      <c r="AS757" s="27"/>
      <c r="AT757" s="27"/>
      <c r="AU757" s="12"/>
      <c r="AV757" s="28"/>
    </row>
    <row r="758" spans="4:48">
      <c r="D758" s="12"/>
      <c r="E758" s="12"/>
      <c r="F758" s="12"/>
      <c r="G758" s="12"/>
      <c r="H758" s="36"/>
      <c r="J758" s="19"/>
      <c r="K758" s="19"/>
      <c r="L758" s="19"/>
      <c r="AF758" s="6"/>
      <c r="AG758" s="6"/>
      <c r="AH758" s="6"/>
      <c r="AI758" s="6"/>
      <c r="AN758" s="6"/>
      <c r="AO758" s="6"/>
      <c r="AP758" s="6"/>
      <c r="AQ758" s="6"/>
      <c r="AR758" s="27"/>
      <c r="AS758" s="27"/>
      <c r="AT758" s="27"/>
      <c r="AU758" s="12"/>
      <c r="AV758" s="28"/>
    </row>
    <row r="759" spans="4:48">
      <c r="D759" s="12"/>
      <c r="E759" s="12"/>
      <c r="F759" s="12"/>
      <c r="G759" s="12"/>
      <c r="H759" s="36"/>
      <c r="J759" s="19"/>
      <c r="K759" s="19"/>
      <c r="L759" s="19"/>
      <c r="AF759" s="6"/>
      <c r="AG759" s="6"/>
      <c r="AH759" s="6"/>
      <c r="AI759" s="6"/>
      <c r="AN759" s="6"/>
      <c r="AO759" s="6"/>
      <c r="AP759" s="6"/>
      <c r="AQ759" s="6"/>
      <c r="AR759" s="27"/>
      <c r="AS759" s="27"/>
      <c r="AT759" s="27"/>
      <c r="AU759" s="12"/>
      <c r="AV759" s="28"/>
    </row>
    <row r="760" spans="4:48">
      <c r="D760" s="12"/>
      <c r="E760" s="12"/>
      <c r="F760" s="12"/>
      <c r="G760" s="12"/>
      <c r="H760" s="36"/>
      <c r="J760" s="19"/>
      <c r="K760" s="19"/>
      <c r="L760" s="19"/>
      <c r="AF760" s="6"/>
      <c r="AG760" s="6"/>
      <c r="AH760" s="6"/>
      <c r="AI760" s="6"/>
      <c r="AN760" s="6"/>
      <c r="AO760" s="6"/>
      <c r="AP760" s="6"/>
      <c r="AQ760" s="6"/>
      <c r="AR760" s="27"/>
      <c r="AS760" s="27"/>
      <c r="AT760" s="27"/>
      <c r="AU760" s="12"/>
      <c r="AV760" s="28"/>
    </row>
    <row r="761" spans="4:48">
      <c r="D761" s="12"/>
      <c r="E761" s="12"/>
      <c r="F761" s="12"/>
      <c r="G761" s="12"/>
      <c r="H761" s="36"/>
      <c r="J761" s="19"/>
      <c r="K761" s="19"/>
      <c r="L761" s="19"/>
      <c r="AF761" s="6"/>
      <c r="AG761" s="6"/>
      <c r="AH761" s="6"/>
      <c r="AI761" s="6"/>
      <c r="AN761" s="6"/>
      <c r="AO761" s="6"/>
      <c r="AP761" s="6"/>
      <c r="AQ761" s="6"/>
      <c r="AR761" s="27"/>
      <c r="AS761" s="27"/>
      <c r="AT761" s="27"/>
      <c r="AU761" s="12"/>
      <c r="AV761" s="28"/>
    </row>
    <row r="762" spans="4:48">
      <c r="D762" s="12"/>
      <c r="E762" s="12"/>
      <c r="F762" s="12"/>
      <c r="G762" s="12"/>
      <c r="H762" s="36"/>
      <c r="J762" s="19"/>
      <c r="K762" s="19"/>
      <c r="L762" s="19"/>
      <c r="AF762" s="6"/>
      <c r="AG762" s="6"/>
      <c r="AH762" s="6"/>
      <c r="AI762" s="6"/>
      <c r="AN762" s="6"/>
      <c r="AO762" s="6"/>
      <c r="AP762" s="6"/>
      <c r="AQ762" s="6"/>
      <c r="AR762" s="27"/>
      <c r="AS762" s="27"/>
      <c r="AT762" s="27"/>
      <c r="AU762" s="12"/>
      <c r="AV762" s="28"/>
    </row>
    <row r="763" spans="4:48">
      <c r="D763" s="12"/>
      <c r="E763" s="12"/>
      <c r="F763" s="12"/>
      <c r="G763" s="12"/>
      <c r="H763" s="36"/>
      <c r="J763" s="19"/>
      <c r="K763" s="19"/>
      <c r="L763" s="19"/>
      <c r="AF763" s="6"/>
      <c r="AG763" s="6"/>
      <c r="AH763" s="6"/>
      <c r="AI763" s="6"/>
      <c r="AN763" s="6"/>
      <c r="AO763" s="6"/>
      <c r="AP763" s="6"/>
      <c r="AQ763" s="6"/>
      <c r="AR763" s="27"/>
      <c r="AS763" s="27"/>
      <c r="AT763" s="27"/>
      <c r="AU763" s="12"/>
      <c r="AV763" s="28"/>
    </row>
    <row r="764" spans="4:48">
      <c r="D764" s="12"/>
      <c r="E764" s="12"/>
      <c r="F764" s="12"/>
      <c r="G764" s="12"/>
      <c r="H764" s="36"/>
      <c r="J764" s="19"/>
      <c r="K764" s="19"/>
      <c r="L764" s="19"/>
      <c r="AF764" s="6"/>
      <c r="AG764" s="6"/>
      <c r="AH764" s="6"/>
      <c r="AI764" s="6"/>
      <c r="AN764" s="6"/>
      <c r="AO764" s="6"/>
      <c r="AP764" s="6"/>
      <c r="AQ764" s="6"/>
      <c r="AR764" s="27"/>
      <c r="AS764" s="27"/>
      <c r="AT764" s="27"/>
      <c r="AU764" s="12"/>
      <c r="AV764" s="28"/>
    </row>
    <row r="765" spans="4:48">
      <c r="D765" s="12"/>
      <c r="E765" s="12"/>
      <c r="F765" s="12"/>
      <c r="G765" s="12"/>
      <c r="H765" s="36"/>
      <c r="J765" s="19"/>
      <c r="K765" s="19"/>
      <c r="L765" s="19"/>
      <c r="AF765" s="6"/>
      <c r="AG765" s="6"/>
      <c r="AH765" s="6"/>
      <c r="AI765" s="6"/>
      <c r="AN765" s="6"/>
      <c r="AO765" s="6"/>
      <c r="AP765" s="6"/>
      <c r="AQ765" s="6"/>
      <c r="AR765" s="27"/>
      <c r="AS765" s="27"/>
      <c r="AT765" s="27"/>
      <c r="AU765" s="12"/>
      <c r="AV765" s="28"/>
    </row>
    <row r="766" spans="4:48">
      <c r="D766" s="12"/>
      <c r="E766" s="12"/>
      <c r="F766" s="12"/>
      <c r="G766" s="12"/>
      <c r="H766" s="36"/>
      <c r="J766" s="19"/>
      <c r="K766" s="19"/>
      <c r="L766" s="19"/>
      <c r="AF766" s="6"/>
      <c r="AG766" s="6"/>
      <c r="AH766" s="6"/>
      <c r="AI766" s="6"/>
      <c r="AN766" s="6"/>
      <c r="AO766" s="6"/>
      <c r="AP766" s="6"/>
      <c r="AQ766" s="6"/>
      <c r="AR766" s="27"/>
      <c r="AS766" s="27"/>
      <c r="AT766" s="27"/>
      <c r="AU766" s="12"/>
      <c r="AV766" s="28"/>
    </row>
    <row r="767" spans="4:48">
      <c r="D767" s="12"/>
      <c r="E767" s="12"/>
      <c r="F767" s="12"/>
      <c r="G767" s="12"/>
      <c r="H767" s="36"/>
      <c r="J767" s="19"/>
      <c r="K767" s="19"/>
      <c r="L767" s="19"/>
      <c r="AF767" s="6"/>
      <c r="AG767" s="6"/>
      <c r="AH767" s="6"/>
      <c r="AI767" s="6"/>
      <c r="AN767" s="6"/>
      <c r="AO767" s="6"/>
      <c r="AP767" s="6"/>
      <c r="AQ767" s="6"/>
      <c r="AR767" s="27"/>
      <c r="AS767" s="27"/>
      <c r="AT767" s="27"/>
      <c r="AU767" s="12"/>
      <c r="AV767" s="28"/>
    </row>
    <row r="768" spans="4:48">
      <c r="D768" s="12"/>
      <c r="E768" s="12"/>
      <c r="F768" s="12"/>
      <c r="G768" s="12"/>
      <c r="H768" s="36"/>
      <c r="J768" s="19"/>
      <c r="K768" s="19"/>
      <c r="L768" s="19"/>
      <c r="AF768" s="6"/>
      <c r="AG768" s="6"/>
      <c r="AH768" s="6"/>
      <c r="AI768" s="6"/>
      <c r="AN768" s="6"/>
      <c r="AO768" s="6"/>
      <c r="AP768" s="6"/>
      <c r="AQ768" s="6"/>
      <c r="AR768" s="27"/>
      <c r="AS768" s="27"/>
      <c r="AT768" s="27"/>
      <c r="AU768" s="12"/>
      <c r="AV768" s="28"/>
    </row>
    <row r="769" spans="4:48">
      <c r="D769" s="12"/>
      <c r="E769" s="12"/>
      <c r="F769" s="12"/>
      <c r="G769" s="12"/>
      <c r="H769" s="36"/>
      <c r="J769" s="19"/>
      <c r="K769" s="19"/>
      <c r="L769" s="19"/>
      <c r="AF769" s="6"/>
      <c r="AG769" s="6"/>
      <c r="AH769" s="6"/>
      <c r="AI769" s="6"/>
      <c r="AN769" s="6"/>
      <c r="AO769" s="6"/>
      <c r="AP769" s="6"/>
      <c r="AQ769" s="6"/>
      <c r="AR769" s="27"/>
      <c r="AS769" s="27"/>
      <c r="AT769" s="27"/>
      <c r="AU769" s="12"/>
      <c r="AV769" s="28"/>
    </row>
    <row r="770" spans="4:48">
      <c r="D770" s="12"/>
      <c r="E770" s="12"/>
      <c r="F770" s="12"/>
      <c r="G770" s="12"/>
      <c r="H770" s="36"/>
      <c r="J770" s="19"/>
      <c r="K770" s="19"/>
      <c r="L770" s="19"/>
      <c r="AF770" s="6"/>
      <c r="AG770" s="6"/>
      <c r="AH770" s="6"/>
      <c r="AI770" s="6"/>
      <c r="AN770" s="6"/>
      <c r="AO770" s="6"/>
      <c r="AP770" s="6"/>
      <c r="AQ770" s="6"/>
      <c r="AR770" s="27"/>
      <c r="AS770" s="27"/>
      <c r="AT770" s="27"/>
      <c r="AU770" s="12"/>
      <c r="AV770" s="28"/>
    </row>
    <row r="771" spans="4:48">
      <c r="D771" s="12"/>
      <c r="E771" s="12"/>
      <c r="F771" s="12"/>
      <c r="G771" s="12"/>
      <c r="H771" s="36"/>
      <c r="J771" s="19"/>
      <c r="K771" s="19"/>
      <c r="L771" s="19"/>
      <c r="AF771" s="6"/>
      <c r="AG771" s="6"/>
      <c r="AH771" s="6"/>
      <c r="AI771" s="6"/>
      <c r="AN771" s="6"/>
      <c r="AO771" s="6"/>
      <c r="AP771" s="6"/>
      <c r="AQ771" s="6"/>
      <c r="AR771" s="27"/>
      <c r="AS771" s="27"/>
      <c r="AT771" s="27"/>
      <c r="AU771" s="12"/>
      <c r="AV771" s="28"/>
    </row>
    <row r="772" spans="4:48">
      <c r="D772" s="12"/>
      <c r="E772" s="12"/>
      <c r="F772" s="12"/>
      <c r="G772" s="12"/>
      <c r="H772" s="36"/>
      <c r="J772" s="19"/>
      <c r="K772" s="19"/>
      <c r="L772" s="19"/>
      <c r="AF772" s="6"/>
      <c r="AG772" s="6"/>
      <c r="AH772" s="6"/>
      <c r="AI772" s="6"/>
      <c r="AN772" s="6"/>
      <c r="AO772" s="6"/>
      <c r="AP772" s="6"/>
      <c r="AQ772" s="6"/>
      <c r="AR772" s="27"/>
      <c r="AS772" s="27"/>
      <c r="AT772" s="27"/>
      <c r="AU772" s="12"/>
      <c r="AV772" s="28"/>
    </row>
    <row r="773" spans="4:48">
      <c r="D773" s="12"/>
      <c r="E773" s="12"/>
      <c r="F773" s="12"/>
      <c r="G773" s="12"/>
      <c r="H773" s="36"/>
      <c r="J773" s="19"/>
      <c r="K773" s="19"/>
      <c r="L773" s="19"/>
      <c r="AF773" s="6"/>
      <c r="AG773" s="6"/>
      <c r="AH773" s="6"/>
      <c r="AI773" s="6"/>
      <c r="AN773" s="6"/>
      <c r="AO773" s="6"/>
      <c r="AP773" s="6"/>
      <c r="AQ773" s="6"/>
      <c r="AR773" s="27"/>
      <c r="AS773" s="27"/>
      <c r="AT773" s="27"/>
      <c r="AU773" s="12"/>
      <c r="AV773" s="28"/>
    </row>
    <row r="774" spans="4:48">
      <c r="D774" s="12"/>
      <c r="E774" s="12"/>
      <c r="F774" s="12"/>
      <c r="G774" s="12"/>
      <c r="H774" s="36"/>
      <c r="J774" s="19"/>
      <c r="K774" s="19"/>
      <c r="L774" s="19"/>
      <c r="AF774" s="6"/>
      <c r="AG774" s="6"/>
      <c r="AH774" s="6"/>
      <c r="AI774" s="6"/>
      <c r="AN774" s="6"/>
      <c r="AO774" s="6"/>
      <c r="AP774" s="6"/>
      <c r="AQ774" s="6"/>
      <c r="AR774" s="27"/>
      <c r="AS774" s="27"/>
      <c r="AT774" s="27"/>
      <c r="AU774" s="12"/>
      <c r="AV774" s="28"/>
    </row>
    <row r="775" spans="4:48">
      <c r="D775" s="12"/>
      <c r="E775" s="12"/>
      <c r="F775" s="12"/>
      <c r="G775" s="12"/>
      <c r="H775" s="36"/>
      <c r="J775" s="19"/>
      <c r="K775" s="19"/>
      <c r="L775" s="19"/>
      <c r="AF775" s="6"/>
      <c r="AG775" s="6"/>
      <c r="AH775" s="6"/>
      <c r="AI775" s="6"/>
      <c r="AN775" s="6"/>
      <c r="AO775" s="6"/>
      <c r="AP775" s="6"/>
      <c r="AQ775" s="6"/>
      <c r="AR775" s="27"/>
      <c r="AS775" s="27"/>
      <c r="AT775" s="27"/>
      <c r="AU775" s="12"/>
      <c r="AV775" s="28"/>
    </row>
    <row r="776" spans="4:48">
      <c r="D776" s="12"/>
      <c r="E776" s="12"/>
      <c r="F776" s="12"/>
      <c r="G776" s="12"/>
      <c r="H776" s="36"/>
      <c r="J776" s="19"/>
      <c r="K776" s="19"/>
      <c r="L776" s="19"/>
      <c r="AF776" s="6"/>
      <c r="AG776" s="6"/>
      <c r="AH776" s="6"/>
      <c r="AI776" s="6"/>
      <c r="AN776" s="6"/>
      <c r="AO776" s="6"/>
      <c r="AP776" s="6"/>
      <c r="AQ776" s="6"/>
      <c r="AR776" s="27"/>
      <c r="AS776" s="27"/>
      <c r="AT776" s="27"/>
      <c r="AU776" s="12"/>
      <c r="AV776" s="28"/>
    </row>
    <row r="777" spans="4:48">
      <c r="D777" s="12"/>
      <c r="E777" s="12"/>
      <c r="F777" s="12"/>
      <c r="G777" s="12"/>
      <c r="H777" s="36"/>
      <c r="J777" s="19"/>
      <c r="K777" s="19"/>
      <c r="L777" s="19"/>
      <c r="AF777" s="6"/>
      <c r="AG777" s="6"/>
      <c r="AH777" s="6"/>
      <c r="AI777" s="6"/>
      <c r="AN777" s="6"/>
      <c r="AO777" s="6"/>
      <c r="AP777" s="6"/>
      <c r="AQ777" s="6"/>
      <c r="AR777" s="27"/>
      <c r="AS777" s="27"/>
      <c r="AT777" s="27"/>
      <c r="AU777" s="12"/>
      <c r="AV777" s="28"/>
    </row>
    <row r="778" spans="4:48">
      <c r="D778" s="12"/>
      <c r="E778" s="12"/>
      <c r="F778" s="12"/>
      <c r="G778" s="12"/>
      <c r="H778" s="36"/>
      <c r="J778" s="19"/>
      <c r="K778" s="19"/>
      <c r="L778" s="19"/>
      <c r="AF778" s="6"/>
      <c r="AG778" s="6"/>
      <c r="AH778" s="6"/>
      <c r="AI778" s="6"/>
      <c r="AN778" s="6"/>
      <c r="AO778" s="6"/>
      <c r="AP778" s="6"/>
      <c r="AQ778" s="6"/>
      <c r="AR778" s="27"/>
      <c r="AS778" s="27"/>
      <c r="AT778" s="27"/>
      <c r="AU778" s="12"/>
      <c r="AV778" s="28"/>
    </row>
    <row r="779" spans="4:48">
      <c r="D779" s="12"/>
      <c r="E779" s="12"/>
      <c r="F779" s="12"/>
      <c r="G779" s="12"/>
      <c r="H779" s="36"/>
      <c r="J779" s="19"/>
      <c r="K779" s="19"/>
      <c r="L779" s="19"/>
      <c r="AF779" s="6"/>
      <c r="AG779" s="6"/>
      <c r="AH779" s="6"/>
      <c r="AI779" s="6"/>
      <c r="AN779" s="6"/>
      <c r="AO779" s="6"/>
      <c r="AP779" s="6"/>
      <c r="AQ779" s="6"/>
      <c r="AR779" s="27"/>
      <c r="AS779" s="27"/>
      <c r="AT779" s="27"/>
      <c r="AU779" s="12"/>
      <c r="AV779" s="28"/>
    </row>
    <row r="780" spans="4:48">
      <c r="D780" s="12"/>
      <c r="E780" s="12"/>
      <c r="F780" s="12"/>
      <c r="G780" s="12"/>
      <c r="H780" s="36"/>
      <c r="J780" s="19"/>
      <c r="K780" s="19"/>
      <c r="L780" s="19"/>
      <c r="AF780" s="6"/>
      <c r="AG780" s="6"/>
      <c r="AH780" s="6"/>
      <c r="AI780" s="6"/>
      <c r="AN780" s="6"/>
      <c r="AO780" s="6"/>
      <c r="AP780" s="6"/>
      <c r="AQ780" s="6"/>
      <c r="AR780" s="27"/>
      <c r="AS780" s="27"/>
      <c r="AT780" s="27"/>
      <c r="AU780" s="12"/>
      <c r="AV780" s="28"/>
    </row>
    <row r="781" spans="4:48">
      <c r="D781" s="12"/>
      <c r="E781" s="12"/>
      <c r="F781" s="12"/>
      <c r="G781" s="12"/>
      <c r="H781" s="36"/>
      <c r="J781" s="19"/>
      <c r="K781" s="19"/>
      <c r="L781" s="19"/>
      <c r="AF781" s="6"/>
      <c r="AG781" s="6"/>
      <c r="AH781" s="6"/>
      <c r="AI781" s="6"/>
      <c r="AN781" s="6"/>
      <c r="AO781" s="6"/>
      <c r="AP781" s="6"/>
      <c r="AQ781" s="6"/>
      <c r="AR781" s="27"/>
      <c r="AS781" s="27"/>
      <c r="AT781" s="27"/>
      <c r="AU781" s="12"/>
      <c r="AV781" s="28"/>
    </row>
    <row r="782" spans="4:48">
      <c r="D782" s="12"/>
      <c r="E782" s="12"/>
      <c r="F782" s="12"/>
      <c r="G782" s="12"/>
      <c r="H782" s="36"/>
      <c r="J782" s="19"/>
      <c r="K782" s="19"/>
      <c r="L782" s="19"/>
      <c r="AF782" s="6"/>
      <c r="AG782" s="6"/>
      <c r="AH782" s="6"/>
      <c r="AI782" s="6"/>
      <c r="AN782" s="6"/>
      <c r="AO782" s="6"/>
      <c r="AP782" s="6"/>
      <c r="AQ782" s="6"/>
      <c r="AR782" s="27"/>
      <c r="AS782" s="27"/>
      <c r="AT782" s="27"/>
      <c r="AU782" s="12"/>
      <c r="AV782" s="28"/>
    </row>
    <row r="783" spans="4:48">
      <c r="D783" s="12"/>
      <c r="E783" s="12"/>
      <c r="F783" s="12"/>
      <c r="G783" s="12"/>
      <c r="H783" s="36"/>
      <c r="J783" s="19"/>
      <c r="K783" s="19"/>
      <c r="L783" s="19"/>
      <c r="AF783" s="6"/>
      <c r="AG783" s="6"/>
      <c r="AH783" s="6"/>
      <c r="AI783" s="6"/>
      <c r="AN783" s="6"/>
      <c r="AO783" s="6"/>
      <c r="AP783" s="6"/>
      <c r="AQ783" s="6"/>
      <c r="AR783" s="27"/>
      <c r="AS783" s="27"/>
      <c r="AT783" s="27"/>
      <c r="AU783" s="12"/>
      <c r="AV783" s="28"/>
    </row>
    <row r="784" spans="4:48">
      <c r="D784" s="12"/>
      <c r="E784" s="12"/>
      <c r="F784" s="12"/>
      <c r="G784" s="12"/>
      <c r="H784" s="36"/>
      <c r="J784" s="19"/>
      <c r="K784" s="19"/>
      <c r="L784" s="19"/>
      <c r="AF784" s="6"/>
      <c r="AG784" s="6"/>
      <c r="AH784" s="6"/>
      <c r="AI784" s="6"/>
      <c r="AN784" s="6"/>
      <c r="AO784" s="6"/>
      <c r="AP784" s="6"/>
      <c r="AQ784" s="6"/>
      <c r="AR784" s="27"/>
      <c r="AS784" s="27"/>
      <c r="AT784" s="27"/>
      <c r="AU784" s="12"/>
      <c r="AV784" s="28"/>
    </row>
    <row r="785" spans="4:48">
      <c r="D785" s="12"/>
      <c r="E785" s="12"/>
      <c r="F785" s="12"/>
      <c r="G785" s="12"/>
      <c r="H785" s="36"/>
      <c r="J785" s="19"/>
      <c r="K785" s="19"/>
      <c r="L785" s="19"/>
      <c r="AF785" s="6"/>
      <c r="AG785" s="6"/>
      <c r="AH785" s="6"/>
      <c r="AI785" s="6"/>
      <c r="AN785" s="6"/>
      <c r="AO785" s="6"/>
      <c r="AP785" s="6"/>
      <c r="AQ785" s="6"/>
      <c r="AR785" s="27"/>
      <c r="AS785" s="27"/>
      <c r="AT785" s="27"/>
      <c r="AU785" s="12"/>
      <c r="AV785" s="28"/>
    </row>
    <row r="786" spans="4:48">
      <c r="D786" s="12"/>
      <c r="E786" s="12"/>
      <c r="F786" s="12"/>
      <c r="G786" s="12"/>
      <c r="H786" s="36"/>
      <c r="J786" s="19"/>
      <c r="K786" s="19"/>
      <c r="L786" s="19"/>
      <c r="AF786" s="6"/>
      <c r="AG786" s="6"/>
      <c r="AH786" s="6"/>
      <c r="AI786" s="6"/>
      <c r="AN786" s="6"/>
      <c r="AO786" s="6"/>
      <c r="AP786" s="6"/>
      <c r="AQ786" s="6"/>
      <c r="AR786" s="27"/>
      <c r="AS786" s="27"/>
      <c r="AT786" s="27"/>
      <c r="AU786" s="12"/>
      <c r="AV786" s="28"/>
    </row>
    <row r="787" spans="4:48">
      <c r="D787" s="12"/>
      <c r="E787" s="12"/>
      <c r="F787" s="12"/>
      <c r="G787" s="12"/>
      <c r="H787" s="36"/>
      <c r="J787" s="19"/>
      <c r="K787" s="19"/>
      <c r="L787" s="19"/>
      <c r="AF787" s="6"/>
      <c r="AG787" s="6"/>
      <c r="AH787" s="6"/>
      <c r="AI787" s="6"/>
      <c r="AN787" s="6"/>
      <c r="AO787" s="6"/>
      <c r="AP787" s="6"/>
      <c r="AQ787" s="6"/>
      <c r="AR787" s="27"/>
      <c r="AS787" s="27"/>
      <c r="AT787" s="27"/>
      <c r="AU787" s="12"/>
      <c r="AV787" s="28"/>
    </row>
    <row r="788" spans="4:48">
      <c r="D788" s="12"/>
      <c r="E788" s="12"/>
      <c r="F788" s="12"/>
      <c r="G788" s="12"/>
      <c r="H788" s="36"/>
      <c r="J788" s="19"/>
      <c r="K788" s="19"/>
      <c r="L788" s="19"/>
      <c r="AF788" s="6"/>
      <c r="AG788" s="6"/>
      <c r="AH788" s="6"/>
      <c r="AI788" s="6"/>
      <c r="AN788" s="6"/>
      <c r="AO788" s="6"/>
      <c r="AP788" s="6"/>
      <c r="AQ788" s="6"/>
      <c r="AR788" s="27"/>
      <c r="AS788" s="27"/>
      <c r="AT788" s="27"/>
      <c r="AU788" s="12"/>
      <c r="AV788" s="28"/>
    </row>
    <row r="789" spans="4:48">
      <c r="D789" s="12"/>
      <c r="E789" s="12"/>
      <c r="F789" s="12"/>
      <c r="G789" s="12"/>
      <c r="H789" s="36"/>
      <c r="J789" s="19"/>
      <c r="K789" s="19"/>
      <c r="L789" s="19"/>
      <c r="AF789" s="6"/>
      <c r="AG789" s="6"/>
      <c r="AH789" s="6"/>
      <c r="AI789" s="6"/>
      <c r="AN789" s="6"/>
      <c r="AO789" s="6"/>
      <c r="AP789" s="6"/>
      <c r="AQ789" s="6"/>
      <c r="AR789" s="27"/>
      <c r="AS789" s="27"/>
      <c r="AT789" s="27"/>
      <c r="AU789" s="12"/>
      <c r="AV789" s="28"/>
    </row>
    <row r="790" spans="4:48">
      <c r="D790" s="12"/>
      <c r="E790" s="12"/>
      <c r="F790" s="12"/>
      <c r="G790" s="12"/>
      <c r="H790" s="36"/>
      <c r="J790" s="19"/>
      <c r="K790" s="19"/>
      <c r="L790" s="19"/>
      <c r="AF790" s="6"/>
      <c r="AG790" s="6"/>
      <c r="AH790" s="6"/>
      <c r="AI790" s="6"/>
      <c r="AN790" s="6"/>
      <c r="AO790" s="6"/>
      <c r="AP790" s="6"/>
      <c r="AQ790" s="6"/>
      <c r="AR790" s="27"/>
      <c r="AS790" s="27"/>
      <c r="AT790" s="27"/>
      <c r="AU790" s="12"/>
      <c r="AV790" s="28"/>
    </row>
    <row r="791" spans="4:48">
      <c r="D791" s="12"/>
      <c r="E791" s="12"/>
      <c r="F791" s="12"/>
      <c r="G791" s="12"/>
      <c r="H791" s="36"/>
      <c r="J791" s="19"/>
      <c r="K791" s="19"/>
      <c r="L791" s="19"/>
      <c r="AF791" s="6"/>
      <c r="AG791" s="6"/>
      <c r="AH791" s="6"/>
      <c r="AI791" s="6"/>
      <c r="AN791" s="6"/>
      <c r="AO791" s="6"/>
      <c r="AP791" s="6"/>
      <c r="AQ791" s="6"/>
      <c r="AR791" s="27"/>
      <c r="AS791" s="27"/>
      <c r="AT791" s="27"/>
      <c r="AU791" s="12"/>
      <c r="AV791" s="28"/>
    </row>
    <row r="792" spans="4:48">
      <c r="D792" s="12"/>
      <c r="E792" s="12"/>
      <c r="F792" s="12"/>
      <c r="G792" s="12"/>
      <c r="H792" s="36"/>
      <c r="J792" s="19"/>
      <c r="K792" s="19"/>
      <c r="L792" s="19"/>
      <c r="AF792" s="6"/>
      <c r="AG792" s="6"/>
      <c r="AH792" s="6"/>
      <c r="AI792" s="6"/>
      <c r="AN792" s="6"/>
      <c r="AO792" s="6"/>
      <c r="AP792" s="6"/>
      <c r="AQ792" s="6"/>
      <c r="AR792" s="27"/>
      <c r="AS792" s="27"/>
      <c r="AT792" s="27"/>
      <c r="AU792" s="12"/>
      <c r="AV792" s="28"/>
    </row>
    <row r="793" spans="4:48">
      <c r="D793" s="12"/>
      <c r="E793" s="12"/>
      <c r="F793" s="12"/>
      <c r="G793" s="12"/>
      <c r="H793" s="36"/>
      <c r="J793" s="19"/>
      <c r="K793" s="19"/>
      <c r="L793" s="19"/>
      <c r="AF793" s="6"/>
      <c r="AG793" s="6"/>
      <c r="AH793" s="6"/>
      <c r="AI793" s="6"/>
      <c r="AN793" s="6"/>
      <c r="AO793" s="6"/>
      <c r="AP793" s="6"/>
      <c r="AQ793" s="6"/>
      <c r="AR793" s="27"/>
      <c r="AS793" s="27"/>
      <c r="AT793" s="27"/>
      <c r="AU793" s="12"/>
      <c r="AV793" s="28"/>
    </row>
    <row r="794" spans="4:48">
      <c r="D794" s="12"/>
      <c r="E794" s="12"/>
      <c r="F794" s="12"/>
      <c r="G794" s="12"/>
      <c r="H794" s="36"/>
      <c r="J794" s="19"/>
      <c r="K794" s="19"/>
      <c r="L794" s="19"/>
      <c r="AF794" s="6"/>
      <c r="AG794" s="6"/>
      <c r="AH794" s="6"/>
      <c r="AI794" s="6"/>
      <c r="AN794" s="6"/>
      <c r="AO794" s="6"/>
      <c r="AP794" s="6"/>
      <c r="AQ794" s="6"/>
      <c r="AR794" s="27"/>
      <c r="AS794" s="27"/>
      <c r="AT794" s="27"/>
      <c r="AU794" s="12"/>
      <c r="AV794" s="28"/>
    </row>
    <row r="795" spans="4:48">
      <c r="D795" s="12"/>
      <c r="E795" s="12"/>
      <c r="F795" s="12"/>
      <c r="G795" s="12"/>
      <c r="H795" s="36"/>
      <c r="J795" s="19"/>
      <c r="K795" s="19"/>
      <c r="L795" s="19"/>
      <c r="AF795" s="6"/>
      <c r="AG795" s="6"/>
      <c r="AH795" s="6"/>
      <c r="AI795" s="6"/>
      <c r="AN795" s="6"/>
      <c r="AO795" s="6"/>
      <c r="AP795" s="6"/>
      <c r="AQ795" s="6"/>
      <c r="AR795" s="27"/>
      <c r="AS795" s="27"/>
      <c r="AT795" s="27"/>
      <c r="AU795" s="12"/>
      <c r="AV795" s="28"/>
    </row>
    <row r="796" spans="4:48">
      <c r="D796" s="12"/>
      <c r="E796" s="12"/>
      <c r="F796" s="12"/>
      <c r="G796" s="12"/>
      <c r="H796" s="36"/>
      <c r="J796" s="19"/>
      <c r="K796" s="19"/>
      <c r="L796" s="19"/>
      <c r="AF796" s="6"/>
      <c r="AG796" s="6"/>
      <c r="AH796" s="6"/>
      <c r="AI796" s="6"/>
      <c r="AN796" s="6"/>
      <c r="AO796" s="6"/>
      <c r="AP796" s="6"/>
      <c r="AQ796" s="6"/>
      <c r="AR796" s="27"/>
      <c r="AS796" s="27"/>
      <c r="AT796" s="27"/>
      <c r="AU796" s="12"/>
      <c r="AV796" s="28"/>
    </row>
    <row r="797" spans="4:48">
      <c r="D797" s="12"/>
      <c r="E797" s="12"/>
      <c r="F797" s="12"/>
      <c r="G797" s="12"/>
      <c r="H797" s="36"/>
      <c r="J797" s="19"/>
      <c r="K797" s="19"/>
      <c r="L797" s="19"/>
      <c r="AF797" s="6"/>
      <c r="AG797" s="6"/>
      <c r="AH797" s="6"/>
      <c r="AI797" s="6"/>
      <c r="AN797" s="6"/>
      <c r="AO797" s="6"/>
      <c r="AP797" s="6"/>
      <c r="AQ797" s="6"/>
      <c r="AR797" s="27"/>
      <c r="AS797" s="27"/>
      <c r="AT797" s="27"/>
      <c r="AU797" s="12"/>
      <c r="AV797" s="28"/>
    </row>
    <row r="798" spans="4:48">
      <c r="D798" s="12"/>
      <c r="E798" s="12"/>
      <c r="F798" s="12"/>
      <c r="G798" s="12"/>
      <c r="H798" s="36"/>
      <c r="J798" s="19"/>
      <c r="K798" s="19"/>
      <c r="L798" s="19"/>
      <c r="AF798" s="6"/>
      <c r="AG798" s="6"/>
      <c r="AH798" s="6"/>
      <c r="AI798" s="6"/>
      <c r="AN798" s="6"/>
      <c r="AO798" s="6"/>
      <c r="AP798" s="6"/>
      <c r="AQ798" s="6"/>
      <c r="AR798" s="27"/>
      <c r="AS798" s="27"/>
      <c r="AT798" s="27"/>
      <c r="AU798" s="12"/>
      <c r="AV798" s="28"/>
    </row>
    <row r="799" spans="4:48">
      <c r="D799" s="12"/>
      <c r="E799" s="12"/>
      <c r="F799" s="12"/>
      <c r="G799" s="12"/>
      <c r="H799" s="36"/>
      <c r="J799" s="19"/>
      <c r="K799" s="19"/>
      <c r="L799" s="19"/>
      <c r="AF799" s="6"/>
      <c r="AG799" s="6"/>
      <c r="AH799" s="6"/>
      <c r="AI799" s="6"/>
      <c r="AN799" s="6"/>
      <c r="AO799" s="6"/>
      <c r="AP799" s="6"/>
      <c r="AQ799" s="6"/>
      <c r="AR799" s="27"/>
      <c r="AS799" s="27"/>
      <c r="AT799" s="27"/>
      <c r="AU799" s="12"/>
      <c r="AV799" s="28"/>
    </row>
    <row r="800" spans="4:48">
      <c r="D800" s="12"/>
      <c r="E800" s="12"/>
      <c r="F800" s="12"/>
      <c r="G800" s="12"/>
      <c r="H800" s="36"/>
      <c r="J800" s="19"/>
      <c r="K800" s="19"/>
      <c r="L800" s="19"/>
      <c r="AF800" s="6"/>
      <c r="AG800" s="6"/>
      <c r="AH800" s="6"/>
      <c r="AI800" s="6"/>
      <c r="AN800" s="6"/>
      <c r="AO800" s="6"/>
      <c r="AP800" s="6"/>
      <c r="AQ800" s="6"/>
      <c r="AR800" s="27"/>
      <c r="AS800" s="27"/>
      <c r="AT800" s="27"/>
      <c r="AU800" s="12"/>
      <c r="AV800" s="28"/>
    </row>
    <row r="801" spans="4:48">
      <c r="D801" s="12"/>
      <c r="E801" s="12"/>
      <c r="F801" s="12"/>
      <c r="G801" s="12"/>
      <c r="H801" s="36"/>
      <c r="J801" s="19"/>
      <c r="K801" s="19"/>
      <c r="L801" s="19"/>
      <c r="AF801" s="6"/>
      <c r="AG801" s="6"/>
      <c r="AH801" s="6"/>
      <c r="AI801" s="6"/>
      <c r="AN801" s="6"/>
      <c r="AO801" s="6"/>
      <c r="AP801" s="6"/>
      <c r="AQ801" s="6"/>
      <c r="AR801" s="27"/>
      <c r="AS801" s="27"/>
      <c r="AT801" s="27"/>
      <c r="AU801" s="12"/>
      <c r="AV801" s="28"/>
    </row>
    <row r="802" spans="4:48">
      <c r="D802" s="12"/>
      <c r="E802" s="12"/>
      <c r="F802" s="12"/>
      <c r="G802" s="12"/>
      <c r="H802" s="36"/>
      <c r="J802" s="19"/>
      <c r="K802" s="19"/>
      <c r="L802" s="19"/>
      <c r="AF802" s="6"/>
      <c r="AG802" s="6"/>
      <c r="AH802" s="6"/>
      <c r="AI802" s="6"/>
      <c r="AN802" s="6"/>
      <c r="AO802" s="6"/>
      <c r="AP802" s="6"/>
      <c r="AQ802" s="6"/>
      <c r="AR802" s="27"/>
      <c r="AS802" s="27"/>
      <c r="AT802" s="27"/>
      <c r="AU802" s="12"/>
      <c r="AV802" s="28"/>
    </row>
    <row r="803" spans="4:48">
      <c r="D803" s="12"/>
      <c r="E803" s="12"/>
      <c r="F803" s="12"/>
      <c r="G803" s="12"/>
      <c r="H803" s="36"/>
      <c r="J803" s="19"/>
      <c r="K803" s="19"/>
      <c r="L803" s="19"/>
      <c r="AF803" s="6"/>
      <c r="AG803" s="6"/>
      <c r="AH803" s="6"/>
      <c r="AI803" s="6"/>
      <c r="AN803" s="6"/>
      <c r="AO803" s="6"/>
      <c r="AP803" s="6"/>
      <c r="AQ803" s="6"/>
      <c r="AR803" s="27"/>
      <c r="AS803" s="27"/>
      <c r="AT803" s="27"/>
      <c r="AU803" s="12"/>
      <c r="AV803" s="28"/>
    </row>
    <row r="804" spans="4:48">
      <c r="D804" s="12"/>
      <c r="E804" s="12"/>
      <c r="F804" s="12"/>
      <c r="G804" s="12"/>
      <c r="H804" s="36"/>
      <c r="J804" s="19"/>
      <c r="K804" s="19"/>
      <c r="L804" s="19"/>
      <c r="AF804" s="6"/>
      <c r="AG804" s="6"/>
      <c r="AH804" s="6"/>
      <c r="AI804" s="6"/>
      <c r="AN804" s="6"/>
      <c r="AO804" s="6"/>
      <c r="AP804" s="6"/>
      <c r="AQ804" s="6"/>
      <c r="AR804" s="27"/>
      <c r="AS804" s="27"/>
      <c r="AT804" s="27"/>
      <c r="AU804" s="12"/>
      <c r="AV804" s="28"/>
    </row>
    <row r="805" spans="4:48">
      <c r="D805" s="12"/>
      <c r="E805" s="12"/>
      <c r="F805" s="12"/>
      <c r="G805" s="12"/>
      <c r="H805" s="36"/>
      <c r="J805" s="19"/>
      <c r="K805" s="19"/>
      <c r="L805" s="19"/>
      <c r="AF805" s="6"/>
      <c r="AG805" s="6"/>
      <c r="AH805" s="6"/>
      <c r="AI805" s="6"/>
      <c r="AN805" s="6"/>
      <c r="AO805" s="6"/>
      <c r="AP805" s="6"/>
      <c r="AQ805" s="6"/>
      <c r="AR805" s="27"/>
      <c r="AS805" s="27"/>
      <c r="AT805" s="27"/>
      <c r="AU805" s="12"/>
      <c r="AV805" s="28"/>
    </row>
    <row r="806" spans="4:48">
      <c r="D806" s="12"/>
      <c r="E806" s="12"/>
      <c r="F806" s="12"/>
      <c r="G806" s="12"/>
      <c r="H806" s="36"/>
      <c r="J806" s="19"/>
      <c r="K806" s="19"/>
      <c r="L806" s="19"/>
      <c r="AF806" s="6"/>
      <c r="AG806" s="6"/>
      <c r="AH806" s="6"/>
      <c r="AI806" s="6"/>
      <c r="AN806" s="6"/>
      <c r="AO806" s="6"/>
      <c r="AP806" s="6"/>
      <c r="AQ806" s="6"/>
      <c r="AR806" s="27"/>
      <c r="AS806" s="27"/>
      <c r="AT806" s="27"/>
      <c r="AU806" s="12"/>
      <c r="AV806" s="28"/>
    </row>
    <row r="807" spans="4:48">
      <c r="D807" s="12"/>
      <c r="E807" s="12"/>
      <c r="F807" s="12"/>
      <c r="G807" s="12"/>
      <c r="H807" s="36"/>
      <c r="J807" s="19"/>
      <c r="K807" s="19"/>
      <c r="L807" s="19"/>
      <c r="AF807" s="6"/>
      <c r="AG807" s="6"/>
      <c r="AH807" s="6"/>
      <c r="AI807" s="6"/>
      <c r="AN807" s="6"/>
      <c r="AO807" s="6"/>
      <c r="AP807" s="6"/>
      <c r="AQ807" s="6"/>
      <c r="AR807" s="27"/>
      <c r="AS807" s="27"/>
      <c r="AT807" s="27"/>
      <c r="AU807" s="12"/>
      <c r="AV807" s="28"/>
    </row>
    <row r="808" spans="4:48">
      <c r="D808" s="12"/>
      <c r="E808" s="12"/>
      <c r="F808" s="12"/>
      <c r="G808" s="12"/>
      <c r="H808" s="36"/>
      <c r="J808" s="19"/>
      <c r="K808" s="19"/>
      <c r="L808" s="19"/>
      <c r="AF808" s="6"/>
      <c r="AG808" s="6"/>
      <c r="AH808" s="6"/>
      <c r="AI808" s="6"/>
      <c r="AN808" s="6"/>
      <c r="AO808" s="6"/>
      <c r="AP808" s="6"/>
      <c r="AQ808" s="6"/>
      <c r="AR808" s="27"/>
      <c r="AS808" s="27"/>
      <c r="AT808" s="27"/>
      <c r="AU808" s="12"/>
      <c r="AV808" s="28"/>
    </row>
    <row r="809" spans="4:48">
      <c r="D809" s="12"/>
      <c r="E809" s="12"/>
      <c r="F809" s="12"/>
      <c r="G809" s="12"/>
      <c r="H809" s="36"/>
      <c r="J809" s="19"/>
      <c r="K809" s="19"/>
      <c r="L809" s="19"/>
      <c r="AF809" s="6"/>
      <c r="AG809" s="6"/>
      <c r="AH809" s="6"/>
      <c r="AI809" s="6"/>
      <c r="AN809" s="6"/>
      <c r="AO809" s="6"/>
      <c r="AP809" s="6"/>
      <c r="AQ809" s="6"/>
      <c r="AR809" s="27"/>
      <c r="AS809" s="27"/>
      <c r="AT809" s="27"/>
      <c r="AU809" s="12"/>
      <c r="AV809" s="28"/>
    </row>
    <row r="810" spans="4:48">
      <c r="D810" s="12"/>
      <c r="E810" s="12"/>
      <c r="F810" s="12"/>
      <c r="G810" s="12"/>
      <c r="H810" s="36"/>
      <c r="J810" s="19"/>
      <c r="K810" s="19"/>
      <c r="L810" s="19"/>
      <c r="AF810" s="6"/>
      <c r="AG810" s="6"/>
      <c r="AH810" s="6"/>
      <c r="AI810" s="6"/>
      <c r="AN810" s="6"/>
      <c r="AO810" s="6"/>
      <c r="AP810" s="6"/>
      <c r="AQ810" s="6"/>
      <c r="AR810" s="27"/>
      <c r="AS810" s="27"/>
      <c r="AT810" s="27"/>
      <c r="AU810" s="12"/>
      <c r="AV810" s="28"/>
    </row>
    <row r="811" spans="4:48">
      <c r="D811" s="12"/>
      <c r="E811" s="12"/>
      <c r="F811" s="12"/>
      <c r="G811" s="12"/>
      <c r="H811" s="36"/>
      <c r="J811" s="19"/>
      <c r="K811" s="19"/>
      <c r="L811" s="19"/>
      <c r="AF811" s="6"/>
      <c r="AG811" s="6"/>
      <c r="AH811" s="6"/>
      <c r="AI811" s="6"/>
      <c r="AN811" s="6"/>
      <c r="AO811" s="6"/>
      <c r="AP811" s="6"/>
      <c r="AQ811" s="6"/>
      <c r="AR811" s="27"/>
      <c r="AS811" s="27"/>
      <c r="AT811" s="27"/>
      <c r="AU811" s="12"/>
      <c r="AV811" s="28"/>
    </row>
    <row r="812" spans="4:48">
      <c r="D812" s="12"/>
      <c r="E812" s="12"/>
      <c r="F812" s="12"/>
      <c r="G812" s="12"/>
      <c r="H812" s="36"/>
      <c r="J812" s="19"/>
      <c r="K812" s="19"/>
      <c r="L812" s="19"/>
      <c r="AF812" s="6"/>
      <c r="AG812" s="6"/>
      <c r="AH812" s="6"/>
      <c r="AI812" s="6"/>
      <c r="AN812" s="6"/>
      <c r="AO812" s="6"/>
      <c r="AP812" s="6"/>
      <c r="AQ812" s="6"/>
      <c r="AR812" s="27"/>
      <c r="AS812" s="27"/>
      <c r="AT812" s="27"/>
      <c r="AU812" s="12"/>
      <c r="AV812" s="28"/>
    </row>
    <row r="813" spans="4:48">
      <c r="D813" s="12"/>
      <c r="E813" s="12"/>
      <c r="F813" s="12"/>
      <c r="G813" s="12"/>
      <c r="H813" s="36"/>
      <c r="J813" s="19"/>
      <c r="K813" s="19"/>
      <c r="L813" s="19"/>
      <c r="AF813" s="6"/>
      <c r="AG813" s="6"/>
      <c r="AH813" s="6"/>
      <c r="AI813" s="6"/>
      <c r="AN813" s="6"/>
      <c r="AO813" s="6"/>
      <c r="AP813" s="6"/>
      <c r="AQ813" s="6"/>
      <c r="AR813" s="27"/>
      <c r="AS813" s="27"/>
      <c r="AT813" s="27"/>
      <c r="AU813" s="12"/>
      <c r="AV813" s="28"/>
    </row>
    <row r="814" spans="4:48">
      <c r="D814" s="12"/>
      <c r="E814" s="12"/>
      <c r="F814" s="12"/>
      <c r="G814" s="12"/>
      <c r="H814" s="36"/>
      <c r="J814" s="19"/>
      <c r="K814" s="19"/>
      <c r="L814" s="19"/>
      <c r="AF814" s="6"/>
      <c r="AG814" s="6"/>
      <c r="AH814" s="6"/>
      <c r="AI814" s="6"/>
      <c r="AN814" s="6"/>
      <c r="AO814" s="6"/>
      <c r="AP814" s="6"/>
      <c r="AQ814" s="6"/>
      <c r="AR814" s="27"/>
      <c r="AS814" s="27"/>
      <c r="AT814" s="27"/>
      <c r="AU814" s="12"/>
      <c r="AV814" s="28"/>
    </row>
    <row r="815" spans="4:48">
      <c r="D815" s="12"/>
      <c r="E815" s="12"/>
      <c r="F815" s="12"/>
      <c r="G815" s="12"/>
      <c r="H815" s="36"/>
      <c r="J815" s="19"/>
      <c r="K815" s="19"/>
      <c r="L815" s="19"/>
      <c r="AF815" s="6"/>
      <c r="AG815" s="6"/>
      <c r="AH815" s="6"/>
      <c r="AI815" s="6"/>
      <c r="AN815" s="6"/>
      <c r="AO815" s="6"/>
      <c r="AP815" s="6"/>
      <c r="AQ815" s="6"/>
      <c r="AR815" s="27"/>
      <c r="AS815" s="27"/>
      <c r="AT815" s="27"/>
      <c r="AU815" s="12"/>
      <c r="AV815" s="28"/>
    </row>
    <row r="816" spans="4:48">
      <c r="D816" s="12"/>
      <c r="E816" s="12"/>
      <c r="F816" s="12"/>
      <c r="G816" s="12"/>
      <c r="H816" s="36"/>
      <c r="J816" s="19"/>
      <c r="K816" s="19"/>
      <c r="L816" s="19"/>
      <c r="AF816" s="6"/>
      <c r="AG816" s="6"/>
      <c r="AH816" s="6"/>
      <c r="AI816" s="6"/>
      <c r="AN816" s="6"/>
      <c r="AO816" s="6"/>
      <c r="AP816" s="6"/>
      <c r="AQ816" s="6"/>
      <c r="AR816" s="27"/>
      <c r="AS816" s="27"/>
      <c r="AT816" s="27"/>
      <c r="AU816" s="12"/>
      <c r="AV816" s="28"/>
    </row>
    <row r="817" spans="4:48">
      <c r="D817" s="12"/>
      <c r="E817" s="12"/>
      <c r="F817" s="12"/>
      <c r="G817" s="12"/>
      <c r="H817" s="36"/>
      <c r="J817" s="19"/>
      <c r="K817" s="19"/>
      <c r="L817" s="19"/>
      <c r="AF817" s="6"/>
      <c r="AG817" s="6"/>
      <c r="AH817" s="6"/>
      <c r="AI817" s="6"/>
      <c r="AN817" s="6"/>
      <c r="AO817" s="6"/>
      <c r="AP817" s="6"/>
      <c r="AQ817" s="6"/>
      <c r="AR817" s="27"/>
      <c r="AS817" s="27"/>
      <c r="AT817" s="27"/>
      <c r="AU817" s="12"/>
      <c r="AV817" s="28"/>
    </row>
    <row r="818" spans="4:48">
      <c r="D818" s="12"/>
      <c r="E818" s="12"/>
      <c r="F818" s="12"/>
      <c r="G818" s="12"/>
      <c r="H818" s="36"/>
      <c r="J818" s="19"/>
      <c r="K818" s="19"/>
      <c r="L818" s="19"/>
      <c r="AF818" s="6"/>
      <c r="AG818" s="6"/>
      <c r="AH818" s="6"/>
      <c r="AI818" s="6"/>
      <c r="AN818" s="6"/>
      <c r="AO818" s="6"/>
      <c r="AP818" s="6"/>
      <c r="AQ818" s="6"/>
      <c r="AR818" s="27"/>
      <c r="AS818" s="27"/>
      <c r="AT818" s="27"/>
      <c r="AU818" s="12"/>
      <c r="AV818" s="28"/>
    </row>
    <row r="819" spans="4:48">
      <c r="D819" s="12"/>
      <c r="E819" s="12"/>
      <c r="F819" s="12"/>
      <c r="G819" s="12"/>
      <c r="H819" s="36"/>
      <c r="J819" s="19"/>
      <c r="K819" s="19"/>
      <c r="L819" s="19"/>
      <c r="AF819" s="6"/>
      <c r="AG819" s="6"/>
      <c r="AH819" s="6"/>
      <c r="AI819" s="6"/>
      <c r="AN819" s="6"/>
      <c r="AO819" s="6"/>
      <c r="AP819" s="6"/>
      <c r="AQ819" s="6"/>
      <c r="AR819" s="27"/>
      <c r="AS819" s="27"/>
      <c r="AT819" s="27"/>
      <c r="AU819" s="12"/>
      <c r="AV819" s="28"/>
    </row>
    <row r="820" spans="4:48">
      <c r="D820" s="12"/>
      <c r="E820" s="12"/>
      <c r="F820" s="12"/>
      <c r="G820" s="12"/>
      <c r="H820" s="36"/>
      <c r="J820" s="19"/>
      <c r="K820" s="19"/>
      <c r="L820" s="19"/>
      <c r="AF820" s="6"/>
      <c r="AG820" s="6"/>
      <c r="AH820" s="6"/>
      <c r="AI820" s="6"/>
      <c r="AN820" s="6"/>
      <c r="AO820" s="6"/>
      <c r="AP820" s="6"/>
      <c r="AQ820" s="6"/>
      <c r="AR820" s="27"/>
      <c r="AS820" s="27"/>
      <c r="AT820" s="27"/>
      <c r="AU820" s="12"/>
      <c r="AV820" s="28"/>
    </row>
    <row r="821" spans="4:48">
      <c r="D821" s="12"/>
      <c r="E821" s="12"/>
      <c r="F821" s="12"/>
      <c r="G821" s="12"/>
      <c r="H821" s="36"/>
      <c r="J821" s="19"/>
      <c r="K821" s="19"/>
      <c r="L821" s="19"/>
      <c r="AF821" s="6"/>
      <c r="AG821" s="6"/>
      <c r="AH821" s="6"/>
      <c r="AI821" s="6"/>
      <c r="AN821" s="6"/>
      <c r="AO821" s="6"/>
      <c r="AP821" s="6"/>
      <c r="AQ821" s="6"/>
      <c r="AR821" s="27"/>
      <c r="AS821" s="27"/>
      <c r="AT821" s="27"/>
      <c r="AU821" s="12"/>
      <c r="AV821" s="28"/>
    </row>
    <row r="822" spans="4:48">
      <c r="D822" s="12"/>
      <c r="E822" s="12"/>
      <c r="F822" s="12"/>
      <c r="G822" s="12"/>
      <c r="H822" s="36"/>
      <c r="J822" s="19"/>
      <c r="K822" s="19"/>
      <c r="L822" s="19"/>
      <c r="AF822" s="6"/>
      <c r="AG822" s="6"/>
      <c r="AH822" s="6"/>
      <c r="AI822" s="6"/>
      <c r="AN822" s="6"/>
      <c r="AO822" s="6"/>
      <c r="AP822" s="6"/>
      <c r="AQ822" s="6"/>
      <c r="AR822" s="27"/>
      <c r="AS822" s="27"/>
      <c r="AT822" s="27"/>
      <c r="AU822" s="12"/>
      <c r="AV822" s="28"/>
    </row>
    <row r="823" spans="4:48">
      <c r="D823" s="12"/>
      <c r="E823" s="12"/>
      <c r="F823" s="12"/>
      <c r="G823" s="12"/>
      <c r="H823" s="36"/>
      <c r="J823" s="19"/>
      <c r="K823" s="19"/>
      <c r="L823" s="19"/>
      <c r="AF823" s="6"/>
      <c r="AG823" s="6"/>
      <c r="AH823" s="6"/>
      <c r="AI823" s="6"/>
      <c r="AN823" s="6"/>
      <c r="AO823" s="6"/>
      <c r="AP823" s="6"/>
      <c r="AQ823" s="6"/>
      <c r="AR823" s="27"/>
      <c r="AS823" s="27"/>
      <c r="AT823" s="27"/>
      <c r="AU823" s="12"/>
      <c r="AV823" s="28"/>
    </row>
    <row r="824" spans="4:48">
      <c r="D824" s="12"/>
      <c r="E824" s="12"/>
      <c r="F824" s="12"/>
      <c r="G824" s="12"/>
      <c r="H824" s="36"/>
      <c r="J824" s="19"/>
      <c r="K824" s="19"/>
      <c r="L824" s="19"/>
      <c r="AF824" s="6"/>
      <c r="AG824" s="6"/>
      <c r="AH824" s="6"/>
      <c r="AI824" s="6"/>
      <c r="AN824" s="6"/>
      <c r="AO824" s="6"/>
      <c r="AP824" s="6"/>
      <c r="AQ824" s="6"/>
      <c r="AR824" s="27"/>
      <c r="AS824" s="27"/>
      <c r="AT824" s="27"/>
      <c r="AU824" s="12"/>
      <c r="AV824" s="28"/>
    </row>
    <row r="825" spans="4:48">
      <c r="D825" s="12"/>
      <c r="E825" s="12"/>
      <c r="F825" s="12"/>
      <c r="G825" s="12"/>
      <c r="H825" s="36"/>
      <c r="J825" s="19"/>
      <c r="K825" s="19"/>
      <c r="L825" s="19"/>
      <c r="AF825" s="6"/>
      <c r="AG825" s="6"/>
      <c r="AH825" s="6"/>
      <c r="AI825" s="6"/>
      <c r="AN825" s="6"/>
      <c r="AO825" s="6"/>
      <c r="AP825" s="6"/>
      <c r="AQ825" s="6"/>
      <c r="AR825" s="27"/>
      <c r="AS825" s="27"/>
      <c r="AT825" s="27"/>
      <c r="AU825" s="12"/>
      <c r="AV825" s="28"/>
    </row>
    <row r="826" spans="4:48">
      <c r="D826" s="12"/>
      <c r="E826" s="12"/>
      <c r="F826" s="12"/>
      <c r="G826" s="12"/>
      <c r="H826" s="36"/>
      <c r="J826" s="19"/>
      <c r="K826" s="19"/>
      <c r="L826" s="19"/>
      <c r="AF826" s="6"/>
      <c r="AG826" s="6"/>
      <c r="AH826" s="6"/>
      <c r="AI826" s="6"/>
      <c r="AN826" s="6"/>
      <c r="AO826" s="6"/>
      <c r="AP826" s="6"/>
      <c r="AQ826" s="6"/>
      <c r="AR826" s="27"/>
      <c r="AS826" s="27"/>
      <c r="AT826" s="27"/>
      <c r="AU826" s="12"/>
      <c r="AV826" s="28"/>
    </row>
    <row r="827" spans="4:48">
      <c r="D827" s="12"/>
      <c r="E827" s="12"/>
      <c r="F827" s="12"/>
      <c r="G827" s="12"/>
      <c r="H827" s="36"/>
      <c r="J827" s="19"/>
      <c r="K827" s="19"/>
      <c r="L827" s="19"/>
      <c r="AF827" s="6"/>
      <c r="AG827" s="6"/>
      <c r="AH827" s="6"/>
      <c r="AI827" s="6"/>
      <c r="AN827" s="6"/>
      <c r="AO827" s="6"/>
      <c r="AP827" s="6"/>
      <c r="AQ827" s="6"/>
      <c r="AR827" s="27"/>
      <c r="AS827" s="27"/>
      <c r="AT827" s="27"/>
      <c r="AU827" s="12"/>
      <c r="AV827" s="28"/>
    </row>
    <row r="828" spans="4:48">
      <c r="D828" s="12"/>
      <c r="E828" s="12"/>
      <c r="F828" s="12"/>
      <c r="G828" s="12"/>
      <c r="H828" s="36"/>
      <c r="J828" s="19"/>
      <c r="K828" s="19"/>
      <c r="L828" s="19"/>
      <c r="AF828" s="6"/>
      <c r="AG828" s="6"/>
      <c r="AH828" s="6"/>
      <c r="AI828" s="6"/>
      <c r="AN828" s="6"/>
      <c r="AO828" s="6"/>
      <c r="AP828" s="6"/>
      <c r="AQ828" s="6"/>
      <c r="AR828" s="27"/>
      <c r="AS828" s="27"/>
      <c r="AT828" s="27"/>
      <c r="AU828" s="12"/>
      <c r="AV828" s="28"/>
    </row>
    <row r="829" spans="4:48">
      <c r="D829" s="12"/>
      <c r="E829" s="12"/>
      <c r="F829" s="12"/>
      <c r="G829" s="12"/>
      <c r="H829" s="36"/>
      <c r="J829" s="19"/>
      <c r="K829" s="19"/>
      <c r="L829" s="19"/>
      <c r="AF829" s="6"/>
      <c r="AG829" s="6"/>
      <c r="AH829" s="6"/>
      <c r="AI829" s="6"/>
      <c r="AN829" s="6"/>
      <c r="AO829" s="6"/>
      <c r="AP829" s="6"/>
      <c r="AQ829" s="6"/>
      <c r="AR829" s="27"/>
      <c r="AS829" s="27"/>
      <c r="AT829" s="27"/>
      <c r="AU829" s="12"/>
      <c r="AV829" s="28"/>
    </row>
    <row r="830" spans="4:48">
      <c r="D830" s="12"/>
      <c r="E830" s="12"/>
      <c r="F830" s="12"/>
      <c r="G830" s="12"/>
      <c r="H830" s="36"/>
      <c r="J830" s="19"/>
      <c r="K830" s="19"/>
      <c r="L830" s="19"/>
      <c r="AF830" s="6"/>
      <c r="AG830" s="6"/>
      <c r="AH830" s="6"/>
      <c r="AI830" s="6"/>
      <c r="AN830" s="6"/>
      <c r="AO830" s="6"/>
      <c r="AP830" s="6"/>
      <c r="AQ830" s="6"/>
      <c r="AR830" s="27"/>
      <c r="AS830" s="27"/>
      <c r="AT830" s="27"/>
      <c r="AU830" s="12"/>
      <c r="AV830" s="28"/>
    </row>
    <row r="831" spans="4:48">
      <c r="D831" s="12"/>
      <c r="E831" s="12"/>
      <c r="F831" s="12"/>
      <c r="G831" s="12"/>
      <c r="H831" s="36"/>
      <c r="J831" s="19"/>
      <c r="K831" s="19"/>
      <c r="L831" s="19"/>
      <c r="AF831" s="6"/>
      <c r="AG831" s="6"/>
      <c r="AH831" s="6"/>
      <c r="AI831" s="6"/>
      <c r="AN831" s="6"/>
      <c r="AO831" s="6"/>
      <c r="AP831" s="6"/>
      <c r="AQ831" s="6"/>
      <c r="AR831" s="27"/>
      <c r="AS831" s="27"/>
      <c r="AT831" s="27"/>
      <c r="AU831" s="12"/>
      <c r="AV831" s="28"/>
    </row>
    <row r="832" spans="4:48">
      <c r="D832" s="12"/>
      <c r="E832" s="12"/>
      <c r="F832" s="12"/>
      <c r="G832" s="12"/>
      <c r="H832" s="36"/>
      <c r="J832" s="19"/>
      <c r="K832" s="19"/>
      <c r="L832" s="19"/>
      <c r="AF832" s="6"/>
      <c r="AG832" s="6"/>
      <c r="AH832" s="6"/>
      <c r="AI832" s="6"/>
      <c r="AN832" s="6"/>
      <c r="AO832" s="6"/>
      <c r="AP832" s="6"/>
      <c r="AQ832" s="6"/>
      <c r="AR832" s="27"/>
      <c r="AS832" s="27"/>
      <c r="AT832" s="27"/>
      <c r="AU832" s="12"/>
      <c r="AV832" s="28"/>
    </row>
    <row r="833" spans="4:48">
      <c r="D833" s="12"/>
      <c r="E833" s="12"/>
      <c r="F833" s="12"/>
      <c r="G833" s="12"/>
      <c r="H833" s="36"/>
      <c r="J833" s="19"/>
      <c r="K833" s="19"/>
      <c r="L833" s="19"/>
      <c r="AF833" s="6"/>
      <c r="AG833" s="6"/>
      <c r="AH833" s="6"/>
      <c r="AI833" s="6"/>
      <c r="AN833" s="6"/>
      <c r="AO833" s="6"/>
      <c r="AP833" s="6"/>
      <c r="AQ833" s="6"/>
      <c r="AR833" s="27"/>
      <c r="AS833" s="27"/>
      <c r="AT833" s="27"/>
      <c r="AU833" s="12"/>
      <c r="AV833" s="28"/>
    </row>
    <row r="834" spans="4:48">
      <c r="D834" s="12"/>
      <c r="E834" s="12"/>
      <c r="F834" s="12"/>
      <c r="G834" s="12"/>
      <c r="H834" s="36"/>
      <c r="J834" s="19"/>
      <c r="K834" s="19"/>
      <c r="L834" s="19"/>
      <c r="AF834" s="6"/>
      <c r="AG834" s="6"/>
      <c r="AH834" s="6"/>
      <c r="AI834" s="6"/>
      <c r="AN834" s="6"/>
      <c r="AO834" s="6"/>
      <c r="AP834" s="6"/>
      <c r="AQ834" s="6"/>
      <c r="AR834" s="27"/>
      <c r="AS834" s="27"/>
      <c r="AT834" s="27"/>
      <c r="AU834" s="12"/>
      <c r="AV834" s="28"/>
    </row>
    <row r="835" spans="4:48">
      <c r="D835" s="12"/>
      <c r="E835" s="12"/>
      <c r="F835" s="12"/>
      <c r="G835" s="12"/>
      <c r="H835" s="36"/>
      <c r="J835" s="19"/>
      <c r="K835" s="19"/>
      <c r="L835" s="19"/>
      <c r="AF835" s="6"/>
      <c r="AG835" s="6"/>
      <c r="AH835" s="6"/>
      <c r="AI835" s="6"/>
      <c r="AN835" s="6"/>
      <c r="AO835" s="6"/>
      <c r="AP835" s="6"/>
      <c r="AQ835" s="6"/>
      <c r="AR835" s="27"/>
      <c r="AS835" s="27"/>
      <c r="AT835" s="27"/>
      <c r="AU835" s="12"/>
      <c r="AV835" s="28"/>
    </row>
    <row r="836" spans="4:48">
      <c r="D836" s="12"/>
      <c r="E836" s="12"/>
      <c r="F836" s="12"/>
      <c r="G836" s="12"/>
      <c r="H836" s="36"/>
      <c r="J836" s="19"/>
      <c r="K836" s="19"/>
      <c r="L836" s="19"/>
      <c r="AF836" s="6"/>
      <c r="AG836" s="6"/>
      <c r="AH836" s="6"/>
      <c r="AI836" s="6"/>
      <c r="AN836" s="6"/>
      <c r="AO836" s="6"/>
      <c r="AP836" s="6"/>
      <c r="AQ836" s="6"/>
      <c r="AR836" s="27"/>
      <c r="AS836" s="27"/>
      <c r="AT836" s="27"/>
      <c r="AU836" s="12"/>
      <c r="AV836" s="28"/>
    </row>
    <row r="837" spans="4:48">
      <c r="D837" s="12"/>
      <c r="E837" s="12"/>
      <c r="F837" s="12"/>
      <c r="G837" s="12"/>
      <c r="H837" s="36"/>
      <c r="J837" s="19"/>
      <c r="K837" s="19"/>
      <c r="L837" s="19"/>
      <c r="AF837" s="6"/>
      <c r="AG837" s="6"/>
      <c r="AH837" s="6"/>
      <c r="AI837" s="6"/>
      <c r="AN837" s="6"/>
      <c r="AO837" s="6"/>
      <c r="AP837" s="6"/>
      <c r="AQ837" s="6"/>
      <c r="AR837" s="27"/>
      <c r="AS837" s="27"/>
      <c r="AT837" s="27"/>
      <c r="AU837" s="12"/>
      <c r="AV837" s="28"/>
    </row>
    <row r="838" spans="4:48">
      <c r="D838" s="12"/>
      <c r="E838" s="12"/>
      <c r="F838" s="12"/>
      <c r="G838" s="12"/>
      <c r="H838" s="36"/>
      <c r="J838" s="19"/>
      <c r="K838" s="19"/>
      <c r="L838" s="19"/>
      <c r="AF838" s="6"/>
      <c r="AG838" s="6"/>
      <c r="AH838" s="6"/>
      <c r="AI838" s="6"/>
      <c r="AN838" s="6"/>
      <c r="AO838" s="6"/>
      <c r="AP838" s="6"/>
      <c r="AQ838" s="6"/>
      <c r="AR838" s="27"/>
      <c r="AS838" s="27"/>
      <c r="AT838" s="27"/>
      <c r="AU838" s="12"/>
      <c r="AV838" s="28"/>
    </row>
    <row r="839" spans="4:48">
      <c r="D839" s="12"/>
      <c r="E839" s="12"/>
      <c r="F839" s="12"/>
      <c r="G839" s="12"/>
      <c r="H839" s="36"/>
      <c r="J839" s="19"/>
      <c r="K839" s="19"/>
      <c r="L839" s="19"/>
      <c r="AF839" s="6"/>
      <c r="AG839" s="6"/>
      <c r="AH839" s="6"/>
      <c r="AI839" s="6"/>
      <c r="AN839" s="6"/>
      <c r="AO839" s="6"/>
      <c r="AP839" s="6"/>
      <c r="AQ839" s="6"/>
      <c r="AR839" s="27"/>
      <c r="AS839" s="27"/>
      <c r="AT839" s="27"/>
      <c r="AU839" s="12"/>
      <c r="AV839" s="28"/>
    </row>
    <row r="840" spans="4:48">
      <c r="D840" s="12"/>
      <c r="E840" s="12"/>
      <c r="F840" s="12"/>
      <c r="G840" s="12"/>
      <c r="H840" s="36"/>
      <c r="J840" s="19"/>
      <c r="K840" s="19"/>
      <c r="L840" s="19"/>
      <c r="AF840" s="6"/>
      <c r="AG840" s="6"/>
      <c r="AH840" s="6"/>
      <c r="AI840" s="6"/>
      <c r="AN840" s="6"/>
      <c r="AO840" s="6"/>
      <c r="AP840" s="6"/>
      <c r="AQ840" s="6"/>
      <c r="AR840" s="27"/>
      <c r="AS840" s="27"/>
      <c r="AT840" s="27"/>
      <c r="AU840" s="12"/>
      <c r="AV840" s="28"/>
    </row>
    <row r="841" spans="4:48">
      <c r="D841" s="12"/>
      <c r="E841" s="12"/>
      <c r="F841" s="12"/>
      <c r="G841" s="12"/>
      <c r="H841" s="36"/>
      <c r="J841" s="19"/>
      <c r="K841" s="19"/>
      <c r="L841" s="19"/>
      <c r="AF841" s="6"/>
      <c r="AG841" s="6"/>
      <c r="AH841" s="6"/>
      <c r="AI841" s="6"/>
      <c r="AN841" s="6"/>
      <c r="AO841" s="6"/>
      <c r="AP841" s="6"/>
      <c r="AQ841" s="6"/>
      <c r="AR841" s="27"/>
      <c r="AS841" s="27"/>
      <c r="AT841" s="27"/>
      <c r="AU841" s="12"/>
      <c r="AV841" s="28"/>
    </row>
    <row r="842" spans="4:48">
      <c r="D842" s="12"/>
      <c r="E842" s="12"/>
      <c r="F842" s="12"/>
      <c r="G842" s="12"/>
      <c r="H842" s="36"/>
      <c r="J842" s="19"/>
      <c r="K842" s="19"/>
      <c r="L842" s="19"/>
      <c r="AF842" s="6"/>
      <c r="AG842" s="6"/>
      <c r="AH842" s="6"/>
      <c r="AI842" s="6"/>
      <c r="AN842" s="6"/>
      <c r="AO842" s="6"/>
      <c r="AP842" s="6"/>
      <c r="AQ842" s="6"/>
      <c r="AR842" s="27"/>
      <c r="AS842" s="27"/>
      <c r="AT842" s="27"/>
      <c r="AU842" s="12"/>
      <c r="AV842" s="28"/>
    </row>
    <row r="843" spans="4:48">
      <c r="D843" s="12"/>
      <c r="E843" s="12"/>
      <c r="F843" s="12"/>
      <c r="G843" s="12"/>
      <c r="H843" s="36"/>
      <c r="J843" s="19"/>
      <c r="K843" s="19"/>
      <c r="L843" s="19"/>
      <c r="AF843" s="6"/>
      <c r="AG843" s="6"/>
      <c r="AH843" s="6"/>
      <c r="AI843" s="6"/>
      <c r="AN843" s="6"/>
      <c r="AO843" s="6"/>
      <c r="AP843" s="6"/>
      <c r="AQ843" s="6"/>
      <c r="AR843" s="27"/>
      <c r="AS843" s="27"/>
      <c r="AT843" s="27"/>
      <c r="AU843" s="12"/>
      <c r="AV843" s="28"/>
    </row>
    <row r="844" spans="4:48">
      <c r="D844" s="12"/>
      <c r="E844" s="12"/>
      <c r="F844" s="12"/>
      <c r="G844" s="12"/>
      <c r="H844" s="36"/>
      <c r="J844" s="19"/>
      <c r="K844" s="19"/>
      <c r="L844" s="19"/>
      <c r="AF844" s="6"/>
      <c r="AG844" s="6"/>
      <c r="AH844" s="6"/>
      <c r="AI844" s="6"/>
      <c r="AN844" s="6"/>
      <c r="AO844" s="6"/>
      <c r="AP844" s="6"/>
      <c r="AQ844" s="6"/>
      <c r="AR844" s="27"/>
      <c r="AS844" s="27"/>
      <c r="AT844" s="27"/>
      <c r="AU844" s="12"/>
      <c r="AV844" s="28"/>
    </row>
    <row r="845" spans="4:48">
      <c r="D845" s="12"/>
      <c r="E845" s="12"/>
      <c r="F845" s="12"/>
      <c r="G845" s="12"/>
      <c r="H845" s="36"/>
      <c r="J845" s="19"/>
      <c r="K845" s="19"/>
      <c r="L845" s="19"/>
      <c r="AF845" s="6"/>
      <c r="AG845" s="6"/>
      <c r="AH845" s="6"/>
      <c r="AI845" s="6"/>
      <c r="AN845" s="6"/>
      <c r="AO845" s="6"/>
      <c r="AP845" s="6"/>
      <c r="AQ845" s="6"/>
      <c r="AR845" s="27"/>
      <c r="AS845" s="27"/>
      <c r="AT845" s="27"/>
      <c r="AU845" s="12"/>
      <c r="AV845" s="28"/>
    </row>
    <row r="846" spans="4:48">
      <c r="D846" s="12"/>
      <c r="E846" s="12"/>
      <c r="F846" s="12"/>
      <c r="G846" s="12"/>
      <c r="H846" s="36"/>
      <c r="J846" s="19"/>
      <c r="K846" s="19"/>
      <c r="L846" s="19"/>
      <c r="AF846" s="6"/>
      <c r="AG846" s="6"/>
      <c r="AH846" s="6"/>
      <c r="AI846" s="6"/>
      <c r="AN846" s="6"/>
      <c r="AO846" s="6"/>
      <c r="AP846" s="6"/>
      <c r="AQ846" s="6"/>
      <c r="AR846" s="27"/>
      <c r="AS846" s="27"/>
      <c r="AT846" s="27"/>
      <c r="AU846" s="12"/>
      <c r="AV846" s="28"/>
    </row>
    <row r="847" spans="4:48">
      <c r="D847" s="12"/>
      <c r="E847" s="12"/>
      <c r="F847" s="12"/>
      <c r="G847" s="12"/>
      <c r="H847" s="36"/>
      <c r="J847" s="19"/>
      <c r="K847" s="19"/>
      <c r="L847" s="19"/>
      <c r="AF847" s="6"/>
      <c r="AG847" s="6"/>
      <c r="AH847" s="6"/>
      <c r="AI847" s="6"/>
      <c r="AN847" s="6"/>
      <c r="AO847" s="6"/>
      <c r="AP847" s="6"/>
      <c r="AQ847" s="6"/>
      <c r="AR847" s="27"/>
      <c r="AS847" s="27"/>
      <c r="AT847" s="27"/>
      <c r="AU847" s="12"/>
      <c r="AV847" s="28"/>
    </row>
    <row r="848" spans="4:48">
      <c r="D848" s="12"/>
      <c r="E848" s="12"/>
      <c r="F848" s="12"/>
      <c r="G848" s="12"/>
      <c r="H848" s="36"/>
      <c r="J848" s="19"/>
      <c r="K848" s="19"/>
      <c r="L848" s="19"/>
      <c r="AF848" s="6"/>
      <c r="AG848" s="6"/>
      <c r="AH848" s="6"/>
      <c r="AI848" s="6"/>
      <c r="AN848" s="6"/>
      <c r="AO848" s="6"/>
      <c r="AP848" s="6"/>
      <c r="AQ848" s="6"/>
      <c r="AR848" s="27"/>
      <c r="AS848" s="27"/>
      <c r="AT848" s="27"/>
      <c r="AU848" s="12"/>
      <c r="AV848" s="28"/>
    </row>
    <row r="849" spans="4:48">
      <c r="D849" s="12"/>
      <c r="E849" s="12"/>
      <c r="F849" s="12"/>
      <c r="G849" s="12"/>
      <c r="H849" s="36"/>
      <c r="J849" s="19"/>
      <c r="K849" s="19"/>
      <c r="L849" s="19"/>
      <c r="AF849" s="6"/>
      <c r="AG849" s="6"/>
      <c r="AH849" s="6"/>
      <c r="AI849" s="6"/>
      <c r="AN849" s="6"/>
      <c r="AO849" s="6"/>
      <c r="AP849" s="6"/>
      <c r="AQ849" s="6"/>
      <c r="AR849" s="27"/>
      <c r="AS849" s="27"/>
      <c r="AT849" s="27"/>
      <c r="AU849" s="12"/>
      <c r="AV849" s="28"/>
    </row>
    <row r="850" spans="4:48">
      <c r="D850" s="12"/>
      <c r="E850" s="12"/>
      <c r="F850" s="12"/>
      <c r="G850" s="12"/>
      <c r="H850" s="36"/>
      <c r="J850" s="19"/>
      <c r="K850" s="19"/>
      <c r="L850" s="19"/>
      <c r="AF850" s="6"/>
      <c r="AG850" s="6"/>
      <c r="AH850" s="6"/>
      <c r="AI850" s="6"/>
      <c r="AN850" s="6"/>
      <c r="AO850" s="6"/>
      <c r="AP850" s="6"/>
      <c r="AQ850" s="6"/>
      <c r="AR850" s="27"/>
      <c r="AS850" s="27"/>
      <c r="AT850" s="27"/>
      <c r="AU850" s="12"/>
      <c r="AV850" s="28"/>
    </row>
    <row r="851" spans="4:48">
      <c r="D851" s="12"/>
      <c r="E851" s="12"/>
      <c r="F851" s="12"/>
      <c r="G851" s="12"/>
      <c r="H851" s="36"/>
      <c r="J851" s="19"/>
      <c r="K851" s="19"/>
      <c r="L851" s="19"/>
      <c r="AF851" s="6"/>
      <c r="AG851" s="6"/>
      <c r="AH851" s="6"/>
      <c r="AI851" s="6"/>
      <c r="AN851" s="6"/>
      <c r="AO851" s="6"/>
      <c r="AP851" s="6"/>
      <c r="AQ851" s="6"/>
      <c r="AR851" s="27"/>
      <c r="AS851" s="27"/>
      <c r="AT851" s="27"/>
      <c r="AU851" s="12"/>
      <c r="AV851" s="28"/>
    </row>
    <row r="852" spans="4:48">
      <c r="D852" s="12"/>
      <c r="E852" s="12"/>
      <c r="F852" s="12"/>
      <c r="G852" s="12"/>
      <c r="H852" s="36"/>
      <c r="J852" s="19"/>
      <c r="K852" s="19"/>
      <c r="L852" s="19"/>
      <c r="AF852" s="6"/>
      <c r="AG852" s="6"/>
      <c r="AH852" s="6"/>
      <c r="AI852" s="6"/>
      <c r="AN852" s="6"/>
      <c r="AO852" s="6"/>
      <c r="AP852" s="6"/>
      <c r="AQ852" s="6"/>
      <c r="AR852" s="27"/>
      <c r="AS852" s="27"/>
      <c r="AT852" s="27"/>
      <c r="AU852" s="12"/>
      <c r="AV852" s="28"/>
    </row>
    <row r="853" spans="4:48">
      <c r="D853" s="12"/>
      <c r="E853" s="12"/>
      <c r="F853" s="12"/>
      <c r="G853" s="12"/>
      <c r="H853" s="36"/>
      <c r="J853" s="19"/>
      <c r="K853" s="19"/>
      <c r="L853" s="19"/>
      <c r="AF853" s="6"/>
      <c r="AG853" s="6"/>
      <c r="AH853" s="6"/>
      <c r="AI853" s="6"/>
      <c r="AN853" s="6"/>
      <c r="AO853" s="6"/>
      <c r="AP853" s="6"/>
      <c r="AQ853" s="6"/>
      <c r="AR853" s="27"/>
      <c r="AS853" s="27"/>
      <c r="AT853" s="27"/>
      <c r="AU853" s="12"/>
      <c r="AV853" s="28"/>
    </row>
    <row r="854" spans="4:48">
      <c r="D854" s="12"/>
      <c r="E854" s="12"/>
      <c r="F854" s="12"/>
      <c r="G854" s="12"/>
      <c r="H854" s="36"/>
      <c r="J854" s="19"/>
      <c r="K854" s="19"/>
      <c r="L854" s="19"/>
      <c r="AF854" s="6"/>
      <c r="AG854" s="6"/>
      <c r="AH854" s="6"/>
      <c r="AI854" s="6"/>
      <c r="AN854" s="6"/>
      <c r="AO854" s="6"/>
      <c r="AP854" s="6"/>
      <c r="AQ854" s="6"/>
      <c r="AR854" s="27"/>
      <c r="AS854" s="27"/>
      <c r="AT854" s="27"/>
      <c r="AU854" s="12"/>
      <c r="AV854" s="28"/>
    </row>
    <row r="855" spans="4:48">
      <c r="D855" s="12"/>
      <c r="E855" s="12"/>
      <c r="F855" s="12"/>
      <c r="G855" s="12"/>
      <c r="H855" s="36"/>
      <c r="J855" s="19"/>
      <c r="K855" s="19"/>
      <c r="L855" s="19"/>
      <c r="AF855" s="6"/>
      <c r="AG855" s="6"/>
      <c r="AH855" s="6"/>
      <c r="AI855" s="6"/>
      <c r="AN855" s="6"/>
      <c r="AO855" s="6"/>
      <c r="AP855" s="6"/>
      <c r="AQ855" s="6"/>
      <c r="AR855" s="27"/>
      <c r="AS855" s="27"/>
      <c r="AT855" s="27"/>
      <c r="AU855" s="12"/>
      <c r="AV855" s="28"/>
    </row>
    <row r="856" spans="4:48">
      <c r="D856" s="12"/>
      <c r="E856" s="12"/>
      <c r="F856" s="12"/>
      <c r="G856" s="12"/>
      <c r="H856" s="36"/>
      <c r="J856" s="19"/>
      <c r="K856" s="19"/>
      <c r="L856" s="19"/>
      <c r="AF856" s="6"/>
      <c r="AG856" s="6"/>
      <c r="AH856" s="6"/>
      <c r="AI856" s="6"/>
      <c r="AN856" s="6"/>
      <c r="AO856" s="6"/>
      <c r="AP856" s="6"/>
      <c r="AQ856" s="6"/>
      <c r="AR856" s="27"/>
      <c r="AS856" s="27"/>
      <c r="AT856" s="27"/>
      <c r="AU856" s="12"/>
      <c r="AV856" s="28"/>
    </row>
    <row r="857" spans="4:48">
      <c r="D857" s="12"/>
      <c r="E857" s="12"/>
      <c r="F857" s="12"/>
      <c r="G857" s="12"/>
      <c r="H857" s="36"/>
      <c r="J857" s="19"/>
      <c r="K857" s="19"/>
      <c r="L857" s="19"/>
      <c r="AF857" s="6"/>
      <c r="AG857" s="6"/>
      <c r="AH857" s="6"/>
      <c r="AI857" s="6"/>
      <c r="AN857" s="6"/>
      <c r="AO857" s="6"/>
      <c r="AP857" s="6"/>
      <c r="AQ857" s="6"/>
      <c r="AR857" s="27"/>
      <c r="AS857" s="27"/>
      <c r="AT857" s="27"/>
      <c r="AU857" s="12"/>
      <c r="AV857" s="28"/>
    </row>
    <row r="858" spans="4:48">
      <c r="D858" s="12"/>
      <c r="E858" s="12"/>
      <c r="F858" s="12"/>
      <c r="G858" s="12"/>
      <c r="H858" s="36"/>
      <c r="J858" s="19"/>
      <c r="K858" s="19"/>
      <c r="L858" s="19"/>
      <c r="AF858" s="6"/>
      <c r="AG858" s="6"/>
      <c r="AH858" s="6"/>
      <c r="AI858" s="6"/>
      <c r="AN858" s="6"/>
      <c r="AO858" s="6"/>
      <c r="AP858" s="6"/>
      <c r="AQ858" s="6"/>
      <c r="AR858" s="27"/>
      <c r="AS858" s="27"/>
      <c r="AT858" s="27"/>
      <c r="AU858" s="12"/>
      <c r="AV858" s="28"/>
    </row>
    <row r="859" spans="4:48">
      <c r="D859" s="12"/>
      <c r="E859" s="12"/>
      <c r="F859" s="12"/>
      <c r="G859" s="12"/>
      <c r="H859" s="36"/>
      <c r="J859" s="19"/>
      <c r="K859" s="19"/>
      <c r="L859" s="19"/>
      <c r="AF859" s="6"/>
      <c r="AG859" s="6"/>
      <c r="AH859" s="6"/>
      <c r="AI859" s="6"/>
      <c r="AN859" s="6"/>
      <c r="AO859" s="6"/>
      <c r="AP859" s="6"/>
      <c r="AQ859" s="6"/>
      <c r="AR859" s="27"/>
      <c r="AS859" s="27"/>
      <c r="AT859" s="27"/>
      <c r="AU859" s="12"/>
      <c r="AV859" s="28"/>
    </row>
    <row r="860" spans="4:48">
      <c r="D860" s="12"/>
      <c r="E860" s="12"/>
      <c r="F860" s="12"/>
      <c r="G860" s="12"/>
      <c r="H860" s="36"/>
      <c r="J860" s="19"/>
      <c r="K860" s="19"/>
      <c r="L860" s="19"/>
      <c r="AF860" s="6"/>
      <c r="AG860" s="6"/>
      <c r="AH860" s="6"/>
      <c r="AI860" s="6"/>
      <c r="AN860" s="6"/>
      <c r="AO860" s="6"/>
      <c r="AP860" s="6"/>
      <c r="AQ860" s="6"/>
      <c r="AR860" s="27"/>
      <c r="AS860" s="27"/>
      <c r="AT860" s="27"/>
      <c r="AU860" s="12"/>
      <c r="AV860" s="28"/>
    </row>
    <row r="861" spans="4:48">
      <c r="D861" s="12"/>
      <c r="E861" s="12"/>
      <c r="F861" s="12"/>
      <c r="G861" s="12"/>
      <c r="H861" s="36"/>
      <c r="J861" s="19"/>
      <c r="K861" s="19"/>
      <c r="L861" s="19"/>
      <c r="AF861" s="6"/>
      <c r="AG861" s="6"/>
      <c r="AH861" s="6"/>
      <c r="AI861" s="6"/>
      <c r="AN861" s="6"/>
      <c r="AO861" s="6"/>
      <c r="AP861" s="6"/>
      <c r="AQ861" s="6"/>
      <c r="AR861" s="27"/>
      <c r="AS861" s="27"/>
      <c r="AT861" s="27"/>
      <c r="AU861" s="12"/>
      <c r="AV861" s="28"/>
    </row>
    <row r="862" spans="4:48">
      <c r="D862" s="12"/>
      <c r="E862" s="12"/>
      <c r="F862" s="12"/>
      <c r="G862" s="12"/>
      <c r="H862" s="36"/>
      <c r="J862" s="19"/>
      <c r="K862" s="19"/>
      <c r="L862" s="19"/>
      <c r="AF862" s="6"/>
      <c r="AG862" s="6"/>
      <c r="AH862" s="6"/>
      <c r="AI862" s="6"/>
      <c r="AN862" s="6"/>
      <c r="AO862" s="6"/>
      <c r="AP862" s="6"/>
      <c r="AQ862" s="6"/>
      <c r="AR862" s="27"/>
      <c r="AS862" s="27"/>
      <c r="AT862" s="27"/>
      <c r="AU862" s="12"/>
      <c r="AV862" s="28"/>
    </row>
    <row r="863" spans="4:48">
      <c r="D863" s="12"/>
      <c r="E863" s="12"/>
      <c r="F863" s="12"/>
      <c r="G863" s="12"/>
      <c r="H863" s="36"/>
      <c r="J863" s="19"/>
      <c r="K863" s="19"/>
      <c r="L863" s="19"/>
      <c r="AF863" s="6"/>
      <c r="AG863" s="6"/>
      <c r="AH863" s="6"/>
      <c r="AI863" s="6"/>
      <c r="AN863" s="6"/>
      <c r="AO863" s="6"/>
      <c r="AP863" s="6"/>
      <c r="AQ863" s="6"/>
      <c r="AR863" s="27"/>
      <c r="AS863" s="27"/>
      <c r="AT863" s="27"/>
      <c r="AU863" s="12"/>
      <c r="AV863" s="28"/>
    </row>
    <row r="864" spans="4:48">
      <c r="D864" s="12"/>
      <c r="E864" s="12"/>
      <c r="F864" s="12"/>
      <c r="G864" s="12"/>
      <c r="H864" s="36"/>
      <c r="J864" s="19"/>
      <c r="K864" s="19"/>
      <c r="L864" s="19"/>
      <c r="AF864" s="6"/>
      <c r="AG864" s="6"/>
      <c r="AH864" s="6"/>
      <c r="AI864" s="6"/>
      <c r="AN864" s="6"/>
      <c r="AO864" s="6"/>
      <c r="AP864" s="6"/>
      <c r="AQ864" s="6"/>
      <c r="AR864" s="27"/>
      <c r="AS864" s="27"/>
      <c r="AT864" s="27"/>
      <c r="AU864" s="12"/>
      <c r="AV864" s="28"/>
    </row>
    <row r="865" spans="4:48">
      <c r="D865" s="12"/>
      <c r="E865" s="12"/>
      <c r="F865" s="12"/>
      <c r="G865" s="12"/>
      <c r="H865" s="36"/>
      <c r="J865" s="19"/>
      <c r="K865" s="19"/>
      <c r="L865" s="19"/>
      <c r="AF865" s="6"/>
      <c r="AG865" s="6"/>
      <c r="AH865" s="6"/>
      <c r="AI865" s="6"/>
      <c r="AN865" s="6"/>
      <c r="AO865" s="6"/>
      <c r="AP865" s="6"/>
      <c r="AQ865" s="6"/>
      <c r="AR865" s="27"/>
      <c r="AS865" s="27"/>
      <c r="AT865" s="27"/>
      <c r="AU865" s="12"/>
      <c r="AV865" s="28"/>
    </row>
    <row r="866" spans="4:48">
      <c r="D866" s="12"/>
      <c r="E866" s="12"/>
      <c r="F866" s="12"/>
      <c r="G866" s="12"/>
      <c r="H866" s="36"/>
      <c r="J866" s="19"/>
      <c r="K866" s="19"/>
      <c r="L866" s="19"/>
      <c r="AF866" s="6"/>
      <c r="AG866" s="6"/>
      <c r="AH866" s="6"/>
      <c r="AI866" s="6"/>
      <c r="AN866" s="6"/>
      <c r="AO866" s="6"/>
      <c r="AP866" s="6"/>
      <c r="AQ866" s="6"/>
      <c r="AR866" s="27"/>
      <c r="AS866" s="27"/>
      <c r="AT866" s="27"/>
      <c r="AU866" s="12"/>
      <c r="AV866" s="28"/>
    </row>
    <row r="867" spans="4:48">
      <c r="D867" s="12"/>
      <c r="E867" s="12"/>
      <c r="F867" s="12"/>
      <c r="G867" s="12"/>
      <c r="H867" s="36"/>
      <c r="J867" s="19"/>
      <c r="K867" s="19"/>
      <c r="L867" s="19"/>
      <c r="AF867" s="6"/>
      <c r="AG867" s="6"/>
      <c r="AH867" s="6"/>
      <c r="AI867" s="6"/>
      <c r="AN867" s="6"/>
      <c r="AO867" s="6"/>
      <c r="AP867" s="6"/>
      <c r="AQ867" s="6"/>
      <c r="AR867" s="27"/>
      <c r="AS867" s="27"/>
      <c r="AT867" s="27"/>
      <c r="AU867" s="12"/>
      <c r="AV867" s="28"/>
    </row>
    <row r="868" spans="4:48">
      <c r="D868" s="12"/>
      <c r="E868" s="12"/>
      <c r="F868" s="12"/>
      <c r="G868" s="12"/>
      <c r="H868" s="36"/>
      <c r="J868" s="19"/>
      <c r="K868" s="19"/>
      <c r="L868" s="19"/>
      <c r="AF868" s="6"/>
      <c r="AG868" s="6"/>
      <c r="AH868" s="6"/>
      <c r="AI868" s="6"/>
      <c r="AN868" s="6"/>
      <c r="AO868" s="6"/>
      <c r="AP868" s="6"/>
      <c r="AQ868" s="6"/>
      <c r="AR868" s="27"/>
      <c r="AS868" s="27"/>
      <c r="AT868" s="27"/>
      <c r="AU868" s="12"/>
      <c r="AV868" s="28"/>
    </row>
    <row r="869" spans="4:48">
      <c r="D869" s="12"/>
      <c r="E869" s="12"/>
      <c r="F869" s="12"/>
      <c r="G869" s="12"/>
      <c r="H869" s="36"/>
      <c r="J869" s="19"/>
      <c r="K869" s="19"/>
      <c r="L869" s="19"/>
      <c r="AF869" s="6"/>
      <c r="AG869" s="6"/>
      <c r="AH869" s="6"/>
      <c r="AI869" s="6"/>
      <c r="AN869" s="6"/>
      <c r="AO869" s="6"/>
      <c r="AP869" s="6"/>
      <c r="AQ869" s="6"/>
      <c r="AR869" s="27"/>
      <c r="AS869" s="27"/>
      <c r="AT869" s="27"/>
      <c r="AU869" s="12"/>
      <c r="AV869" s="28"/>
    </row>
    <row r="870" spans="4:48">
      <c r="D870" s="12"/>
      <c r="E870" s="12"/>
      <c r="F870" s="12"/>
      <c r="G870" s="12"/>
      <c r="H870" s="36"/>
      <c r="J870" s="19"/>
      <c r="K870" s="19"/>
      <c r="L870" s="19"/>
      <c r="AF870" s="6"/>
      <c r="AG870" s="6"/>
      <c r="AH870" s="6"/>
      <c r="AI870" s="6"/>
      <c r="AN870" s="6"/>
      <c r="AO870" s="6"/>
      <c r="AP870" s="6"/>
      <c r="AQ870" s="6"/>
      <c r="AR870" s="27"/>
      <c r="AS870" s="27"/>
      <c r="AT870" s="27"/>
      <c r="AU870" s="12"/>
      <c r="AV870" s="28"/>
    </row>
    <row r="871" spans="4:48">
      <c r="D871" s="12"/>
      <c r="E871" s="12"/>
      <c r="F871" s="12"/>
      <c r="G871" s="12"/>
      <c r="H871" s="36"/>
      <c r="J871" s="19"/>
      <c r="K871" s="19"/>
      <c r="L871" s="19"/>
      <c r="AF871" s="6"/>
      <c r="AG871" s="6"/>
      <c r="AH871" s="6"/>
      <c r="AI871" s="6"/>
      <c r="AN871" s="6"/>
      <c r="AO871" s="6"/>
      <c r="AP871" s="6"/>
      <c r="AQ871" s="6"/>
      <c r="AR871" s="27"/>
      <c r="AS871" s="27"/>
      <c r="AT871" s="27"/>
      <c r="AU871" s="12"/>
      <c r="AV871" s="28"/>
    </row>
    <row r="872" spans="4:48">
      <c r="D872" s="12"/>
      <c r="E872" s="12"/>
      <c r="F872" s="12"/>
      <c r="G872" s="12"/>
      <c r="H872" s="36"/>
      <c r="J872" s="19"/>
      <c r="K872" s="19"/>
      <c r="L872" s="19"/>
      <c r="AF872" s="6"/>
      <c r="AG872" s="6"/>
      <c r="AH872" s="6"/>
      <c r="AI872" s="6"/>
      <c r="AN872" s="6"/>
      <c r="AO872" s="6"/>
      <c r="AP872" s="6"/>
      <c r="AQ872" s="6"/>
      <c r="AR872" s="27"/>
      <c r="AS872" s="27"/>
      <c r="AT872" s="27"/>
      <c r="AU872" s="12"/>
      <c r="AV872" s="28"/>
    </row>
    <row r="873" spans="4:48">
      <c r="D873" s="12"/>
      <c r="E873" s="12"/>
      <c r="F873" s="12"/>
      <c r="G873" s="12"/>
      <c r="H873" s="36"/>
      <c r="J873" s="19"/>
      <c r="K873" s="19"/>
      <c r="L873" s="19"/>
      <c r="AF873" s="6"/>
      <c r="AG873" s="6"/>
      <c r="AH873" s="6"/>
      <c r="AI873" s="6"/>
      <c r="AN873" s="6"/>
      <c r="AO873" s="6"/>
      <c r="AP873" s="6"/>
      <c r="AQ873" s="6"/>
      <c r="AR873" s="27"/>
      <c r="AS873" s="27"/>
      <c r="AT873" s="27"/>
      <c r="AU873" s="12"/>
      <c r="AV873" s="28"/>
    </row>
    <row r="874" spans="4:48">
      <c r="D874" s="12"/>
      <c r="E874" s="12"/>
      <c r="F874" s="12"/>
      <c r="G874" s="12"/>
      <c r="H874" s="36"/>
      <c r="J874" s="19"/>
      <c r="K874" s="19"/>
      <c r="L874" s="19"/>
      <c r="AF874" s="6"/>
      <c r="AG874" s="6"/>
      <c r="AH874" s="6"/>
      <c r="AI874" s="6"/>
      <c r="AN874" s="6"/>
      <c r="AO874" s="6"/>
      <c r="AP874" s="6"/>
      <c r="AQ874" s="6"/>
      <c r="AR874" s="27"/>
      <c r="AS874" s="27"/>
      <c r="AT874" s="27"/>
      <c r="AU874" s="12"/>
      <c r="AV874" s="28"/>
    </row>
    <row r="875" spans="4:48">
      <c r="D875" s="12"/>
      <c r="E875" s="12"/>
      <c r="F875" s="12"/>
      <c r="G875" s="12"/>
      <c r="H875" s="36"/>
      <c r="J875" s="19"/>
      <c r="K875" s="19"/>
      <c r="L875" s="19"/>
      <c r="AF875" s="6"/>
      <c r="AG875" s="6"/>
      <c r="AH875" s="6"/>
      <c r="AI875" s="6"/>
      <c r="AN875" s="6"/>
      <c r="AO875" s="6"/>
      <c r="AP875" s="6"/>
      <c r="AQ875" s="6"/>
      <c r="AR875" s="27"/>
      <c r="AS875" s="27"/>
      <c r="AT875" s="27"/>
      <c r="AU875" s="12"/>
      <c r="AV875" s="28"/>
    </row>
    <row r="876" spans="4:48">
      <c r="D876" s="12"/>
      <c r="E876" s="12"/>
      <c r="F876" s="12"/>
      <c r="G876" s="12"/>
      <c r="H876" s="36"/>
      <c r="J876" s="19"/>
      <c r="K876" s="19"/>
      <c r="L876" s="19"/>
      <c r="AF876" s="6"/>
      <c r="AG876" s="6"/>
      <c r="AH876" s="6"/>
      <c r="AI876" s="6"/>
      <c r="AN876" s="6"/>
      <c r="AO876" s="6"/>
      <c r="AP876" s="6"/>
      <c r="AQ876" s="6"/>
      <c r="AR876" s="27"/>
      <c r="AS876" s="27"/>
      <c r="AT876" s="27"/>
      <c r="AU876" s="12"/>
      <c r="AV876" s="28"/>
    </row>
    <row r="877" spans="4:48">
      <c r="D877" s="12"/>
      <c r="E877" s="12"/>
      <c r="F877" s="12"/>
      <c r="G877" s="12"/>
      <c r="H877" s="36"/>
      <c r="J877" s="19"/>
      <c r="K877" s="19"/>
      <c r="L877" s="19"/>
      <c r="AF877" s="6"/>
      <c r="AG877" s="6"/>
      <c r="AH877" s="6"/>
      <c r="AI877" s="6"/>
      <c r="AN877" s="6"/>
      <c r="AO877" s="6"/>
      <c r="AP877" s="6"/>
      <c r="AQ877" s="6"/>
      <c r="AR877" s="27"/>
      <c r="AS877" s="27"/>
      <c r="AT877" s="27"/>
      <c r="AU877" s="12"/>
      <c r="AV877" s="28"/>
    </row>
    <row r="878" spans="4:48">
      <c r="D878" s="12"/>
      <c r="E878" s="12"/>
      <c r="F878" s="12"/>
      <c r="G878" s="12"/>
      <c r="H878" s="36"/>
      <c r="J878" s="19"/>
      <c r="K878" s="19"/>
      <c r="L878" s="19"/>
      <c r="AF878" s="6"/>
      <c r="AG878" s="6"/>
      <c r="AH878" s="6"/>
      <c r="AI878" s="6"/>
      <c r="AN878" s="6"/>
      <c r="AO878" s="6"/>
      <c r="AP878" s="6"/>
      <c r="AQ878" s="6"/>
      <c r="AR878" s="27"/>
      <c r="AS878" s="27"/>
      <c r="AT878" s="27"/>
      <c r="AU878" s="12"/>
      <c r="AV878" s="28"/>
    </row>
    <row r="879" spans="4:48">
      <c r="D879" s="12"/>
      <c r="E879" s="12"/>
      <c r="F879" s="12"/>
      <c r="G879" s="12"/>
      <c r="H879" s="36"/>
      <c r="J879" s="19"/>
      <c r="K879" s="19"/>
      <c r="L879" s="19"/>
      <c r="AF879" s="6"/>
      <c r="AG879" s="6"/>
      <c r="AH879" s="6"/>
      <c r="AI879" s="6"/>
      <c r="AN879" s="6"/>
      <c r="AO879" s="6"/>
      <c r="AP879" s="6"/>
      <c r="AQ879" s="6"/>
      <c r="AR879" s="27"/>
      <c r="AS879" s="27"/>
      <c r="AT879" s="27"/>
      <c r="AU879" s="12"/>
      <c r="AV879" s="28"/>
    </row>
    <row r="880" spans="4:48">
      <c r="D880" s="12"/>
      <c r="E880" s="12"/>
      <c r="F880" s="12"/>
      <c r="G880" s="12"/>
      <c r="H880" s="36"/>
      <c r="J880" s="19"/>
      <c r="K880" s="19"/>
      <c r="L880" s="19"/>
      <c r="AF880" s="6"/>
      <c r="AG880" s="6"/>
      <c r="AH880" s="6"/>
      <c r="AI880" s="6"/>
      <c r="AN880" s="6"/>
      <c r="AO880" s="6"/>
      <c r="AP880" s="6"/>
      <c r="AQ880" s="6"/>
      <c r="AR880" s="27"/>
      <c r="AS880" s="27"/>
      <c r="AT880" s="27"/>
      <c r="AU880" s="12"/>
      <c r="AV880" s="28"/>
    </row>
    <row r="881" spans="4:48">
      <c r="D881" s="12"/>
      <c r="E881" s="12"/>
      <c r="F881" s="12"/>
      <c r="G881" s="12"/>
      <c r="H881" s="36"/>
      <c r="J881" s="19"/>
      <c r="K881" s="19"/>
      <c r="L881" s="19"/>
      <c r="AF881" s="6"/>
      <c r="AG881" s="6"/>
      <c r="AH881" s="6"/>
      <c r="AI881" s="6"/>
      <c r="AN881" s="6"/>
      <c r="AO881" s="6"/>
      <c r="AP881" s="6"/>
      <c r="AQ881" s="6"/>
      <c r="AR881" s="27"/>
      <c r="AS881" s="27"/>
      <c r="AT881" s="27"/>
      <c r="AU881" s="12"/>
      <c r="AV881" s="28"/>
    </row>
    <row r="882" spans="4:48">
      <c r="D882" s="12"/>
      <c r="E882" s="12"/>
      <c r="F882" s="12"/>
      <c r="G882" s="12"/>
      <c r="H882" s="36"/>
      <c r="J882" s="19"/>
      <c r="K882" s="19"/>
      <c r="L882" s="19"/>
      <c r="AF882" s="6"/>
      <c r="AG882" s="6"/>
      <c r="AH882" s="6"/>
      <c r="AI882" s="6"/>
      <c r="AN882" s="6"/>
      <c r="AO882" s="6"/>
      <c r="AP882" s="6"/>
      <c r="AQ882" s="6"/>
      <c r="AR882" s="27"/>
      <c r="AS882" s="27"/>
      <c r="AT882" s="27"/>
      <c r="AU882" s="12"/>
      <c r="AV882" s="28"/>
    </row>
    <row r="883" spans="4:48">
      <c r="D883" s="12"/>
      <c r="E883" s="12"/>
      <c r="F883" s="12"/>
      <c r="G883" s="12"/>
      <c r="H883" s="36"/>
      <c r="J883" s="19"/>
      <c r="K883" s="19"/>
      <c r="L883" s="19"/>
      <c r="AF883" s="6"/>
      <c r="AG883" s="6"/>
      <c r="AH883" s="6"/>
      <c r="AI883" s="6"/>
      <c r="AN883" s="6"/>
      <c r="AO883" s="6"/>
      <c r="AP883" s="6"/>
      <c r="AQ883" s="6"/>
      <c r="AR883" s="27"/>
      <c r="AS883" s="27"/>
      <c r="AT883" s="27"/>
      <c r="AU883" s="12"/>
      <c r="AV883" s="28"/>
    </row>
    <row r="884" spans="4:48">
      <c r="D884" s="12"/>
      <c r="E884" s="12"/>
      <c r="F884" s="12"/>
      <c r="G884" s="12"/>
      <c r="H884" s="36"/>
      <c r="J884" s="19"/>
      <c r="K884" s="19"/>
      <c r="L884" s="19"/>
      <c r="AF884" s="6"/>
      <c r="AG884" s="6"/>
      <c r="AH884" s="6"/>
      <c r="AI884" s="6"/>
      <c r="AN884" s="6"/>
      <c r="AO884" s="6"/>
      <c r="AP884" s="6"/>
      <c r="AQ884" s="6"/>
      <c r="AR884" s="27"/>
      <c r="AS884" s="27"/>
      <c r="AT884" s="27"/>
      <c r="AU884" s="12"/>
      <c r="AV884" s="28"/>
    </row>
    <row r="885" spans="4:48">
      <c r="D885" s="12"/>
      <c r="E885" s="12"/>
      <c r="F885" s="12"/>
      <c r="G885" s="12"/>
      <c r="H885" s="36"/>
      <c r="J885" s="19"/>
      <c r="K885" s="19"/>
      <c r="L885" s="19"/>
      <c r="AF885" s="6"/>
      <c r="AG885" s="6"/>
      <c r="AH885" s="6"/>
      <c r="AI885" s="6"/>
      <c r="AN885" s="6"/>
      <c r="AO885" s="6"/>
      <c r="AP885" s="6"/>
      <c r="AQ885" s="6"/>
      <c r="AR885" s="27"/>
      <c r="AS885" s="27"/>
      <c r="AT885" s="27"/>
      <c r="AU885" s="12"/>
      <c r="AV885" s="28"/>
    </row>
    <row r="886" spans="4:48">
      <c r="D886" s="12"/>
      <c r="E886" s="12"/>
      <c r="F886" s="12"/>
      <c r="G886" s="12"/>
      <c r="H886" s="36"/>
      <c r="J886" s="19"/>
      <c r="K886" s="19"/>
      <c r="L886" s="19"/>
      <c r="AF886" s="6"/>
      <c r="AG886" s="6"/>
      <c r="AH886" s="6"/>
      <c r="AI886" s="6"/>
      <c r="AN886" s="6"/>
      <c r="AO886" s="6"/>
      <c r="AP886" s="6"/>
      <c r="AQ886" s="6"/>
      <c r="AR886" s="27"/>
      <c r="AS886" s="27"/>
      <c r="AT886" s="27"/>
      <c r="AU886" s="12"/>
      <c r="AV886" s="28"/>
    </row>
    <row r="887" spans="4:48">
      <c r="D887" s="12"/>
      <c r="E887" s="12"/>
      <c r="F887" s="12"/>
      <c r="G887" s="12"/>
      <c r="H887" s="36"/>
      <c r="J887" s="19"/>
      <c r="K887" s="19"/>
      <c r="L887" s="19"/>
      <c r="AF887" s="6"/>
      <c r="AG887" s="6"/>
      <c r="AH887" s="6"/>
      <c r="AI887" s="6"/>
      <c r="AN887" s="6"/>
      <c r="AO887" s="6"/>
      <c r="AP887" s="6"/>
      <c r="AQ887" s="6"/>
      <c r="AR887" s="27"/>
      <c r="AS887" s="27"/>
      <c r="AT887" s="27"/>
      <c r="AU887" s="12"/>
      <c r="AV887" s="28"/>
    </row>
    <row r="888" spans="4:48">
      <c r="D888" s="12"/>
      <c r="E888" s="12"/>
      <c r="F888" s="12"/>
      <c r="G888" s="12"/>
      <c r="H888" s="36"/>
      <c r="J888" s="19"/>
      <c r="K888" s="19"/>
      <c r="L888" s="19"/>
      <c r="AF888" s="6"/>
      <c r="AG888" s="6"/>
      <c r="AH888" s="6"/>
      <c r="AI888" s="6"/>
      <c r="AN888" s="6"/>
      <c r="AO888" s="6"/>
      <c r="AP888" s="6"/>
      <c r="AQ888" s="6"/>
      <c r="AR888" s="27"/>
      <c r="AS888" s="27"/>
      <c r="AT888" s="27"/>
      <c r="AU888" s="12"/>
      <c r="AV888" s="28"/>
    </row>
    <row r="889" spans="4:48">
      <c r="D889" s="12"/>
      <c r="E889" s="12"/>
      <c r="F889" s="12"/>
      <c r="G889" s="12"/>
      <c r="H889" s="36"/>
      <c r="J889" s="19"/>
      <c r="K889" s="19"/>
      <c r="L889" s="19"/>
      <c r="AF889" s="6"/>
      <c r="AG889" s="6"/>
      <c r="AH889" s="6"/>
      <c r="AI889" s="6"/>
      <c r="AN889" s="6"/>
      <c r="AO889" s="6"/>
      <c r="AP889" s="6"/>
      <c r="AQ889" s="6"/>
      <c r="AR889" s="27"/>
      <c r="AS889" s="27"/>
      <c r="AT889" s="27"/>
      <c r="AU889" s="12"/>
      <c r="AV889" s="28"/>
    </row>
    <row r="890" spans="4:48">
      <c r="D890" s="12"/>
      <c r="E890" s="12"/>
      <c r="F890" s="12"/>
      <c r="G890" s="12"/>
      <c r="H890" s="36"/>
      <c r="J890" s="19"/>
      <c r="K890" s="19"/>
      <c r="L890" s="19"/>
      <c r="AF890" s="6"/>
      <c r="AG890" s="6"/>
      <c r="AH890" s="6"/>
      <c r="AI890" s="6"/>
      <c r="AN890" s="6"/>
      <c r="AO890" s="6"/>
      <c r="AP890" s="6"/>
      <c r="AQ890" s="6"/>
      <c r="AR890" s="27"/>
      <c r="AS890" s="27"/>
      <c r="AT890" s="27"/>
      <c r="AU890" s="12"/>
      <c r="AV890" s="28"/>
    </row>
    <row r="891" spans="4:48">
      <c r="D891" s="12"/>
      <c r="E891" s="12"/>
      <c r="F891" s="12"/>
      <c r="G891" s="12"/>
      <c r="H891" s="36"/>
      <c r="J891" s="19"/>
      <c r="K891" s="19"/>
      <c r="L891" s="19"/>
      <c r="AF891" s="6"/>
      <c r="AG891" s="6"/>
      <c r="AH891" s="6"/>
      <c r="AI891" s="6"/>
      <c r="AN891" s="6"/>
      <c r="AO891" s="6"/>
      <c r="AP891" s="6"/>
      <c r="AQ891" s="6"/>
      <c r="AR891" s="27"/>
      <c r="AS891" s="27"/>
      <c r="AT891" s="27"/>
      <c r="AU891" s="12"/>
      <c r="AV891" s="28"/>
    </row>
    <row r="892" spans="4:48">
      <c r="D892" s="12"/>
      <c r="E892" s="12"/>
      <c r="F892" s="12"/>
      <c r="G892" s="12"/>
      <c r="H892" s="36"/>
      <c r="J892" s="19"/>
      <c r="K892" s="19"/>
      <c r="L892" s="19"/>
      <c r="AF892" s="6"/>
      <c r="AG892" s="6"/>
      <c r="AH892" s="6"/>
      <c r="AI892" s="6"/>
      <c r="AN892" s="6"/>
      <c r="AO892" s="6"/>
      <c r="AP892" s="6"/>
      <c r="AQ892" s="6"/>
      <c r="AR892" s="27"/>
      <c r="AS892" s="27"/>
      <c r="AT892" s="27"/>
      <c r="AU892" s="12"/>
      <c r="AV892" s="28"/>
    </row>
    <row r="893" spans="4:48">
      <c r="D893" s="12"/>
      <c r="E893" s="12"/>
      <c r="F893" s="12"/>
      <c r="G893" s="12"/>
      <c r="H893" s="36"/>
      <c r="J893" s="19"/>
      <c r="K893" s="19"/>
      <c r="L893" s="19"/>
      <c r="AF893" s="6"/>
      <c r="AG893" s="6"/>
      <c r="AH893" s="6"/>
      <c r="AI893" s="6"/>
      <c r="AN893" s="6"/>
      <c r="AO893" s="6"/>
      <c r="AP893" s="6"/>
      <c r="AQ893" s="6"/>
      <c r="AR893" s="27"/>
      <c r="AS893" s="27"/>
      <c r="AT893" s="27"/>
      <c r="AU893" s="12"/>
      <c r="AV893" s="28"/>
    </row>
    <row r="894" spans="4:48">
      <c r="D894" s="12"/>
      <c r="E894" s="12"/>
      <c r="F894" s="12"/>
      <c r="G894" s="12"/>
      <c r="H894" s="36"/>
      <c r="J894" s="19"/>
      <c r="K894" s="19"/>
      <c r="L894" s="19"/>
      <c r="AF894" s="6"/>
      <c r="AG894" s="6"/>
      <c r="AH894" s="6"/>
      <c r="AI894" s="6"/>
      <c r="AN894" s="6"/>
      <c r="AO894" s="6"/>
      <c r="AP894" s="6"/>
      <c r="AQ894" s="6"/>
      <c r="AR894" s="27"/>
      <c r="AS894" s="27"/>
      <c r="AT894" s="27"/>
      <c r="AU894" s="12"/>
      <c r="AV894" s="28"/>
    </row>
    <row r="895" spans="4:48">
      <c r="D895" s="12"/>
      <c r="E895" s="12"/>
      <c r="F895" s="12"/>
      <c r="G895" s="12"/>
      <c r="H895" s="36"/>
      <c r="J895" s="19"/>
      <c r="K895" s="19"/>
      <c r="L895" s="19"/>
      <c r="AF895" s="6"/>
      <c r="AG895" s="6"/>
      <c r="AH895" s="6"/>
      <c r="AI895" s="6"/>
      <c r="AN895" s="6"/>
      <c r="AO895" s="6"/>
      <c r="AP895" s="6"/>
      <c r="AQ895" s="6"/>
      <c r="AR895" s="27"/>
      <c r="AS895" s="27"/>
      <c r="AT895" s="27"/>
      <c r="AU895" s="12"/>
      <c r="AV895" s="28"/>
    </row>
    <row r="896" spans="4:48">
      <c r="D896" s="12"/>
      <c r="E896" s="12"/>
      <c r="F896" s="12"/>
      <c r="G896" s="12"/>
      <c r="H896" s="36"/>
      <c r="J896" s="19"/>
      <c r="K896" s="19"/>
      <c r="L896" s="19"/>
      <c r="AF896" s="6"/>
      <c r="AG896" s="6"/>
      <c r="AH896" s="6"/>
      <c r="AI896" s="6"/>
      <c r="AN896" s="6"/>
      <c r="AO896" s="6"/>
      <c r="AP896" s="6"/>
      <c r="AQ896" s="6"/>
      <c r="AR896" s="27"/>
      <c r="AS896" s="27"/>
      <c r="AT896" s="27"/>
      <c r="AU896" s="12"/>
      <c r="AV896" s="28"/>
    </row>
    <row r="897" spans="4:48">
      <c r="D897" s="12"/>
      <c r="E897" s="12"/>
      <c r="F897" s="12"/>
      <c r="G897" s="12"/>
      <c r="H897" s="36"/>
      <c r="J897" s="19"/>
      <c r="K897" s="19"/>
      <c r="L897" s="19"/>
      <c r="AF897" s="6"/>
      <c r="AG897" s="6"/>
      <c r="AH897" s="6"/>
      <c r="AI897" s="6"/>
      <c r="AN897" s="6"/>
      <c r="AO897" s="6"/>
      <c r="AP897" s="6"/>
      <c r="AQ897" s="6"/>
      <c r="AR897" s="27"/>
      <c r="AS897" s="27"/>
      <c r="AT897" s="27"/>
      <c r="AU897" s="12"/>
      <c r="AV897" s="28"/>
    </row>
    <row r="898" spans="4:48">
      <c r="D898" s="12"/>
      <c r="E898" s="12"/>
      <c r="F898" s="12"/>
      <c r="G898" s="12"/>
      <c r="H898" s="36"/>
      <c r="J898" s="19"/>
      <c r="K898" s="19"/>
      <c r="L898" s="19"/>
      <c r="AF898" s="6"/>
      <c r="AG898" s="6"/>
      <c r="AH898" s="6"/>
      <c r="AI898" s="6"/>
      <c r="AN898" s="6"/>
      <c r="AO898" s="6"/>
      <c r="AP898" s="6"/>
      <c r="AQ898" s="6"/>
      <c r="AR898" s="27"/>
      <c r="AS898" s="27"/>
      <c r="AT898" s="27"/>
      <c r="AU898" s="12"/>
      <c r="AV898" s="28"/>
    </row>
    <row r="899" spans="4:48">
      <c r="D899" s="12"/>
      <c r="E899" s="12"/>
      <c r="F899" s="12"/>
      <c r="G899" s="12"/>
      <c r="H899" s="36"/>
      <c r="J899" s="19"/>
      <c r="K899" s="19"/>
      <c r="L899" s="19"/>
      <c r="AF899" s="6"/>
      <c r="AG899" s="6"/>
      <c r="AH899" s="6"/>
      <c r="AI899" s="6"/>
      <c r="AN899" s="6"/>
      <c r="AO899" s="6"/>
      <c r="AP899" s="6"/>
      <c r="AQ899" s="6"/>
      <c r="AR899" s="27"/>
      <c r="AS899" s="27"/>
      <c r="AT899" s="27"/>
      <c r="AU899" s="12"/>
      <c r="AV899" s="28"/>
    </row>
    <row r="900" spans="4:48">
      <c r="D900" s="12"/>
      <c r="E900" s="12"/>
      <c r="F900" s="12"/>
      <c r="G900" s="12"/>
      <c r="H900" s="36"/>
      <c r="J900" s="19"/>
      <c r="K900" s="19"/>
      <c r="L900" s="19"/>
      <c r="AF900" s="6"/>
      <c r="AG900" s="6"/>
      <c r="AH900" s="6"/>
      <c r="AI900" s="6"/>
      <c r="AN900" s="6"/>
      <c r="AO900" s="6"/>
      <c r="AP900" s="6"/>
      <c r="AQ900" s="6"/>
      <c r="AR900" s="27"/>
      <c r="AS900" s="27"/>
      <c r="AT900" s="27"/>
      <c r="AU900" s="12"/>
      <c r="AV900" s="28"/>
    </row>
    <row r="901" spans="4:48">
      <c r="D901" s="12"/>
      <c r="E901" s="12"/>
      <c r="F901" s="12"/>
      <c r="G901" s="12"/>
      <c r="H901" s="36"/>
      <c r="J901" s="19"/>
      <c r="K901" s="19"/>
      <c r="L901" s="19"/>
      <c r="AF901" s="6"/>
      <c r="AG901" s="6"/>
      <c r="AH901" s="6"/>
      <c r="AI901" s="6"/>
      <c r="AN901" s="6"/>
      <c r="AO901" s="6"/>
      <c r="AP901" s="6"/>
      <c r="AQ901" s="6"/>
      <c r="AR901" s="27"/>
      <c r="AS901" s="27"/>
      <c r="AT901" s="27"/>
      <c r="AU901" s="12"/>
      <c r="AV901" s="28"/>
    </row>
    <row r="902" spans="4:48">
      <c r="D902" s="12"/>
      <c r="E902" s="12"/>
      <c r="F902" s="12"/>
      <c r="G902" s="12"/>
      <c r="H902" s="36"/>
      <c r="J902" s="19"/>
      <c r="K902" s="19"/>
      <c r="L902" s="19"/>
      <c r="AF902" s="6"/>
      <c r="AG902" s="6"/>
      <c r="AH902" s="6"/>
      <c r="AI902" s="6"/>
      <c r="AN902" s="6"/>
      <c r="AO902" s="6"/>
      <c r="AP902" s="6"/>
      <c r="AQ902" s="6"/>
      <c r="AR902" s="27"/>
      <c r="AS902" s="27"/>
      <c r="AT902" s="27"/>
      <c r="AU902" s="12"/>
      <c r="AV902" s="28"/>
    </row>
    <row r="903" spans="4:48">
      <c r="D903" s="12"/>
      <c r="E903" s="12"/>
      <c r="F903" s="12"/>
      <c r="G903" s="12"/>
      <c r="H903" s="36"/>
      <c r="J903" s="19"/>
      <c r="K903" s="19"/>
      <c r="L903" s="19"/>
      <c r="AF903" s="6"/>
      <c r="AG903" s="6"/>
      <c r="AH903" s="6"/>
      <c r="AI903" s="6"/>
      <c r="AN903" s="6"/>
      <c r="AO903" s="6"/>
      <c r="AP903" s="6"/>
      <c r="AQ903" s="6"/>
      <c r="AR903" s="27"/>
      <c r="AS903" s="27"/>
      <c r="AT903" s="27"/>
      <c r="AU903" s="12"/>
      <c r="AV903" s="28"/>
    </row>
    <row r="904" spans="4:48">
      <c r="D904" s="12"/>
      <c r="E904" s="12"/>
      <c r="F904" s="12"/>
      <c r="G904" s="12"/>
      <c r="H904" s="36"/>
      <c r="J904" s="19"/>
      <c r="K904" s="19"/>
      <c r="L904" s="19"/>
      <c r="AF904" s="6"/>
      <c r="AG904" s="6"/>
      <c r="AH904" s="6"/>
      <c r="AI904" s="6"/>
      <c r="AN904" s="6"/>
      <c r="AO904" s="6"/>
      <c r="AP904" s="6"/>
      <c r="AQ904" s="6"/>
      <c r="AR904" s="27"/>
      <c r="AS904" s="27"/>
      <c r="AT904" s="27"/>
      <c r="AU904" s="12"/>
      <c r="AV904" s="28"/>
    </row>
    <row r="905" spans="4:48">
      <c r="D905" s="12"/>
      <c r="E905" s="12"/>
      <c r="F905" s="12"/>
      <c r="G905" s="12"/>
      <c r="H905" s="36"/>
      <c r="J905" s="19"/>
      <c r="K905" s="19"/>
      <c r="L905" s="19"/>
      <c r="AF905" s="6"/>
      <c r="AG905" s="6"/>
      <c r="AH905" s="6"/>
      <c r="AI905" s="6"/>
      <c r="AN905" s="6"/>
      <c r="AO905" s="6"/>
      <c r="AP905" s="6"/>
      <c r="AQ905" s="6"/>
      <c r="AR905" s="27"/>
      <c r="AS905" s="27"/>
      <c r="AT905" s="27"/>
      <c r="AU905" s="12"/>
      <c r="AV905" s="28"/>
    </row>
    <row r="906" spans="4:48">
      <c r="D906" s="12"/>
      <c r="E906" s="12"/>
      <c r="F906" s="12"/>
      <c r="G906" s="12"/>
      <c r="H906" s="36"/>
      <c r="J906" s="19"/>
      <c r="K906" s="19"/>
      <c r="L906" s="19"/>
      <c r="AF906" s="6"/>
      <c r="AG906" s="6"/>
      <c r="AH906" s="6"/>
      <c r="AI906" s="6"/>
      <c r="AN906" s="6"/>
      <c r="AO906" s="6"/>
      <c r="AP906" s="6"/>
      <c r="AQ906" s="6"/>
      <c r="AR906" s="27"/>
      <c r="AS906" s="27"/>
      <c r="AT906" s="27"/>
      <c r="AU906" s="12"/>
      <c r="AV906" s="28"/>
    </row>
    <row r="907" spans="4:48">
      <c r="D907" s="12"/>
      <c r="E907" s="12"/>
      <c r="F907" s="12"/>
      <c r="G907" s="12"/>
      <c r="H907" s="36"/>
      <c r="J907" s="19"/>
      <c r="K907" s="19"/>
      <c r="L907" s="19"/>
      <c r="AF907" s="6"/>
      <c r="AG907" s="6"/>
      <c r="AH907" s="6"/>
      <c r="AI907" s="6"/>
      <c r="AN907" s="6"/>
      <c r="AO907" s="6"/>
      <c r="AP907" s="6"/>
      <c r="AQ907" s="6"/>
      <c r="AR907" s="27"/>
      <c r="AS907" s="27"/>
      <c r="AT907" s="27"/>
      <c r="AU907" s="12"/>
      <c r="AV907" s="28"/>
    </row>
    <row r="908" spans="4:48">
      <c r="D908" s="12"/>
      <c r="E908" s="12"/>
      <c r="F908" s="12"/>
      <c r="G908" s="12"/>
      <c r="H908" s="36"/>
      <c r="J908" s="19"/>
      <c r="K908" s="19"/>
      <c r="L908" s="19"/>
      <c r="AF908" s="6"/>
      <c r="AG908" s="6"/>
      <c r="AH908" s="6"/>
      <c r="AI908" s="6"/>
      <c r="AN908" s="6"/>
      <c r="AO908" s="6"/>
      <c r="AP908" s="6"/>
      <c r="AQ908" s="6"/>
      <c r="AR908" s="27"/>
      <c r="AS908" s="27"/>
      <c r="AT908" s="27"/>
      <c r="AU908" s="12"/>
      <c r="AV908" s="28"/>
    </row>
    <row r="909" spans="4:48">
      <c r="D909" s="12"/>
      <c r="E909" s="12"/>
      <c r="F909" s="12"/>
      <c r="G909" s="12"/>
      <c r="H909" s="36"/>
      <c r="J909" s="19"/>
      <c r="K909" s="19"/>
      <c r="L909" s="19"/>
      <c r="AF909" s="6"/>
      <c r="AG909" s="6"/>
      <c r="AH909" s="6"/>
      <c r="AI909" s="6"/>
      <c r="AN909" s="6"/>
      <c r="AO909" s="6"/>
      <c r="AP909" s="6"/>
      <c r="AQ909" s="6"/>
      <c r="AR909" s="27"/>
      <c r="AS909" s="27"/>
      <c r="AT909" s="27"/>
      <c r="AU909" s="12"/>
      <c r="AV909" s="28"/>
    </row>
    <row r="910" spans="4:48">
      <c r="D910" s="12"/>
      <c r="E910" s="12"/>
      <c r="F910" s="12"/>
      <c r="G910" s="12"/>
      <c r="H910" s="36"/>
      <c r="J910" s="19"/>
      <c r="K910" s="19"/>
      <c r="L910" s="19"/>
      <c r="AF910" s="6"/>
      <c r="AG910" s="6"/>
      <c r="AH910" s="6"/>
      <c r="AI910" s="6"/>
      <c r="AN910" s="6"/>
      <c r="AO910" s="6"/>
      <c r="AP910" s="6"/>
      <c r="AQ910" s="6"/>
      <c r="AR910" s="27"/>
      <c r="AS910" s="27"/>
      <c r="AT910" s="27"/>
      <c r="AU910" s="12"/>
      <c r="AV910" s="28"/>
    </row>
    <row r="911" spans="4:48">
      <c r="D911" s="12"/>
      <c r="E911" s="12"/>
      <c r="F911" s="12"/>
      <c r="G911" s="12"/>
      <c r="H911" s="36"/>
      <c r="J911" s="19"/>
      <c r="K911" s="19"/>
      <c r="L911" s="19"/>
      <c r="AF911" s="6"/>
      <c r="AG911" s="6"/>
      <c r="AH911" s="6"/>
      <c r="AI911" s="6"/>
      <c r="AN911" s="6"/>
      <c r="AO911" s="6"/>
      <c r="AP911" s="6"/>
      <c r="AQ911" s="6"/>
      <c r="AR911" s="27"/>
      <c r="AS911" s="27"/>
      <c r="AT911" s="27"/>
      <c r="AU911" s="12"/>
      <c r="AV911" s="28"/>
    </row>
    <row r="912" spans="4:48">
      <c r="D912" s="12"/>
      <c r="E912" s="12"/>
      <c r="F912" s="12"/>
      <c r="G912" s="12"/>
      <c r="H912" s="36"/>
      <c r="J912" s="19"/>
      <c r="K912" s="19"/>
      <c r="L912" s="19"/>
      <c r="AF912" s="6"/>
      <c r="AG912" s="6"/>
      <c r="AH912" s="6"/>
      <c r="AI912" s="6"/>
      <c r="AN912" s="6"/>
      <c r="AO912" s="6"/>
      <c r="AP912" s="6"/>
      <c r="AQ912" s="6"/>
      <c r="AR912" s="27"/>
      <c r="AS912" s="27"/>
      <c r="AT912" s="27"/>
      <c r="AU912" s="12"/>
      <c r="AV912" s="28"/>
    </row>
    <row r="913" spans="4:48">
      <c r="D913" s="12"/>
      <c r="E913" s="12"/>
      <c r="F913" s="12"/>
      <c r="G913" s="12"/>
      <c r="H913" s="36"/>
      <c r="J913" s="19"/>
      <c r="K913" s="19"/>
      <c r="L913" s="19"/>
      <c r="AF913" s="6"/>
      <c r="AG913" s="6"/>
      <c r="AH913" s="6"/>
      <c r="AI913" s="6"/>
      <c r="AN913" s="6"/>
      <c r="AO913" s="6"/>
      <c r="AP913" s="6"/>
      <c r="AQ913" s="6"/>
      <c r="AR913" s="27"/>
      <c r="AS913" s="27"/>
      <c r="AT913" s="27"/>
      <c r="AU913" s="12"/>
      <c r="AV913" s="28"/>
    </row>
    <row r="914" spans="4:48">
      <c r="D914" s="12"/>
      <c r="E914" s="12"/>
      <c r="F914" s="12"/>
      <c r="G914" s="12"/>
      <c r="H914" s="36"/>
      <c r="J914" s="19"/>
      <c r="K914" s="19"/>
      <c r="L914" s="19"/>
      <c r="AF914" s="6"/>
      <c r="AG914" s="6"/>
      <c r="AH914" s="6"/>
      <c r="AI914" s="6"/>
      <c r="AN914" s="6"/>
      <c r="AO914" s="6"/>
      <c r="AP914" s="6"/>
      <c r="AQ914" s="6"/>
      <c r="AR914" s="27"/>
      <c r="AS914" s="27"/>
      <c r="AT914" s="27"/>
      <c r="AU914" s="12"/>
      <c r="AV914" s="28"/>
    </row>
    <row r="915" spans="4:48">
      <c r="D915" s="12"/>
      <c r="E915" s="12"/>
      <c r="F915" s="12"/>
      <c r="G915" s="12"/>
      <c r="H915" s="36"/>
      <c r="J915" s="19"/>
      <c r="K915" s="19"/>
      <c r="L915" s="19"/>
      <c r="AF915" s="6"/>
      <c r="AG915" s="6"/>
      <c r="AH915" s="6"/>
      <c r="AI915" s="6"/>
      <c r="AN915" s="6"/>
      <c r="AO915" s="6"/>
      <c r="AP915" s="6"/>
      <c r="AQ915" s="6"/>
      <c r="AR915" s="27"/>
      <c r="AS915" s="27"/>
      <c r="AT915" s="27"/>
      <c r="AU915" s="12"/>
      <c r="AV915" s="28"/>
    </row>
    <row r="916" spans="4:48">
      <c r="D916" s="12"/>
      <c r="E916" s="12"/>
      <c r="F916" s="12"/>
      <c r="G916" s="12"/>
      <c r="H916" s="36"/>
      <c r="J916" s="19"/>
      <c r="K916" s="19"/>
      <c r="L916" s="19"/>
      <c r="AF916" s="6"/>
      <c r="AG916" s="6"/>
      <c r="AH916" s="6"/>
      <c r="AI916" s="6"/>
      <c r="AN916" s="6"/>
      <c r="AO916" s="6"/>
      <c r="AP916" s="6"/>
      <c r="AQ916" s="6"/>
      <c r="AR916" s="27"/>
      <c r="AS916" s="27"/>
      <c r="AT916" s="27"/>
      <c r="AU916" s="12"/>
      <c r="AV916" s="28"/>
    </row>
    <row r="917" spans="4:48">
      <c r="D917" s="12"/>
      <c r="E917" s="12"/>
      <c r="F917" s="12"/>
      <c r="G917" s="12"/>
      <c r="H917" s="36"/>
      <c r="J917" s="19"/>
      <c r="K917" s="19"/>
      <c r="L917" s="19"/>
      <c r="AF917" s="6"/>
      <c r="AG917" s="6"/>
      <c r="AH917" s="6"/>
      <c r="AI917" s="6"/>
      <c r="AN917" s="6"/>
      <c r="AO917" s="6"/>
      <c r="AP917" s="6"/>
      <c r="AQ917" s="6"/>
      <c r="AR917" s="27"/>
      <c r="AS917" s="27"/>
      <c r="AT917" s="27"/>
      <c r="AU917" s="12"/>
      <c r="AV917" s="28"/>
    </row>
    <row r="918" spans="4:48">
      <c r="D918" s="12"/>
      <c r="E918" s="12"/>
      <c r="F918" s="12"/>
      <c r="G918" s="12"/>
      <c r="H918" s="36"/>
      <c r="J918" s="19"/>
      <c r="K918" s="19"/>
      <c r="L918" s="19"/>
      <c r="AF918" s="6"/>
      <c r="AG918" s="6"/>
      <c r="AH918" s="6"/>
      <c r="AI918" s="6"/>
      <c r="AN918" s="6"/>
      <c r="AO918" s="6"/>
      <c r="AP918" s="6"/>
      <c r="AQ918" s="6"/>
      <c r="AR918" s="27"/>
      <c r="AS918" s="27"/>
      <c r="AT918" s="27"/>
      <c r="AU918" s="12"/>
      <c r="AV918" s="28"/>
    </row>
    <row r="919" spans="4:48">
      <c r="D919" s="12"/>
      <c r="E919" s="12"/>
      <c r="F919" s="12"/>
      <c r="G919" s="12"/>
      <c r="H919" s="36"/>
      <c r="J919" s="19"/>
      <c r="K919" s="19"/>
      <c r="L919" s="19"/>
      <c r="AF919" s="6"/>
      <c r="AG919" s="6"/>
      <c r="AH919" s="6"/>
      <c r="AI919" s="6"/>
      <c r="AN919" s="6"/>
      <c r="AO919" s="6"/>
      <c r="AP919" s="6"/>
      <c r="AQ919" s="6"/>
      <c r="AR919" s="27"/>
      <c r="AS919" s="27"/>
      <c r="AT919" s="27"/>
      <c r="AU919" s="12"/>
      <c r="AV919" s="28"/>
    </row>
    <row r="920" spans="4:48">
      <c r="D920" s="12"/>
      <c r="E920" s="12"/>
      <c r="F920" s="12"/>
      <c r="G920" s="12"/>
      <c r="H920" s="36"/>
      <c r="J920" s="19"/>
      <c r="K920" s="19"/>
      <c r="L920" s="19"/>
      <c r="AF920" s="6"/>
      <c r="AG920" s="6"/>
      <c r="AH920" s="6"/>
      <c r="AI920" s="6"/>
      <c r="AN920" s="6"/>
      <c r="AO920" s="6"/>
      <c r="AP920" s="6"/>
      <c r="AQ920" s="6"/>
      <c r="AR920" s="27"/>
      <c r="AS920" s="27"/>
      <c r="AT920" s="27"/>
      <c r="AU920" s="12"/>
      <c r="AV920" s="28"/>
    </row>
    <row r="921" spans="4:48">
      <c r="D921" s="12"/>
      <c r="E921" s="12"/>
      <c r="F921" s="12"/>
      <c r="G921" s="12"/>
      <c r="H921" s="36"/>
      <c r="J921" s="19"/>
      <c r="K921" s="19"/>
      <c r="L921" s="19"/>
      <c r="AF921" s="6"/>
      <c r="AG921" s="6"/>
      <c r="AH921" s="6"/>
      <c r="AI921" s="6"/>
      <c r="AN921" s="6"/>
      <c r="AO921" s="6"/>
      <c r="AP921" s="6"/>
      <c r="AQ921" s="6"/>
      <c r="AR921" s="27"/>
      <c r="AS921" s="27"/>
      <c r="AT921" s="27"/>
      <c r="AU921" s="12"/>
      <c r="AV921" s="28"/>
    </row>
    <row r="922" spans="4:48">
      <c r="D922" s="12"/>
      <c r="E922" s="12"/>
      <c r="F922" s="12"/>
      <c r="G922" s="12"/>
      <c r="H922" s="36"/>
      <c r="J922" s="19"/>
      <c r="K922" s="19"/>
      <c r="L922" s="19"/>
      <c r="AF922" s="6"/>
      <c r="AG922" s="6"/>
      <c r="AH922" s="6"/>
      <c r="AI922" s="6"/>
      <c r="AN922" s="6"/>
      <c r="AO922" s="6"/>
      <c r="AP922" s="6"/>
      <c r="AQ922" s="6"/>
      <c r="AR922" s="27"/>
      <c r="AS922" s="27"/>
      <c r="AT922" s="27"/>
      <c r="AU922" s="12"/>
      <c r="AV922" s="28"/>
    </row>
    <row r="923" spans="4:48">
      <c r="D923" s="12"/>
      <c r="E923" s="12"/>
      <c r="F923" s="12"/>
      <c r="G923" s="12"/>
      <c r="H923" s="36"/>
      <c r="J923" s="19"/>
      <c r="K923" s="19"/>
      <c r="L923" s="19"/>
      <c r="AF923" s="6"/>
      <c r="AG923" s="6"/>
      <c r="AH923" s="6"/>
      <c r="AI923" s="6"/>
      <c r="AN923" s="6"/>
      <c r="AO923" s="6"/>
      <c r="AP923" s="6"/>
      <c r="AQ923" s="6"/>
      <c r="AR923" s="27"/>
      <c r="AS923" s="27"/>
      <c r="AT923" s="27"/>
      <c r="AU923" s="12"/>
      <c r="AV923" s="28"/>
    </row>
    <row r="924" spans="4:48">
      <c r="D924" s="12"/>
      <c r="E924" s="12"/>
      <c r="F924" s="12"/>
      <c r="G924" s="12"/>
      <c r="H924" s="36"/>
      <c r="J924" s="19"/>
      <c r="K924" s="19"/>
      <c r="L924" s="19"/>
      <c r="AF924" s="6"/>
      <c r="AG924" s="6"/>
      <c r="AH924" s="6"/>
      <c r="AI924" s="6"/>
      <c r="AN924" s="6"/>
      <c r="AO924" s="6"/>
      <c r="AP924" s="6"/>
      <c r="AQ924" s="6"/>
      <c r="AR924" s="27"/>
      <c r="AS924" s="27"/>
      <c r="AT924" s="27"/>
      <c r="AU924" s="12"/>
      <c r="AV924" s="28"/>
    </row>
    <row r="925" spans="4:48">
      <c r="D925" s="12"/>
      <c r="E925" s="12"/>
      <c r="F925" s="12"/>
      <c r="G925" s="12"/>
      <c r="H925" s="36"/>
      <c r="J925" s="19"/>
      <c r="K925" s="19"/>
      <c r="L925" s="19"/>
      <c r="AF925" s="6"/>
      <c r="AG925" s="6"/>
      <c r="AH925" s="6"/>
      <c r="AI925" s="6"/>
      <c r="AN925" s="6"/>
      <c r="AO925" s="6"/>
      <c r="AP925" s="6"/>
      <c r="AQ925" s="6"/>
      <c r="AR925" s="27"/>
      <c r="AS925" s="27"/>
      <c r="AT925" s="27"/>
      <c r="AU925" s="12"/>
      <c r="AV925" s="28"/>
    </row>
    <row r="926" spans="4:48">
      <c r="D926" s="12"/>
      <c r="E926" s="12"/>
      <c r="F926" s="12"/>
      <c r="G926" s="12"/>
      <c r="H926" s="36"/>
      <c r="J926" s="19"/>
      <c r="K926" s="19"/>
      <c r="L926" s="19"/>
      <c r="AF926" s="6"/>
      <c r="AG926" s="6"/>
      <c r="AH926" s="6"/>
      <c r="AI926" s="6"/>
      <c r="AN926" s="6"/>
      <c r="AO926" s="6"/>
      <c r="AP926" s="6"/>
      <c r="AQ926" s="6"/>
      <c r="AR926" s="27"/>
      <c r="AS926" s="27"/>
      <c r="AT926" s="27"/>
      <c r="AU926" s="12"/>
      <c r="AV926" s="28"/>
    </row>
    <row r="927" spans="4:48">
      <c r="D927" s="12"/>
      <c r="E927" s="12"/>
      <c r="F927" s="12"/>
      <c r="G927" s="12"/>
      <c r="H927" s="36"/>
      <c r="J927" s="19"/>
      <c r="K927" s="19"/>
      <c r="L927" s="19"/>
      <c r="AF927" s="6"/>
      <c r="AG927" s="6"/>
      <c r="AH927" s="6"/>
      <c r="AI927" s="6"/>
      <c r="AN927" s="6"/>
      <c r="AO927" s="6"/>
      <c r="AP927" s="6"/>
      <c r="AQ927" s="6"/>
      <c r="AR927" s="27"/>
      <c r="AS927" s="27"/>
      <c r="AT927" s="27"/>
      <c r="AU927" s="12"/>
      <c r="AV927" s="28"/>
    </row>
    <row r="928" spans="4:48">
      <c r="D928" s="12"/>
      <c r="E928" s="12"/>
      <c r="F928" s="12"/>
      <c r="G928" s="12"/>
      <c r="H928" s="36"/>
      <c r="J928" s="19"/>
      <c r="K928" s="19"/>
      <c r="L928" s="19"/>
      <c r="AF928" s="6"/>
      <c r="AG928" s="6"/>
      <c r="AH928" s="6"/>
      <c r="AI928" s="6"/>
      <c r="AN928" s="6"/>
      <c r="AO928" s="6"/>
      <c r="AP928" s="6"/>
      <c r="AQ928" s="6"/>
      <c r="AR928" s="27"/>
      <c r="AS928" s="27"/>
      <c r="AT928" s="27"/>
      <c r="AU928" s="12"/>
      <c r="AV928" s="28"/>
    </row>
    <row r="929" spans="4:48">
      <c r="D929" s="12"/>
      <c r="E929" s="12"/>
      <c r="F929" s="12"/>
      <c r="G929" s="12"/>
      <c r="H929" s="36"/>
      <c r="J929" s="19"/>
      <c r="K929" s="19"/>
      <c r="L929" s="19"/>
      <c r="AF929" s="6"/>
      <c r="AG929" s="6"/>
      <c r="AH929" s="6"/>
      <c r="AI929" s="6"/>
      <c r="AN929" s="6"/>
      <c r="AO929" s="6"/>
      <c r="AP929" s="6"/>
      <c r="AQ929" s="6"/>
      <c r="AR929" s="27"/>
      <c r="AS929" s="27"/>
      <c r="AT929" s="27"/>
      <c r="AU929" s="12"/>
      <c r="AV929" s="28"/>
    </row>
    <row r="930" spans="4:48">
      <c r="D930" s="12"/>
      <c r="E930" s="12"/>
      <c r="F930" s="12"/>
      <c r="G930" s="12"/>
      <c r="H930" s="36"/>
      <c r="J930" s="19"/>
      <c r="K930" s="19"/>
      <c r="L930" s="19"/>
      <c r="AF930" s="6"/>
      <c r="AG930" s="6"/>
      <c r="AH930" s="6"/>
      <c r="AI930" s="6"/>
      <c r="AN930" s="6"/>
      <c r="AO930" s="6"/>
      <c r="AP930" s="6"/>
      <c r="AQ930" s="6"/>
      <c r="AR930" s="27"/>
      <c r="AS930" s="27"/>
      <c r="AT930" s="27"/>
      <c r="AU930" s="12"/>
      <c r="AV930" s="28"/>
    </row>
    <row r="931" spans="4:48">
      <c r="D931" s="12"/>
      <c r="E931" s="12"/>
      <c r="F931" s="12"/>
      <c r="G931" s="12"/>
      <c r="H931" s="36"/>
      <c r="J931" s="19"/>
      <c r="K931" s="19"/>
      <c r="L931" s="19"/>
      <c r="AF931" s="6"/>
      <c r="AG931" s="6"/>
      <c r="AH931" s="6"/>
      <c r="AI931" s="6"/>
      <c r="AN931" s="6"/>
      <c r="AO931" s="6"/>
      <c r="AP931" s="6"/>
      <c r="AQ931" s="6"/>
      <c r="AR931" s="27"/>
      <c r="AS931" s="27"/>
      <c r="AT931" s="27"/>
      <c r="AU931" s="12"/>
      <c r="AV931" s="28"/>
    </row>
    <row r="932" spans="4:48">
      <c r="D932" s="12"/>
      <c r="E932" s="12"/>
      <c r="F932" s="12"/>
      <c r="G932" s="12"/>
      <c r="H932" s="36"/>
      <c r="J932" s="19"/>
      <c r="K932" s="19"/>
      <c r="L932" s="19"/>
      <c r="AF932" s="6"/>
      <c r="AG932" s="6"/>
      <c r="AH932" s="6"/>
      <c r="AI932" s="6"/>
      <c r="AN932" s="6"/>
      <c r="AO932" s="6"/>
      <c r="AP932" s="6"/>
      <c r="AQ932" s="6"/>
      <c r="AR932" s="27"/>
      <c r="AS932" s="27"/>
      <c r="AT932" s="27"/>
      <c r="AU932" s="12"/>
      <c r="AV932" s="28"/>
    </row>
    <row r="933" spans="4:48">
      <c r="D933" s="12"/>
      <c r="E933" s="12"/>
      <c r="F933" s="12"/>
      <c r="G933" s="12"/>
      <c r="H933" s="36"/>
      <c r="J933" s="19"/>
      <c r="K933" s="19"/>
      <c r="L933" s="19"/>
      <c r="AF933" s="6"/>
      <c r="AG933" s="6"/>
      <c r="AH933" s="6"/>
      <c r="AI933" s="6"/>
      <c r="AN933" s="6"/>
      <c r="AO933" s="6"/>
      <c r="AP933" s="6"/>
      <c r="AQ933" s="6"/>
      <c r="AR933" s="27"/>
      <c r="AS933" s="27"/>
      <c r="AT933" s="27"/>
      <c r="AU933" s="12"/>
      <c r="AV933" s="28"/>
    </row>
    <row r="934" spans="4:48">
      <c r="D934" s="12"/>
      <c r="E934" s="12"/>
      <c r="F934" s="12"/>
      <c r="G934" s="12"/>
      <c r="H934" s="36"/>
      <c r="J934" s="19"/>
      <c r="K934" s="19"/>
      <c r="L934" s="19"/>
      <c r="AF934" s="6"/>
      <c r="AG934" s="6"/>
      <c r="AH934" s="6"/>
      <c r="AI934" s="6"/>
      <c r="AN934" s="6"/>
      <c r="AO934" s="6"/>
      <c r="AP934" s="6"/>
      <c r="AQ934" s="6"/>
      <c r="AR934" s="27"/>
      <c r="AS934" s="27"/>
      <c r="AT934" s="27"/>
      <c r="AU934" s="12"/>
      <c r="AV934" s="28"/>
    </row>
    <row r="935" spans="4:48">
      <c r="D935" s="12"/>
      <c r="E935" s="12"/>
      <c r="F935" s="12"/>
      <c r="G935" s="12"/>
      <c r="H935" s="36"/>
      <c r="J935" s="19"/>
      <c r="K935" s="19"/>
      <c r="L935" s="19"/>
      <c r="AF935" s="6"/>
      <c r="AG935" s="6"/>
      <c r="AH935" s="6"/>
      <c r="AI935" s="6"/>
      <c r="AN935" s="6"/>
      <c r="AO935" s="6"/>
      <c r="AP935" s="6"/>
      <c r="AQ935" s="6"/>
      <c r="AR935" s="27"/>
      <c r="AS935" s="27"/>
      <c r="AT935" s="27"/>
      <c r="AU935" s="12"/>
      <c r="AV935" s="28"/>
    </row>
    <row r="936" spans="4:48">
      <c r="D936" s="12"/>
      <c r="E936" s="12"/>
      <c r="F936" s="12"/>
      <c r="G936" s="12"/>
      <c r="H936" s="36"/>
      <c r="J936" s="19"/>
      <c r="K936" s="19"/>
      <c r="L936" s="19"/>
      <c r="AF936" s="6"/>
      <c r="AG936" s="6"/>
      <c r="AH936" s="6"/>
      <c r="AI936" s="6"/>
      <c r="AN936" s="6"/>
      <c r="AO936" s="6"/>
      <c r="AP936" s="6"/>
      <c r="AQ936" s="6"/>
      <c r="AR936" s="27"/>
      <c r="AS936" s="27"/>
      <c r="AT936" s="27"/>
      <c r="AU936" s="12"/>
      <c r="AV936" s="28"/>
    </row>
    <row r="937" spans="4:48">
      <c r="D937" s="12"/>
      <c r="E937" s="12"/>
      <c r="F937" s="12"/>
      <c r="G937" s="12"/>
      <c r="H937" s="36"/>
      <c r="J937" s="19"/>
      <c r="K937" s="19"/>
      <c r="L937" s="19"/>
      <c r="AF937" s="6"/>
      <c r="AG937" s="6"/>
      <c r="AH937" s="6"/>
      <c r="AI937" s="6"/>
      <c r="AN937" s="6"/>
      <c r="AO937" s="6"/>
      <c r="AP937" s="6"/>
      <c r="AQ937" s="6"/>
      <c r="AR937" s="27"/>
      <c r="AS937" s="27"/>
      <c r="AT937" s="27"/>
      <c r="AU937" s="12"/>
      <c r="AV937" s="28"/>
    </row>
    <row r="938" spans="4:48">
      <c r="D938" s="12"/>
      <c r="E938" s="12"/>
      <c r="F938" s="12"/>
      <c r="G938" s="12"/>
      <c r="H938" s="36"/>
      <c r="J938" s="19"/>
      <c r="K938" s="19"/>
      <c r="L938" s="19"/>
      <c r="AF938" s="6"/>
      <c r="AG938" s="6"/>
      <c r="AH938" s="6"/>
      <c r="AI938" s="6"/>
      <c r="AN938" s="6"/>
      <c r="AO938" s="6"/>
      <c r="AP938" s="6"/>
      <c r="AQ938" s="6"/>
      <c r="AR938" s="27"/>
      <c r="AS938" s="27"/>
      <c r="AT938" s="27"/>
      <c r="AU938" s="12"/>
      <c r="AV938" s="28"/>
    </row>
    <row r="939" spans="4:48">
      <c r="D939" s="12"/>
      <c r="E939" s="12"/>
      <c r="F939" s="12"/>
      <c r="G939" s="12"/>
      <c r="H939" s="36"/>
      <c r="J939" s="19"/>
      <c r="K939" s="19"/>
      <c r="L939" s="19"/>
      <c r="AF939" s="6"/>
      <c r="AG939" s="6"/>
      <c r="AH939" s="6"/>
      <c r="AI939" s="6"/>
      <c r="AN939" s="6"/>
      <c r="AO939" s="6"/>
      <c r="AP939" s="6"/>
      <c r="AQ939" s="6"/>
      <c r="AR939" s="27"/>
      <c r="AS939" s="27"/>
      <c r="AT939" s="27"/>
      <c r="AU939" s="12"/>
      <c r="AV939" s="28"/>
    </row>
    <row r="940" spans="4:48">
      <c r="D940" s="12"/>
      <c r="E940" s="12"/>
      <c r="F940" s="12"/>
      <c r="G940" s="12"/>
      <c r="H940" s="36"/>
      <c r="J940" s="19"/>
      <c r="K940" s="19"/>
      <c r="L940" s="19"/>
      <c r="AF940" s="6"/>
      <c r="AG940" s="6"/>
      <c r="AH940" s="6"/>
      <c r="AI940" s="6"/>
      <c r="AN940" s="6"/>
      <c r="AO940" s="6"/>
      <c r="AP940" s="6"/>
      <c r="AQ940" s="6"/>
      <c r="AR940" s="27"/>
      <c r="AS940" s="27"/>
      <c r="AT940" s="27"/>
      <c r="AU940" s="12"/>
      <c r="AV940" s="28"/>
    </row>
    <row r="941" spans="4:48">
      <c r="D941" s="12"/>
      <c r="E941" s="12"/>
      <c r="F941" s="12"/>
      <c r="G941" s="12"/>
      <c r="H941" s="36"/>
      <c r="J941" s="19"/>
      <c r="K941" s="19"/>
      <c r="L941" s="19"/>
      <c r="AF941" s="6"/>
      <c r="AG941" s="6"/>
      <c r="AH941" s="6"/>
      <c r="AI941" s="6"/>
      <c r="AN941" s="6"/>
      <c r="AO941" s="6"/>
      <c r="AP941" s="6"/>
      <c r="AQ941" s="6"/>
      <c r="AR941" s="27"/>
      <c r="AS941" s="27"/>
      <c r="AT941" s="27"/>
      <c r="AU941" s="12"/>
      <c r="AV941" s="28"/>
    </row>
    <row r="942" spans="4:48">
      <c r="D942" s="12"/>
      <c r="E942" s="12"/>
      <c r="F942" s="12"/>
      <c r="G942" s="12"/>
      <c r="H942" s="36"/>
      <c r="J942" s="19"/>
      <c r="K942" s="19"/>
      <c r="L942" s="19"/>
      <c r="AF942" s="6"/>
      <c r="AG942" s="6"/>
      <c r="AH942" s="6"/>
      <c r="AI942" s="6"/>
      <c r="AN942" s="6"/>
      <c r="AO942" s="6"/>
      <c r="AP942" s="6"/>
      <c r="AQ942" s="6"/>
      <c r="AR942" s="27"/>
      <c r="AS942" s="27"/>
      <c r="AT942" s="27"/>
      <c r="AU942" s="12"/>
      <c r="AV942" s="28"/>
    </row>
    <row r="943" spans="4:48">
      <c r="D943" s="12"/>
      <c r="E943" s="12"/>
      <c r="F943" s="12"/>
      <c r="G943" s="12"/>
      <c r="H943" s="36"/>
      <c r="J943" s="19"/>
      <c r="K943" s="19"/>
      <c r="L943" s="19"/>
      <c r="AF943" s="6"/>
      <c r="AG943" s="6"/>
      <c r="AH943" s="6"/>
      <c r="AI943" s="6"/>
      <c r="AN943" s="6"/>
      <c r="AO943" s="6"/>
      <c r="AP943" s="6"/>
      <c r="AQ943" s="6"/>
      <c r="AR943" s="27"/>
      <c r="AS943" s="27"/>
      <c r="AT943" s="27"/>
      <c r="AU943" s="12"/>
      <c r="AV943" s="28"/>
    </row>
    <row r="944" spans="4:48">
      <c r="D944" s="12"/>
      <c r="E944" s="12"/>
      <c r="F944" s="12"/>
      <c r="G944" s="12"/>
      <c r="H944" s="36"/>
      <c r="J944" s="19"/>
      <c r="K944" s="19"/>
      <c r="L944" s="19"/>
      <c r="AF944" s="6"/>
      <c r="AG944" s="6"/>
      <c r="AH944" s="6"/>
      <c r="AI944" s="6"/>
      <c r="AN944" s="6"/>
      <c r="AO944" s="6"/>
      <c r="AP944" s="6"/>
      <c r="AQ944" s="6"/>
      <c r="AR944" s="27"/>
      <c r="AS944" s="27"/>
      <c r="AT944" s="27"/>
      <c r="AU944" s="12"/>
      <c r="AV944" s="28"/>
    </row>
    <row r="945" spans="4:48">
      <c r="D945" s="12"/>
      <c r="E945" s="12"/>
      <c r="F945" s="12"/>
      <c r="G945" s="12"/>
      <c r="H945" s="36"/>
      <c r="J945" s="19"/>
      <c r="K945" s="19"/>
      <c r="L945" s="19"/>
      <c r="AF945" s="6"/>
      <c r="AG945" s="6"/>
      <c r="AH945" s="6"/>
      <c r="AI945" s="6"/>
      <c r="AN945" s="6"/>
      <c r="AO945" s="6"/>
      <c r="AP945" s="6"/>
      <c r="AQ945" s="6"/>
      <c r="AR945" s="27"/>
      <c r="AS945" s="27"/>
      <c r="AT945" s="27"/>
      <c r="AU945" s="12"/>
      <c r="AV945" s="28"/>
    </row>
    <row r="946" spans="4:48">
      <c r="D946" s="12"/>
      <c r="E946" s="12"/>
      <c r="F946" s="12"/>
      <c r="G946" s="12"/>
      <c r="H946" s="36"/>
      <c r="J946" s="19"/>
      <c r="K946" s="19"/>
      <c r="L946" s="19"/>
      <c r="AF946" s="6"/>
      <c r="AG946" s="6"/>
      <c r="AH946" s="6"/>
      <c r="AI946" s="6"/>
      <c r="AN946" s="6"/>
      <c r="AO946" s="6"/>
      <c r="AP946" s="6"/>
      <c r="AQ946" s="6"/>
      <c r="AR946" s="27"/>
      <c r="AS946" s="27"/>
      <c r="AT946" s="27"/>
      <c r="AU946" s="12"/>
      <c r="AV946" s="28"/>
    </row>
    <row r="947" spans="4:48">
      <c r="D947" s="12"/>
      <c r="E947" s="12"/>
      <c r="F947" s="12"/>
      <c r="G947" s="12"/>
      <c r="H947" s="36"/>
      <c r="J947" s="19"/>
      <c r="K947" s="19"/>
      <c r="L947" s="19"/>
      <c r="AF947" s="6"/>
      <c r="AG947" s="6"/>
      <c r="AH947" s="6"/>
      <c r="AI947" s="6"/>
      <c r="AN947" s="6"/>
      <c r="AO947" s="6"/>
      <c r="AP947" s="6"/>
      <c r="AQ947" s="6"/>
      <c r="AR947" s="27"/>
      <c r="AS947" s="27"/>
      <c r="AT947" s="27"/>
      <c r="AU947" s="12"/>
      <c r="AV947" s="28"/>
    </row>
    <row r="948" spans="4:48">
      <c r="D948" s="12"/>
      <c r="E948" s="12"/>
      <c r="F948" s="12"/>
      <c r="G948" s="12"/>
      <c r="H948" s="36"/>
      <c r="J948" s="19"/>
      <c r="K948" s="19"/>
      <c r="L948" s="19"/>
      <c r="AF948" s="6"/>
      <c r="AG948" s="6"/>
      <c r="AH948" s="6"/>
      <c r="AI948" s="6"/>
      <c r="AN948" s="6"/>
      <c r="AO948" s="6"/>
      <c r="AP948" s="6"/>
      <c r="AQ948" s="6"/>
      <c r="AR948" s="27"/>
      <c r="AS948" s="27"/>
      <c r="AT948" s="27"/>
      <c r="AU948" s="12"/>
      <c r="AV948" s="28"/>
    </row>
    <row r="949" spans="4:48">
      <c r="D949" s="12"/>
      <c r="E949" s="12"/>
      <c r="F949" s="12"/>
      <c r="G949" s="12"/>
      <c r="H949" s="36"/>
      <c r="J949" s="19"/>
      <c r="K949" s="19"/>
      <c r="L949" s="19"/>
      <c r="AF949" s="6"/>
      <c r="AG949" s="6"/>
      <c r="AH949" s="6"/>
      <c r="AI949" s="6"/>
      <c r="AN949" s="6"/>
      <c r="AO949" s="6"/>
      <c r="AP949" s="6"/>
      <c r="AQ949" s="6"/>
      <c r="AR949" s="27"/>
      <c r="AS949" s="27"/>
      <c r="AT949" s="27"/>
      <c r="AU949" s="12"/>
      <c r="AV949" s="28"/>
    </row>
    <row r="950" spans="4:48">
      <c r="D950" s="12"/>
      <c r="E950" s="12"/>
      <c r="F950" s="12"/>
      <c r="G950" s="12"/>
      <c r="H950" s="36"/>
      <c r="J950" s="19"/>
      <c r="K950" s="19"/>
      <c r="L950" s="19"/>
      <c r="AF950" s="6"/>
      <c r="AG950" s="6"/>
      <c r="AH950" s="6"/>
      <c r="AI950" s="6"/>
      <c r="AN950" s="6"/>
      <c r="AO950" s="6"/>
      <c r="AP950" s="6"/>
      <c r="AQ950" s="6"/>
      <c r="AR950" s="27"/>
      <c r="AS950" s="27"/>
      <c r="AT950" s="27"/>
      <c r="AU950" s="12"/>
      <c r="AV950" s="28"/>
    </row>
    <row r="951" spans="4:48">
      <c r="D951" s="12"/>
      <c r="E951" s="12"/>
      <c r="F951" s="12"/>
      <c r="G951" s="12"/>
      <c r="H951" s="36"/>
      <c r="J951" s="19"/>
      <c r="K951" s="19"/>
      <c r="L951" s="19"/>
      <c r="AF951" s="6"/>
      <c r="AG951" s="6"/>
      <c r="AH951" s="6"/>
      <c r="AI951" s="6"/>
      <c r="AN951" s="6"/>
      <c r="AO951" s="6"/>
      <c r="AP951" s="6"/>
      <c r="AQ951" s="6"/>
      <c r="AR951" s="27"/>
      <c r="AS951" s="27"/>
      <c r="AT951" s="27"/>
      <c r="AU951" s="12"/>
      <c r="AV951" s="28"/>
    </row>
    <row r="952" spans="4:48">
      <c r="D952" s="12"/>
      <c r="E952" s="12"/>
      <c r="F952" s="12"/>
      <c r="G952" s="12"/>
      <c r="H952" s="36"/>
      <c r="J952" s="19"/>
      <c r="K952" s="19"/>
      <c r="L952" s="19"/>
      <c r="AF952" s="6"/>
      <c r="AG952" s="6"/>
      <c r="AH952" s="6"/>
      <c r="AI952" s="6"/>
      <c r="AN952" s="6"/>
      <c r="AO952" s="6"/>
      <c r="AP952" s="6"/>
      <c r="AQ952" s="6"/>
      <c r="AR952" s="27"/>
      <c r="AS952" s="27"/>
      <c r="AT952" s="27"/>
      <c r="AU952" s="12"/>
      <c r="AV952" s="28"/>
    </row>
    <row r="953" spans="4:48">
      <c r="D953" s="12"/>
      <c r="E953" s="12"/>
      <c r="F953" s="12"/>
      <c r="G953" s="12"/>
      <c r="H953" s="36"/>
      <c r="J953" s="19"/>
      <c r="K953" s="19"/>
      <c r="L953" s="19"/>
      <c r="AF953" s="6"/>
      <c r="AG953" s="6"/>
      <c r="AH953" s="6"/>
      <c r="AI953" s="6"/>
      <c r="AN953" s="6"/>
      <c r="AO953" s="6"/>
      <c r="AP953" s="6"/>
      <c r="AQ953" s="6"/>
      <c r="AR953" s="27"/>
      <c r="AS953" s="27"/>
      <c r="AT953" s="27"/>
      <c r="AU953" s="12"/>
      <c r="AV953" s="28"/>
    </row>
    <row r="954" spans="4:48">
      <c r="D954" s="12"/>
      <c r="E954" s="12"/>
      <c r="F954" s="12"/>
      <c r="G954" s="12"/>
      <c r="H954" s="36"/>
      <c r="J954" s="19"/>
      <c r="K954" s="19"/>
      <c r="L954" s="19"/>
      <c r="AF954" s="6"/>
      <c r="AG954" s="6"/>
      <c r="AH954" s="6"/>
      <c r="AI954" s="6"/>
      <c r="AN954" s="6"/>
      <c r="AO954" s="6"/>
      <c r="AP954" s="6"/>
      <c r="AQ954" s="6"/>
      <c r="AR954" s="27"/>
      <c r="AS954" s="27"/>
      <c r="AT954" s="27"/>
      <c r="AU954" s="12"/>
      <c r="AV954" s="28"/>
    </row>
    <row r="955" spans="4:48">
      <c r="D955" s="12"/>
      <c r="E955" s="12"/>
      <c r="F955" s="12"/>
      <c r="G955" s="12"/>
      <c r="H955" s="36"/>
      <c r="J955" s="19"/>
      <c r="K955" s="19"/>
      <c r="L955" s="19"/>
      <c r="AF955" s="6"/>
      <c r="AG955" s="6"/>
      <c r="AH955" s="6"/>
      <c r="AI955" s="6"/>
      <c r="AN955" s="6"/>
      <c r="AO955" s="6"/>
      <c r="AP955" s="6"/>
      <c r="AQ955" s="6"/>
      <c r="AR955" s="27"/>
      <c r="AS955" s="27"/>
      <c r="AT955" s="27"/>
      <c r="AU955" s="12"/>
      <c r="AV955" s="28"/>
    </row>
    <row r="956" spans="4:48">
      <c r="D956" s="12"/>
      <c r="E956" s="12"/>
      <c r="F956" s="12"/>
      <c r="G956" s="12"/>
      <c r="H956" s="36"/>
      <c r="J956" s="19"/>
      <c r="K956" s="19"/>
      <c r="L956" s="19"/>
      <c r="AF956" s="6"/>
      <c r="AG956" s="6"/>
      <c r="AH956" s="6"/>
      <c r="AI956" s="6"/>
      <c r="AN956" s="6"/>
      <c r="AO956" s="6"/>
      <c r="AP956" s="6"/>
      <c r="AQ956" s="6"/>
      <c r="AR956" s="27"/>
      <c r="AS956" s="27"/>
      <c r="AT956" s="27"/>
      <c r="AU956" s="12"/>
      <c r="AV956" s="28"/>
    </row>
    <row r="957" spans="4:48">
      <c r="D957" s="12"/>
      <c r="E957" s="12"/>
      <c r="F957" s="12"/>
      <c r="G957" s="12"/>
      <c r="H957" s="36"/>
      <c r="J957" s="19"/>
      <c r="K957" s="19"/>
      <c r="L957" s="19"/>
      <c r="AF957" s="6"/>
      <c r="AG957" s="6"/>
      <c r="AH957" s="6"/>
      <c r="AI957" s="6"/>
      <c r="AN957" s="6"/>
      <c r="AO957" s="6"/>
      <c r="AP957" s="6"/>
      <c r="AQ957" s="6"/>
      <c r="AR957" s="27"/>
      <c r="AS957" s="27"/>
      <c r="AT957" s="27"/>
      <c r="AU957" s="12"/>
      <c r="AV957" s="28"/>
    </row>
    <row r="958" spans="4:48">
      <c r="D958" s="12"/>
      <c r="E958" s="12"/>
      <c r="F958" s="12"/>
      <c r="G958" s="12"/>
      <c r="H958" s="36"/>
      <c r="J958" s="19"/>
      <c r="K958" s="19"/>
      <c r="L958" s="19"/>
      <c r="AF958" s="6"/>
      <c r="AG958" s="6"/>
      <c r="AH958" s="6"/>
      <c r="AI958" s="6"/>
      <c r="AN958" s="6"/>
      <c r="AO958" s="6"/>
      <c r="AP958" s="6"/>
      <c r="AQ958" s="6"/>
      <c r="AR958" s="27"/>
      <c r="AS958" s="27"/>
      <c r="AT958" s="27"/>
      <c r="AU958" s="12"/>
      <c r="AV958" s="28"/>
    </row>
    <row r="959" spans="4:48">
      <c r="D959" s="12"/>
      <c r="E959" s="12"/>
      <c r="F959" s="12"/>
      <c r="G959" s="12"/>
      <c r="H959" s="36"/>
      <c r="J959" s="19"/>
      <c r="K959" s="19"/>
      <c r="L959" s="19"/>
      <c r="AF959" s="6"/>
      <c r="AG959" s="6"/>
      <c r="AH959" s="6"/>
      <c r="AI959" s="6"/>
      <c r="AN959" s="6"/>
      <c r="AO959" s="6"/>
      <c r="AP959" s="6"/>
      <c r="AQ959" s="6"/>
      <c r="AR959" s="27"/>
      <c r="AS959" s="27"/>
      <c r="AT959" s="27"/>
      <c r="AU959" s="12"/>
      <c r="AV959" s="28"/>
    </row>
    <row r="960" spans="4:48">
      <c r="D960" s="12"/>
      <c r="E960" s="12"/>
      <c r="F960" s="12"/>
      <c r="G960" s="12"/>
      <c r="H960" s="36"/>
      <c r="J960" s="19"/>
      <c r="K960" s="19"/>
      <c r="L960" s="19"/>
      <c r="AF960" s="6"/>
      <c r="AG960" s="6"/>
      <c r="AH960" s="6"/>
      <c r="AI960" s="6"/>
      <c r="AN960" s="6"/>
      <c r="AO960" s="6"/>
      <c r="AP960" s="6"/>
      <c r="AQ960" s="6"/>
      <c r="AR960" s="27"/>
      <c r="AS960" s="27"/>
      <c r="AT960" s="27"/>
      <c r="AU960" s="12"/>
      <c r="AV960" s="28"/>
    </row>
    <row r="961" spans="4:48">
      <c r="D961" s="12"/>
      <c r="E961" s="12"/>
      <c r="F961" s="12"/>
      <c r="G961" s="12"/>
      <c r="H961" s="36"/>
      <c r="J961" s="19"/>
      <c r="K961" s="19"/>
      <c r="L961" s="19"/>
      <c r="AF961" s="6"/>
      <c r="AG961" s="6"/>
      <c r="AH961" s="6"/>
      <c r="AI961" s="6"/>
      <c r="AN961" s="6"/>
      <c r="AO961" s="6"/>
      <c r="AP961" s="6"/>
      <c r="AQ961" s="6"/>
      <c r="AR961" s="27"/>
      <c r="AS961" s="27"/>
      <c r="AT961" s="27"/>
      <c r="AU961" s="12"/>
      <c r="AV961" s="28"/>
    </row>
    <row r="962" spans="4:48">
      <c r="D962" s="12"/>
      <c r="E962" s="12"/>
      <c r="F962" s="12"/>
      <c r="G962" s="12"/>
      <c r="H962" s="36"/>
      <c r="J962" s="19"/>
      <c r="K962" s="19"/>
      <c r="L962" s="19"/>
      <c r="AF962" s="6"/>
      <c r="AG962" s="6"/>
      <c r="AH962" s="6"/>
      <c r="AI962" s="6"/>
      <c r="AN962" s="6"/>
      <c r="AO962" s="6"/>
      <c r="AP962" s="6"/>
      <c r="AQ962" s="6"/>
      <c r="AR962" s="27"/>
      <c r="AS962" s="27"/>
      <c r="AT962" s="27"/>
      <c r="AU962" s="12"/>
      <c r="AV962" s="28"/>
    </row>
    <row r="963" spans="4:48">
      <c r="D963" s="12"/>
      <c r="E963" s="12"/>
      <c r="F963" s="12"/>
      <c r="G963" s="12"/>
      <c r="H963" s="36"/>
      <c r="J963" s="19"/>
      <c r="K963" s="19"/>
      <c r="L963" s="19"/>
      <c r="AF963" s="6"/>
      <c r="AG963" s="6"/>
      <c r="AH963" s="6"/>
      <c r="AI963" s="6"/>
      <c r="AN963" s="6"/>
      <c r="AO963" s="6"/>
      <c r="AP963" s="6"/>
      <c r="AQ963" s="6"/>
      <c r="AR963" s="27"/>
      <c r="AS963" s="27"/>
      <c r="AT963" s="27"/>
      <c r="AU963" s="12"/>
      <c r="AV963" s="28"/>
    </row>
    <row r="964" spans="4:48">
      <c r="D964" s="12"/>
      <c r="E964" s="12"/>
      <c r="F964" s="12"/>
      <c r="G964" s="12"/>
      <c r="H964" s="36"/>
      <c r="J964" s="19"/>
      <c r="K964" s="19"/>
      <c r="L964" s="19"/>
      <c r="AF964" s="6"/>
      <c r="AG964" s="6"/>
      <c r="AH964" s="6"/>
      <c r="AI964" s="6"/>
      <c r="AN964" s="6"/>
      <c r="AO964" s="6"/>
      <c r="AP964" s="6"/>
      <c r="AQ964" s="6"/>
      <c r="AR964" s="27"/>
      <c r="AS964" s="27"/>
      <c r="AT964" s="27"/>
      <c r="AU964" s="12"/>
      <c r="AV964" s="28"/>
    </row>
    <row r="965" spans="4:48">
      <c r="D965" s="12"/>
      <c r="E965" s="12"/>
      <c r="F965" s="12"/>
      <c r="G965" s="12"/>
      <c r="H965" s="36"/>
      <c r="J965" s="19"/>
      <c r="K965" s="19"/>
      <c r="L965" s="19"/>
      <c r="AF965" s="6"/>
      <c r="AG965" s="6"/>
      <c r="AH965" s="6"/>
      <c r="AI965" s="6"/>
      <c r="AN965" s="6"/>
      <c r="AO965" s="6"/>
      <c r="AP965" s="6"/>
      <c r="AQ965" s="6"/>
      <c r="AR965" s="27"/>
      <c r="AS965" s="27"/>
      <c r="AT965" s="27"/>
      <c r="AU965" s="12"/>
      <c r="AV965" s="28"/>
    </row>
    <row r="966" spans="4:48">
      <c r="D966" s="12"/>
      <c r="E966" s="12"/>
      <c r="F966" s="12"/>
      <c r="G966" s="12"/>
      <c r="H966" s="36"/>
      <c r="J966" s="19"/>
      <c r="K966" s="19"/>
      <c r="L966" s="19"/>
      <c r="AF966" s="6"/>
      <c r="AG966" s="6"/>
      <c r="AH966" s="6"/>
      <c r="AI966" s="6"/>
      <c r="AN966" s="6"/>
      <c r="AO966" s="6"/>
      <c r="AP966" s="6"/>
      <c r="AQ966" s="6"/>
      <c r="AR966" s="27"/>
      <c r="AS966" s="27"/>
      <c r="AT966" s="27"/>
      <c r="AU966" s="12"/>
      <c r="AV966" s="28"/>
    </row>
    <row r="967" spans="4:48">
      <c r="D967" s="12"/>
      <c r="E967" s="12"/>
      <c r="F967" s="12"/>
      <c r="G967" s="12"/>
      <c r="H967" s="36"/>
      <c r="J967" s="19"/>
      <c r="K967" s="19"/>
      <c r="L967" s="19"/>
      <c r="AF967" s="6"/>
      <c r="AG967" s="6"/>
      <c r="AH967" s="6"/>
      <c r="AI967" s="6"/>
      <c r="AN967" s="6"/>
      <c r="AO967" s="6"/>
      <c r="AP967" s="6"/>
      <c r="AQ967" s="6"/>
      <c r="AR967" s="27"/>
      <c r="AS967" s="27"/>
      <c r="AT967" s="27"/>
      <c r="AU967" s="12"/>
      <c r="AV967" s="28"/>
    </row>
    <row r="968" spans="4:48">
      <c r="D968" s="12"/>
      <c r="E968" s="12"/>
      <c r="F968" s="12"/>
      <c r="G968" s="12"/>
      <c r="H968" s="36"/>
      <c r="J968" s="19"/>
      <c r="K968" s="19"/>
      <c r="L968" s="19"/>
      <c r="AF968" s="6"/>
      <c r="AG968" s="6"/>
      <c r="AH968" s="6"/>
      <c r="AI968" s="6"/>
      <c r="AN968" s="6"/>
      <c r="AO968" s="6"/>
      <c r="AP968" s="6"/>
      <c r="AQ968" s="6"/>
      <c r="AR968" s="27"/>
      <c r="AS968" s="27"/>
      <c r="AT968" s="27"/>
      <c r="AU968" s="12"/>
      <c r="AV968" s="28"/>
    </row>
    <row r="969" spans="4:48">
      <c r="D969" s="12"/>
      <c r="E969" s="12"/>
      <c r="F969" s="12"/>
      <c r="G969" s="12"/>
      <c r="H969" s="36"/>
      <c r="J969" s="19"/>
      <c r="K969" s="19"/>
      <c r="L969" s="19"/>
      <c r="AF969" s="6"/>
      <c r="AG969" s="6"/>
      <c r="AH969" s="6"/>
      <c r="AI969" s="6"/>
      <c r="AN969" s="6"/>
      <c r="AO969" s="6"/>
      <c r="AP969" s="6"/>
      <c r="AQ969" s="6"/>
      <c r="AR969" s="27"/>
      <c r="AS969" s="27"/>
      <c r="AT969" s="27"/>
      <c r="AU969" s="12"/>
      <c r="AV969" s="28"/>
    </row>
    <row r="970" spans="4:48">
      <c r="D970" s="12"/>
      <c r="E970" s="12"/>
      <c r="F970" s="12"/>
      <c r="G970" s="12"/>
      <c r="H970" s="36"/>
      <c r="J970" s="19"/>
      <c r="K970" s="19"/>
      <c r="L970" s="19"/>
      <c r="AF970" s="6"/>
      <c r="AG970" s="6"/>
      <c r="AH970" s="6"/>
      <c r="AI970" s="6"/>
      <c r="AN970" s="6"/>
      <c r="AO970" s="6"/>
      <c r="AP970" s="6"/>
      <c r="AQ970" s="6"/>
      <c r="AR970" s="27"/>
      <c r="AS970" s="27"/>
      <c r="AT970" s="27"/>
      <c r="AU970" s="12"/>
      <c r="AV970" s="28"/>
    </row>
    <row r="971" spans="4:48">
      <c r="D971" s="12"/>
      <c r="E971" s="12"/>
      <c r="F971" s="12"/>
      <c r="G971" s="12"/>
      <c r="H971" s="36"/>
      <c r="J971" s="19"/>
      <c r="K971" s="19"/>
      <c r="L971" s="19"/>
      <c r="AF971" s="6"/>
      <c r="AG971" s="6"/>
      <c r="AH971" s="6"/>
      <c r="AI971" s="6"/>
      <c r="AN971" s="6"/>
      <c r="AO971" s="6"/>
      <c r="AP971" s="6"/>
      <c r="AQ971" s="6"/>
      <c r="AR971" s="27"/>
      <c r="AS971" s="27"/>
      <c r="AT971" s="27"/>
      <c r="AU971" s="12"/>
      <c r="AV971" s="28"/>
    </row>
    <row r="972" spans="4:48">
      <c r="D972" s="12"/>
      <c r="E972" s="12"/>
      <c r="F972" s="12"/>
      <c r="G972" s="12"/>
      <c r="H972" s="36"/>
      <c r="J972" s="19"/>
      <c r="K972" s="19"/>
      <c r="L972" s="19"/>
      <c r="AF972" s="6"/>
      <c r="AG972" s="6"/>
      <c r="AH972" s="6"/>
      <c r="AI972" s="6"/>
      <c r="AN972" s="6"/>
      <c r="AO972" s="6"/>
      <c r="AP972" s="6"/>
      <c r="AQ972" s="6"/>
      <c r="AR972" s="27"/>
      <c r="AS972" s="27"/>
      <c r="AT972" s="27"/>
      <c r="AU972" s="12"/>
      <c r="AV972" s="28"/>
    </row>
    <row r="973" spans="4:48">
      <c r="D973" s="12"/>
      <c r="E973" s="12"/>
      <c r="F973" s="12"/>
      <c r="G973" s="12"/>
      <c r="H973" s="36"/>
      <c r="J973" s="19"/>
      <c r="K973" s="19"/>
      <c r="L973" s="19"/>
      <c r="AF973" s="6"/>
      <c r="AG973" s="6"/>
      <c r="AH973" s="6"/>
      <c r="AI973" s="6"/>
      <c r="AN973" s="6"/>
      <c r="AO973" s="6"/>
      <c r="AP973" s="6"/>
      <c r="AQ973" s="6"/>
      <c r="AR973" s="27"/>
      <c r="AS973" s="27"/>
      <c r="AT973" s="27"/>
      <c r="AU973" s="12"/>
      <c r="AV973" s="28"/>
    </row>
    <row r="974" spans="4:48">
      <c r="D974" s="12"/>
      <c r="E974" s="12"/>
      <c r="F974" s="12"/>
      <c r="G974" s="12"/>
      <c r="H974" s="36"/>
      <c r="J974" s="19"/>
      <c r="K974" s="19"/>
      <c r="L974" s="19"/>
      <c r="AF974" s="6"/>
      <c r="AG974" s="6"/>
      <c r="AH974" s="6"/>
      <c r="AI974" s="6"/>
      <c r="AN974" s="6"/>
      <c r="AO974" s="6"/>
      <c r="AP974" s="6"/>
      <c r="AQ974" s="6"/>
      <c r="AR974" s="27"/>
      <c r="AS974" s="27"/>
      <c r="AT974" s="27"/>
      <c r="AU974" s="12"/>
      <c r="AV974" s="28"/>
    </row>
    <row r="975" spans="4:48">
      <c r="D975" s="12"/>
      <c r="E975" s="12"/>
      <c r="F975" s="12"/>
      <c r="G975" s="12"/>
      <c r="H975" s="36"/>
      <c r="J975" s="19"/>
      <c r="K975" s="19"/>
      <c r="L975" s="19"/>
      <c r="AF975" s="6"/>
      <c r="AG975" s="6"/>
      <c r="AH975" s="6"/>
      <c r="AI975" s="6"/>
      <c r="AN975" s="6"/>
      <c r="AO975" s="6"/>
      <c r="AP975" s="6"/>
      <c r="AQ975" s="6"/>
      <c r="AR975" s="27"/>
      <c r="AS975" s="27"/>
      <c r="AT975" s="27"/>
      <c r="AU975" s="12"/>
      <c r="AV975" s="28"/>
    </row>
    <row r="976" spans="4:48">
      <c r="D976" s="12"/>
      <c r="E976" s="12"/>
      <c r="F976" s="12"/>
      <c r="G976" s="12"/>
      <c r="H976" s="36"/>
      <c r="J976" s="19"/>
      <c r="K976" s="19"/>
      <c r="L976" s="19"/>
      <c r="AF976" s="6"/>
      <c r="AG976" s="6"/>
      <c r="AH976" s="6"/>
      <c r="AI976" s="6"/>
      <c r="AN976" s="6"/>
      <c r="AO976" s="6"/>
      <c r="AP976" s="6"/>
      <c r="AQ976" s="6"/>
      <c r="AR976" s="27"/>
      <c r="AS976" s="27"/>
      <c r="AT976" s="27"/>
      <c r="AU976" s="12"/>
      <c r="AV976" s="28"/>
    </row>
    <row r="977" spans="4:48">
      <c r="D977" s="12"/>
      <c r="E977" s="12"/>
      <c r="F977" s="12"/>
      <c r="G977" s="12"/>
      <c r="H977" s="36"/>
      <c r="J977" s="19"/>
      <c r="K977" s="19"/>
      <c r="L977" s="19"/>
      <c r="AF977" s="6"/>
      <c r="AG977" s="6"/>
      <c r="AH977" s="6"/>
      <c r="AI977" s="6"/>
      <c r="AN977" s="6"/>
      <c r="AO977" s="6"/>
      <c r="AP977" s="6"/>
      <c r="AQ977" s="6"/>
      <c r="AR977" s="27"/>
      <c r="AS977" s="27"/>
      <c r="AT977" s="27"/>
      <c r="AU977" s="12"/>
      <c r="AV977" s="28"/>
    </row>
    <row r="978" spans="4:48">
      <c r="D978" s="12"/>
      <c r="E978" s="12"/>
      <c r="F978" s="12"/>
      <c r="G978" s="12"/>
      <c r="H978" s="36"/>
      <c r="J978" s="19"/>
      <c r="K978" s="19"/>
      <c r="L978" s="19"/>
      <c r="AF978" s="6"/>
      <c r="AG978" s="6"/>
      <c r="AH978" s="6"/>
      <c r="AI978" s="6"/>
      <c r="AN978" s="6"/>
      <c r="AO978" s="6"/>
      <c r="AP978" s="6"/>
      <c r="AQ978" s="6"/>
      <c r="AR978" s="27"/>
      <c r="AS978" s="27"/>
      <c r="AT978" s="27"/>
      <c r="AU978" s="12"/>
      <c r="AV978" s="28"/>
    </row>
    <row r="979" spans="4:48">
      <c r="D979" s="12"/>
      <c r="E979" s="12"/>
      <c r="F979" s="12"/>
      <c r="G979" s="12"/>
      <c r="H979" s="36"/>
      <c r="J979" s="19"/>
      <c r="K979" s="19"/>
      <c r="L979" s="19"/>
      <c r="AF979" s="6"/>
      <c r="AG979" s="6"/>
      <c r="AH979" s="6"/>
      <c r="AI979" s="6"/>
      <c r="AN979" s="6"/>
      <c r="AO979" s="6"/>
      <c r="AP979" s="6"/>
      <c r="AQ979" s="6"/>
      <c r="AR979" s="27"/>
      <c r="AS979" s="27"/>
      <c r="AT979" s="27"/>
      <c r="AU979" s="12"/>
      <c r="AV979" s="28"/>
    </row>
    <row r="980" spans="4:48">
      <c r="D980" s="12"/>
      <c r="E980" s="12"/>
      <c r="F980" s="12"/>
      <c r="G980" s="12"/>
      <c r="H980" s="36"/>
      <c r="J980" s="19"/>
      <c r="K980" s="19"/>
      <c r="L980" s="19"/>
      <c r="AF980" s="6"/>
      <c r="AG980" s="6"/>
      <c r="AH980" s="6"/>
      <c r="AI980" s="6"/>
      <c r="AN980" s="6"/>
      <c r="AO980" s="6"/>
      <c r="AP980" s="6"/>
      <c r="AQ980" s="6"/>
      <c r="AR980" s="27"/>
      <c r="AS980" s="27"/>
      <c r="AT980" s="27"/>
      <c r="AU980" s="12"/>
      <c r="AV980" s="28"/>
    </row>
    <row r="981" spans="4:48">
      <c r="D981" s="12"/>
      <c r="E981" s="12"/>
      <c r="F981" s="12"/>
      <c r="G981" s="12"/>
      <c r="H981" s="36"/>
      <c r="J981" s="19"/>
      <c r="K981" s="19"/>
      <c r="L981" s="19"/>
      <c r="AF981" s="6"/>
      <c r="AG981" s="6"/>
      <c r="AH981" s="6"/>
      <c r="AI981" s="6"/>
      <c r="AN981" s="6"/>
      <c r="AO981" s="6"/>
      <c r="AP981" s="6"/>
      <c r="AQ981" s="6"/>
      <c r="AR981" s="27"/>
      <c r="AS981" s="27"/>
      <c r="AT981" s="27"/>
      <c r="AU981" s="12"/>
      <c r="AV981" s="28"/>
    </row>
    <row r="982" spans="4:48">
      <c r="D982" s="12"/>
      <c r="E982" s="12"/>
      <c r="F982" s="12"/>
      <c r="G982" s="12"/>
      <c r="H982" s="36"/>
      <c r="J982" s="19"/>
      <c r="K982" s="19"/>
      <c r="L982" s="19"/>
      <c r="AF982" s="6"/>
      <c r="AG982" s="6"/>
      <c r="AH982" s="6"/>
      <c r="AI982" s="6"/>
      <c r="AN982" s="6"/>
      <c r="AO982" s="6"/>
      <c r="AP982" s="6"/>
      <c r="AQ982" s="6"/>
      <c r="AR982" s="27"/>
      <c r="AS982" s="27"/>
      <c r="AT982" s="27"/>
      <c r="AU982" s="12"/>
      <c r="AV982" s="28"/>
    </row>
    <row r="983" spans="4:48">
      <c r="D983" s="12"/>
      <c r="E983" s="12"/>
      <c r="F983" s="12"/>
      <c r="G983" s="12"/>
      <c r="H983" s="36"/>
      <c r="J983" s="19"/>
      <c r="K983" s="19"/>
      <c r="L983" s="19"/>
      <c r="AF983" s="6"/>
      <c r="AG983" s="6"/>
      <c r="AH983" s="6"/>
      <c r="AI983" s="6"/>
      <c r="AN983" s="6"/>
      <c r="AO983" s="6"/>
      <c r="AP983" s="6"/>
      <c r="AQ983" s="6"/>
      <c r="AR983" s="27"/>
      <c r="AS983" s="27"/>
      <c r="AT983" s="27"/>
      <c r="AU983" s="12"/>
      <c r="AV983" s="28"/>
    </row>
    <row r="984" spans="4:48">
      <c r="D984" s="12"/>
      <c r="E984" s="12"/>
      <c r="F984" s="12"/>
      <c r="G984" s="12"/>
      <c r="H984" s="36"/>
      <c r="J984" s="19"/>
      <c r="K984" s="19"/>
      <c r="L984" s="19"/>
      <c r="AF984" s="6"/>
      <c r="AG984" s="6"/>
      <c r="AH984" s="6"/>
      <c r="AI984" s="6"/>
      <c r="AN984" s="6"/>
      <c r="AO984" s="6"/>
      <c r="AP984" s="6"/>
      <c r="AQ984" s="6"/>
      <c r="AR984" s="27"/>
      <c r="AS984" s="27"/>
      <c r="AT984" s="27"/>
      <c r="AU984" s="12"/>
      <c r="AV984" s="28"/>
    </row>
    <row r="985" spans="4:48">
      <c r="D985" s="12"/>
      <c r="E985" s="12"/>
      <c r="F985" s="12"/>
      <c r="G985" s="12"/>
      <c r="H985" s="36"/>
      <c r="J985" s="19"/>
      <c r="K985" s="19"/>
      <c r="L985" s="19"/>
      <c r="AF985" s="6"/>
      <c r="AG985" s="6"/>
      <c r="AH985" s="6"/>
      <c r="AI985" s="6"/>
      <c r="AN985" s="6"/>
      <c r="AO985" s="6"/>
      <c r="AP985" s="6"/>
      <c r="AQ985" s="6"/>
      <c r="AR985" s="27"/>
      <c r="AS985" s="27"/>
      <c r="AT985" s="27"/>
      <c r="AU985" s="12"/>
      <c r="AV985" s="28"/>
    </row>
    <row r="986" spans="4:48">
      <c r="D986" s="12"/>
      <c r="E986" s="12"/>
      <c r="F986" s="12"/>
      <c r="G986" s="12"/>
      <c r="H986" s="36"/>
      <c r="J986" s="19"/>
      <c r="K986" s="19"/>
      <c r="L986" s="19"/>
      <c r="AF986" s="6"/>
      <c r="AG986" s="6"/>
      <c r="AH986" s="6"/>
      <c r="AI986" s="6"/>
      <c r="AN986" s="6"/>
      <c r="AO986" s="6"/>
      <c r="AP986" s="6"/>
      <c r="AQ986" s="6"/>
      <c r="AR986" s="27"/>
      <c r="AS986" s="27"/>
      <c r="AT986" s="27"/>
      <c r="AU986" s="12"/>
      <c r="AV986" s="28"/>
    </row>
    <row r="987" spans="4:48">
      <c r="D987" s="12"/>
      <c r="E987" s="12"/>
      <c r="F987" s="12"/>
      <c r="G987" s="12"/>
      <c r="H987" s="36"/>
      <c r="J987" s="19"/>
      <c r="K987" s="19"/>
      <c r="L987" s="19"/>
      <c r="AF987" s="6"/>
      <c r="AG987" s="6"/>
      <c r="AH987" s="6"/>
      <c r="AI987" s="6"/>
      <c r="AN987" s="6"/>
      <c r="AO987" s="6"/>
      <c r="AP987" s="6"/>
      <c r="AQ987" s="6"/>
      <c r="AR987" s="27"/>
      <c r="AS987" s="27"/>
      <c r="AT987" s="27"/>
      <c r="AU987" s="12"/>
      <c r="AV987" s="28"/>
    </row>
    <row r="988" spans="4:48">
      <c r="D988" s="12"/>
      <c r="E988" s="12"/>
      <c r="F988" s="12"/>
      <c r="G988" s="12"/>
      <c r="H988" s="36"/>
      <c r="J988" s="19"/>
      <c r="K988" s="19"/>
      <c r="L988" s="19"/>
      <c r="AF988" s="6"/>
      <c r="AG988" s="6"/>
      <c r="AH988" s="6"/>
      <c r="AI988" s="6"/>
      <c r="AN988" s="6"/>
      <c r="AO988" s="6"/>
      <c r="AP988" s="6"/>
      <c r="AQ988" s="6"/>
      <c r="AR988" s="27"/>
      <c r="AS988" s="27"/>
      <c r="AT988" s="27"/>
      <c r="AU988" s="12"/>
      <c r="AV988" s="28"/>
    </row>
    <row r="989" spans="4:48">
      <c r="D989" s="12"/>
      <c r="E989" s="12"/>
      <c r="F989" s="12"/>
      <c r="G989" s="12"/>
      <c r="H989" s="36"/>
      <c r="J989" s="19"/>
      <c r="K989" s="19"/>
      <c r="L989" s="19"/>
      <c r="AF989" s="6"/>
      <c r="AG989" s="6"/>
      <c r="AH989" s="6"/>
      <c r="AI989" s="6"/>
      <c r="AN989" s="6"/>
      <c r="AO989" s="6"/>
      <c r="AP989" s="6"/>
      <c r="AQ989" s="6"/>
      <c r="AR989" s="27"/>
      <c r="AS989" s="27"/>
      <c r="AT989" s="27"/>
      <c r="AU989" s="12"/>
      <c r="AV989" s="28"/>
    </row>
    <row r="990" spans="4:48">
      <c r="D990" s="12"/>
      <c r="E990" s="12"/>
      <c r="F990" s="12"/>
      <c r="G990" s="12"/>
      <c r="H990" s="36"/>
      <c r="J990" s="19"/>
      <c r="K990" s="19"/>
      <c r="L990" s="19"/>
      <c r="AF990" s="6"/>
      <c r="AG990" s="6"/>
      <c r="AH990" s="6"/>
      <c r="AI990" s="6"/>
      <c r="AN990" s="6"/>
      <c r="AO990" s="6"/>
      <c r="AP990" s="6"/>
      <c r="AQ990" s="6"/>
      <c r="AR990" s="27"/>
      <c r="AS990" s="27"/>
      <c r="AT990" s="27"/>
      <c r="AU990" s="12"/>
      <c r="AV990" s="28"/>
    </row>
    <row r="991" spans="4:48">
      <c r="D991" s="12"/>
      <c r="E991" s="12"/>
      <c r="F991" s="12"/>
      <c r="G991" s="12"/>
      <c r="H991" s="36"/>
      <c r="J991" s="19"/>
      <c r="K991" s="19"/>
      <c r="L991" s="19"/>
      <c r="AF991" s="6"/>
      <c r="AG991" s="6"/>
      <c r="AH991" s="6"/>
      <c r="AI991" s="6"/>
      <c r="AN991" s="6"/>
      <c r="AO991" s="6"/>
      <c r="AP991" s="6"/>
      <c r="AQ991" s="6"/>
      <c r="AR991" s="27"/>
      <c r="AS991" s="27"/>
      <c r="AT991" s="27"/>
      <c r="AU991" s="12"/>
      <c r="AV991" s="28"/>
    </row>
    <row r="992" spans="4:48">
      <c r="D992" s="12"/>
      <c r="E992" s="12"/>
      <c r="F992" s="12"/>
      <c r="G992" s="12"/>
      <c r="H992" s="36"/>
      <c r="J992" s="19"/>
      <c r="K992" s="19"/>
      <c r="L992" s="19"/>
      <c r="AF992" s="6"/>
      <c r="AG992" s="6"/>
      <c r="AH992" s="6"/>
      <c r="AI992" s="6"/>
      <c r="AN992" s="6"/>
      <c r="AO992" s="6"/>
      <c r="AP992" s="6"/>
      <c r="AQ992" s="6"/>
      <c r="AR992" s="27"/>
      <c r="AS992" s="27"/>
      <c r="AT992" s="27"/>
      <c r="AU992" s="12"/>
      <c r="AV992" s="28"/>
    </row>
    <row r="993" spans="4:48">
      <c r="D993" s="12"/>
      <c r="E993" s="12"/>
      <c r="F993" s="12"/>
      <c r="G993" s="12"/>
      <c r="H993" s="36"/>
      <c r="J993" s="19"/>
      <c r="K993" s="19"/>
      <c r="L993" s="19"/>
      <c r="AF993" s="6"/>
      <c r="AG993" s="6"/>
      <c r="AH993" s="6"/>
      <c r="AI993" s="6"/>
      <c r="AN993" s="6"/>
      <c r="AO993" s="6"/>
      <c r="AP993" s="6"/>
      <c r="AQ993" s="6"/>
      <c r="AR993" s="27"/>
      <c r="AS993" s="27"/>
      <c r="AT993" s="27"/>
      <c r="AU993" s="12"/>
      <c r="AV993" s="28"/>
    </row>
    <row r="994" spans="4:48">
      <c r="D994" s="12"/>
      <c r="E994" s="12"/>
      <c r="F994" s="12"/>
      <c r="G994" s="12"/>
      <c r="H994" s="36"/>
      <c r="J994" s="19"/>
      <c r="K994" s="19"/>
      <c r="L994" s="19"/>
      <c r="AF994" s="6"/>
      <c r="AG994" s="6"/>
      <c r="AH994" s="6"/>
      <c r="AI994" s="6"/>
      <c r="AN994" s="6"/>
      <c r="AO994" s="6"/>
      <c r="AP994" s="6"/>
      <c r="AQ994" s="6"/>
      <c r="AR994" s="27"/>
      <c r="AS994" s="27"/>
      <c r="AT994" s="27"/>
      <c r="AU994" s="12"/>
      <c r="AV994" s="28"/>
    </row>
    <row r="995" spans="4:48">
      <c r="D995" s="12"/>
      <c r="E995" s="12"/>
      <c r="F995" s="12"/>
      <c r="G995" s="12"/>
      <c r="H995" s="36"/>
      <c r="J995" s="19"/>
      <c r="K995" s="19"/>
      <c r="L995" s="19"/>
      <c r="AF995" s="6"/>
      <c r="AG995" s="6"/>
      <c r="AH995" s="6"/>
      <c r="AI995" s="6"/>
      <c r="AN995" s="6"/>
      <c r="AO995" s="6"/>
      <c r="AP995" s="6"/>
      <c r="AQ995" s="6"/>
      <c r="AR995" s="27"/>
      <c r="AS995" s="27"/>
      <c r="AT995" s="27"/>
      <c r="AU995" s="12"/>
      <c r="AV995" s="28"/>
    </row>
    <row r="996" spans="4:48">
      <c r="D996" s="12"/>
      <c r="E996" s="12"/>
      <c r="F996" s="12"/>
      <c r="G996" s="12"/>
      <c r="H996" s="36"/>
      <c r="J996" s="19"/>
      <c r="K996" s="19"/>
      <c r="L996" s="19"/>
      <c r="AF996" s="6"/>
      <c r="AG996" s="6"/>
      <c r="AH996" s="6"/>
      <c r="AI996" s="6"/>
      <c r="AN996" s="6"/>
      <c r="AO996" s="6"/>
      <c r="AP996" s="6"/>
      <c r="AQ996" s="6"/>
      <c r="AR996" s="27"/>
      <c r="AS996" s="27"/>
      <c r="AT996" s="27"/>
      <c r="AU996" s="12"/>
      <c r="AV996" s="28"/>
    </row>
    <row r="997" spans="4:48">
      <c r="D997" s="12"/>
      <c r="E997" s="12"/>
      <c r="F997" s="12"/>
      <c r="G997" s="12"/>
      <c r="H997" s="36"/>
      <c r="J997" s="19"/>
      <c r="K997" s="19"/>
      <c r="L997" s="19"/>
      <c r="AF997" s="6"/>
      <c r="AG997" s="6"/>
      <c r="AH997" s="6"/>
      <c r="AI997" s="6"/>
      <c r="AN997" s="6"/>
      <c r="AO997" s="6"/>
      <c r="AP997" s="6"/>
      <c r="AQ997" s="6"/>
      <c r="AR997" s="27"/>
      <c r="AS997" s="27"/>
      <c r="AT997" s="27"/>
      <c r="AU997" s="12"/>
      <c r="AV997" s="28"/>
    </row>
    <row r="998" spans="4:48">
      <c r="D998" s="12"/>
      <c r="E998" s="12"/>
      <c r="F998" s="12"/>
      <c r="G998" s="12"/>
      <c r="H998" s="36"/>
      <c r="J998" s="19"/>
      <c r="K998" s="19"/>
      <c r="L998" s="19"/>
      <c r="AF998" s="6"/>
      <c r="AG998" s="6"/>
      <c r="AH998" s="6"/>
      <c r="AI998" s="6"/>
      <c r="AN998" s="6"/>
      <c r="AO998" s="6"/>
      <c r="AP998" s="6"/>
      <c r="AQ998" s="6"/>
      <c r="AR998" s="27"/>
      <c r="AS998" s="27"/>
      <c r="AT998" s="27"/>
      <c r="AU998" s="12"/>
      <c r="AV998" s="28"/>
    </row>
    <row r="999" spans="4:48">
      <c r="D999" s="12"/>
      <c r="E999" s="12"/>
      <c r="F999" s="12"/>
      <c r="G999" s="12"/>
      <c r="H999" s="36"/>
      <c r="J999" s="19"/>
      <c r="K999" s="19"/>
      <c r="L999" s="19"/>
      <c r="AF999" s="6"/>
      <c r="AG999" s="6"/>
      <c r="AH999" s="6"/>
      <c r="AI999" s="6"/>
      <c r="AN999" s="6"/>
      <c r="AO999" s="6"/>
      <c r="AP999" s="6"/>
      <c r="AQ999" s="6"/>
      <c r="AR999" s="27"/>
      <c r="AS999" s="27"/>
      <c r="AT999" s="27"/>
      <c r="AU999" s="12"/>
      <c r="AV999" s="28"/>
    </row>
    <row r="1000" spans="4:48">
      <c r="D1000" s="12"/>
      <c r="E1000" s="12"/>
      <c r="F1000" s="12"/>
      <c r="G1000" s="12"/>
      <c r="H1000" s="36"/>
      <c r="J1000" s="19"/>
      <c r="K1000" s="19"/>
      <c r="L1000" s="19"/>
      <c r="AF1000" s="6"/>
      <c r="AG1000" s="6"/>
      <c r="AH1000" s="6"/>
      <c r="AI1000" s="6"/>
      <c r="AN1000" s="6"/>
      <c r="AO1000" s="6"/>
      <c r="AP1000" s="6"/>
      <c r="AQ1000" s="6"/>
      <c r="AR1000" s="27"/>
      <c r="AS1000" s="27"/>
      <c r="AT1000" s="27"/>
      <c r="AU1000" s="12"/>
      <c r="AV1000" s="28"/>
    </row>
    <row r="1001" spans="4:48">
      <c r="D1001" s="12"/>
      <c r="E1001" s="12"/>
      <c r="F1001" s="12"/>
      <c r="G1001" s="12"/>
      <c r="H1001" s="36"/>
      <c r="J1001" s="19"/>
      <c r="K1001" s="19"/>
      <c r="L1001" s="19"/>
      <c r="AF1001" s="6"/>
      <c r="AG1001" s="6"/>
      <c r="AH1001" s="6"/>
      <c r="AI1001" s="6"/>
      <c r="AN1001" s="6"/>
      <c r="AO1001" s="6"/>
      <c r="AP1001" s="6"/>
      <c r="AQ1001" s="6"/>
      <c r="AR1001" s="27"/>
      <c r="AS1001" s="27"/>
      <c r="AT1001" s="27"/>
      <c r="AU1001" s="12"/>
      <c r="AV1001" s="28"/>
    </row>
    <row r="1002" spans="4:48">
      <c r="D1002" s="12"/>
      <c r="E1002" s="12"/>
      <c r="F1002" s="12"/>
      <c r="G1002" s="12"/>
      <c r="H1002" s="36"/>
      <c r="J1002" s="19"/>
      <c r="K1002" s="19"/>
      <c r="L1002" s="19"/>
      <c r="AF1002" s="6"/>
      <c r="AG1002" s="6"/>
      <c r="AH1002" s="6"/>
      <c r="AI1002" s="6"/>
      <c r="AN1002" s="6"/>
      <c r="AO1002" s="6"/>
      <c r="AP1002" s="6"/>
      <c r="AQ1002" s="6"/>
      <c r="AR1002" s="27"/>
      <c r="AS1002" s="27"/>
      <c r="AT1002" s="27"/>
      <c r="AU1002" s="12"/>
      <c r="AV1002" s="28"/>
    </row>
    <row r="1003" spans="4:48">
      <c r="D1003" s="12"/>
      <c r="E1003" s="12"/>
      <c r="F1003" s="12"/>
      <c r="G1003" s="12"/>
      <c r="H1003" s="36"/>
      <c r="J1003" s="19"/>
      <c r="K1003" s="19"/>
      <c r="L1003" s="19"/>
      <c r="AF1003" s="6"/>
      <c r="AG1003" s="6"/>
      <c r="AH1003" s="6"/>
      <c r="AI1003" s="6"/>
      <c r="AN1003" s="6"/>
      <c r="AO1003" s="6"/>
      <c r="AP1003" s="6"/>
      <c r="AQ1003" s="6"/>
      <c r="AR1003" s="27"/>
      <c r="AS1003" s="27"/>
      <c r="AT1003" s="27"/>
      <c r="AU1003" s="12"/>
      <c r="AV1003" s="28"/>
    </row>
    <row r="1004" spans="4:48">
      <c r="D1004" s="12"/>
      <c r="E1004" s="12"/>
      <c r="F1004" s="12"/>
      <c r="G1004" s="12"/>
      <c r="H1004" s="36"/>
      <c r="J1004" s="19"/>
      <c r="K1004" s="19"/>
      <c r="L1004" s="19"/>
      <c r="AF1004" s="6"/>
      <c r="AG1004" s="6"/>
      <c r="AH1004" s="6"/>
      <c r="AI1004" s="6"/>
      <c r="AN1004" s="6"/>
      <c r="AO1004" s="6"/>
      <c r="AP1004" s="6"/>
      <c r="AQ1004" s="6"/>
      <c r="AR1004" s="27"/>
      <c r="AS1004" s="27"/>
      <c r="AT1004" s="27"/>
      <c r="AU1004" s="12"/>
      <c r="AV1004" s="28"/>
    </row>
    <row r="1005" spans="4:48">
      <c r="D1005" s="12"/>
      <c r="E1005" s="12"/>
      <c r="F1005" s="12"/>
      <c r="G1005" s="12"/>
      <c r="H1005" s="36"/>
      <c r="J1005" s="19"/>
      <c r="K1005" s="19"/>
      <c r="L1005" s="19"/>
      <c r="AF1005" s="6"/>
      <c r="AG1005" s="6"/>
      <c r="AH1005" s="6"/>
      <c r="AI1005" s="6"/>
      <c r="AN1005" s="6"/>
      <c r="AO1005" s="6"/>
      <c r="AP1005" s="6"/>
      <c r="AQ1005" s="6"/>
      <c r="AR1005" s="27"/>
      <c r="AS1005" s="27"/>
      <c r="AT1005" s="27"/>
      <c r="AU1005" s="12"/>
      <c r="AV1005" s="28"/>
    </row>
    <row r="1006" spans="4:48">
      <c r="D1006" s="12"/>
      <c r="E1006" s="12"/>
      <c r="F1006" s="12"/>
      <c r="G1006" s="12"/>
      <c r="H1006" s="36"/>
      <c r="J1006" s="19"/>
      <c r="K1006" s="19"/>
      <c r="L1006" s="19"/>
      <c r="AF1006" s="6"/>
      <c r="AG1006" s="6"/>
      <c r="AH1006" s="6"/>
      <c r="AI1006" s="6"/>
      <c r="AN1006" s="6"/>
      <c r="AO1006" s="6"/>
      <c r="AP1006" s="6"/>
      <c r="AQ1006" s="6"/>
      <c r="AR1006" s="27"/>
      <c r="AS1006" s="27"/>
      <c r="AT1006" s="27"/>
      <c r="AU1006" s="12"/>
      <c r="AV1006" s="28"/>
    </row>
    <row r="1007" spans="4:48">
      <c r="D1007" s="12"/>
      <c r="E1007" s="12"/>
      <c r="F1007" s="12"/>
      <c r="G1007" s="12"/>
      <c r="H1007" s="36"/>
      <c r="J1007" s="19"/>
      <c r="K1007" s="19"/>
      <c r="L1007" s="19"/>
      <c r="AF1007" s="6"/>
      <c r="AG1007" s="6"/>
      <c r="AH1007" s="6"/>
      <c r="AI1007" s="6"/>
      <c r="AN1007" s="6"/>
      <c r="AO1007" s="6"/>
      <c r="AP1007" s="6"/>
      <c r="AQ1007" s="6"/>
      <c r="AR1007" s="27"/>
      <c r="AS1007" s="27"/>
      <c r="AT1007" s="27"/>
      <c r="AU1007" s="12"/>
      <c r="AV1007" s="28"/>
    </row>
    <row r="1008" spans="4:48">
      <c r="D1008" s="12"/>
      <c r="E1008" s="12"/>
      <c r="F1008" s="12"/>
      <c r="G1008" s="12"/>
      <c r="H1008" s="36"/>
      <c r="J1008" s="19"/>
      <c r="K1008" s="19"/>
      <c r="L1008" s="19"/>
      <c r="AF1008" s="6"/>
      <c r="AG1008" s="6"/>
      <c r="AH1008" s="6"/>
      <c r="AI1008" s="6"/>
      <c r="AN1008" s="6"/>
      <c r="AO1008" s="6"/>
      <c r="AP1008" s="6"/>
      <c r="AQ1008" s="6"/>
      <c r="AR1008" s="27"/>
      <c r="AS1008" s="27"/>
      <c r="AT1008" s="27"/>
      <c r="AU1008" s="12"/>
      <c r="AV1008" s="28"/>
    </row>
    <row r="1009" spans="4:48">
      <c r="D1009" s="12"/>
      <c r="E1009" s="12"/>
      <c r="F1009" s="12"/>
      <c r="G1009" s="12"/>
      <c r="H1009" s="36"/>
      <c r="J1009" s="19"/>
      <c r="K1009" s="19"/>
      <c r="L1009" s="19"/>
      <c r="AF1009" s="6"/>
      <c r="AG1009" s="6"/>
      <c r="AH1009" s="6"/>
      <c r="AI1009" s="6"/>
      <c r="AN1009" s="6"/>
      <c r="AO1009" s="6"/>
      <c r="AP1009" s="6"/>
      <c r="AQ1009" s="6"/>
      <c r="AR1009" s="27"/>
      <c r="AS1009" s="27"/>
      <c r="AT1009" s="27"/>
      <c r="AU1009" s="12"/>
      <c r="AV1009" s="28"/>
    </row>
    <row r="1010" spans="4:48">
      <c r="D1010" s="12"/>
      <c r="E1010" s="12"/>
      <c r="F1010" s="12"/>
      <c r="G1010" s="12"/>
      <c r="H1010" s="36"/>
      <c r="J1010" s="19"/>
      <c r="K1010" s="19"/>
      <c r="L1010" s="19"/>
      <c r="AF1010" s="6"/>
      <c r="AG1010" s="6"/>
      <c r="AH1010" s="6"/>
      <c r="AI1010" s="6"/>
      <c r="AN1010" s="6"/>
      <c r="AO1010" s="6"/>
      <c r="AP1010" s="6"/>
      <c r="AQ1010" s="6"/>
      <c r="AR1010" s="27"/>
      <c r="AS1010" s="27"/>
      <c r="AT1010" s="27"/>
      <c r="AU1010" s="12"/>
      <c r="AV1010" s="28"/>
    </row>
    <row r="1011" spans="4:48">
      <c r="D1011" s="12"/>
      <c r="E1011" s="12"/>
      <c r="F1011" s="12"/>
      <c r="G1011" s="12"/>
      <c r="H1011" s="36"/>
      <c r="J1011" s="19"/>
      <c r="K1011" s="19"/>
      <c r="L1011" s="19"/>
      <c r="AF1011" s="6"/>
      <c r="AG1011" s="6"/>
      <c r="AH1011" s="6"/>
      <c r="AI1011" s="6"/>
      <c r="AN1011" s="6"/>
      <c r="AO1011" s="6"/>
      <c r="AP1011" s="6"/>
      <c r="AQ1011" s="6"/>
      <c r="AR1011" s="27"/>
      <c r="AS1011" s="27"/>
      <c r="AT1011" s="27"/>
      <c r="AU1011" s="12"/>
      <c r="AV1011" s="28"/>
    </row>
    <row r="1012" spans="4:48">
      <c r="D1012" s="12"/>
      <c r="E1012" s="12"/>
      <c r="F1012" s="12"/>
      <c r="G1012" s="12"/>
      <c r="H1012" s="36"/>
      <c r="J1012" s="19"/>
      <c r="K1012" s="19"/>
      <c r="L1012" s="19"/>
      <c r="AF1012" s="6"/>
      <c r="AG1012" s="6"/>
      <c r="AH1012" s="6"/>
      <c r="AI1012" s="6"/>
      <c r="AN1012" s="6"/>
      <c r="AO1012" s="6"/>
      <c r="AP1012" s="6"/>
      <c r="AQ1012" s="6"/>
      <c r="AR1012" s="27"/>
      <c r="AS1012" s="27"/>
      <c r="AT1012" s="27"/>
      <c r="AU1012" s="12"/>
      <c r="AV1012" s="28"/>
    </row>
    <row r="1013" spans="4:48">
      <c r="D1013" s="12"/>
      <c r="E1013" s="12"/>
      <c r="F1013" s="12"/>
      <c r="G1013" s="12"/>
      <c r="H1013" s="36"/>
      <c r="J1013" s="19"/>
      <c r="K1013" s="19"/>
      <c r="L1013" s="19"/>
      <c r="AF1013" s="6"/>
      <c r="AG1013" s="6"/>
      <c r="AH1013" s="6"/>
      <c r="AI1013" s="6"/>
      <c r="AN1013" s="6"/>
      <c r="AO1013" s="6"/>
      <c r="AP1013" s="6"/>
      <c r="AQ1013" s="6"/>
      <c r="AR1013" s="27"/>
      <c r="AS1013" s="27"/>
      <c r="AT1013" s="27"/>
      <c r="AU1013" s="12"/>
      <c r="AV1013" s="28"/>
    </row>
    <row r="1014" spans="4:48">
      <c r="D1014" s="12"/>
      <c r="E1014" s="12"/>
      <c r="F1014" s="12"/>
      <c r="G1014" s="12"/>
      <c r="H1014" s="36"/>
      <c r="J1014" s="19"/>
      <c r="K1014" s="19"/>
      <c r="L1014" s="19"/>
      <c r="AF1014" s="6"/>
      <c r="AG1014" s="6"/>
      <c r="AH1014" s="6"/>
      <c r="AI1014" s="6"/>
      <c r="AN1014" s="6"/>
      <c r="AO1014" s="6"/>
      <c r="AP1014" s="6"/>
      <c r="AQ1014" s="6"/>
      <c r="AR1014" s="27"/>
      <c r="AS1014" s="27"/>
      <c r="AT1014" s="27"/>
      <c r="AU1014" s="12"/>
      <c r="AV1014" s="28"/>
    </row>
    <row r="1015" spans="4:48">
      <c r="D1015" s="12"/>
      <c r="E1015" s="12"/>
      <c r="F1015" s="12"/>
      <c r="G1015" s="12"/>
      <c r="H1015" s="36"/>
      <c r="J1015" s="19"/>
      <c r="K1015" s="19"/>
      <c r="L1015" s="19"/>
      <c r="AF1015" s="6"/>
      <c r="AG1015" s="6"/>
      <c r="AH1015" s="6"/>
      <c r="AI1015" s="6"/>
      <c r="AN1015" s="6"/>
      <c r="AO1015" s="6"/>
      <c r="AP1015" s="6"/>
      <c r="AQ1015" s="6"/>
      <c r="AR1015" s="27"/>
      <c r="AS1015" s="27"/>
      <c r="AT1015" s="27"/>
      <c r="AU1015" s="12"/>
      <c r="AV1015" s="28"/>
    </row>
    <row r="1016" spans="4:48">
      <c r="D1016" s="12"/>
      <c r="E1016" s="12"/>
      <c r="F1016" s="12"/>
      <c r="G1016" s="12"/>
      <c r="H1016" s="36"/>
      <c r="J1016" s="19"/>
      <c r="K1016" s="19"/>
      <c r="L1016" s="19"/>
      <c r="AF1016" s="6"/>
      <c r="AG1016" s="6"/>
      <c r="AH1016" s="6"/>
      <c r="AI1016" s="6"/>
      <c r="AN1016" s="6"/>
      <c r="AO1016" s="6"/>
      <c r="AP1016" s="6"/>
      <c r="AQ1016" s="6"/>
      <c r="AR1016" s="27"/>
      <c r="AS1016" s="27"/>
      <c r="AT1016" s="27"/>
      <c r="AU1016" s="12"/>
      <c r="AV1016" s="28"/>
    </row>
    <row r="1017" spans="4:48">
      <c r="D1017" s="12"/>
      <c r="E1017" s="12"/>
      <c r="F1017" s="12"/>
      <c r="G1017" s="12"/>
      <c r="H1017" s="36"/>
      <c r="J1017" s="19"/>
      <c r="K1017" s="19"/>
      <c r="L1017" s="19"/>
      <c r="AF1017" s="6"/>
      <c r="AG1017" s="6"/>
      <c r="AH1017" s="6"/>
      <c r="AI1017" s="6"/>
      <c r="AN1017" s="6"/>
      <c r="AO1017" s="6"/>
      <c r="AP1017" s="6"/>
      <c r="AQ1017" s="6"/>
      <c r="AR1017" s="27"/>
      <c r="AS1017" s="27"/>
      <c r="AT1017" s="27"/>
      <c r="AU1017" s="12"/>
      <c r="AV1017" s="28"/>
    </row>
    <row r="1018" spans="4:48">
      <c r="D1018" s="12"/>
      <c r="E1018" s="12"/>
      <c r="F1018" s="12"/>
      <c r="G1018" s="12"/>
      <c r="H1018" s="36"/>
      <c r="J1018" s="19"/>
      <c r="K1018" s="19"/>
      <c r="L1018" s="19"/>
      <c r="AF1018" s="6"/>
      <c r="AG1018" s="6"/>
      <c r="AH1018" s="6"/>
      <c r="AI1018" s="6"/>
      <c r="AN1018" s="6"/>
      <c r="AO1018" s="6"/>
      <c r="AP1018" s="6"/>
      <c r="AQ1018" s="6"/>
      <c r="AR1018" s="27"/>
      <c r="AS1018" s="27"/>
      <c r="AT1018" s="27"/>
      <c r="AU1018" s="12"/>
      <c r="AV1018" s="28"/>
    </row>
    <row r="1019" spans="4:48">
      <c r="D1019" s="12"/>
      <c r="E1019" s="12"/>
      <c r="F1019" s="12"/>
      <c r="G1019" s="12"/>
      <c r="H1019" s="36"/>
      <c r="J1019" s="19"/>
      <c r="K1019" s="19"/>
      <c r="L1019" s="19"/>
      <c r="AF1019" s="6"/>
      <c r="AG1019" s="6"/>
      <c r="AH1019" s="6"/>
      <c r="AI1019" s="6"/>
      <c r="AN1019" s="6"/>
      <c r="AO1019" s="6"/>
      <c r="AP1019" s="6"/>
      <c r="AQ1019" s="6"/>
      <c r="AR1019" s="27"/>
      <c r="AS1019" s="27"/>
      <c r="AT1019" s="27"/>
      <c r="AU1019" s="12"/>
      <c r="AV1019" s="28"/>
    </row>
    <row r="1020" spans="4:48">
      <c r="D1020" s="12"/>
      <c r="E1020" s="12"/>
      <c r="F1020" s="12"/>
      <c r="G1020" s="12"/>
      <c r="H1020" s="36"/>
      <c r="J1020" s="19"/>
      <c r="K1020" s="19"/>
      <c r="L1020" s="19"/>
      <c r="AF1020" s="6"/>
      <c r="AG1020" s="6"/>
      <c r="AH1020" s="6"/>
      <c r="AI1020" s="6"/>
      <c r="AN1020" s="6"/>
      <c r="AO1020" s="6"/>
      <c r="AP1020" s="6"/>
      <c r="AQ1020" s="6"/>
      <c r="AR1020" s="27"/>
      <c r="AS1020" s="27"/>
      <c r="AT1020" s="27"/>
      <c r="AU1020" s="12"/>
      <c r="AV1020" s="28"/>
    </row>
    <row r="1021" spans="4:48">
      <c r="D1021" s="12"/>
      <c r="E1021" s="12"/>
      <c r="F1021" s="12"/>
      <c r="G1021" s="12"/>
      <c r="H1021" s="36"/>
      <c r="J1021" s="19"/>
      <c r="K1021" s="19"/>
      <c r="L1021" s="19"/>
      <c r="AF1021" s="6"/>
      <c r="AG1021" s="6"/>
      <c r="AH1021" s="6"/>
      <c r="AI1021" s="6"/>
      <c r="AN1021" s="6"/>
      <c r="AO1021" s="6"/>
      <c r="AP1021" s="6"/>
      <c r="AQ1021" s="6"/>
      <c r="AR1021" s="27"/>
      <c r="AS1021" s="27"/>
      <c r="AT1021" s="27"/>
      <c r="AU1021" s="12"/>
      <c r="AV1021" s="28"/>
    </row>
    <row r="1022" spans="4:48">
      <c r="D1022" s="12"/>
      <c r="E1022" s="12"/>
      <c r="F1022" s="12"/>
      <c r="G1022" s="12"/>
      <c r="H1022" s="36"/>
      <c r="J1022" s="19"/>
      <c r="K1022" s="19"/>
      <c r="L1022" s="19"/>
      <c r="AF1022" s="6"/>
      <c r="AG1022" s="6"/>
      <c r="AH1022" s="6"/>
      <c r="AI1022" s="6"/>
      <c r="AN1022" s="6"/>
      <c r="AO1022" s="6"/>
      <c r="AP1022" s="6"/>
      <c r="AQ1022" s="6"/>
      <c r="AR1022" s="27"/>
      <c r="AS1022" s="27"/>
      <c r="AT1022" s="27"/>
      <c r="AU1022" s="12"/>
      <c r="AV1022" s="28"/>
    </row>
    <row r="1023" spans="4:48">
      <c r="D1023" s="12"/>
      <c r="E1023" s="12"/>
      <c r="F1023" s="12"/>
      <c r="G1023" s="12"/>
      <c r="H1023" s="36"/>
      <c r="J1023" s="19"/>
      <c r="K1023" s="19"/>
      <c r="L1023" s="19"/>
      <c r="AF1023" s="6"/>
      <c r="AG1023" s="6"/>
      <c r="AH1023" s="6"/>
      <c r="AI1023" s="6"/>
      <c r="AN1023" s="6"/>
      <c r="AO1023" s="6"/>
      <c r="AP1023" s="6"/>
      <c r="AQ1023" s="6"/>
      <c r="AR1023" s="27"/>
      <c r="AS1023" s="27"/>
      <c r="AT1023" s="27"/>
      <c r="AU1023" s="12"/>
      <c r="AV1023" s="28"/>
    </row>
    <row r="1024" spans="4:48">
      <c r="D1024" s="12"/>
      <c r="E1024" s="12"/>
      <c r="F1024" s="12"/>
      <c r="G1024" s="12"/>
      <c r="H1024" s="36"/>
      <c r="J1024" s="19"/>
      <c r="K1024" s="19"/>
      <c r="L1024" s="19"/>
      <c r="AF1024" s="6"/>
      <c r="AG1024" s="6"/>
      <c r="AH1024" s="6"/>
      <c r="AI1024" s="6"/>
      <c r="AN1024" s="6"/>
      <c r="AO1024" s="6"/>
      <c r="AP1024" s="6"/>
      <c r="AQ1024" s="6"/>
      <c r="AR1024" s="27"/>
      <c r="AS1024" s="27"/>
      <c r="AT1024" s="27"/>
      <c r="AU1024" s="12"/>
      <c r="AV1024" s="28"/>
    </row>
    <row r="1025" spans="4:48">
      <c r="D1025" s="12"/>
      <c r="E1025" s="12"/>
      <c r="F1025" s="12"/>
      <c r="G1025" s="12"/>
      <c r="H1025" s="36"/>
      <c r="J1025" s="19"/>
      <c r="K1025" s="19"/>
      <c r="L1025" s="19"/>
      <c r="AF1025" s="6"/>
      <c r="AG1025" s="6"/>
      <c r="AH1025" s="6"/>
      <c r="AI1025" s="6"/>
      <c r="AN1025" s="6"/>
      <c r="AO1025" s="6"/>
      <c r="AP1025" s="6"/>
      <c r="AQ1025" s="6"/>
      <c r="AR1025" s="27"/>
      <c r="AS1025" s="27"/>
      <c r="AT1025" s="27"/>
      <c r="AU1025" s="12"/>
      <c r="AV1025" s="28"/>
    </row>
    <row r="1026" spans="4:48">
      <c r="D1026" s="12"/>
      <c r="E1026" s="12"/>
      <c r="F1026" s="12"/>
      <c r="G1026" s="12"/>
      <c r="H1026" s="36"/>
      <c r="J1026" s="19"/>
      <c r="K1026" s="19"/>
      <c r="L1026" s="19"/>
      <c r="AF1026" s="6"/>
      <c r="AG1026" s="6"/>
      <c r="AH1026" s="6"/>
      <c r="AI1026" s="6"/>
      <c r="AN1026" s="6"/>
      <c r="AO1026" s="6"/>
      <c r="AP1026" s="6"/>
      <c r="AQ1026" s="6"/>
      <c r="AR1026" s="27"/>
      <c r="AS1026" s="27"/>
      <c r="AT1026" s="27"/>
      <c r="AU1026" s="12"/>
      <c r="AV1026" s="28"/>
    </row>
    <row r="1027" spans="4:48">
      <c r="D1027" s="12"/>
      <c r="E1027" s="12"/>
      <c r="F1027" s="12"/>
      <c r="G1027" s="12"/>
      <c r="H1027" s="36"/>
      <c r="J1027" s="19"/>
      <c r="K1027" s="19"/>
      <c r="L1027" s="19"/>
      <c r="AF1027" s="6"/>
      <c r="AG1027" s="6"/>
      <c r="AH1027" s="6"/>
      <c r="AI1027" s="6"/>
      <c r="AN1027" s="6"/>
      <c r="AO1027" s="6"/>
      <c r="AP1027" s="6"/>
      <c r="AQ1027" s="6"/>
      <c r="AR1027" s="27"/>
      <c r="AS1027" s="27"/>
      <c r="AT1027" s="27"/>
      <c r="AU1027" s="12"/>
      <c r="AV1027" s="28"/>
    </row>
    <row r="1028" spans="4:48">
      <c r="D1028" s="12"/>
      <c r="E1028" s="12"/>
      <c r="F1028" s="12"/>
      <c r="G1028" s="12"/>
      <c r="H1028" s="36"/>
      <c r="J1028" s="19"/>
      <c r="K1028" s="19"/>
      <c r="L1028" s="19"/>
      <c r="AF1028" s="6"/>
      <c r="AG1028" s="6"/>
      <c r="AH1028" s="6"/>
      <c r="AI1028" s="6"/>
      <c r="AN1028" s="6"/>
      <c r="AO1028" s="6"/>
      <c r="AP1028" s="6"/>
      <c r="AQ1028" s="6"/>
      <c r="AR1028" s="27"/>
      <c r="AS1028" s="27"/>
      <c r="AT1028" s="27"/>
      <c r="AU1028" s="12"/>
      <c r="AV1028" s="28"/>
    </row>
    <row r="1029" spans="4:48">
      <c r="D1029" s="12"/>
      <c r="E1029" s="12"/>
      <c r="F1029" s="12"/>
      <c r="G1029" s="12"/>
      <c r="H1029" s="36"/>
      <c r="J1029" s="19"/>
      <c r="K1029" s="19"/>
      <c r="L1029" s="19"/>
      <c r="AF1029" s="6"/>
      <c r="AG1029" s="6"/>
      <c r="AH1029" s="6"/>
      <c r="AI1029" s="6"/>
      <c r="AN1029" s="6"/>
      <c r="AO1029" s="6"/>
      <c r="AP1029" s="6"/>
      <c r="AQ1029" s="6"/>
      <c r="AR1029" s="27"/>
      <c r="AS1029" s="27"/>
      <c r="AT1029" s="27"/>
      <c r="AU1029" s="12"/>
      <c r="AV1029" s="28"/>
    </row>
    <row r="1030" spans="4:48">
      <c r="D1030" s="12"/>
      <c r="E1030" s="12"/>
      <c r="F1030" s="12"/>
      <c r="G1030" s="12"/>
      <c r="H1030" s="36"/>
      <c r="J1030" s="19"/>
      <c r="K1030" s="19"/>
      <c r="L1030" s="19"/>
      <c r="AF1030" s="6"/>
      <c r="AG1030" s="6"/>
      <c r="AH1030" s="6"/>
      <c r="AI1030" s="6"/>
      <c r="AN1030" s="6"/>
      <c r="AO1030" s="6"/>
      <c r="AP1030" s="6"/>
      <c r="AQ1030" s="6"/>
      <c r="AR1030" s="27"/>
      <c r="AS1030" s="27"/>
      <c r="AT1030" s="27"/>
      <c r="AU1030" s="12"/>
      <c r="AV1030" s="28"/>
    </row>
    <row r="1031" spans="4:48">
      <c r="D1031" s="12"/>
      <c r="E1031" s="12"/>
      <c r="F1031" s="12"/>
      <c r="G1031" s="12"/>
      <c r="H1031" s="36"/>
      <c r="J1031" s="19"/>
      <c r="K1031" s="19"/>
      <c r="L1031" s="19"/>
      <c r="AF1031" s="6"/>
      <c r="AG1031" s="6"/>
      <c r="AH1031" s="6"/>
      <c r="AI1031" s="6"/>
      <c r="AN1031" s="6"/>
      <c r="AO1031" s="6"/>
      <c r="AP1031" s="6"/>
      <c r="AQ1031" s="6"/>
      <c r="AR1031" s="27"/>
      <c r="AS1031" s="27"/>
      <c r="AT1031" s="27"/>
      <c r="AU1031" s="12"/>
      <c r="AV1031" s="28"/>
    </row>
    <row r="1032" spans="4:48">
      <c r="D1032" s="12"/>
      <c r="E1032" s="12"/>
      <c r="F1032" s="12"/>
      <c r="G1032" s="12"/>
      <c r="H1032" s="36"/>
      <c r="J1032" s="19"/>
      <c r="K1032" s="19"/>
      <c r="L1032" s="19"/>
      <c r="AF1032" s="6"/>
      <c r="AG1032" s="6"/>
      <c r="AH1032" s="6"/>
      <c r="AI1032" s="6"/>
      <c r="AN1032" s="6"/>
      <c r="AO1032" s="6"/>
      <c r="AP1032" s="6"/>
      <c r="AQ1032" s="6"/>
      <c r="AR1032" s="27"/>
      <c r="AS1032" s="27"/>
      <c r="AT1032" s="27"/>
      <c r="AU1032" s="12"/>
      <c r="AV1032" s="28"/>
    </row>
    <row r="1033" spans="4:48">
      <c r="D1033" s="12"/>
      <c r="E1033" s="12"/>
      <c r="F1033" s="12"/>
      <c r="G1033" s="12"/>
      <c r="H1033" s="36"/>
      <c r="J1033" s="19"/>
      <c r="K1033" s="19"/>
      <c r="L1033" s="19"/>
      <c r="AF1033" s="6"/>
      <c r="AG1033" s="6"/>
      <c r="AH1033" s="6"/>
      <c r="AI1033" s="6"/>
      <c r="AN1033" s="6"/>
      <c r="AO1033" s="6"/>
      <c r="AP1033" s="6"/>
      <c r="AQ1033" s="6"/>
      <c r="AR1033" s="27"/>
      <c r="AS1033" s="27"/>
      <c r="AT1033" s="27"/>
      <c r="AU1033" s="12"/>
      <c r="AV1033" s="28"/>
    </row>
    <row r="1034" spans="4:48">
      <c r="D1034" s="12"/>
      <c r="E1034" s="12"/>
      <c r="F1034" s="12"/>
      <c r="G1034" s="12"/>
      <c r="H1034" s="36"/>
      <c r="J1034" s="19"/>
      <c r="K1034" s="19"/>
      <c r="L1034" s="19"/>
      <c r="AF1034" s="6"/>
      <c r="AG1034" s="6"/>
      <c r="AH1034" s="6"/>
      <c r="AI1034" s="6"/>
      <c r="AN1034" s="6"/>
      <c r="AO1034" s="6"/>
      <c r="AP1034" s="6"/>
      <c r="AQ1034" s="6"/>
      <c r="AR1034" s="27"/>
      <c r="AS1034" s="27"/>
      <c r="AT1034" s="27"/>
      <c r="AU1034" s="12"/>
      <c r="AV1034" s="28"/>
    </row>
    <row r="1035" spans="4:48">
      <c r="D1035" s="12"/>
      <c r="E1035" s="12"/>
      <c r="F1035" s="12"/>
      <c r="G1035" s="12"/>
      <c r="H1035" s="36"/>
      <c r="J1035" s="19"/>
      <c r="K1035" s="19"/>
      <c r="L1035" s="19"/>
      <c r="AF1035" s="6"/>
      <c r="AG1035" s="6"/>
      <c r="AH1035" s="6"/>
      <c r="AI1035" s="6"/>
      <c r="AN1035" s="6"/>
      <c r="AO1035" s="6"/>
      <c r="AP1035" s="6"/>
      <c r="AQ1035" s="6"/>
      <c r="AR1035" s="27"/>
      <c r="AS1035" s="27"/>
      <c r="AT1035" s="27"/>
      <c r="AU1035" s="12"/>
      <c r="AV1035" s="28"/>
    </row>
    <row r="1036" spans="4:48">
      <c r="D1036" s="12"/>
      <c r="E1036" s="12"/>
      <c r="F1036" s="12"/>
      <c r="G1036" s="12"/>
      <c r="H1036" s="36"/>
      <c r="J1036" s="19"/>
      <c r="K1036" s="19"/>
      <c r="L1036" s="19"/>
      <c r="AF1036" s="6"/>
      <c r="AG1036" s="6"/>
      <c r="AH1036" s="6"/>
      <c r="AI1036" s="6"/>
      <c r="AN1036" s="6"/>
      <c r="AO1036" s="6"/>
      <c r="AP1036" s="6"/>
      <c r="AQ1036" s="6"/>
      <c r="AR1036" s="27"/>
      <c r="AS1036" s="27"/>
      <c r="AT1036" s="27"/>
      <c r="AU1036" s="12"/>
      <c r="AV1036" s="28"/>
    </row>
    <row r="1037" spans="4:48">
      <c r="D1037" s="12"/>
      <c r="E1037" s="12"/>
      <c r="F1037" s="12"/>
      <c r="G1037" s="12"/>
      <c r="H1037" s="36"/>
      <c r="J1037" s="19"/>
      <c r="K1037" s="19"/>
      <c r="L1037" s="19"/>
      <c r="AF1037" s="6"/>
      <c r="AG1037" s="6"/>
      <c r="AH1037" s="6"/>
      <c r="AI1037" s="6"/>
      <c r="AN1037" s="6"/>
      <c r="AO1037" s="6"/>
      <c r="AP1037" s="6"/>
      <c r="AQ1037" s="6"/>
      <c r="AR1037" s="27"/>
      <c r="AS1037" s="27"/>
      <c r="AT1037" s="27"/>
      <c r="AU1037" s="12"/>
      <c r="AV1037" s="28"/>
    </row>
    <row r="1038" spans="4:48">
      <c r="D1038" s="12"/>
      <c r="E1038" s="12"/>
      <c r="F1038" s="12"/>
      <c r="G1038" s="12"/>
      <c r="H1038" s="36"/>
      <c r="J1038" s="19"/>
      <c r="K1038" s="19"/>
      <c r="L1038" s="19"/>
      <c r="AF1038" s="6"/>
      <c r="AG1038" s="6"/>
      <c r="AH1038" s="6"/>
      <c r="AI1038" s="6"/>
      <c r="AN1038" s="6"/>
      <c r="AO1038" s="6"/>
      <c r="AP1038" s="6"/>
      <c r="AQ1038" s="6"/>
      <c r="AR1038" s="27"/>
      <c r="AS1038" s="27"/>
      <c r="AT1038" s="27"/>
      <c r="AU1038" s="12"/>
      <c r="AV1038" s="28"/>
    </row>
    <row r="1039" spans="4:48">
      <c r="D1039" s="12"/>
      <c r="E1039" s="12"/>
      <c r="F1039" s="12"/>
      <c r="G1039" s="12"/>
      <c r="H1039" s="36"/>
      <c r="J1039" s="19"/>
      <c r="K1039" s="19"/>
      <c r="L1039" s="19"/>
      <c r="AF1039" s="6"/>
      <c r="AG1039" s="6"/>
      <c r="AH1039" s="6"/>
      <c r="AI1039" s="6"/>
      <c r="AN1039" s="6"/>
      <c r="AO1039" s="6"/>
      <c r="AP1039" s="6"/>
      <c r="AQ1039" s="6"/>
      <c r="AR1039" s="27"/>
      <c r="AS1039" s="27"/>
      <c r="AT1039" s="27"/>
      <c r="AU1039" s="12"/>
      <c r="AV1039" s="28"/>
    </row>
    <row r="1040" spans="4:48">
      <c r="D1040" s="12"/>
      <c r="E1040" s="12"/>
      <c r="F1040" s="12"/>
      <c r="G1040" s="12"/>
      <c r="H1040" s="36"/>
      <c r="J1040" s="19"/>
      <c r="K1040" s="19"/>
      <c r="L1040" s="19"/>
      <c r="AF1040" s="6"/>
      <c r="AG1040" s="6"/>
      <c r="AH1040" s="6"/>
      <c r="AI1040" s="6"/>
      <c r="AN1040" s="6"/>
      <c r="AO1040" s="6"/>
      <c r="AP1040" s="6"/>
      <c r="AQ1040" s="6"/>
      <c r="AR1040" s="27"/>
      <c r="AS1040" s="27"/>
      <c r="AT1040" s="27"/>
      <c r="AU1040" s="12"/>
      <c r="AV1040" s="28"/>
    </row>
    <row r="1041" spans="4:48">
      <c r="D1041" s="12"/>
      <c r="E1041" s="12"/>
      <c r="F1041" s="12"/>
      <c r="G1041" s="12"/>
      <c r="H1041" s="36"/>
      <c r="J1041" s="19"/>
      <c r="K1041" s="19"/>
      <c r="L1041" s="19"/>
      <c r="AF1041" s="6"/>
      <c r="AG1041" s="6"/>
      <c r="AH1041" s="6"/>
      <c r="AI1041" s="6"/>
      <c r="AN1041" s="6"/>
      <c r="AO1041" s="6"/>
      <c r="AP1041" s="6"/>
      <c r="AQ1041" s="6"/>
      <c r="AR1041" s="27"/>
      <c r="AS1041" s="27"/>
      <c r="AT1041" s="27"/>
      <c r="AU1041" s="12"/>
      <c r="AV1041" s="28"/>
    </row>
    <row r="1042" spans="4:48">
      <c r="D1042" s="12"/>
      <c r="E1042" s="12"/>
      <c r="F1042" s="12"/>
      <c r="G1042" s="12"/>
      <c r="H1042" s="36"/>
      <c r="J1042" s="19"/>
      <c r="K1042" s="19"/>
      <c r="L1042" s="19"/>
      <c r="AF1042" s="6"/>
      <c r="AG1042" s="6"/>
      <c r="AH1042" s="6"/>
      <c r="AI1042" s="6"/>
      <c r="AN1042" s="6"/>
      <c r="AO1042" s="6"/>
      <c r="AP1042" s="6"/>
      <c r="AQ1042" s="6"/>
      <c r="AR1042" s="27"/>
      <c r="AS1042" s="27"/>
      <c r="AT1042" s="27"/>
      <c r="AU1042" s="12"/>
      <c r="AV1042" s="28"/>
    </row>
    <row r="1043" spans="4:48">
      <c r="D1043" s="12"/>
      <c r="E1043" s="12"/>
      <c r="F1043" s="12"/>
      <c r="G1043" s="12"/>
      <c r="H1043" s="36"/>
      <c r="J1043" s="19"/>
      <c r="K1043" s="19"/>
      <c r="L1043" s="19"/>
      <c r="AF1043" s="6"/>
      <c r="AG1043" s="6"/>
      <c r="AH1043" s="6"/>
      <c r="AI1043" s="6"/>
      <c r="AN1043" s="6"/>
      <c r="AO1043" s="6"/>
      <c r="AP1043" s="6"/>
      <c r="AQ1043" s="6"/>
      <c r="AR1043" s="27"/>
      <c r="AS1043" s="27"/>
      <c r="AT1043" s="27"/>
      <c r="AU1043" s="12"/>
      <c r="AV1043" s="28"/>
    </row>
    <row r="1044" spans="4:48">
      <c r="D1044" s="12"/>
      <c r="E1044" s="12"/>
      <c r="F1044" s="12"/>
      <c r="G1044" s="12"/>
      <c r="H1044" s="36"/>
      <c r="J1044" s="19"/>
      <c r="K1044" s="19"/>
      <c r="L1044" s="19"/>
      <c r="AF1044" s="6"/>
      <c r="AG1044" s="6"/>
      <c r="AH1044" s="6"/>
      <c r="AI1044" s="6"/>
      <c r="AN1044" s="6"/>
      <c r="AO1044" s="6"/>
      <c r="AP1044" s="6"/>
      <c r="AQ1044" s="6"/>
      <c r="AR1044" s="27"/>
      <c r="AS1044" s="27"/>
      <c r="AT1044" s="27"/>
      <c r="AU1044" s="12"/>
      <c r="AV1044" s="28"/>
    </row>
    <row r="1045" spans="4:48">
      <c r="D1045" s="12"/>
      <c r="E1045" s="12"/>
      <c r="F1045" s="12"/>
      <c r="G1045" s="12"/>
      <c r="H1045" s="36"/>
      <c r="J1045" s="19"/>
      <c r="K1045" s="19"/>
      <c r="L1045" s="19"/>
      <c r="AF1045" s="6"/>
      <c r="AG1045" s="6"/>
      <c r="AH1045" s="6"/>
      <c r="AI1045" s="6"/>
      <c r="AN1045" s="6"/>
      <c r="AO1045" s="6"/>
      <c r="AP1045" s="6"/>
      <c r="AQ1045" s="6"/>
      <c r="AR1045" s="27"/>
      <c r="AS1045" s="27"/>
      <c r="AT1045" s="27"/>
      <c r="AU1045" s="12"/>
      <c r="AV1045" s="28"/>
    </row>
    <row r="1046" spans="4:48">
      <c r="D1046" s="12"/>
      <c r="E1046" s="12"/>
      <c r="F1046" s="12"/>
      <c r="G1046" s="12"/>
      <c r="H1046" s="36"/>
      <c r="J1046" s="19"/>
      <c r="K1046" s="19"/>
      <c r="L1046" s="19"/>
      <c r="AF1046" s="6"/>
      <c r="AG1046" s="6"/>
      <c r="AH1046" s="6"/>
      <c r="AI1046" s="6"/>
      <c r="AN1046" s="6"/>
      <c r="AO1046" s="6"/>
      <c r="AP1046" s="6"/>
      <c r="AQ1046" s="6"/>
      <c r="AR1046" s="27"/>
      <c r="AS1046" s="27"/>
      <c r="AT1046" s="27"/>
      <c r="AU1046" s="12"/>
      <c r="AV1046" s="28"/>
    </row>
    <row r="1047" spans="4:48">
      <c r="D1047" s="12"/>
      <c r="E1047" s="12"/>
      <c r="F1047" s="12"/>
      <c r="G1047" s="12"/>
      <c r="H1047" s="36"/>
      <c r="J1047" s="19"/>
      <c r="K1047" s="19"/>
      <c r="L1047" s="19"/>
      <c r="AF1047" s="6"/>
      <c r="AG1047" s="6"/>
      <c r="AH1047" s="6"/>
      <c r="AI1047" s="6"/>
      <c r="AN1047" s="6"/>
      <c r="AO1047" s="6"/>
      <c r="AP1047" s="6"/>
      <c r="AQ1047" s="6"/>
      <c r="AR1047" s="27"/>
      <c r="AS1047" s="27"/>
      <c r="AT1047" s="27"/>
      <c r="AU1047" s="12"/>
      <c r="AV1047" s="28"/>
    </row>
    <row r="1048" spans="4:48">
      <c r="D1048" s="12"/>
      <c r="E1048" s="12"/>
      <c r="F1048" s="12"/>
      <c r="G1048" s="12"/>
      <c r="H1048" s="36"/>
      <c r="J1048" s="19"/>
      <c r="K1048" s="19"/>
      <c r="L1048" s="19"/>
      <c r="AF1048" s="6"/>
      <c r="AG1048" s="6"/>
      <c r="AH1048" s="6"/>
      <c r="AI1048" s="6"/>
      <c r="AN1048" s="6"/>
      <c r="AO1048" s="6"/>
      <c r="AP1048" s="6"/>
      <c r="AQ1048" s="6"/>
      <c r="AR1048" s="27"/>
      <c r="AS1048" s="27"/>
      <c r="AT1048" s="27"/>
      <c r="AU1048" s="12"/>
      <c r="AV1048" s="28"/>
    </row>
    <row r="1049" spans="4:48">
      <c r="D1049" s="12"/>
      <c r="E1049" s="12"/>
      <c r="F1049" s="12"/>
      <c r="G1049" s="12"/>
      <c r="H1049" s="36"/>
      <c r="J1049" s="19"/>
      <c r="K1049" s="19"/>
      <c r="L1049" s="19"/>
      <c r="AF1049" s="6"/>
      <c r="AG1049" s="6"/>
      <c r="AH1049" s="6"/>
      <c r="AI1049" s="6"/>
      <c r="AN1049" s="6"/>
      <c r="AO1049" s="6"/>
      <c r="AP1049" s="6"/>
      <c r="AQ1049" s="6"/>
      <c r="AR1049" s="27"/>
      <c r="AS1049" s="27"/>
      <c r="AT1049" s="27"/>
      <c r="AU1049" s="12"/>
      <c r="AV1049" s="28"/>
    </row>
    <row r="1050" spans="4:48">
      <c r="D1050" s="12"/>
      <c r="E1050" s="12"/>
      <c r="F1050" s="12"/>
      <c r="G1050" s="12"/>
      <c r="H1050" s="36"/>
      <c r="J1050" s="19"/>
      <c r="K1050" s="19"/>
      <c r="L1050" s="19"/>
      <c r="AF1050" s="6"/>
      <c r="AG1050" s="6"/>
      <c r="AH1050" s="6"/>
      <c r="AI1050" s="6"/>
      <c r="AN1050" s="6"/>
      <c r="AO1050" s="6"/>
      <c r="AP1050" s="6"/>
      <c r="AQ1050" s="6"/>
      <c r="AR1050" s="27"/>
      <c r="AS1050" s="27"/>
      <c r="AT1050" s="27"/>
      <c r="AU1050" s="12"/>
      <c r="AV1050" s="28"/>
    </row>
    <row r="1051" spans="4:48">
      <c r="D1051" s="12"/>
      <c r="E1051" s="12"/>
      <c r="F1051" s="12"/>
      <c r="G1051" s="12"/>
      <c r="H1051" s="36"/>
      <c r="J1051" s="19"/>
      <c r="K1051" s="19"/>
      <c r="L1051" s="19"/>
      <c r="AF1051" s="6"/>
      <c r="AG1051" s="6"/>
      <c r="AH1051" s="6"/>
      <c r="AI1051" s="6"/>
      <c r="AN1051" s="6"/>
      <c r="AO1051" s="6"/>
      <c r="AP1051" s="6"/>
      <c r="AQ1051" s="6"/>
      <c r="AR1051" s="27"/>
      <c r="AS1051" s="27"/>
      <c r="AT1051" s="27"/>
      <c r="AU1051" s="12"/>
      <c r="AV1051" s="28"/>
    </row>
    <row r="1052" spans="4:48">
      <c r="D1052" s="12"/>
      <c r="E1052" s="12"/>
      <c r="F1052" s="12"/>
      <c r="G1052" s="12"/>
      <c r="H1052" s="36"/>
      <c r="J1052" s="19"/>
      <c r="K1052" s="19"/>
      <c r="L1052" s="19"/>
      <c r="AF1052" s="6"/>
      <c r="AG1052" s="6"/>
      <c r="AH1052" s="6"/>
      <c r="AI1052" s="6"/>
      <c r="AN1052" s="6"/>
      <c r="AO1052" s="6"/>
      <c r="AP1052" s="6"/>
      <c r="AQ1052" s="6"/>
      <c r="AR1052" s="27"/>
      <c r="AS1052" s="27"/>
      <c r="AT1052" s="27"/>
      <c r="AU1052" s="12"/>
      <c r="AV1052" s="28"/>
    </row>
    <row r="1053" spans="4:48">
      <c r="D1053" s="12"/>
      <c r="E1053" s="12"/>
      <c r="F1053" s="12"/>
      <c r="G1053" s="12"/>
      <c r="H1053" s="36"/>
      <c r="J1053" s="19"/>
      <c r="K1053" s="19"/>
      <c r="L1053" s="19"/>
      <c r="AF1053" s="6"/>
      <c r="AG1053" s="6"/>
      <c r="AH1053" s="6"/>
      <c r="AI1053" s="6"/>
      <c r="AN1053" s="6"/>
      <c r="AO1053" s="6"/>
      <c r="AP1053" s="6"/>
      <c r="AQ1053" s="6"/>
      <c r="AR1053" s="27"/>
      <c r="AS1053" s="27"/>
      <c r="AT1053" s="27"/>
      <c r="AU1053" s="12"/>
      <c r="AV1053" s="28"/>
    </row>
    <row r="1054" spans="4:48">
      <c r="D1054" s="12"/>
      <c r="E1054" s="12"/>
      <c r="F1054" s="12"/>
      <c r="G1054" s="12"/>
      <c r="H1054" s="36"/>
      <c r="J1054" s="19"/>
      <c r="K1054" s="19"/>
      <c r="L1054" s="19"/>
      <c r="AF1054" s="6"/>
      <c r="AG1054" s="6"/>
      <c r="AH1054" s="6"/>
      <c r="AI1054" s="6"/>
      <c r="AN1054" s="6"/>
      <c r="AO1054" s="6"/>
      <c r="AP1054" s="6"/>
      <c r="AQ1054" s="6"/>
      <c r="AR1054" s="27"/>
      <c r="AS1054" s="27"/>
      <c r="AT1054" s="27"/>
      <c r="AU1054" s="12"/>
      <c r="AV1054" s="28"/>
    </row>
    <row r="1055" spans="4:48">
      <c r="D1055" s="12"/>
      <c r="E1055" s="12"/>
      <c r="F1055" s="12"/>
      <c r="G1055" s="12"/>
      <c r="H1055" s="36"/>
      <c r="J1055" s="19"/>
      <c r="K1055" s="19"/>
      <c r="L1055" s="19"/>
      <c r="AF1055" s="6"/>
      <c r="AG1055" s="6"/>
      <c r="AH1055" s="6"/>
      <c r="AI1055" s="6"/>
      <c r="AN1055" s="6"/>
      <c r="AO1055" s="6"/>
      <c r="AP1055" s="6"/>
      <c r="AQ1055" s="6"/>
      <c r="AR1055" s="27"/>
      <c r="AS1055" s="27"/>
      <c r="AT1055" s="27"/>
      <c r="AU1055" s="12"/>
      <c r="AV1055" s="28"/>
    </row>
    <row r="1056" spans="4:48">
      <c r="D1056" s="12"/>
      <c r="E1056" s="12"/>
      <c r="F1056" s="12"/>
      <c r="G1056" s="12"/>
      <c r="H1056" s="36"/>
      <c r="J1056" s="19"/>
      <c r="K1056" s="19"/>
      <c r="L1056" s="19"/>
      <c r="AF1056" s="6"/>
      <c r="AG1056" s="6"/>
      <c r="AH1056" s="6"/>
      <c r="AI1056" s="6"/>
      <c r="AN1056" s="6"/>
      <c r="AO1056" s="6"/>
      <c r="AP1056" s="6"/>
      <c r="AQ1056" s="6"/>
      <c r="AR1056" s="27"/>
      <c r="AS1056" s="27"/>
      <c r="AT1056" s="27"/>
      <c r="AU1056" s="12"/>
      <c r="AV1056" s="28"/>
    </row>
    <row r="1057" spans="4:48">
      <c r="D1057" s="12"/>
      <c r="E1057" s="12"/>
      <c r="F1057" s="12"/>
      <c r="G1057" s="12"/>
      <c r="H1057" s="36"/>
      <c r="J1057" s="19"/>
      <c r="K1057" s="19"/>
      <c r="L1057" s="19"/>
      <c r="AF1057" s="6"/>
      <c r="AG1057" s="6"/>
      <c r="AH1057" s="6"/>
      <c r="AI1057" s="6"/>
      <c r="AN1057" s="6"/>
      <c r="AO1057" s="6"/>
      <c r="AP1057" s="6"/>
      <c r="AQ1057" s="6"/>
      <c r="AR1057" s="27"/>
      <c r="AS1057" s="27"/>
      <c r="AT1057" s="27"/>
      <c r="AU1057" s="12"/>
      <c r="AV1057" s="28"/>
    </row>
    <row r="1058" spans="4:48">
      <c r="D1058" s="12"/>
      <c r="E1058" s="12"/>
      <c r="F1058" s="12"/>
      <c r="G1058" s="12"/>
      <c r="H1058" s="36"/>
      <c r="J1058" s="19"/>
      <c r="K1058" s="19"/>
      <c r="L1058" s="19"/>
      <c r="AF1058" s="6"/>
      <c r="AG1058" s="6"/>
      <c r="AH1058" s="6"/>
      <c r="AI1058" s="6"/>
      <c r="AN1058" s="6"/>
      <c r="AO1058" s="6"/>
      <c r="AP1058" s="6"/>
      <c r="AQ1058" s="6"/>
      <c r="AR1058" s="27"/>
      <c r="AS1058" s="27"/>
      <c r="AT1058" s="27"/>
      <c r="AU1058" s="12"/>
      <c r="AV1058" s="28"/>
    </row>
    <row r="1059" spans="4:48">
      <c r="D1059" s="12"/>
      <c r="E1059" s="12"/>
      <c r="F1059" s="12"/>
      <c r="G1059" s="12"/>
      <c r="H1059" s="36"/>
      <c r="J1059" s="19"/>
      <c r="K1059" s="19"/>
      <c r="L1059" s="19"/>
      <c r="AF1059" s="6"/>
      <c r="AG1059" s="6"/>
      <c r="AH1059" s="6"/>
      <c r="AI1059" s="6"/>
      <c r="AN1059" s="6"/>
      <c r="AO1059" s="6"/>
      <c r="AP1059" s="6"/>
      <c r="AQ1059" s="6"/>
      <c r="AR1059" s="27"/>
      <c r="AS1059" s="27"/>
      <c r="AT1059" s="27"/>
      <c r="AU1059" s="12"/>
      <c r="AV1059" s="28"/>
    </row>
    <row r="1060" spans="4:48">
      <c r="D1060" s="12"/>
      <c r="E1060" s="12"/>
      <c r="F1060" s="12"/>
      <c r="G1060" s="12"/>
      <c r="H1060" s="36"/>
      <c r="J1060" s="19"/>
      <c r="K1060" s="19"/>
      <c r="L1060" s="19"/>
      <c r="AF1060" s="6"/>
      <c r="AG1060" s="6"/>
      <c r="AH1060" s="6"/>
      <c r="AI1060" s="6"/>
      <c r="AN1060" s="6"/>
      <c r="AO1060" s="6"/>
      <c r="AP1060" s="6"/>
      <c r="AQ1060" s="6"/>
      <c r="AR1060" s="27"/>
      <c r="AS1060" s="27"/>
      <c r="AT1060" s="27"/>
      <c r="AU1060" s="12"/>
      <c r="AV1060" s="28"/>
    </row>
    <row r="1061" spans="4:48">
      <c r="D1061" s="12"/>
      <c r="E1061" s="12"/>
      <c r="F1061" s="12"/>
      <c r="G1061" s="12"/>
      <c r="H1061" s="36"/>
      <c r="J1061" s="19"/>
      <c r="K1061" s="19"/>
      <c r="L1061" s="19"/>
      <c r="AF1061" s="6"/>
      <c r="AG1061" s="6"/>
      <c r="AH1061" s="6"/>
      <c r="AI1061" s="6"/>
      <c r="AN1061" s="6"/>
      <c r="AO1061" s="6"/>
      <c r="AP1061" s="6"/>
      <c r="AQ1061" s="6"/>
      <c r="AR1061" s="27"/>
      <c r="AS1061" s="27"/>
      <c r="AT1061" s="27"/>
      <c r="AU1061" s="12"/>
      <c r="AV1061" s="28"/>
    </row>
    <row r="1062" spans="4:48">
      <c r="D1062" s="12"/>
      <c r="E1062" s="12"/>
      <c r="F1062" s="12"/>
      <c r="G1062" s="12"/>
      <c r="H1062" s="36"/>
      <c r="J1062" s="19"/>
      <c r="K1062" s="19"/>
      <c r="L1062" s="19"/>
      <c r="AF1062" s="6"/>
      <c r="AG1062" s="6"/>
      <c r="AH1062" s="6"/>
      <c r="AI1062" s="6"/>
      <c r="AN1062" s="6"/>
      <c r="AO1062" s="6"/>
      <c r="AP1062" s="6"/>
      <c r="AQ1062" s="6"/>
      <c r="AR1062" s="27"/>
      <c r="AS1062" s="27"/>
      <c r="AT1062" s="27"/>
      <c r="AU1062" s="12"/>
      <c r="AV1062" s="28"/>
    </row>
    <row r="1063" spans="4:48">
      <c r="D1063" s="12"/>
      <c r="E1063" s="12"/>
      <c r="F1063" s="12"/>
      <c r="G1063" s="12"/>
      <c r="H1063" s="36"/>
      <c r="J1063" s="19"/>
      <c r="K1063" s="19"/>
      <c r="L1063" s="19"/>
      <c r="AF1063" s="6"/>
      <c r="AG1063" s="6"/>
      <c r="AH1063" s="6"/>
      <c r="AI1063" s="6"/>
      <c r="AN1063" s="6"/>
      <c r="AO1063" s="6"/>
      <c r="AP1063" s="6"/>
      <c r="AQ1063" s="6"/>
      <c r="AR1063" s="27"/>
      <c r="AS1063" s="27"/>
      <c r="AT1063" s="27"/>
      <c r="AU1063" s="12"/>
      <c r="AV1063" s="28"/>
    </row>
    <row r="1064" spans="4:48">
      <c r="D1064" s="12"/>
      <c r="E1064" s="12"/>
      <c r="F1064" s="12"/>
      <c r="G1064" s="12"/>
      <c r="H1064" s="36"/>
      <c r="J1064" s="19"/>
      <c r="K1064" s="19"/>
      <c r="L1064" s="19"/>
      <c r="AF1064" s="6"/>
      <c r="AG1064" s="6"/>
      <c r="AH1064" s="6"/>
      <c r="AI1064" s="6"/>
      <c r="AN1064" s="6"/>
      <c r="AO1064" s="6"/>
      <c r="AP1064" s="6"/>
      <c r="AQ1064" s="6"/>
      <c r="AR1064" s="27"/>
      <c r="AS1064" s="27"/>
      <c r="AT1064" s="27"/>
      <c r="AU1064" s="12"/>
      <c r="AV1064" s="28"/>
    </row>
    <row r="1065" spans="4:48">
      <c r="D1065" s="12"/>
      <c r="E1065" s="12"/>
      <c r="F1065" s="12"/>
      <c r="G1065" s="12"/>
      <c r="H1065" s="36"/>
      <c r="J1065" s="19"/>
      <c r="K1065" s="19"/>
      <c r="L1065" s="19"/>
      <c r="AF1065" s="6"/>
      <c r="AG1065" s="6"/>
      <c r="AH1065" s="6"/>
      <c r="AI1065" s="6"/>
      <c r="AN1065" s="6"/>
      <c r="AO1065" s="6"/>
      <c r="AP1065" s="6"/>
      <c r="AQ1065" s="6"/>
      <c r="AR1065" s="27"/>
      <c r="AS1065" s="27"/>
      <c r="AT1065" s="27"/>
      <c r="AU1065" s="12"/>
      <c r="AV1065" s="28"/>
    </row>
    <row r="1066" spans="4:48">
      <c r="D1066" s="12"/>
      <c r="E1066" s="12"/>
      <c r="F1066" s="12"/>
      <c r="G1066" s="12"/>
      <c r="H1066" s="36"/>
      <c r="J1066" s="19"/>
      <c r="K1066" s="19"/>
      <c r="L1066" s="19"/>
      <c r="AF1066" s="6"/>
      <c r="AG1066" s="6"/>
      <c r="AH1066" s="6"/>
      <c r="AI1066" s="6"/>
      <c r="AN1066" s="6"/>
      <c r="AO1066" s="6"/>
      <c r="AP1066" s="6"/>
      <c r="AQ1066" s="6"/>
      <c r="AR1066" s="27"/>
      <c r="AS1066" s="27"/>
      <c r="AT1066" s="27"/>
      <c r="AU1066" s="12"/>
      <c r="AV1066" s="28"/>
    </row>
    <row r="1067" spans="4:48">
      <c r="D1067" s="12"/>
      <c r="E1067" s="12"/>
      <c r="F1067" s="12"/>
      <c r="G1067" s="12"/>
      <c r="H1067" s="36"/>
      <c r="J1067" s="19"/>
      <c r="K1067" s="19"/>
      <c r="L1067" s="19"/>
      <c r="AF1067" s="6"/>
      <c r="AG1067" s="6"/>
      <c r="AH1067" s="6"/>
      <c r="AI1067" s="6"/>
      <c r="AN1067" s="6"/>
      <c r="AO1067" s="6"/>
      <c r="AP1067" s="6"/>
      <c r="AQ1067" s="6"/>
      <c r="AR1067" s="27"/>
      <c r="AS1067" s="27"/>
      <c r="AT1067" s="27"/>
      <c r="AU1067" s="12"/>
      <c r="AV1067" s="28"/>
    </row>
    <row r="1068" spans="4:48">
      <c r="D1068" s="12"/>
      <c r="E1068" s="12"/>
      <c r="F1068" s="12"/>
      <c r="G1068" s="12"/>
      <c r="H1068" s="36"/>
      <c r="J1068" s="19"/>
      <c r="K1068" s="19"/>
      <c r="L1068" s="19"/>
      <c r="AF1068" s="6"/>
      <c r="AG1068" s="6"/>
      <c r="AH1068" s="6"/>
      <c r="AI1068" s="6"/>
      <c r="AN1068" s="6"/>
      <c r="AO1068" s="6"/>
      <c r="AP1068" s="6"/>
      <c r="AQ1068" s="6"/>
      <c r="AR1068" s="27"/>
      <c r="AS1068" s="27"/>
      <c r="AT1068" s="27"/>
      <c r="AU1068" s="12"/>
      <c r="AV1068" s="28"/>
    </row>
    <row r="1069" spans="4:48">
      <c r="D1069" s="12"/>
      <c r="E1069" s="12"/>
      <c r="F1069" s="12"/>
      <c r="G1069" s="12"/>
      <c r="H1069" s="36"/>
      <c r="J1069" s="19"/>
      <c r="K1069" s="19"/>
      <c r="L1069" s="19"/>
      <c r="AF1069" s="6"/>
      <c r="AG1069" s="6"/>
      <c r="AH1069" s="6"/>
      <c r="AI1069" s="6"/>
      <c r="AN1069" s="6"/>
      <c r="AO1069" s="6"/>
      <c r="AP1069" s="6"/>
      <c r="AQ1069" s="6"/>
      <c r="AR1069" s="27"/>
      <c r="AS1069" s="27"/>
      <c r="AT1069" s="27"/>
      <c r="AU1069" s="12"/>
      <c r="AV1069" s="28"/>
    </row>
    <row r="1070" spans="4:48">
      <c r="D1070" s="12"/>
      <c r="E1070" s="12"/>
      <c r="F1070" s="12"/>
      <c r="G1070" s="12"/>
      <c r="H1070" s="36"/>
      <c r="J1070" s="19"/>
      <c r="K1070" s="19"/>
      <c r="L1070" s="19"/>
      <c r="AF1070" s="6"/>
      <c r="AG1070" s="6"/>
      <c r="AH1070" s="6"/>
      <c r="AI1070" s="6"/>
      <c r="AN1070" s="6"/>
      <c r="AO1070" s="6"/>
      <c r="AP1070" s="6"/>
      <c r="AQ1070" s="6"/>
      <c r="AR1070" s="27"/>
      <c r="AS1070" s="27"/>
      <c r="AT1070" s="27"/>
      <c r="AU1070" s="12"/>
      <c r="AV1070" s="28"/>
    </row>
    <row r="1071" spans="4:48">
      <c r="D1071" s="12"/>
      <c r="E1071" s="12"/>
      <c r="F1071" s="12"/>
      <c r="G1071" s="12"/>
      <c r="H1071" s="36"/>
      <c r="J1071" s="19"/>
      <c r="K1071" s="19"/>
      <c r="L1071" s="19"/>
      <c r="AF1071" s="6"/>
      <c r="AG1071" s="6"/>
      <c r="AH1071" s="6"/>
      <c r="AI1071" s="6"/>
      <c r="AN1071" s="6"/>
      <c r="AO1071" s="6"/>
      <c r="AP1071" s="6"/>
      <c r="AQ1071" s="6"/>
      <c r="AR1071" s="27"/>
      <c r="AS1071" s="27"/>
      <c r="AT1071" s="27"/>
      <c r="AU1071" s="12"/>
      <c r="AV1071" s="28"/>
    </row>
    <row r="1072" spans="4:48">
      <c r="D1072" s="12"/>
      <c r="E1072" s="12"/>
      <c r="F1072" s="12"/>
      <c r="G1072" s="12"/>
      <c r="H1072" s="36"/>
      <c r="J1072" s="19"/>
      <c r="K1072" s="19"/>
      <c r="L1072" s="19"/>
      <c r="AF1072" s="6"/>
      <c r="AG1072" s="6"/>
      <c r="AH1072" s="6"/>
      <c r="AI1072" s="6"/>
      <c r="AN1072" s="6"/>
      <c r="AO1072" s="6"/>
      <c r="AP1072" s="6"/>
      <c r="AQ1072" s="6"/>
      <c r="AR1072" s="27"/>
      <c r="AS1072" s="27"/>
      <c r="AT1072" s="27"/>
      <c r="AU1072" s="12"/>
      <c r="AV1072" s="28"/>
    </row>
    <row r="1073" spans="4:48">
      <c r="D1073" s="12"/>
      <c r="E1073" s="12"/>
      <c r="F1073" s="12"/>
      <c r="G1073" s="12"/>
      <c r="H1073" s="36"/>
      <c r="J1073" s="19"/>
      <c r="K1073" s="19"/>
      <c r="L1073" s="19"/>
      <c r="AF1073" s="6"/>
      <c r="AG1073" s="6"/>
      <c r="AH1073" s="6"/>
      <c r="AI1073" s="6"/>
      <c r="AN1073" s="6"/>
      <c r="AO1073" s="6"/>
      <c r="AP1073" s="6"/>
      <c r="AQ1073" s="6"/>
      <c r="AR1073" s="27"/>
      <c r="AS1073" s="27"/>
      <c r="AT1073" s="27"/>
      <c r="AU1073" s="12"/>
      <c r="AV1073" s="28"/>
    </row>
    <row r="1074" spans="4:48">
      <c r="D1074" s="12"/>
      <c r="E1074" s="12"/>
      <c r="F1074" s="12"/>
      <c r="G1074" s="12"/>
      <c r="H1074" s="36"/>
      <c r="J1074" s="19"/>
      <c r="K1074" s="19"/>
      <c r="L1074" s="19"/>
      <c r="AF1074" s="6"/>
      <c r="AG1074" s="6"/>
      <c r="AH1074" s="6"/>
      <c r="AI1074" s="6"/>
      <c r="AN1074" s="6"/>
      <c r="AO1074" s="6"/>
      <c r="AP1074" s="6"/>
      <c r="AQ1074" s="6"/>
      <c r="AR1074" s="27"/>
      <c r="AS1074" s="27"/>
      <c r="AT1074" s="27"/>
      <c r="AU1074" s="12"/>
      <c r="AV1074" s="28"/>
    </row>
    <row r="1075" spans="4:48">
      <c r="D1075" s="12"/>
      <c r="E1075" s="12"/>
      <c r="F1075" s="12"/>
      <c r="G1075" s="12"/>
      <c r="H1075" s="36"/>
      <c r="J1075" s="19"/>
      <c r="K1075" s="19"/>
      <c r="L1075" s="19"/>
      <c r="AF1075" s="6"/>
      <c r="AG1075" s="6"/>
      <c r="AH1075" s="6"/>
      <c r="AI1075" s="6"/>
      <c r="AN1075" s="6"/>
      <c r="AO1075" s="6"/>
      <c r="AP1075" s="6"/>
      <c r="AQ1075" s="6"/>
      <c r="AR1075" s="27"/>
      <c r="AS1075" s="27"/>
      <c r="AT1075" s="27"/>
      <c r="AU1075" s="12"/>
      <c r="AV1075" s="28"/>
    </row>
    <row r="1076" spans="4:48">
      <c r="D1076" s="12"/>
      <c r="E1076" s="12"/>
      <c r="F1076" s="12"/>
      <c r="G1076" s="12"/>
      <c r="H1076" s="36"/>
      <c r="J1076" s="19"/>
      <c r="K1076" s="19"/>
      <c r="L1076" s="19"/>
      <c r="AF1076" s="6"/>
      <c r="AG1076" s="6"/>
      <c r="AH1076" s="6"/>
      <c r="AI1076" s="6"/>
      <c r="AN1076" s="6"/>
      <c r="AO1076" s="6"/>
      <c r="AP1076" s="6"/>
      <c r="AQ1076" s="6"/>
      <c r="AR1076" s="27"/>
      <c r="AS1076" s="27"/>
      <c r="AT1076" s="27"/>
      <c r="AU1076" s="12"/>
      <c r="AV1076" s="28"/>
    </row>
    <row r="1077" spans="4:48">
      <c r="D1077" s="12"/>
      <c r="E1077" s="12"/>
      <c r="F1077" s="12"/>
      <c r="G1077" s="12"/>
      <c r="H1077" s="36"/>
      <c r="J1077" s="19"/>
      <c r="K1077" s="19"/>
      <c r="L1077" s="19"/>
      <c r="AF1077" s="6"/>
      <c r="AG1077" s="6"/>
      <c r="AH1077" s="6"/>
      <c r="AI1077" s="6"/>
      <c r="AN1077" s="6"/>
      <c r="AO1077" s="6"/>
      <c r="AP1077" s="6"/>
      <c r="AQ1077" s="6"/>
      <c r="AR1077" s="27"/>
      <c r="AS1077" s="27"/>
      <c r="AT1077" s="27"/>
      <c r="AU1077" s="12"/>
      <c r="AV1077" s="28"/>
    </row>
    <row r="1078" spans="4:48">
      <c r="D1078" s="12"/>
      <c r="E1078" s="12"/>
      <c r="F1078" s="12"/>
      <c r="G1078" s="12"/>
      <c r="H1078" s="36"/>
      <c r="J1078" s="19"/>
      <c r="K1078" s="19"/>
      <c r="L1078" s="19"/>
      <c r="AF1078" s="6"/>
      <c r="AG1078" s="6"/>
      <c r="AH1078" s="6"/>
      <c r="AI1078" s="6"/>
      <c r="AN1078" s="6"/>
      <c r="AO1078" s="6"/>
      <c r="AP1078" s="6"/>
      <c r="AQ1078" s="6"/>
      <c r="AR1078" s="27"/>
      <c r="AS1078" s="27"/>
      <c r="AT1078" s="27"/>
      <c r="AU1078" s="12"/>
      <c r="AV1078" s="28"/>
    </row>
    <row r="1079" spans="4:48">
      <c r="D1079" s="12"/>
      <c r="E1079" s="12"/>
      <c r="F1079" s="12"/>
      <c r="G1079" s="12"/>
      <c r="H1079" s="36"/>
      <c r="J1079" s="19"/>
      <c r="K1079" s="19"/>
      <c r="L1079" s="19"/>
      <c r="AF1079" s="6"/>
      <c r="AG1079" s="6"/>
      <c r="AH1079" s="6"/>
      <c r="AI1079" s="6"/>
      <c r="AN1079" s="6"/>
      <c r="AO1079" s="6"/>
      <c r="AP1079" s="6"/>
      <c r="AQ1079" s="6"/>
      <c r="AR1079" s="27"/>
      <c r="AS1079" s="27"/>
      <c r="AT1079" s="27"/>
      <c r="AU1079" s="12"/>
      <c r="AV1079" s="28"/>
    </row>
    <row r="1080" spans="4:48">
      <c r="D1080" s="12"/>
      <c r="E1080" s="12"/>
      <c r="F1080" s="12"/>
      <c r="G1080" s="12"/>
      <c r="H1080" s="36"/>
      <c r="J1080" s="19"/>
      <c r="K1080" s="19"/>
      <c r="L1080" s="19"/>
      <c r="AF1080" s="6"/>
      <c r="AG1080" s="6"/>
      <c r="AH1080" s="6"/>
      <c r="AI1080" s="6"/>
      <c r="AN1080" s="6"/>
      <c r="AO1080" s="6"/>
      <c r="AP1080" s="6"/>
      <c r="AQ1080" s="6"/>
      <c r="AR1080" s="27"/>
      <c r="AS1080" s="27"/>
      <c r="AT1080" s="27"/>
      <c r="AU1080" s="12"/>
      <c r="AV1080" s="28"/>
    </row>
    <row r="1081" spans="4:48">
      <c r="D1081" s="12"/>
      <c r="E1081" s="12"/>
      <c r="F1081" s="12"/>
      <c r="G1081" s="12"/>
      <c r="H1081" s="36"/>
      <c r="J1081" s="19"/>
      <c r="K1081" s="19"/>
      <c r="L1081" s="19"/>
      <c r="AF1081" s="6"/>
      <c r="AG1081" s="6"/>
      <c r="AH1081" s="6"/>
      <c r="AI1081" s="6"/>
      <c r="AN1081" s="6"/>
      <c r="AO1081" s="6"/>
      <c r="AP1081" s="6"/>
      <c r="AQ1081" s="6"/>
      <c r="AR1081" s="27"/>
      <c r="AS1081" s="27"/>
      <c r="AT1081" s="27"/>
      <c r="AU1081" s="12"/>
      <c r="AV1081" s="28"/>
    </row>
    <row r="1082" spans="4:48">
      <c r="D1082" s="12"/>
      <c r="E1082" s="12"/>
      <c r="F1082" s="12"/>
      <c r="G1082" s="12"/>
      <c r="H1082" s="36"/>
      <c r="J1082" s="19"/>
      <c r="K1082" s="19"/>
      <c r="L1082" s="19"/>
      <c r="AF1082" s="6"/>
      <c r="AG1082" s="6"/>
      <c r="AH1082" s="6"/>
      <c r="AI1082" s="6"/>
      <c r="AN1082" s="6"/>
      <c r="AO1082" s="6"/>
      <c r="AP1082" s="6"/>
      <c r="AQ1082" s="6"/>
      <c r="AR1082" s="27"/>
      <c r="AS1082" s="27"/>
      <c r="AT1082" s="27"/>
      <c r="AU1082" s="12"/>
      <c r="AV1082" s="28"/>
    </row>
    <row r="1083" spans="4:48">
      <c r="D1083" s="12"/>
      <c r="E1083" s="12"/>
      <c r="F1083" s="12"/>
      <c r="G1083" s="12"/>
      <c r="H1083" s="36"/>
      <c r="J1083" s="19"/>
      <c r="K1083" s="19"/>
      <c r="L1083" s="19"/>
      <c r="AF1083" s="6"/>
      <c r="AG1083" s="6"/>
      <c r="AH1083" s="6"/>
      <c r="AI1083" s="6"/>
      <c r="AN1083" s="6"/>
      <c r="AO1083" s="6"/>
      <c r="AP1083" s="6"/>
      <c r="AQ1083" s="6"/>
      <c r="AR1083" s="27"/>
      <c r="AS1083" s="27"/>
      <c r="AT1083" s="27"/>
      <c r="AU1083" s="12"/>
      <c r="AV1083" s="28"/>
    </row>
    <row r="1084" spans="4:48">
      <c r="D1084" s="12"/>
      <c r="E1084" s="12"/>
      <c r="F1084" s="12"/>
      <c r="G1084" s="12"/>
      <c r="H1084" s="36"/>
      <c r="J1084" s="19"/>
      <c r="K1084" s="19"/>
      <c r="L1084" s="19"/>
      <c r="AF1084" s="6"/>
      <c r="AG1084" s="6"/>
      <c r="AH1084" s="6"/>
      <c r="AI1084" s="6"/>
      <c r="AN1084" s="6"/>
      <c r="AO1084" s="6"/>
      <c r="AP1084" s="6"/>
      <c r="AQ1084" s="6"/>
      <c r="AR1084" s="27"/>
      <c r="AS1084" s="27"/>
      <c r="AT1084" s="27"/>
      <c r="AU1084" s="12"/>
      <c r="AV1084" s="28"/>
    </row>
    <row r="1085" spans="4:48">
      <c r="D1085" s="12"/>
      <c r="E1085" s="12"/>
      <c r="F1085" s="12"/>
      <c r="G1085" s="12"/>
      <c r="H1085" s="36"/>
      <c r="J1085" s="19"/>
      <c r="K1085" s="19"/>
      <c r="L1085" s="19"/>
      <c r="AF1085" s="6"/>
      <c r="AG1085" s="6"/>
      <c r="AH1085" s="6"/>
      <c r="AI1085" s="6"/>
      <c r="AN1085" s="6"/>
      <c r="AO1085" s="6"/>
      <c r="AP1085" s="6"/>
      <c r="AQ1085" s="6"/>
      <c r="AR1085" s="27"/>
      <c r="AS1085" s="27"/>
      <c r="AT1085" s="27"/>
      <c r="AU1085" s="12"/>
      <c r="AV1085" s="28"/>
    </row>
    <row r="1086" spans="4:48">
      <c r="D1086" s="12"/>
      <c r="E1086" s="12"/>
      <c r="F1086" s="12"/>
      <c r="G1086" s="12"/>
      <c r="H1086" s="36"/>
      <c r="J1086" s="19"/>
      <c r="K1086" s="19"/>
      <c r="L1086" s="19"/>
      <c r="AF1086" s="6"/>
      <c r="AG1086" s="6"/>
      <c r="AH1086" s="6"/>
      <c r="AI1086" s="6"/>
      <c r="AN1086" s="6"/>
      <c r="AO1086" s="6"/>
      <c r="AP1086" s="6"/>
      <c r="AQ1086" s="6"/>
      <c r="AR1086" s="27"/>
      <c r="AS1086" s="27"/>
      <c r="AT1086" s="27"/>
      <c r="AU1086" s="12"/>
      <c r="AV1086" s="28"/>
    </row>
    <row r="1087" spans="4:48">
      <c r="D1087" s="12"/>
      <c r="E1087" s="12"/>
      <c r="F1087" s="12"/>
      <c r="G1087" s="12"/>
      <c r="H1087" s="36"/>
      <c r="J1087" s="19"/>
      <c r="K1087" s="19"/>
      <c r="L1087" s="19"/>
      <c r="AF1087" s="6"/>
      <c r="AG1087" s="6"/>
      <c r="AH1087" s="6"/>
      <c r="AI1087" s="6"/>
      <c r="AN1087" s="6"/>
      <c r="AO1087" s="6"/>
      <c r="AP1087" s="6"/>
      <c r="AQ1087" s="6"/>
      <c r="AR1087" s="27"/>
      <c r="AS1087" s="27"/>
      <c r="AT1087" s="27"/>
      <c r="AU1087" s="12"/>
      <c r="AV1087" s="28"/>
    </row>
    <row r="1088" spans="4:48">
      <c r="D1088" s="12"/>
      <c r="E1088" s="12"/>
      <c r="F1088" s="12"/>
      <c r="G1088" s="12"/>
      <c r="H1088" s="36"/>
      <c r="J1088" s="19"/>
      <c r="K1088" s="19"/>
      <c r="L1088" s="19"/>
      <c r="AF1088" s="6"/>
      <c r="AG1088" s="6"/>
      <c r="AH1088" s="6"/>
      <c r="AI1088" s="6"/>
      <c r="AN1088" s="6"/>
      <c r="AO1088" s="6"/>
      <c r="AP1088" s="6"/>
      <c r="AQ1088" s="6"/>
      <c r="AR1088" s="27"/>
      <c r="AS1088" s="27"/>
      <c r="AT1088" s="27"/>
      <c r="AU1088" s="12"/>
      <c r="AV1088" s="28"/>
    </row>
    <row r="1089" spans="4:48">
      <c r="D1089" s="12"/>
      <c r="E1089" s="12"/>
      <c r="F1089" s="12"/>
      <c r="G1089" s="12"/>
      <c r="H1089" s="36"/>
      <c r="J1089" s="19"/>
      <c r="K1089" s="19"/>
      <c r="L1089" s="19"/>
      <c r="AF1089" s="6"/>
      <c r="AG1089" s="6"/>
      <c r="AH1089" s="6"/>
      <c r="AI1089" s="6"/>
      <c r="AN1089" s="6"/>
      <c r="AO1089" s="6"/>
      <c r="AP1089" s="6"/>
      <c r="AQ1089" s="6"/>
      <c r="AR1089" s="27"/>
      <c r="AS1089" s="27"/>
      <c r="AT1089" s="27"/>
      <c r="AU1089" s="12"/>
      <c r="AV1089" s="28"/>
    </row>
    <row r="1090" spans="4:48">
      <c r="D1090" s="12"/>
      <c r="E1090" s="12"/>
      <c r="F1090" s="12"/>
      <c r="G1090" s="12"/>
      <c r="H1090" s="36"/>
      <c r="J1090" s="19"/>
      <c r="K1090" s="19"/>
      <c r="L1090" s="19"/>
      <c r="AF1090" s="6"/>
      <c r="AG1090" s="6"/>
      <c r="AH1090" s="6"/>
      <c r="AI1090" s="6"/>
      <c r="AN1090" s="6"/>
      <c r="AO1090" s="6"/>
      <c r="AP1090" s="6"/>
      <c r="AQ1090" s="6"/>
      <c r="AR1090" s="27"/>
      <c r="AS1090" s="27"/>
      <c r="AT1090" s="27"/>
      <c r="AU1090" s="12"/>
      <c r="AV1090" s="28"/>
    </row>
    <row r="1091" spans="4:48">
      <c r="D1091" s="12"/>
      <c r="E1091" s="12"/>
      <c r="F1091" s="12"/>
      <c r="G1091" s="12"/>
      <c r="H1091" s="36"/>
      <c r="J1091" s="19"/>
      <c r="K1091" s="19"/>
      <c r="L1091" s="19"/>
      <c r="AF1091" s="6"/>
      <c r="AG1091" s="6"/>
      <c r="AH1091" s="6"/>
      <c r="AI1091" s="6"/>
      <c r="AN1091" s="6"/>
      <c r="AO1091" s="6"/>
      <c r="AP1091" s="6"/>
      <c r="AQ1091" s="6"/>
      <c r="AR1091" s="27"/>
      <c r="AS1091" s="27"/>
      <c r="AT1091" s="27"/>
      <c r="AU1091" s="12"/>
      <c r="AV1091" s="28"/>
    </row>
    <row r="1092" spans="4:48">
      <c r="D1092" s="12"/>
      <c r="E1092" s="12"/>
      <c r="F1092" s="12"/>
      <c r="G1092" s="12"/>
      <c r="H1092" s="36"/>
      <c r="J1092" s="19"/>
      <c r="K1092" s="19"/>
      <c r="L1092" s="19"/>
      <c r="AF1092" s="6"/>
      <c r="AG1092" s="6"/>
      <c r="AH1092" s="6"/>
      <c r="AI1092" s="6"/>
      <c r="AN1092" s="6"/>
      <c r="AO1092" s="6"/>
      <c r="AP1092" s="6"/>
      <c r="AQ1092" s="6"/>
      <c r="AR1092" s="27"/>
      <c r="AS1092" s="27"/>
      <c r="AT1092" s="27"/>
      <c r="AU1092" s="12"/>
      <c r="AV1092" s="28"/>
    </row>
    <row r="1093" spans="4:48">
      <c r="D1093" s="12"/>
      <c r="E1093" s="12"/>
      <c r="F1093" s="12"/>
      <c r="G1093" s="12"/>
      <c r="H1093" s="36"/>
      <c r="J1093" s="19"/>
      <c r="K1093" s="19"/>
      <c r="L1093" s="19"/>
      <c r="AF1093" s="6"/>
      <c r="AG1093" s="6"/>
      <c r="AH1093" s="6"/>
      <c r="AI1093" s="6"/>
      <c r="AN1093" s="6"/>
      <c r="AO1093" s="6"/>
      <c r="AP1093" s="6"/>
      <c r="AQ1093" s="6"/>
      <c r="AR1093" s="27"/>
      <c r="AS1093" s="27"/>
      <c r="AT1093" s="27"/>
      <c r="AU1093" s="12"/>
      <c r="AV1093" s="28"/>
    </row>
    <row r="1094" spans="4:48">
      <c r="D1094" s="12"/>
      <c r="E1094" s="12"/>
      <c r="F1094" s="12"/>
      <c r="G1094" s="12"/>
      <c r="H1094" s="36"/>
      <c r="J1094" s="19"/>
      <c r="K1094" s="19"/>
      <c r="L1094" s="19"/>
      <c r="AF1094" s="6"/>
      <c r="AG1094" s="6"/>
      <c r="AH1094" s="6"/>
      <c r="AI1094" s="6"/>
      <c r="AN1094" s="6"/>
      <c r="AO1094" s="6"/>
      <c r="AP1094" s="6"/>
      <c r="AQ1094" s="6"/>
      <c r="AR1094" s="27"/>
      <c r="AS1094" s="27"/>
      <c r="AT1094" s="27"/>
      <c r="AU1094" s="12"/>
      <c r="AV1094" s="28"/>
    </row>
    <row r="1095" spans="4:48">
      <c r="D1095" s="12"/>
      <c r="E1095" s="12"/>
      <c r="F1095" s="12"/>
      <c r="G1095" s="12"/>
      <c r="H1095" s="36"/>
      <c r="J1095" s="19"/>
      <c r="K1095" s="19"/>
      <c r="L1095" s="19"/>
      <c r="AF1095" s="6"/>
      <c r="AG1095" s="6"/>
      <c r="AH1095" s="6"/>
      <c r="AI1095" s="6"/>
      <c r="AN1095" s="6"/>
      <c r="AO1095" s="6"/>
      <c r="AP1095" s="6"/>
      <c r="AQ1095" s="6"/>
      <c r="AR1095" s="27"/>
      <c r="AS1095" s="27"/>
      <c r="AT1095" s="27"/>
      <c r="AU1095" s="12"/>
      <c r="AV1095" s="28"/>
    </row>
    <row r="1096" spans="4:48">
      <c r="D1096" s="12"/>
      <c r="E1096" s="12"/>
      <c r="F1096" s="12"/>
      <c r="G1096" s="12"/>
      <c r="H1096" s="36"/>
      <c r="J1096" s="19"/>
      <c r="K1096" s="19"/>
      <c r="L1096" s="19"/>
      <c r="AF1096" s="6"/>
      <c r="AG1096" s="6"/>
      <c r="AH1096" s="6"/>
      <c r="AI1096" s="6"/>
      <c r="AN1096" s="6"/>
      <c r="AO1096" s="6"/>
      <c r="AP1096" s="6"/>
      <c r="AQ1096" s="6"/>
      <c r="AR1096" s="27"/>
      <c r="AS1096" s="27"/>
      <c r="AT1096" s="27"/>
      <c r="AU1096" s="12"/>
      <c r="AV1096" s="28"/>
    </row>
    <row r="1097" spans="4:48">
      <c r="D1097" s="12"/>
      <c r="E1097" s="12"/>
      <c r="F1097" s="12"/>
      <c r="G1097" s="12"/>
      <c r="H1097" s="36"/>
      <c r="J1097" s="19"/>
      <c r="K1097" s="19"/>
      <c r="L1097" s="19"/>
      <c r="AF1097" s="6"/>
      <c r="AG1097" s="6"/>
      <c r="AH1097" s="6"/>
      <c r="AI1097" s="6"/>
      <c r="AN1097" s="6"/>
      <c r="AO1097" s="6"/>
      <c r="AP1097" s="6"/>
      <c r="AQ1097" s="6"/>
      <c r="AR1097" s="27"/>
      <c r="AS1097" s="27"/>
      <c r="AT1097" s="27"/>
      <c r="AU1097" s="12"/>
      <c r="AV1097" s="28"/>
    </row>
    <row r="1098" spans="4:48">
      <c r="D1098" s="12"/>
      <c r="E1098" s="12"/>
      <c r="F1098" s="12"/>
      <c r="G1098" s="12"/>
      <c r="H1098" s="36"/>
      <c r="J1098" s="19"/>
      <c r="K1098" s="19"/>
      <c r="L1098" s="19"/>
      <c r="AF1098" s="6"/>
      <c r="AG1098" s="6"/>
      <c r="AH1098" s="6"/>
      <c r="AI1098" s="6"/>
      <c r="AN1098" s="6"/>
      <c r="AO1098" s="6"/>
      <c r="AP1098" s="6"/>
      <c r="AQ1098" s="6"/>
      <c r="AR1098" s="27"/>
      <c r="AS1098" s="27"/>
      <c r="AT1098" s="27"/>
      <c r="AU1098" s="12"/>
      <c r="AV1098" s="28"/>
    </row>
    <row r="1099" spans="4:48">
      <c r="D1099" s="12"/>
      <c r="E1099" s="12"/>
      <c r="F1099" s="12"/>
      <c r="G1099" s="12"/>
      <c r="H1099" s="36"/>
      <c r="J1099" s="19"/>
      <c r="K1099" s="19"/>
      <c r="L1099" s="19"/>
      <c r="AF1099" s="6"/>
      <c r="AG1099" s="6"/>
      <c r="AH1099" s="6"/>
      <c r="AI1099" s="6"/>
      <c r="AN1099" s="6"/>
      <c r="AO1099" s="6"/>
      <c r="AP1099" s="6"/>
      <c r="AQ1099" s="6"/>
      <c r="AR1099" s="27"/>
      <c r="AS1099" s="27"/>
      <c r="AT1099" s="27"/>
      <c r="AU1099" s="12"/>
      <c r="AV1099" s="28"/>
    </row>
    <row r="1100" spans="4:48">
      <c r="D1100" s="12"/>
      <c r="E1100" s="12"/>
      <c r="F1100" s="12"/>
      <c r="G1100" s="12"/>
      <c r="H1100" s="36"/>
      <c r="J1100" s="19"/>
      <c r="K1100" s="19"/>
      <c r="L1100" s="19"/>
      <c r="AF1100" s="6"/>
      <c r="AG1100" s="6"/>
      <c r="AH1100" s="6"/>
      <c r="AI1100" s="6"/>
      <c r="AN1100" s="6"/>
      <c r="AO1100" s="6"/>
      <c r="AP1100" s="6"/>
      <c r="AQ1100" s="6"/>
      <c r="AR1100" s="27"/>
      <c r="AS1100" s="27"/>
      <c r="AT1100" s="27"/>
      <c r="AU1100" s="12"/>
      <c r="AV1100" s="28"/>
    </row>
    <row r="1101" spans="4:48">
      <c r="D1101" s="12"/>
      <c r="E1101" s="12"/>
      <c r="F1101" s="12"/>
      <c r="G1101" s="12"/>
      <c r="H1101" s="36"/>
      <c r="J1101" s="19"/>
      <c r="K1101" s="19"/>
      <c r="L1101" s="19"/>
      <c r="AF1101" s="6"/>
      <c r="AG1101" s="6"/>
      <c r="AH1101" s="6"/>
      <c r="AI1101" s="6"/>
      <c r="AN1101" s="6"/>
      <c r="AO1101" s="6"/>
      <c r="AP1101" s="6"/>
      <c r="AQ1101" s="6"/>
      <c r="AR1101" s="27"/>
      <c r="AS1101" s="27"/>
      <c r="AT1101" s="27"/>
      <c r="AU1101" s="12"/>
      <c r="AV1101" s="28"/>
    </row>
    <row r="1102" spans="4:48">
      <c r="D1102" s="12"/>
      <c r="E1102" s="12"/>
      <c r="F1102" s="12"/>
      <c r="G1102" s="12"/>
      <c r="H1102" s="36"/>
      <c r="J1102" s="19"/>
      <c r="K1102" s="19"/>
      <c r="L1102" s="19"/>
      <c r="AF1102" s="6"/>
      <c r="AG1102" s="6"/>
      <c r="AH1102" s="6"/>
      <c r="AI1102" s="6"/>
      <c r="AN1102" s="6"/>
      <c r="AO1102" s="6"/>
      <c r="AP1102" s="6"/>
      <c r="AQ1102" s="6"/>
      <c r="AR1102" s="27"/>
      <c r="AS1102" s="27"/>
      <c r="AT1102" s="27"/>
      <c r="AU1102" s="12"/>
      <c r="AV1102" s="28"/>
    </row>
    <row r="1103" spans="4:48">
      <c r="D1103" s="12"/>
      <c r="E1103" s="12"/>
      <c r="F1103" s="12"/>
      <c r="G1103" s="12"/>
      <c r="H1103" s="36"/>
      <c r="J1103" s="19"/>
      <c r="K1103" s="19"/>
      <c r="L1103" s="19"/>
      <c r="AF1103" s="6"/>
      <c r="AG1103" s="6"/>
      <c r="AH1103" s="6"/>
      <c r="AI1103" s="6"/>
      <c r="AN1103" s="6"/>
      <c r="AO1103" s="6"/>
      <c r="AP1103" s="6"/>
      <c r="AQ1103" s="6"/>
      <c r="AR1103" s="27"/>
      <c r="AS1103" s="27"/>
      <c r="AT1103" s="27"/>
      <c r="AU1103" s="12"/>
      <c r="AV1103" s="28"/>
    </row>
    <row r="1104" spans="4:48">
      <c r="D1104" s="12"/>
      <c r="E1104" s="12"/>
      <c r="F1104" s="12"/>
      <c r="G1104" s="12"/>
      <c r="H1104" s="36"/>
      <c r="J1104" s="19"/>
      <c r="K1104" s="19"/>
      <c r="L1104" s="19"/>
      <c r="AF1104" s="6"/>
      <c r="AG1104" s="6"/>
      <c r="AH1104" s="6"/>
      <c r="AI1104" s="6"/>
      <c r="AN1104" s="6"/>
      <c r="AO1104" s="6"/>
      <c r="AP1104" s="6"/>
      <c r="AQ1104" s="6"/>
      <c r="AR1104" s="27"/>
      <c r="AS1104" s="27"/>
      <c r="AT1104" s="27"/>
      <c r="AU1104" s="12"/>
      <c r="AV1104" s="28"/>
    </row>
    <row r="1105" spans="4:48">
      <c r="D1105" s="12"/>
      <c r="E1105" s="12"/>
      <c r="F1105" s="12"/>
      <c r="G1105" s="12"/>
      <c r="H1105" s="36"/>
      <c r="J1105" s="19"/>
      <c r="K1105" s="19"/>
      <c r="L1105" s="19"/>
      <c r="AF1105" s="6"/>
      <c r="AG1105" s="6"/>
      <c r="AH1105" s="6"/>
      <c r="AI1105" s="6"/>
      <c r="AN1105" s="6"/>
      <c r="AO1105" s="6"/>
      <c r="AP1105" s="6"/>
      <c r="AQ1105" s="6"/>
      <c r="AR1105" s="27"/>
      <c r="AS1105" s="27"/>
      <c r="AT1105" s="27"/>
      <c r="AU1105" s="12"/>
      <c r="AV1105" s="28"/>
    </row>
    <row r="1106" spans="4:48">
      <c r="D1106" s="12"/>
      <c r="E1106" s="12"/>
      <c r="F1106" s="12"/>
      <c r="G1106" s="12"/>
      <c r="H1106" s="36"/>
      <c r="J1106" s="19"/>
      <c r="K1106" s="19"/>
      <c r="L1106" s="19"/>
      <c r="AF1106" s="6"/>
      <c r="AG1106" s="6"/>
      <c r="AH1106" s="6"/>
      <c r="AI1106" s="6"/>
      <c r="AN1106" s="6"/>
      <c r="AO1106" s="6"/>
      <c r="AP1106" s="6"/>
      <c r="AQ1106" s="6"/>
      <c r="AR1106" s="27"/>
      <c r="AS1106" s="27"/>
      <c r="AT1106" s="27"/>
      <c r="AU1106" s="12"/>
      <c r="AV1106" s="28"/>
    </row>
    <row r="1107" spans="4:48">
      <c r="D1107" s="12"/>
      <c r="E1107" s="12"/>
      <c r="F1107" s="12"/>
      <c r="G1107" s="12"/>
      <c r="H1107" s="36"/>
      <c r="J1107" s="19"/>
      <c r="K1107" s="19"/>
      <c r="L1107" s="19"/>
      <c r="AF1107" s="6"/>
      <c r="AG1107" s="6"/>
      <c r="AH1107" s="6"/>
      <c r="AI1107" s="6"/>
      <c r="AN1107" s="6"/>
      <c r="AO1107" s="6"/>
      <c r="AP1107" s="6"/>
      <c r="AQ1107" s="6"/>
      <c r="AR1107" s="27"/>
      <c r="AS1107" s="27"/>
      <c r="AT1107" s="27"/>
      <c r="AU1107" s="12"/>
      <c r="AV1107" s="28"/>
    </row>
    <row r="1108" spans="4:48">
      <c r="D1108" s="12"/>
      <c r="E1108" s="12"/>
      <c r="F1108" s="12"/>
      <c r="G1108" s="12"/>
      <c r="H1108" s="36"/>
      <c r="J1108" s="19"/>
      <c r="K1108" s="19"/>
      <c r="L1108" s="19"/>
      <c r="AF1108" s="6"/>
      <c r="AG1108" s="6"/>
      <c r="AH1108" s="6"/>
      <c r="AI1108" s="6"/>
      <c r="AN1108" s="6"/>
      <c r="AO1108" s="6"/>
      <c r="AP1108" s="6"/>
      <c r="AQ1108" s="6"/>
      <c r="AR1108" s="27"/>
      <c r="AS1108" s="27"/>
      <c r="AT1108" s="27"/>
      <c r="AU1108" s="12"/>
      <c r="AV1108" s="28"/>
    </row>
    <row r="1109" spans="4:48">
      <c r="D1109" s="12"/>
      <c r="E1109" s="12"/>
      <c r="F1109" s="12"/>
      <c r="G1109" s="12"/>
      <c r="H1109" s="36"/>
      <c r="J1109" s="19"/>
      <c r="K1109" s="19"/>
      <c r="L1109" s="19"/>
      <c r="AF1109" s="6"/>
      <c r="AG1109" s="6"/>
      <c r="AH1109" s="6"/>
      <c r="AI1109" s="6"/>
      <c r="AN1109" s="6"/>
      <c r="AO1109" s="6"/>
      <c r="AP1109" s="6"/>
      <c r="AQ1109" s="6"/>
      <c r="AR1109" s="27"/>
      <c r="AS1109" s="27"/>
      <c r="AT1109" s="27"/>
      <c r="AU1109" s="12"/>
      <c r="AV1109" s="28"/>
    </row>
    <row r="1110" spans="4:48">
      <c r="D1110" s="12"/>
      <c r="E1110" s="12"/>
      <c r="F1110" s="12"/>
      <c r="G1110" s="12"/>
      <c r="H1110" s="36"/>
      <c r="J1110" s="19"/>
      <c r="K1110" s="19"/>
      <c r="L1110" s="19"/>
      <c r="AF1110" s="6"/>
      <c r="AG1110" s="6"/>
      <c r="AH1110" s="6"/>
      <c r="AI1110" s="6"/>
      <c r="AN1110" s="6"/>
      <c r="AO1110" s="6"/>
      <c r="AP1110" s="6"/>
      <c r="AQ1110" s="6"/>
      <c r="AR1110" s="27"/>
      <c r="AS1110" s="27"/>
      <c r="AT1110" s="27"/>
      <c r="AU1110" s="12"/>
      <c r="AV1110" s="28"/>
    </row>
    <row r="1111" spans="4:48">
      <c r="D1111" s="12"/>
      <c r="E1111" s="12"/>
      <c r="F1111" s="12"/>
      <c r="G1111" s="12"/>
      <c r="H1111" s="36"/>
      <c r="J1111" s="19"/>
      <c r="K1111" s="19"/>
      <c r="L1111" s="19"/>
      <c r="AF1111" s="6"/>
      <c r="AG1111" s="6"/>
      <c r="AH1111" s="6"/>
      <c r="AI1111" s="6"/>
      <c r="AN1111" s="6"/>
      <c r="AO1111" s="6"/>
      <c r="AP1111" s="6"/>
      <c r="AQ1111" s="6"/>
      <c r="AR1111" s="27"/>
      <c r="AS1111" s="27"/>
      <c r="AT1111" s="27"/>
      <c r="AU1111" s="12"/>
      <c r="AV1111" s="28"/>
    </row>
    <row r="1112" spans="4:48">
      <c r="D1112" s="12"/>
      <c r="E1112" s="12"/>
      <c r="F1112" s="12"/>
      <c r="G1112" s="12"/>
      <c r="H1112" s="36"/>
      <c r="J1112" s="19"/>
      <c r="K1112" s="19"/>
      <c r="L1112" s="19"/>
      <c r="AF1112" s="6"/>
      <c r="AG1112" s="6"/>
      <c r="AH1112" s="6"/>
      <c r="AI1112" s="6"/>
      <c r="AN1112" s="6"/>
      <c r="AO1112" s="6"/>
      <c r="AP1112" s="6"/>
      <c r="AQ1112" s="6"/>
      <c r="AR1112" s="27"/>
      <c r="AS1112" s="27"/>
      <c r="AT1112" s="27"/>
      <c r="AU1112" s="12"/>
      <c r="AV1112" s="28"/>
    </row>
    <row r="1113" spans="4:48">
      <c r="D1113" s="12"/>
      <c r="E1113" s="12"/>
      <c r="F1113" s="12"/>
      <c r="G1113" s="12"/>
      <c r="H1113" s="36"/>
      <c r="J1113" s="19"/>
      <c r="K1113" s="19"/>
      <c r="L1113" s="19"/>
      <c r="AF1113" s="6"/>
      <c r="AG1113" s="6"/>
      <c r="AH1113" s="6"/>
      <c r="AI1113" s="6"/>
      <c r="AN1113" s="6"/>
      <c r="AO1113" s="6"/>
      <c r="AP1113" s="6"/>
      <c r="AQ1113" s="6"/>
      <c r="AR1113" s="27"/>
      <c r="AS1113" s="27"/>
      <c r="AT1113" s="27"/>
      <c r="AU1113" s="12"/>
      <c r="AV1113" s="28"/>
    </row>
    <row r="1114" spans="4:48">
      <c r="D1114" s="12"/>
      <c r="E1114" s="12"/>
      <c r="F1114" s="12"/>
      <c r="G1114" s="12"/>
      <c r="H1114" s="36"/>
      <c r="J1114" s="19"/>
      <c r="K1114" s="19"/>
      <c r="L1114" s="19"/>
      <c r="AF1114" s="6"/>
      <c r="AG1114" s="6"/>
      <c r="AH1114" s="6"/>
      <c r="AI1114" s="6"/>
      <c r="AN1114" s="6"/>
      <c r="AO1114" s="6"/>
      <c r="AP1114" s="6"/>
      <c r="AQ1114" s="6"/>
      <c r="AR1114" s="27"/>
      <c r="AS1114" s="27"/>
      <c r="AT1114" s="27"/>
      <c r="AU1114" s="12"/>
      <c r="AV1114" s="28"/>
    </row>
    <row r="1115" spans="4:48">
      <c r="D1115" s="12"/>
      <c r="E1115" s="12"/>
      <c r="F1115" s="12"/>
      <c r="G1115" s="12"/>
      <c r="H1115" s="36"/>
      <c r="J1115" s="19"/>
      <c r="K1115" s="19"/>
      <c r="L1115" s="19"/>
      <c r="AF1115" s="6"/>
      <c r="AG1115" s="6"/>
      <c r="AH1115" s="6"/>
      <c r="AI1115" s="6"/>
      <c r="AN1115" s="6"/>
      <c r="AO1115" s="6"/>
      <c r="AP1115" s="6"/>
      <c r="AQ1115" s="6"/>
      <c r="AR1115" s="27"/>
      <c r="AS1115" s="27"/>
      <c r="AT1115" s="27"/>
      <c r="AU1115" s="12"/>
      <c r="AV1115" s="28"/>
    </row>
    <row r="1116" spans="4:48">
      <c r="D1116" s="12"/>
      <c r="E1116" s="12"/>
      <c r="F1116" s="12"/>
      <c r="G1116" s="12"/>
      <c r="H1116" s="36"/>
      <c r="J1116" s="19"/>
      <c r="K1116" s="19"/>
      <c r="L1116" s="19"/>
      <c r="AF1116" s="6"/>
      <c r="AG1116" s="6"/>
      <c r="AH1116" s="6"/>
      <c r="AI1116" s="6"/>
      <c r="AN1116" s="6"/>
      <c r="AO1116" s="6"/>
      <c r="AP1116" s="6"/>
      <c r="AQ1116" s="6"/>
      <c r="AR1116" s="27"/>
      <c r="AS1116" s="27"/>
      <c r="AT1116" s="27"/>
      <c r="AU1116" s="12"/>
      <c r="AV1116" s="28"/>
    </row>
    <row r="1117" spans="4:48">
      <c r="D1117" s="12"/>
      <c r="E1117" s="12"/>
      <c r="F1117" s="12"/>
      <c r="G1117" s="12"/>
      <c r="H1117" s="36"/>
      <c r="J1117" s="19"/>
      <c r="K1117" s="19"/>
      <c r="L1117" s="19"/>
      <c r="AF1117" s="6"/>
      <c r="AG1117" s="6"/>
      <c r="AH1117" s="6"/>
      <c r="AI1117" s="6"/>
      <c r="AN1117" s="6"/>
      <c r="AO1117" s="6"/>
      <c r="AP1117" s="6"/>
      <c r="AQ1117" s="6"/>
      <c r="AR1117" s="27"/>
      <c r="AS1117" s="27"/>
      <c r="AT1117" s="27"/>
      <c r="AU1117" s="12"/>
      <c r="AV1117" s="28"/>
    </row>
    <row r="1118" spans="4:48">
      <c r="D1118" s="12"/>
      <c r="E1118" s="12"/>
      <c r="F1118" s="12"/>
      <c r="G1118" s="12"/>
      <c r="H1118" s="36"/>
      <c r="J1118" s="19"/>
      <c r="K1118" s="19"/>
      <c r="L1118" s="19"/>
      <c r="AF1118" s="6"/>
      <c r="AG1118" s="6"/>
      <c r="AH1118" s="6"/>
      <c r="AI1118" s="6"/>
      <c r="AN1118" s="6"/>
      <c r="AO1118" s="6"/>
      <c r="AP1118" s="6"/>
      <c r="AQ1118" s="6"/>
      <c r="AR1118" s="27"/>
      <c r="AS1118" s="27"/>
      <c r="AT1118" s="27"/>
      <c r="AU1118" s="12"/>
      <c r="AV1118" s="28"/>
    </row>
    <row r="1119" spans="4:48">
      <c r="D1119" s="12"/>
      <c r="E1119" s="12"/>
      <c r="F1119" s="12"/>
      <c r="G1119" s="12"/>
      <c r="H1119" s="36"/>
      <c r="J1119" s="19"/>
      <c r="K1119" s="19"/>
      <c r="L1119" s="19"/>
      <c r="AF1119" s="6"/>
      <c r="AG1119" s="6"/>
      <c r="AH1119" s="6"/>
      <c r="AI1119" s="6"/>
      <c r="AN1119" s="6"/>
      <c r="AO1119" s="6"/>
      <c r="AP1119" s="6"/>
      <c r="AQ1119" s="6"/>
      <c r="AR1119" s="27"/>
      <c r="AS1119" s="27"/>
      <c r="AT1119" s="27"/>
      <c r="AU1119" s="12"/>
      <c r="AV1119" s="28"/>
    </row>
    <row r="1120" spans="4:48">
      <c r="D1120" s="12"/>
      <c r="E1120" s="12"/>
      <c r="F1120" s="12"/>
      <c r="G1120" s="12"/>
      <c r="H1120" s="36"/>
      <c r="J1120" s="19"/>
      <c r="K1120" s="19"/>
      <c r="L1120" s="19"/>
      <c r="AF1120" s="6"/>
      <c r="AG1120" s="6"/>
      <c r="AH1120" s="6"/>
      <c r="AI1120" s="6"/>
      <c r="AN1120" s="6"/>
      <c r="AO1120" s="6"/>
      <c r="AP1120" s="6"/>
      <c r="AQ1120" s="6"/>
      <c r="AR1120" s="27"/>
      <c r="AS1120" s="27"/>
      <c r="AT1120" s="27"/>
      <c r="AU1120" s="12"/>
      <c r="AV1120" s="28"/>
    </row>
    <row r="1121" spans="4:48">
      <c r="D1121" s="12"/>
      <c r="E1121" s="12"/>
      <c r="F1121" s="12"/>
      <c r="G1121" s="12"/>
      <c r="H1121" s="36"/>
      <c r="J1121" s="19"/>
      <c r="K1121" s="19"/>
      <c r="L1121" s="19"/>
      <c r="AF1121" s="6"/>
      <c r="AG1121" s="6"/>
      <c r="AH1121" s="6"/>
      <c r="AI1121" s="6"/>
      <c r="AN1121" s="6"/>
      <c r="AO1121" s="6"/>
      <c r="AP1121" s="6"/>
      <c r="AQ1121" s="6"/>
      <c r="AR1121" s="27"/>
      <c r="AS1121" s="27"/>
      <c r="AT1121" s="27"/>
      <c r="AU1121" s="12"/>
      <c r="AV1121" s="28"/>
    </row>
    <row r="1122" spans="4:48">
      <c r="D1122" s="12"/>
      <c r="E1122" s="12"/>
      <c r="F1122" s="12"/>
      <c r="G1122" s="12"/>
      <c r="H1122" s="36"/>
      <c r="J1122" s="19"/>
      <c r="K1122" s="19"/>
      <c r="L1122" s="19"/>
      <c r="AF1122" s="6"/>
      <c r="AG1122" s="6"/>
      <c r="AH1122" s="6"/>
      <c r="AI1122" s="6"/>
      <c r="AN1122" s="6"/>
      <c r="AO1122" s="6"/>
      <c r="AP1122" s="6"/>
      <c r="AQ1122" s="6"/>
      <c r="AR1122" s="27"/>
      <c r="AS1122" s="27"/>
      <c r="AT1122" s="27"/>
      <c r="AU1122" s="12"/>
      <c r="AV1122" s="28"/>
    </row>
    <row r="1123" spans="4:48">
      <c r="D1123" s="12"/>
      <c r="E1123" s="12"/>
      <c r="F1123" s="12"/>
      <c r="G1123" s="12"/>
      <c r="H1123" s="36"/>
      <c r="J1123" s="19"/>
      <c r="K1123" s="19"/>
      <c r="L1123" s="19"/>
      <c r="AF1123" s="6"/>
      <c r="AG1123" s="6"/>
      <c r="AH1123" s="6"/>
      <c r="AI1123" s="6"/>
      <c r="AN1123" s="6"/>
      <c r="AO1123" s="6"/>
      <c r="AP1123" s="6"/>
      <c r="AQ1123" s="6"/>
      <c r="AR1123" s="27"/>
      <c r="AS1123" s="27"/>
      <c r="AT1123" s="27"/>
      <c r="AU1123" s="12"/>
      <c r="AV1123" s="28"/>
    </row>
    <row r="1124" spans="4:48">
      <c r="D1124" s="12"/>
      <c r="E1124" s="12"/>
      <c r="F1124" s="12"/>
      <c r="G1124" s="12"/>
      <c r="H1124" s="36"/>
      <c r="J1124" s="19"/>
      <c r="K1124" s="19"/>
      <c r="L1124" s="19"/>
      <c r="AF1124" s="6"/>
      <c r="AG1124" s="6"/>
      <c r="AH1124" s="6"/>
      <c r="AI1124" s="6"/>
      <c r="AN1124" s="6"/>
      <c r="AO1124" s="6"/>
      <c r="AP1124" s="6"/>
      <c r="AQ1124" s="6"/>
      <c r="AR1124" s="27"/>
      <c r="AS1124" s="27"/>
      <c r="AT1124" s="27"/>
      <c r="AU1124" s="12"/>
      <c r="AV1124" s="28"/>
    </row>
    <row r="1125" spans="4:48">
      <c r="D1125" s="12"/>
      <c r="E1125" s="12"/>
      <c r="F1125" s="12"/>
      <c r="G1125" s="12"/>
      <c r="H1125" s="36"/>
      <c r="J1125" s="19"/>
      <c r="K1125" s="19"/>
      <c r="L1125" s="19"/>
      <c r="AF1125" s="6"/>
      <c r="AG1125" s="6"/>
      <c r="AH1125" s="6"/>
      <c r="AI1125" s="6"/>
      <c r="AN1125" s="6"/>
      <c r="AO1125" s="6"/>
      <c r="AP1125" s="6"/>
      <c r="AQ1125" s="6"/>
      <c r="AR1125" s="27"/>
      <c r="AS1125" s="27"/>
      <c r="AT1125" s="27"/>
      <c r="AU1125" s="12"/>
      <c r="AV1125" s="28"/>
    </row>
    <row r="1126" spans="4:48">
      <c r="D1126" s="12"/>
      <c r="E1126" s="12"/>
      <c r="F1126" s="12"/>
      <c r="G1126" s="12"/>
      <c r="H1126" s="36"/>
      <c r="J1126" s="19"/>
      <c r="K1126" s="19"/>
      <c r="L1126" s="19"/>
      <c r="AF1126" s="6"/>
      <c r="AG1126" s="6"/>
      <c r="AH1126" s="6"/>
      <c r="AI1126" s="6"/>
      <c r="AN1126" s="6"/>
      <c r="AO1126" s="6"/>
      <c r="AP1126" s="6"/>
      <c r="AQ1126" s="6"/>
      <c r="AR1126" s="27"/>
      <c r="AS1126" s="27"/>
      <c r="AT1126" s="27"/>
      <c r="AU1126" s="12"/>
      <c r="AV1126" s="28"/>
    </row>
    <row r="1127" spans="4:48">
      <c r="D1127" s="12"/>
      <c r="E1127" s="12"/>
      <c r="F1127" s="12"/>
      <c r="G1127" s="12"/>
      <c r="H1127" s="36"/>
      <c r="J1127" s="19"/>
      <c r="K1127" s="19"/>
      <c r="L1127" s="19"/>
      <c r="AF1127" s="6"/>
      <c r="AG1127" s="6"/>
      <c r="AH1127" s="6"/>
      <c r="AI1127" s="6"/>
      <c r="AN1127" s="6"/>
      <c r="AO1127" s="6"/>
      <c r="AP1127" s="6"/>
      <c r="AQ1127" s="6"/>
      <c r="AR1127" s="27"/>
      <c r="AS1127" s="27"/>
      <c r="AT1127" s="27"/>
      <c r="AU1127" s="12"/>
      <c r="AV1127" s="28"/>
    </row>
    <row r="1128" spans="4:48">
      <c r="D1128" s="12"/>
      <c r="E1128" s="12"/>
      <c r="F1128" s="12"/>
      <c r="G1128" s="12"/>
      <c r="H1128" s="36"/>
      <c r="J1128" s="19"/>
      <c r="K1128" s="19"/>
      <c r="L1128" s="19"/>
      <c r="AF1128" s="6"/>
      <c r="AG1128" s="6"/>
      <c r="AH1128" s="6"/>
      <c r="AI1128" s="6"/>
      <c r="AN1128" s="6"/>
      <c r="AO1128" s="6"/>
      <c r="AP1128" s="6"/>
      <c r="AQ1128" s="6"/>
      <c r="AR1128" s="27"/>
      <c r="AS1128" s="27"/>
      <c r="AT1128" s="27"/>
      <c r="AU1128" s="12"/>
      <c r="AV1128" s="28"/>
    </row>
    <row r="1129" spans="4:48">
      <c r="D1129" s="12"/>
      <c r="E1129" s="12"/>
      <c r="F1129" s="12"/>
      <c r="G1129" s="12"/>
      <c r="H1129" s="36"/>
      <c r="J1129" s="19"/>
      <c r="K1129" s="19"/>
      <c r="L1129" s="19"/>
      <c r="AF1129" s="6"/>
      <c r="AG1129" s="6"/>
      <c r="AH1129" s="6"/>
      <c r="AI1129" s="6"/>
      <c r="AN1129" s="6"/>
      <c r="AO1129" s="6"/>
      <c r="AP1129" s="6"/>
      <c r="AQ1129" s="6"/>
      <c r="AR1129" s="27"/>
      <c r="AS1129" s="27"/>
      <c r="AT1129" s="27"/>
      <c r="AU1129" s="12"/>
      <c r="AV1129" s="28"/>
    </row>
    <row r="1130" spans="4:48">
      <c r="D1130" s="12"/>
      <c r="E1130" s="12"/>
      <c r="F1130" s="12"/>
      <c r="G1130" s="12"/>
      <c r="H1130" s="36"/>
      <c r="J1130" s="19"/>
      <c r="K1130" s="19"/>
      <c r="L1130" s="19"/>
      <c r="AF1130" s="6"/>
      <c r="AG1130" s="6"/>
      <c r="AH1130" s="6"/>
      <c r="AI1130" s="6"/>
      <c r="AN1130" s="6"/>
      <c r="AO1130" s="6"/>
      <c r="AP1130" s="6"/>
      <c r="AQ1130" s="6"/>
      <c r="AR1130" s="27"/>
      <c r="AS1130" s="27"/>
      <c r="AT1130" s="27"/>
      <c r="AU1130" s="12"/>
      <c r="AV1130" s="28"/>
    </row>
    <row r="1131" spans="4:48">
      <c r="D1131" s="12"/>
      <c r="E1131" s="12"/>
      <c r="F1131" s="12"/>
      <c r="G1131" s="12"/>
      <c r="H1131" s="36"/>
      <c r="J1131" s="19"/>
      <c r="K1131" s="19"/>
      <c r="L1131" s="19"/>
      <c r="AF1131" s="6"/>
      <c r="AG1131" s="6"/>
      <c r="AH1131" s="6"/>
      <c r="AI1131" s="6"/>
      <c r="AN1131" s="6"/>
      <c r="AO1131" s="6"/>
      <c r="AP1131" s="6"/>
      <c r="AQ1131" s="6"/>
      <c r="AR1131" s="27"/>
      <c r="AS1131" s="27"/>
      <c r="AT1131" s="27"/>
      <c r="AU1131" s="12"/>
      <c r="AV1131" s="28"/>
    </row>
    <row r="1132" spans="4:48">
      <c r="D1132" s="12"/>
      <c r="E1132" s="12"/>
      <c r="F1132" s="12"/>
      <c r="G1132" s="12"/>
      <c r="H1132" s="36"/>
      <c r="J1132" s="19"/>
      <c r="K1132" s="19"/>
      <c r="L1132" s="19"/>
      <c r="AF1132" s="6"/>
      <c r="AG1132" s="6"/>
      <c r="AH1132" s="6"/>
      <c r="AI1132" s="6"/>
      <c r="AN1132" s="6"/>
      <c r="AO1132" s="6"/>
      <c r="AP1132" s="6"/>
      <c r="AQ1132" s="6"/>
      <c r="AR1132" s="27"/>
      <c r="AS1132" s="27"/>
      <c r="AT1132" s="27"/>
      <c r="AU1132" s="12"/>
      <c r="AV1132" s="28"/>
    </row>
    <row r="1133" spans="4:48">
      <c r="D1133" s="12"/>
      <c r="E1133" s="12"/>
      <c r="F1133" s="12"/>
      <c r="G1133" s="12"/>
      <c r="H1133" s="36"/>
      <c r="J1133" s="19"/>
      <c r="K1133" s="19"/>
      <c r="L1133" s="19"/>
      <c r="AF1133" s="6"/>
      <c r="AG1133" s="6"/>
      <c r="AH1133" s="6"/>
      <c r="AI1133" s="6"/>
      <c r="AN1133" s="6"/>
      <c r="AO1133" s="6"/>
      <c r="AP1133" s="6"/>
      <c r="AQ1133" s="6"/>
      <c r="AR1133" s="27"/>
      <c r="AS1133" s="27"/>
      <c r="AT1133" s="27"/>
      <c r="AU1133" s="12"/>
      <c r="AV1133" s="28"/>
    </row>
    <row r="1134" spans="4:48">
      <c r="D1134" s="12"/>
      <c r="E1134" s="12"/>
      <c r="F1134" s="12"/>
      <c r="G1134" s="12"/>
      <c r="H1134" s="36"/>
      <c r="J1134" s="19"/>
      <c r="K1134" s="19"/>
      <c r="L1134" s="19"/>
      <c r="AF1134" s="6"/>
      <c r="AG1134" s="6"/>
      <c r="AH1134" s="6"/>
      <c r="AI1134" s="6"/>
      <c r="AN1134" s="6"/>
      <c r="AO1134" s="6"/>
      <c r="AP1134" s="6"/>
      <c r="AQ1134" s="6"/>
      <c r="AR1134" s="27"/>
      <c r="AS1134" s="27"/>
      <c r="AT1134" s="27"/>
      <c r="AU1134" s="12"/>
      <c r="AV1134" s="28"/>
    </row>
    <row r="1135" spans="4:48">
      <c r="D1135" s="12"/>
      <c r="E1135" s="12"/>
      <c r="F1135" s="12"/>
      <c r="G1135" s="12"/>
      <c r="H1135" s="36"/>
      <c r="J1135" s="19"/>
      <c r="K1135" s="19"/>
      <c r="L1135" s="19"/>
      <c r="AF1135" s="6"/>
      <c r="AG1135" s="6"/>
      <c r="AH1135" s="6"/>
      <c r="AI1135" s="6"/>
      <c r="AN1135" s="6"/>
      <c r="AO1135" s="6"/>
      <c r="AP1135" s="6"/>
      <c r="AQ1135" s="6"/>
      <c r="AR1135" s="27"/>
      <c r="AS1135" s="27"/>
      <c r="AT1135" s="27"/>
      <c r="AU1135" s="12"/>
      <c r="AV1135" s="28"/>
    </row>
    <row r="1136" spans="4:48">
      <c r="D1136" s="12"/>
      <c r="E1136" s="12"/>
      <c r="F1136" s="12"/>
      <c r="G1136" s="12"/>
      <c r="H1136" s="36"/>
      <c r="J1136" s="19"/>
      <c r="K1136" s="19"/>
      <c r="L1136" s="19"/>
      <c r="AF1136" s="6"/>
      <c r="AG1136" s="6"/>
      <c r="AH1136" s="6"/>
      <c r="AI1136" s="6"/>
      <c r="AN1136" s="6"/>
      <c r="AO1136" s="6"/>
      <c r="AP1136" s="6"/>
      <c r="AQ1136" s="6"/>
      <c r="AR1136" s="27"/>
      <c r="AS1136" s="27"/>
      <c r="AT1136" s="27"/>
      <c r="AU1136" s="12"/>
      <c r="AV1136" s="28"/>
    </row>
    <row r="1137" spans="4:48">
      <c r="D1137" s="12"/>
      <c r="E1137" s="12"/>
      <c r="F1137" s="12"/>
      <c r="G1137" s="12"/>
      <c r="H1137" s="36"/>
      <c r="J1137" s="19"/>
      <c r="K1137" s="19"/>
      <c r="L1137" s="19"/>
      <c r="AF1137" s="6"/>
      <c r="AG1137" s="6"/>
      <c r="AH1137" s="6"/>
      <c r="AI1137" s="6"/>
      <c r="AN1137" s="6"/>
      <c r="AO1137" s="6"/>
      <c r="AP1137" s="6"/>
      <c r="AQ1137" s="6"/>
      <c r="AR1137" s="27"/>
      <c r="AS1137" s="27"/>
      <c r="AT1137" s="27"/>
      <c r="AU1137" s="12"/>
      <c r="AV1137" s="28"/>
    </row>
    <row r="1138" spans="4:48">
      <c r="D1138" s="12"/>
      <c r="E1138" s="12"/>
      <c r="F1138" s="12"/>
      <c r="G1138" s="12"/>
      <c r="H1138" s="36"/>
      <c r="J1138" s="19"/>
      <c r="K1138" s="19"/>
      <c r="L1138" s="19"/>
      <c r="AF1138" s="6"/>
      <c r="AG1138" s="6"/>
      <c r="AH1138" s="6"/>
      <c r="AI1138" s="6"/>
      <c r="AN1138" s="6"/>
      <c r="AO1138" s="6"/>
      <c r="AP1138" s="6"/>
      <c r="AQ1138" s="6"/>
      <c r="AR1138" s="27"/>
      <c r="AS1138" s="27"/>
      <c r="AT1138" s="27"/>
      <c r="AU1138" s="12"/>
      <c r="AV1138" s="28"/>
    </row>
    <row r="1139" spans="4:48">
      <c r="D1139" s="12"/>
      <c r="E1139" s="12"/>
      <c r="F1139" s="12"/>
      <c r="G1139" s="12"/>
      <c r="H1139" s="36"/>
      <c r="J1139" s="19"/>
      <c r="K1139" s="19"/>
      <c r="L1139" s="19"/>
      <c r="AF1139" s="6"/>
      <c r="AG1139" s="6"/>
      <c r="AH1139" s="6"/>
      <c r="AI1139" s="6"/>
      <c r="AN1139" s="6"/>
      <c r="AO1139" s="6"/>
      <c r="AP1139" s="6"/>
      <c r="AQ1139" s="6"/>
      <c r="AR1139" s="27"/>
      <c r="AS1139" s="27"/>
      <c r="AT1139" s="27"/>
      <c r="AU1139" s="12"/>
      <c r="AV1139" s="28"/>
    </row>
    <row r="1140" spans="4:48">
      <c r="D1140" s="12"/>
      <c r="E1140" s="12"/>
      <c r="F1140" s="12"/>
      <c r="G1140" s="12"/>
      <c r="H1140" s="36"/>
      <c r="J1140" s="19"/>
      <c r="K1140" s="19"/>
      <c r="L1140" s="19"/>
      <c r="AF1140" s="6"/>
      <c r="AG1140" s="6"/>
      <c r="AH1140" s="6"/>
      <c r="AI1140" s="6"/>
      <c r="AN1140" s="6"/>
      <c r="AO1140" s="6"/>
      <c r="AP1140" s="6"/>
      <c r="AQ1140" s="6"/>
      <c r="AR1140" s="27"/>
      <c r="AS1140" s="27"/>
      <c r="AT1140" s="27"/>
      <c r="AU1140" s="12"/>
      <c r="AV1140" s="28"/>
    </row>
    <row r="1141" spans="4:48">
      <c r="D1141" s="12"/>
      <c r="E1141" s="12"/>
      <c r="F1141" s="12"/>
      <c r="G1141" s="12"/>
      <c r="H1141" s="36"/>
      <c r="J1141" s="19"/>
      <c r="K1141" s="19"/>
      <c r="L1141" s="19"/>
      <c r="AF1141" s="6"/>
      <c r="AG1141" s="6"/>
      <c r="AH1141" s="6"/>
      <c r="AI1141" s="6"/>
      <c r="AN1141" s="6"/>
      <c r="AO1141" s="6"/>
      <c r="AP1141" s="6"/>
      <c r="AQ1141" s="6"/>
      <c r="AR1141" s="27"/>
      <c r="AS1141" s="27"/>
      <c r="AT1141" s="27"/>
      <c r="AU1141" s="12"/>
      <c r="AV1141" s="28"/>
    </row>
    <row r="1142" spans="4:48">
      <c r="D1142" s="12"/>
      <c r="E1142" s="12"/>
      <c r="F1142" s="12"/>
      <c r="G1142" s="12"/>
      <c r="H1142" s="36"/>
      <c r="J1142" s="19"/>
      <c r="K1142" s="19"/>
      <c r="L1142" s="19"/>
      <c r="AF1142" s="6"/>
      <c r="AG1142" s="6"/>
      <c r="AH1142" s="6"/>
      <c r="AI1142" s="6"/>
      <c r="AN1142" s="6"/>
      <c r="AO1142" s="6"/>
      <c r="AP1142" s="6"/>
      <c r="AQ1142" s="6"/>
      <c r="AR1142" s="27"/>
      <c r="AS1142" s="27"/>
      <c r="AT1142" s="27"/>
      <c r="AU1142" s="12"/>
      <c r="AV1142" s="28"/>
    </row>
    <row r="1143" spans="4:48">
      <c r="D1143" s="12"/>
      <c r="E1143" s="12"/>
      <c r="F1143" s="12"/>
      <c r="G1143" s="12"/>
      <c r="H1143" s="36"/>
      <c r="J1143" s="19"/>
      <c r="K1143" s="19"/>
      <c r="L1143" s="19"/>
      <c r="AF1143" s="6"/>
      <c r="AG1143" s="6"/>
      <c r="AH1143" s="6"/>
      <c r="AI1143" s="6"/>
      <c r="AN1143" s="6"/>
      <c r="AO1143" s="6"/>
      <c r="AP1143" s="6"/>
      <c r="AQ1143" s="6"/>
      <c r="AR1143" s="27"/>
      <c r="AS1143" s="27"/>
      <c r="AT1143" s="27"/>
      <c r="AU1143" s="12"/>
      <c r="AV1143" s="28"/>
    </row>
    <row r="1144" spans="4:48">
      <c r="D1144" s="12"/>
      <c r="E1144" s="12"/>
      <c r="F1144" s="12"/>
      <c r="G1144" s="12"/>
      <c r="H1144" s="36"/>
      <c r="J1144" s="19"/>
      <c r="K1144" s="19"/>
      <c r="L1144" s="19"/>
      <c r="AF1144" s="6"/>
      <c r="AG1144" s="6"/>
      <c r="AH1144" s="6"/>
      <c r="AI1144" s="6"/>
      <c r="AN1144" s="6"/>
      <c r="AO1144" s="6"/>
      <c r="AP1144" s="6"/>
      <c r="AQ1144" s="6"/>
      <c r="AR1144" s="27"/>
      <c r="AS1144" s="27"/>
      <c r="AT1144" s="27"/>
      <c r="AU1144" s="12"/>
      <c r="AV1144" s="28"/>
    </row>
    <row r="1145" spans="4:48">
      <c r="D1145" s="12"/>
      <c r="E1145" s="12"/>
      <c r="F1145" s="12"/>
      <c r="G1145" s="12"/>
      <c r="H1145" s="36"/>
      <c r="J1145" s="19"/>
      <c r="K1145" s="19"/>
      <c r="L1145" s="19"/>
      <c r="AF1145" s="6"/>
      <c r="AG1145" s="6"/>
      <c r="AH1145" s="6"/>
      <c r="AI1145" s="6"/>
      <c r="AN1145" s="6"/>
      <c r="AO1145" s="6"/>
      <c r="AP1145" s="6"/>
      <c r="AQ1145" s="6"/>
      <c r="AR1145" s="27"/>
      <c r="AS1145" s="27"/>
      <c r="AT1145" s="27"/>
      <c r="AU1145" s="12"/>
      <c r="AV1145" s="28"/>
    </row>
    <row r="1146" spans="4:48">
      <c r="D1146" s="12"/>
      <c r="E1146" s="12"/>
      <c r="F1146" s="12"/>
      <c r="G1146" s="12"/>
      <c r="H1146" s="36"/>
      <c r="J1146" s="19"/>
      <c r="K1146" s="19"/>
      <c r="L1146" s="19"/>
      <c r="AF1146" s="6"/>
      <c r="AG1146" s="6"/>
      <c r="AH1146" s="6"/>
      <c r="AI1146" s="6"/>
      <c r="AN1146" s="6"/>
      <c r="AO1146" s="6"/>
      <c r="AP1146" s="6"/>
      <c r="AQ1146" s="6"/>
      <c r="AR1146" s="27"/>
      <c r="AS1146" s="27"/>
      <c r="AT1146" s="27"/>
      <c r="AU1146" s="12"/>
      <c r="AV1146" s="28"/>
    </row>
    <row r="1147" spans="4:48">
      <c r="D1147" s="12"/>
      <c r="E1147" s="12"/>
      <c r="F1147" s="12"/>
      <c r="G1147" s="12"/>
      <c r="H1147" s="36"/>
      <c r="J1147" s="19"/>
      <c r="K1147" s="19"/>
      <c r="L1147" s="19"/>
      <c r="AF1147" s="6"/>
      <c r="AG1147" s="6"/>
      <c r="AH1147" s="6"/>
      <c r="AI1147" s="6"/>
      <c r="AN1147" s="6"/>
      <c r="AO1147" s="6"/>
      <c r="AP1147" s="6"/>
      <c r="AQ1147" s="6"/>
      <c r="AR1147" s="27"/>
      <c r="AS1147" s="27"/>
      <c r="AT1147" s="27"/>
      <c r="AU1147" s="12"/>
      <c r="AV1147" s="28"/>
    </row>
    <row r="1148" spans="4:48">
      <c r="D1148" s="12"/>
      <c r="E1148" s="12"/>
      <c r="F1148" s="12"/>
      <c r="G1148" s="12"/>
      <c r="H1148" s="36"/>
      <c r="J1148" s="19"/>
      <c r="K1148" s="19"/>
      <c r="L1148" s="19"/>
      <c r="AF1148" s="6"/>
      <c r="AG1148" s="6"/>
      <c r="AH1148" s="6"/>
      <c r="AI1148" s="6"/>
      <c r="AN1148" s="6"/>
      <c r="AO1148" s="6"/>
      <c r="AP1148" s="6"/>
      <c r="AQ1148" s="6"/>
      <c r="AR1148" s="27"/>
      <c r="AS1148" s="27"/>
      <c r="AT1148" s="27"/>
      <c r="AU1148" s="12"/>
      <c r="AV1148" s="28"/>
    </row>
    <row r="1149" spans="4:48">
      <c r="D1149" s="12"/>
      <c r="E1149" s="12"/>
      <c r="F1149" s="12"/>
      <c r="G1149" s="12"/>
      <c r="H1149" s="36"/>
      <c r="J1149" s="19"/>
      <c r="K1149" s="19"/>
      <c r="L1149" s="19"/>
      <c r="AF1149" s="6"/>
      <c r="AG1149" s="6"/>
      <c r="AH1149" s="6"/>
      <c r="AI1149" s="6"/>
      <c r="AN1149" s="6"/>
      <c r="AO1149" s="6"/>
      <c r="AP1149" s="6"/>
      <c r="AQ1149" s="6"/>
      <c r="AR1149" s="27"/>
      <c r="AS1149" s="27"/>
      <c r="AT1149" s="27"/>
      <c r="AU1149" s="12"/>
      <c r="AV1149" s="28"/>
    </row>
    <row r="1150" spans="4:48">
      <c r="D1150" s="12"/>
      <c r="E1150" s="12"/>
      <c r="F1150" s="12"/>
      <c r="G1150" s="12"/>
      <c r="H1150" s="36"/>
      <c r="J1150" s="19"/>
      <c r="K1150" s="19"/>
      <c r="L1150" s="19"/>
      <c r="AF1150" s="6"/>
      <c r="AG1150" s="6"/>
      <c r="AH1150" s="6"/>
      <c r="AI1150" s="6"/>
      <c r="AN1150" s="6"/>
      <c r="AO1150" s="6"/>
      <c r="AP1150" s="6"/>
      <c r="AQ1150" s="6"/>
      <c r="AR1150" s="27"/>
      <c r="AS1150" s="27"/>
      <c r="AT1150" s="27"/>
      <c r="AU1150" s="12"/>
      <c r="AV1150" s="28"/>
    </row>
    <row r="1151" spans="4:48">
      <c r="D1151" s="12"/>
      <c r="E1151" s="12"/>
      <c r="F1151" s="12"/>
      <c r="G1151" s="12"/>
      <c r="H1151" s="36"/>
      <c r="J1151" s="19"/>
      <c r="K1151" s="19"/>
      <c r="L1151" s="19"/>
      <c r="AF1151" s="6"/>
      <c r="AG1151" s="6"/>
      <c r="AH1151" s="6"/>
      <c r="AI1151" s="6"/>
      <c r="AN1151" s="6"/>
      <c r="AO1151" s="6"/>
      <c r="AP1151" s="6"/>
      <c r="AQ1151" s="6"/>
      <c r="AR1151" s="27"/>
      <c r="AS1151" s="27"/>
      <c r="AT1151" s="27"/>
      <c r="AU1151" s="12"/>
      <c r="AV1151" s="28"/>
    </row>
    <row r="1152" spans="4:48">
      <c r="D1152" s="12"/>
      <c r="E1152" s="12"/>
      <c r="F1152" s="12"/>
      <c r="G1152" s="12"/>
      <c r="H1152" s="36"/>
      <c r="J1152" s="19"/>
      <c r="K1152" s="19"/>
      <c r="L1152" s="19"/>
      <c r="AF1152" s="6"/>
      <c r="AG1152" s="6"/>
      <c r="AH1152" s="6"/>
      <c r="AI1152" s="6"/>
      <c r="AN1152" s="6"/>
      <c r="AO1152" s="6"/>
      <c r="AP1152" s="6"/>
      <c r="AQ1152" s="6"/>
      <c r="AR1152" s="27"/>
      <c r="AS1152" s="27"/>
      <c r="AT1152" s="27"/>
      <c r="AU1152" s="12"/>
      <c r="AV1152" s="28"/>
    </row>
    <row r="1153" spans="4:48">
      <c r="D1153" s="12"/>
      <c r="E1153" s="12"/>
      <c r="F1153" s="12"/>
      <c r="G1153" s="12"/>
      <c r="H1153" s="36"/>
      <c r="J1153" s="19"/>
      <c r="K1153" s="19"/>
      <c r="L1153" s="19"/>
      <c r="AF1153" s="6"/>
      <c r="AG1153" s="6"/>
      <c r="AH1153" s="6"/>
      <c r="AI1153" s="6"/>
      <c r="AN1153" s="6"/>
      <c r="AO1153" s="6"/>
      <c r="AP1153" s="6"/>
      <c r="AQ1153" s="6"/>
      <c r="AR1153" s="27"/>
      <c r="AS1153" s="27"/>
      <c r="AT1153" s="27"/>
      <c r="AU1153" s="12"/>
      <c r="AV1153" s="28"/>
    </row>
    <row r="1154" spans="4:48">
      <c r="D1154" s="12"/>
      <c r="E1154" s="12"/>
      <c r="F1154" s="12"/>
      <c r="G1154" s="12"/>
      <c r="H1154" s="36"/>
      <c r="J1154" s="19"/>
      <c r="K1154" s="19"/>
      <c r="L1154" s="19"/>
      <c r="AF1154" s="6"/>
      <c r="AG1154" s="6"/>
      <c r="AH1154" s="6"/>
      <c r="AI1154" s="6"/>
      <c r="AN1154" s="6"/>
      <c r="AO1154" s="6"/>
      <c r="AP1154" s="6"/>
      <c r="AQ1154" s="6"/>
      <c r="AR1154" s="27"/>
      <c r="AS1154" s="27"/>
      <c r="AT1154" s="27"/>
      <c r="AU1154" s="12"/>
      <c r="AV1154" s="28"/>
    </row>
    <row r="1155" spans="4:48">
      <c r="D1155" s="12"/>
      <c r="E1155" s="12"/>
      <c r="F1155" s="12"/>
      <c r="G1155" s="12"/>
      <c r="H1155" s="36"/>
      <c r="J1155" s="19"/>
      <c r="K1155" s="19"/>
      <c r="L1155" s="19"/>
      <c r="AF1155" s="6"/>
      <c r="AG1155" s="6"/>
      <c r="AH1155" s="6"/>
      <c r="AI1155" s="6"/>
      <c r="AN1155" s="6"/>
      <c r="AO1155" s="6"/>
      <c r="AP1155" s="6"/>
      <c r="AQ1155" s="6"/>
      <c r="AR1155" s="27"/>
      <c r="AS1155" s="27"/>
      <c r="AT1155" s="27"/>
      <c r="AU1155" s="12"/>
      <c r="AV1155" s="28"/>
    </row>
    <row r="1156" spans="4:48">
      <c r="D1156" s="12"/>
      <c r="E1156" s="12"/>
      <c r="F1156" s="12"/>
      <c r="G1156" s="12"/>
      <c r="H1156" s="36"/>
      <c r="J1156" s="19"/>
      <c r="K1156" s="19"/>
      <c r="L1156" s="19"/>
      <c r="AF1156" s="6"/>
      <c r="AG1156" s="6"/>
      <c r="AH1156" s="6"/>
      <c r="AI1156" s="6"/>
      <c r="AN1156" s="6"/>
      <c r="AO1156" s="6"/>
      <c r="AP1156" s="6"/>
      <c r="AQ1156" s="6"/>
      <c r="AR1156" s="27"/>
      <c r="AS1156" s="27"/>
      <c r="AT1156" s="27"/>
      <c r="AU1156" s="12"/>
      <c r="AV1156" s="28"/>
    </row>
    <row r="1157" spans="4:48">
      <c r="D1157" s="12"/>
      <c r="E1157" s="12"/>
      <c r="F1157" s="12"/>
      <c r="G1157" s="12"/>
      <c r="H1157" s="36"/>
      <c r="J1157" s="19"/>
      <c r="K1157" s="19"/>
      <c r="L1157" s="19"/>
      <c r="AF1157" s="6"/>
      <c r="AG1157" s="6"/>
      <c r="AH1157" s="6"/>
      <c r="AI1157" s="6"/>
      <c r="AN1157" s="6"/>
      <c r="AO1157" s="6"/>
      <c r="AP1157" s="6"/>
      <c r="AQ1157" s="6"/>
      <c r="AR1157" s="27"/>
      <c r="AS1157" s="27"/>
      <c r="AT1157" s="27"/>
      <c r="AU1157" s="12"/>
      <c r="AV1157" s="28"/>
    </row>
    <row r="1158" spans="4:48">
      <c r="D1158" s="12"/>
      <c r="E1158" s="12"/>
      <c r="F1158" s="12"/>
      <c r="G1158" s="12"/>
      <c r="H1158" s="36"/>
      <c r="J1158" s="19"/>
      <c r="K1158" s="19"/>
      <c r="L1158" s="19"/>
      <c r="AF1158" s="6"/>
      <c r="AG1158" s="6"/>
      <c r="AH1158" s="6"/>
      <c r="AI1158" s="6"/>
      <c r="AN1158" s="6"/>
      <c r="AO1158" s="6"/>
      <c r="AP1158" s="6"/>
      <c r="AQ1158" s="6"/>
      <c r="AR1158" s="27"/>
      <c r="AS1158" s="27"/>
      <c r="AT1158" s="27"/>
      <c r="AU1158" s="12"/>
      <c r="AV1158" s="28"/>
    </row>
    <row r="1159" spans="4:48">
      <c r="D1159" s="12"/>
      <c r="E1159" s="12"/>
      <c r="F1159" s="12"/>
      <c r="G1159" s="12"/>
      <c r="H1159" s="36"/>
      <c r="J1159" s="19"/>
      <c r="K1159" s="19"/>
      <c r="L1159" s="19"/>
      <c r="AF1159" s="6"/>
      <c r="AG1159" s="6"/>
      <c r="AH1159" s="6"/>
      <c r="AI1159" s="6"/>
      <c r="AN1159" s="6"/>
      <c r="AO1159" s="6"/>
      <c r="AP1159" s="6"/>
      <c r="AQ1159" s="6"/>
      <c r="AR1159" s="27"/>
      <c r="AS1159" s="27"/>
      <c r="AT1159" s="27"/>
      <c r="AU1159" s="12"/>
      <c r="AV1159" s="28"/>
    </row>
    <row r="1160" spans="4:48">
      <c r="D1160" s="12"/>
      <c r="E1160" s="12"/>
      <c r="F1160" s="12"/>
      <c r="G1160" s="12"/>
      <c r="H1160" s="36"/>
      <c r="J1160" s="19"/>
      <c r="K1160" s="19"/>
      <c r="L1160" s="19"/>
      <c r="AF1160" s="6"/>
      <c r="AG1160" s="6"/>
      <c r="AH1160" s="6"/>
      <c r="AI1160" s="6"/>
      <c r="AN1160" s="6"/>
      <c r="AO1160" s="6"/>
      <c r="AP1160" s="6"/>
      <c r="AQ1160" s="6"/>
      <c r="AR1160" s="27"/>
      <c r="AS1160" s="27"/>
      <c r="AT1160" s="27"/>
      <c r="AU1160" s="12"/>
      <c r="AV1160" s="28"/>
    </row>
    <row r="1161" spans="4:48">
      <c r="D1161" s="12"/>
      <c r="E1161" s="12"/>
      <c r="F1161" s="12"/>
      <c r="G1161" s="12"/>
      <c r="H1161" s="36"/>
      <c r="J1161" s="19"/>
      <c r="K1161" s="19"/>
      <c r="L1161" s="19"/>
      <c r="AF1161" s="6"/>
      <c r="AG1161" s="6"/>
      <c r="AH1161" s="6"/>
      <c r="AI1161" s="6"/>
      <c r="AN1161" s="6"/>
      <c r="AO1161" s="6"/>
      <c r="AP1161" s="6"/>
      <c r="AQ1161" s="6"/>
      <c r="AR1161" s="27"/>
      <c r="AS1161" s="27"/>
      <c r="AT1161" s="27"/>
      <c r="AU1161" s="12"/>
      <c r="AV1161" s="28"/>
    </row>
    <row r="1162" spans="4:48">
      <c r="D1162" s="12"/>
      <c r="E1162" s="12"/>
      <c r="F1162" s="12"/>
      <c r="G1162" s="12"/>
      <c r="H1162" s="36"/>
      <c r="J1162" s="19"/>
      <c r="K1162" s="19"/>
      <c r="L1162" s="19"/>
      <c r="AF1162" s="6"/>
      <c r="AG1162" s="6"/>
      <c r="AH1162" s="6"/>
      <c r="AI1162" s="6"/>
      <c r="AN1162" s="6"/>
      <c r="AO1162" s="6"/>
      <c r="AP1162" s="6"/>
      <c r="AQ1162" s="6"/>
      <c r="AR1162" s="27"/>
      <c r="AS1162" s="27"/>
      <c r="AT1162" s="27"/>
      <c r="AU1162" s="12"/>
      <c r="AV1162" s="28"/>
    </row>
    <row r="1163" spans="4:48">
      <c r="D1163" s="12"/>
      <c r="E1163" s="12"/>
      <c r="F1163" s="12"/>
      <c r="G1163" s="12"/>
      <c r="H1163" s="36"/>
      <c r="J1163" s="19"/>
      <c r="K1163" s="19"/>
      <c r="L1163" s="19"/>
      <c r="AF1163" s="6"/>
      <c r="AG1163" s="6"/>
      <c r="AH1163" s="6"/>
      <c r="AI1163" s="6"/>
      <c r="AN1163" s="6"/>
      <c r="AO1163" s="6"/>
      <c r="AP1163" s="6"/>
      <c r="AQ1163" s="6"/>
      <c r="AR1163" s="27"/>
      <c r="AS1163" s="27"/>
      <c r="AT1163" s="27"/>
      <c r="AU1163" s="12"/>
      <c r="AV1163" s="28"/>
    </row>
    <row r="1164" spans="4:48">
      <c r="D1164" s="12"/>
      <c r="E1164" s="12"/>
      <c r="F1164" s="12"/>
      <c r="G1164" s="12"/>
      <c r="H1164" s="36"/>
      <c r="J1164" s="19"/>
      <c r="K1164" s="19"/>
      <c r="L1164" s="19"/>
      <c r="AF1164" s="6"/>
      <c r="AG1164" s="6"/>
      <c r="AH1164" s="6"/>
      <c r="AI1164" s="6"/>
      <c r="AN1164" s="6"/>
      <c r="AO1164" s="6"/>
      <c r="AP1164" s="6"/>
      <c r="AQ1164" s="6"/>
      <c r="AR1164" s="27"/>
      <c r="AS1164" s="27"/>
      <c r="AT1164" s="27"/>
      <c r="AU1164" s="12"/>
      <c r="AV1164" s="28"/>
    </row>
    <row r="1165" spans="4:48">
      <c r="D1165" s="12"/>
      <c r="E1165" s="12"/>
      <c r="F1165" s="12"/>
      <c r="G1165" s="12"/>
      <c r="H1165" s="36"/>
      <c r="J1165" s="19"/>
      <c r="K1165" s="19"/>
      <c r="L1165" s="19"/>
      <c r="AF1165" s="6"/>
      <c r="AG1165" s="6"/>
      <c r="AH1165" s="6"/>
      <c r="AI1165" s="6"/>
      <c r="AN1165" s="6"/>
      <c r="AO1165" s="6"/>
      <c r="AP1165" s="6"/>
      <c r="AQ1165" s="6"/>
      <c r="AR1165" s="27"/>
      <c r="AS1165" s="27"/>
      <c r="AT1165" s="27"/>
      <c r="AU1165" s="12"/>
      <c r="AV1165" s="28"/>
    </row>
    <row r="1166" spans="4:48">
      <c r="D1166" s="12"/>
      <c r="E1166" s="12"/>
      <c r="F1166" s="12"/>
      <c r="G1166" s="12"/>
      <c r="H1166" s="36"/>
      <c r="J1166" s="19"/>
      <c r="K1166" s="19"/>
      <c r="L1166" s="19"/>
      <c r="AF1166" s="6"/>
      <c r="AG1166" s="6"/>
      <c r="AH1166" s="6"/>
      <c r="AI1166" s="6"/>
      <c r="AN1166" s="6"/>
      <c r="AO1166" s="6"/>
      <c r="AP1166" s="6"/>
      <c r="AQ1166" s="6"/>
      <c r="AR1166" s="27"/>
      <c r="AS1166" s="27"/>
      <c r="AT1166" s="27"/>
      <c r="AU1166" s="12"/>
      <c r="AV1166" s="28"/>
    </row>
    <row r="1167" spans="4:48">
      <c r="D1167" s="12"/>
      <c r="E1167" s="12"/>
      <c r="F1167" s="12"/>
      <c r="G1167" s="12"/>
      <c r="H1167" s="36"/>
      <c r="J1167" s="19"/>
      <c r="K1167" s="19"/>
      <c r="L1167" s="19"/>
      <c r="AF1167" s="6"/>
      <c r="AG1167" s="6"/>
      <c r="AH1167" s="6"/>
      <c r="AI1167" s="6"/>
      <c r="AN1167" s="6"/>
      <c r="AO1167" s="6"/>
      <c r="AP1167" s="6"/>
      <c r="AQ1167" s="6"/>
      <c r="AR1167" s="27"/>
      <c r="AS1167" s="27"/>
      <c r="AT1167" s="27"/>
      <c r="AU1167" s="12"/>
      <c r="AV1167" s="28"/>
    </row>
    <row r="1168" spans="4:48">
      <c r="D1168" s="12"/>
      <c r="E1168" s="12"/>
      <c r="F1168" s="12"/>
      <c r="G1168" s="12"/>
      <c r="H1168" s="36"/>
      <c r="J1168" s="19"/>
      <c r="K1168" s="19"/>
      <c r="L1168" s="19"/>
      <c r="AF1168" s="6"/>
      <c r="AG1168" s="6"/>
      <c r="AH1168" s="6"/>
      <c r="AI1168" s="6"/>
      <c r="AN1168" s="6"/>
      <c r="AO1168" s="6"/>
      <c r="AP1168" s="6"/>
      <c r="AQ1168" s="6"/>
      <c r="AR1168" s="27"/>
      <c r="AS1168" s="27"/>
      <c r="AT1168" s="27"/>
      <c r="AU1168" s="12"/>
      <c r="AV1168" s="28"/>
    </row>
    <row r="1169" spans="4:48">
      <c r="D1169" s="12"/>
      <c r="E1169" s="12"/>
      <c r="F1169" s="12"/>
      <c r="G1169" s="12"/>
      <c r="H1169" s="36"/>
      <c r="J1169" s="19"/>
      <c r="K1169" s="19"/>
      <c r="L1169" s="19"/>
      <c r="AF1169" s="6"/>
      <c r="AG1169" s="6"/>
      <c r="AH1169" s="6"/>
      <c r="AI1169" s="6"/>
      <c r="AN1169" s="6"/>
      <c r="AO1169" s="6"/>
      <c r="AP1169" s="6"/>
      <c r="AQ1169" s="6"/>
      <c r="AR1169" s="27"/>
      <c r="AS1169" s="27"/>
      <c r="AT1169" s="27"/>
      <c r="AU1169" s="12"/>
      <c r="AV1169" s="28"/>
    </row>
    <row r="1170" spans="4:48">
      <c r="D1170" s="12"/>
      <c r="E1170" s="12"/>
      <c r="F1170" s="12"/>
      <c r="G1170" s="12"/>
      <c r="H1170" s="36"/>
      <c r="J1170" s="19"/>
      <c r="K1170" s="19"/>
      <c r="L1170" s="19"/>
      <c r="AF1170" s="6"/>
      <c r="AG1170" s="6"/>
      <c r="AH1170" s="6"/>
      <c r="AI1170" s="6"/>
      <c r="AN1170" s="6"/>
      <c r="AO1170" s="6"/>
      <c r="AP1170" s="6"/>
      <c r="AQ1170" s="6"/>
      <c r="AR1170" s="27"/>
      <c r="AS1170" s="27"/>
      <c r="AT1170" s="27"/>
      <c r="AU1170" s="12"/>
      <c r="AV1170" s="28"/>
    </row>
    <row r="1171" spans="4:48">
      <c r="D1171" s="12"/>
      <c r="E1171" s="12"/>
      <c r="F1171" s="12"/>
      <c r="G1171" s="12"/>
      <c r="H1171" s="36"/>
      <c r="J1171" s="19"/>
      <c r="K1171" s="19"/>
      <c r="L1171" s="19"/>
      <c r="AF1171" s="6"/>
      <c r="AG1171" s="6"/>
      <c r="AH1171" s="6"/>
      <c r="AI1171" s="6"/>
      <c r="AN1171" s="6"/>
      <c r="AO1171" s="6"/>
      <c r="AP1171" s="6"/>
      <c r="AQ1171" s="6"/>
      <c r="AR1171" s="27"/>
      <c r="AS1171" s="27"/>
      <c r="AT1171" s="27"/>
      <c r="AU1171" s="12"/>
      <c r="AV1171" s="28"/>
    </row>
    <row r="1172" spans="4:48">
      <c r="D1172" s="12"/>
      <c r="E1172" s="12"/>
      <c r="F1172" s="12"/>
      <c r="G1172" s="12"/>
      <c r="H1172" s="36"/>
      <c r="J1172" s="19"/>
      <c r="K1172" s="19"/>
      <c r="L1172" s="19"/>
      <c r="AF1172" s="6"/>
      <c r="AG1172" s="6"/>
      <c r="AH1172" s="6"/>
      <c r="AI1172" s="6"/>
      <c r="AN1172" s="6"/>
      <c r="AO1172" s="6"/>
      <c r="AP1172" s="6"/>
      <c r="AQ1172" s="6"/>
      <c r="AR1172" s="27"/>
      <c r="AS1172" s="27"/>
      <c r="AT1172" s="27"/>
      <c r="AU1172" s="12"/>
      <c r="AV1172" s="28"/>
    </row>
    <row r="1173" spans="4:48">
      <c r="D1173" s="12"/>
      <c r="E1173" s="12"/>
      <c r="F1173" s="12"/>
      <c r="G1173" s="12"/>
      <c r="H1173" s="36"/>
      <c r="J1173" s="19"/>
      <c r="K1173" s="19"/>
      <c r="L1173" s="19"/>
      <c r="AF1173" s="6"/>
      <c r="AG1173" s="6"/>
      <c r="AH1173" s="6"/>
      <c r="AI1173" s="6"/>
      <c r="AN1173" s="6"/>
      <c r="AO1173" s="6"/>
      <c r="AP1173" s="6"/>
      <c r="AQ1173" s="6"/>
      <c r="AR1173" s="27"/>
      <c r="AS1173" s="27"/>
      <c r="AT1173" s="27"/>
      <c r="AU1173" s="12"/>
      <c r="AV1173" s="28"/>
    </row>
    <row r="1174" spans="4:48">
      <c r="D1174" s="12"/>
      <c r="E1174" s="12"/>
      <c r="F1174" s="12"/>
      <c r="G1174" s="12"/>
      <c r="H1174" s="36"/>
      <c r="J1174" s="19"/>
      <c r="K1174" s="19"/>
      <c r="L1174" s="19"/>
      <c r="AF1174" s="6"/>
      <c r="AG1174" s="6"/>
      <c r="AH1174" s="6"/>
      <c r="AI1174" s="6"/>
      <c r="AN1174" s="6"/>
      <c r="AO1174" s="6"/>
      <c r="AP1174" s="6"/>
      <c r="AQ1174" s="6"/>
      <c r="AR1174" s="27"/>
      <c r="AS1174" s="27"/>
      <c r="AT1174" s="27"/>
      <c r="AU1174" s="12"/>
      <c r="AV1174" s="28"/>
    </row>
    <row r="1175" spans="4:48">
      <c r="D1175" s="12"/>
      <c r="E1175" s="12"/>
      <c r="F1175" s="12"/>
      <c r="G1175" s="12"/>
      <c r="H1175" s="36"/>
      <c r="J1175" s="19"/>
      <c r="K1175" s="19"/>
      <c r="L1175" s="19"/>
      <c r="AF1175" s="6"/>
      <c r="AG1175" s="6"/>
      <c r="AH1175" s="6"/>
      <c r="AI1175" s="6"/>
      <c r="AN1175" s="6"/>
      <c r="AO1175" s="6"/>
      <c r="AP1175" s="6"/>
      <c r="AQ1175" s="6"/>
      <c r="AR1175" s="27"/>
      <c r="AS1175" s="27"/>
      <c r="AT1175" s="27"/>
      <c r="AU1175" s="12"/>
      <c r="AV1175" s="28"/>
    </row>
    <row r="1176" spans="4:48">
      <c r="D1176" s="12"/>
      <c r="E1176" s="12"/>
      <c r="F1176" s="12"/>
      <c r="G1176" s="12"/>
      <c r="H1176" s="36"/>
      <c r="J1176" s="19"/>
      <c r="K1176" s="19"/>
      <c r="L1176" s="19"/>
      <c r="AF1176" s="6"/>
      <c r="AG1176" s="6"/>
      <c r="AH1176" s="6"/>
      <c r="AI1176" s="6"/>
      <c r="AN1176" s="6"/>
      <c r="AO1176" s="6"/>
      <c r="AP1176" s="6"/>
      <c r="AQ1176" s="6"/>
      <c r="AR1176" s="27"/>
      <c r="AS1176" s="27"/>
      <c r="AT1176" s="27"/>
      <c r="AU1176" s="12"/>
      <c r="AV1176" s="28"/>
    </row>
    <row r="1177" spans="4:48">
      <c r="D1177" s="12"/>
      <c r="E1177" s="12"/>
      <c r="F1177" s="12"/>
      <c r="G1177" s="12"/>
      <c r="H1177" s="36"/>
      <c r="J1177" s="19"/>
      <c r="K1177" s="19"/>
      <c r="L1177" s="19"/>
      <c r="AF1177" s="6"/>
      <c r="AG1177" s="6"/>
      <c r="AH1177" s="6"/>
      <c r="AI1177" s="6"/>
      <c r="AN1177" s="6"/>
      <c r="AO1177" s="6"/>
      <c r="AP1177" s="6"/>
      <c r="AQ1177" s="6"/>
      <c r="AR1177" s="27"/>
      <c r="AS1177" s="27"/>
      <c r="AT1177" s="27"/>
      <c r="AU1177" s="12"/>
      <c r="AV1177" s="28"/>
    </row>
    <row r="1178" spans="4:48">
      <c r="D1178" s="12"/>
      <c r="E1178" s="12"/>
      <c r="F1178" s="12"/>
      <c r="G1178" s="12"/>
      <c r="H1178" s="36"/>
      <c r="J1178" s="19"/>
      <c r="K1178" s="19"/>
      <c r="L1178" s="19"/>
      <c r="AF1178" s="6"/>
      <c r="AG1178" s="6"/>
      <c r="AH1178" s="6"/>
      <c r="AI1178" s="6"/>
      <c r="AN1178" s="6"/>
      <c r="AO1178" s="6"/>
      <c r="AP1178" s="6"/>
      <c r="AQ1178" s="6"/>
      <c r="AR1178" s="27"/>
      <c r="AS1178" s="27"/>
      <c r="AT1178" s="27"/>
      <c r="AU1178" s="12"/>
      <c r="AV1178" s="28"/>
    </row>
    <row r="1179" spans="4:48">
      <c r="D1179" s="12"/>
      <c r="E1179" s="12"/>
      <c r="F1179" s="12"/>
      <c r="G1179" s="12"/>
      <c r="H1179" s="36"/>
      <c r="J1179" s="19"/>
      <c r="K1179" s="19"/>
      <c r="L1179" s="19"/>
      <c r="AF1179" s="6"/>
      <c r="AG1179" s="6"/>
      <c r="AH1179" s="6"/>
      <c r="AI1179" s="6"/>
      <c r="AN1179" s="6"/>
      <c r="AO1179" s="6"/>
      <c r="AP1179" s="6"/>
      <c r="AQ1179" s="6"/>
      <c r="AR1179" s="27"/>
      <c r="AS1179" s="27"/>
      <c r="AT1179" s="27"/>
      <c r="AU1179" s="12"/>
      <c r="AV1179" s="28"/>
    </row>
    <row r="1180" spans="4:48">
      <c r="D1180" s="12"/>
      <c r="E1180" s="12"/>
      <c r="F1180" s="12"/>
      <c r="G1180" s="12"/>
      <c r="H1180" s="36"/>
      <c r="J1180" s="19"/>
      <c r="K1180" s="19"/>
      <c r="L1180" s="19"/>
      <c r="AF1180" s="6"/>
      <c r="AG1180" s="6"/>
      <c r="AH1180" s="6"/>
      <c r="AI1180" s="6"/>
      <c r="AN1180" s="6"/>
      <c r="AO1180" s="6"/>
      <c r="AP1180" s="6"/>
      <c r="AQ1180" s="6"/>
      <c r="AR1180" s="27"/>
      <c r="AS1180" s="27"/>
      <c r="AT1180" s="27"/>
      <c r="AU1180" s="12"/>
      <c r="AV1180" s="28"/>
    </row>
    <row r="1181" spans="4:48">
      <c r="D1181" s="12"/>
      <c r="E1181" s="12"/>
      <c r="F1181" s="12"/>
      <c r="G1181" s="12"/>
      <c r="H1181" s="36"/>
      <c r="J1181" s="19"/>
      <c r="K1181" s="19"/>
      <c r="L1181" s="19"/>
      <c r="AF1181" s="6"/>
      <c r="AG1181" s="6"/>
      <c r="AH1181" s="6"/>
      <c r="AI1181" s="6"/>
      <c r="AN1181" s="6"/>
      <c r="AO1181" s="6"/>
      <c r="AP1181" s="6"/>
      <c r="AQ1181" s="6"/>
      <c r="AR1181" s="27"/>
      <c r="AS1181" s="27"/>
      <c r="AT1181" s="27"/>
      <c r="AU1181" s="12"/>
      <c r="AV1181" s="28"/>
    </row>
    <row r="1182" spans="4:48">
      <c r="D1182" s="12"/>
      <c r="E1182" s="12"/>
      <c r="F1182" s="12"/>
      <c r="G1182" s="12"/>
      <c r="H1182" s="36"/>
      <c r="J1182" s="19"/>
      <c r="K1182" s="19"/>
      <c r="L1182" s="19"/>
      <c r="AF1182" s="6"/>
      <c r="AG1182" s="6"/>
      <c r="AH1182" s="6"/>
      <c r="AI1182" s="6"/>
      <c r="AN1182" s="6"/>
      <c r="AO1182" s="6"/>
      <c r="AP1182" s="6"/>
      <c r="AQ1182" s="6"/>
      <c r="AR1182" s="27"/>
      <c r="AS1182" s="27"/>
      <c r="AT1182" s="27"/>
      <c r="AU1182" s="12"/>
      <c r="AV1182" s="28"/>
    </row>
    <row r="1183" spans="4:48">
      <c r="D1183" s="12"/>
      <c r="E1183" s="12"/>
      <c r="F1183" s="12"/>
      <c r="G1183" s="12"/>
      <c r="H1183" s="36"/>
      <c r="J1183" s="19"/>
      <c r="K1183" s="19"/>
      <c r="L1183" s="19"/>
      <c r="AF1183" s="6"/>
      <c r="AG1183" s="6"/>
      <c r="AH1183" s="6"/>
      <c r="AI1183" s="6"/>
      <c r="AN1183" s="6"/>
      <c r="AO1183" s="6"/>
      <c r="AP1183" s="6"/>
      <c r="AQ1183" s="6"/>
      <c r="AR1183" s="27"/>
      <c r="AS1183" s="27"/>
      <c r="AT1183" s="27"/>
      <c r="AU1183" s="12"/>
      <c r="AV1183" s="28"/>
    </row>
    <row r="1184" spans="4:48">
      <c r="D1184" s="12"/>
      <c r="E1184" s="12"/>
      <c r="F1184" s="12"/>
      <c r="G1184" s="12"/>
      <c r="H1184" s="36"/>
      <c r="J1184" s="19"/>
      <c r="K1184" s="19"/>
      <c r="L1184" s="19"/>
      <c r="AF1184" s="6"/>
      <c r="AG1184" s="6"/>
      <c r="AH1184" s="6"/>
      <c r="AI1184" s="6"/>
      <c r="AN1184" s="6"/>
      <c r="AO1184" s="6"/>
      <c r="AP1184" s="6"/>
      <c r="AQ1184" s="6"/>
      <c r="AR1184" s="27"/>
      <c r="AS1184" s="27"/>
      <c r="AT1184" s="27"/>
      <c r="AU1184" s="12"/>
      <c r="AV1184" s="28"/>
    </row>
    <row r="1185" spans="4:48">
      <c r="D1185" s="12"/>
      <c r="E1185" s="12"/>
      <c r="F1185" s="12"/>
      <c r="G1185" s="12"/>
      <c r="H1185" s="36"/>
      <c r="J1185" s="19"/>
      <c r="K1185" s="19"/>
      <c r="L1185" s="19"/>
      <c r="AF1185" s="6"/>
      <c r="AG1185" s="6"/>
      <c r="AH1185" s="6"/>
      <c r="AI1185" s="6"/>
      <c r="AN1185" s="6"/>
      <c r="AO1185" s="6"/>
      <c r="AP1185" s="6"/>
      <c r="AQ1185" s="6"/>
      <c r="AR1185" s="27"/>
      <c r="AS1185" s="27"/>
      <c r="AT1185" s="27"/>
      <c r="AU1185" s="12"/>
      <c r="AV1185" s="28"/>
    </row>
    <row r="1186" spans="4:48">
      <c r="D1186" s="12"/>
      <c r="E1186" s="12"/>
      <c r="F1186" s="12"/>
      <c r="G1186" s="12"/>
      <c r="H1186" s="36"/>
      <c r="J1186" s="19"/>
      <c r="K1186" s="19"/>
      <c r="L1186" s="19"/>
      <c r="AF1186" s="6"/>
      <c r="AG1186" s="6"/>
      <c r="AH1186" s="6"/>
      <c r="AI1186" s="6"/>
      <c r="AN1186" s="6"/>
      <c r="AO1186" s="6"/>
      <c r="AP1186" s="6"/>
      <c r="AQ1186" s="6"/>
      <c r="AR1186" s="27"/>
      <c r="AS1186" s="27"/>
      <c r="AT1186" s="27"/>
      <c r="AU1186" s="12"/>
      <c r="AV1186" s="28"/>
    </row>
    <row r="1187" spans="4:48">
      <c r="D1187" s="12"/>
      <c r="E1187" s="12"/>
      <c r="F1187" s="12"/>
      <c r="G1187" s="12"/>
      <c r="H1187" s="36"/>
      <c r="J1187" s="19"/>
      <c r="K1187" s="19"/>
      <c r="L1187" s="19"/>
      <c r="AF1187" s="6"/>
      <c r="AG1187" s="6"/>
      <c r="AH1187" s="6"/>
      <c r="AI1187" s="6"/>
      <c r="AN1187" s="6"/>
      <c r="AO1187" s="6"/>
      <c r="AP1187" s="6"/>
      <c r="AQ1187" s="6"/>
      <c r="AR1187" s="27"/>
      <c r="AS1187" s="27"/>
      <c r="AT1187" s="27"/>
      <c r="AU1187" s="12"/>
      <c r="AV1187" s="28"/>
    </row>
    <row r="1188" spans="4:48">
      <c r="D1188" s="12"/>
      <c r="E1188" s="12"/>
      <c r="F1188" s="12"/>
      <c r="G1188" s="12"/>
      <c r="H1188" s="36"/>
      <c r="J1188" s="19"/>
      <c r="K1188" s="19"/>
      <c r="L1188" s="19"/>
      <c r="AF1188" s="6"/>
      <c r="AG1188" s="6"/>
      <c r="AH1188" s="6"/>
      <c r="AI1188" s="6"/>
      <c r="AN1188" s="6"/>
      <c r="AO1188" s="6"/>
      <c r="AP1188" s="6"/>
      <c r="AQ1188" s="6"/>
      <c r="AR1188" s="27"/>
      <c r="AS1188" s="27"/>
      <c r="AT1188" s="27"/>
      <c r="AU1188" s="12"/>
      <c r="AV1188" s="28"/>
    </row>
    <row r="1189" spans="4:48">
      <c r="D1189" s="12"/>
      <c r="E1189" s="12"/>
      <c r="F1189" s="12"/>
      <c r="G1189" s="12"/>
      <c r="H1189" s="36"/>
      <c r="J1189" s="19"/>
      <c r="K1189" s="19"/>
      <c r="L1189" s="19"/>
      <c r="AF1189" s="6"/>
      <c r="AG1189" s="6"/>
      <c r="AH1189" s="6"/>
      <c r="AI1189" s="6"/>
      <c r="AN1189" s="6"/>
      <c r="AO1189" s="6"/>
      <c r="AP1189" s="6"/>
      <c r="AQ1189" s="6"/>
      <c r="AR1189" s="27"/>
      <c r="AS1189" s="27"/>
      <c r="AT1189" s="27"/>
      <c r="AU1189" s="12"/>
      <c r="AV1189" s="28"/>
    </row>
    <row r="1190" spans="4:48">
      <c r="D1190" s="12"/>
      <c r="E1190" s="12"/>
      <c r="F1190" s="12"/>
      <c r="G1190" s="12"/>
      <c r="H1190" s="36"/>
      <c r="J1190" s="19"/>
      <c r="K1190" s="19"/>
      <c r="L1190" s="19"/>
      <c r="AF1190" s="6"/>
      <c r="AG1190" s="6"/>
      <c r="AH1190" s="6"/>
      <c r="AI1190" s="6"/>
      <c r="AN1190" s="6"/>
      <c r="AO1190" s="6"/>
      <c r="AP1190" s="6"/>
      <c r="AQ1190" s="6"/>
      <c r="AR1190" s="27"/>
      <c r="AS1190" s="27"/>
      <c r="AT1190" s="27"/>
      <c r="AU1190" s="12"/>
      <c r="AV1190" s="28"/>
    </row>
    <row r="1191" spans="4:48">
      <c r="D1191" s="12"/>
      <c r="E1191" s="12"/>
      <c r="F1191" s="12"/>
      <c r="G1191" s="12"/>
      <c r="H1191" s="36"/>
      <c r="J1191" s="19"/>
      <c r="K1191" s="19"/>
      <c r="L1191" s="19"/>
      <c r="AF1191" s="6"/>
      <c r="AG1191" s="6"/>
      <c r="AH1191" s="6"/>
      <c r="AI1191" s="6"/>
      <c r="AN1191" s="6"/>
      <c r="AO1191" s="6"/>
      <c r="AP1191" s="6"/>
      <c r="AQ1191" s="6"/>
      <c r="AR1191" s="27"/>
      <c r="AS1191" s="27"/>
      <c r="AT1191" s="27"/>
      <c r="AU1191" s="12"/>
      <c r="AV1191" s="28"/>
    </row>
    <row r="1192" spans="4:48">
      <c r="D1192" s="12"/>
      <c r="E1192" s="12"/>
      <c r="F1192" s="12"/>
      <c r="G1192" s="12"/>
      <c r="H1192" s="36"/>
      <c r="J1192" s="19"/>
      <c r="K1192" s="19"/>
      <c r="L1192" s="19"/>
      <c r="AF1192" s="6"/>
      <c r="AG1192" s="6"/>
      <c r="AH1192" s="6"/>
      <c r="AI1192" s="6"/>
      <c r="AN1192" s="6"/>
      <c r="AO1192" s="6"/>
      <c r="AP1192" s="6"/>
      <c r="AQ1192" s="6"/>
      <c r="AR1192" s="27"/>
      <c r="AS1192" s="27"/>
      <c r="AT1192" s="27"/>
      <c r="AU1192" s="12"/>
      <c r="AV1192" s="28"/>
    </row>
    <row r="1193" spans="4:48">
      <c r="D1193" s="12"/>
      <c r="E1193" s="12"/>
      <c r="F1193" s="12"/>
      <c r="G1193" s="12"/>
      <c r="H1193" s="36"/>
      <c r="J1193" s="19"/>
      <c r="K1193" s="19"/>
      <c r="L1193" s="19"/>
      <c r="AF1193" s="6"/>
      <c r="AG1193" s="6"/>
      <c r="AH1193" s="6"/>
      <c r="AI1193" s="6"/>
      <c r="AN1193" s="6"/>
      <c r="AO1193" s="6"/>
      <c r="AP1193" s="6"/>
      <c r="AQ1193" s="6"/>
      <c r="AR1193" s="27"/>
      <c r="AS1193" s="27"/>
      <c r="AT1193" s="27"/>
      <c r="AU1193" s="12"/>
      <c r="AV1193" s="28"/>
    </row>
    <row r="1194" spans="4:48">
      <c r="D1194" s="12"/>
      <c r="E1194" s="12"/>
      <c r="F1194" s="12"/>
      <c r="G1194" s="12"/>
      <c r="H1194" s="36"/>
      <c r="J1194" s="19"/>
      <c r="K1194" s="19"/>
      <c r="L1194" s="19"/>
      <c r="AF1194" s="6"/>
      <c r="AG1194" s="6"/>
      <c r="AH1194" s="6"/>
      <c r="AI1194" s="6"/>
      <c r="AN1194" s="6"/>
      <c r="AO1194" s="6"/>
      <c r="AP1194" s="6"/>
      <c r="AQ1194" s="6"/>
      <c r="AR1194" s="27"/>
      <c r="AS1194" s="27"/>
      <c r="AT1194" s="27"/>
      <c r="AU1194" s="12"/>
      <c r="AV1194" s="28"/>
    </row>
    <row r="1195" spans="4:48">
      <c r="D1195" s="12"/>
      <c r="E1195" s="12"/>
      <c r="F1195" s="12"/>
      <c r="G1195" s="12"/>
      <c r="H1195" s="36"/>
      <c r="J1195" s="19"/>
      <c r="K1195" s="19"/>
      <c r="L1195" s="19"/>
      <c r="AF1195" s="6"/>
      <c r="AG1195" s="6"/>
      <c r="AH1195" s="6"/>
      <c r="AI1195" s="6"/>
      <c r="AN1195" s="6"/>
      <c r="AO1195" s="6"/>
      <c r="AP1195" s="6"/>
      <c r="AQ1195" s="6"/>
      <c r="AR1195" s="27"/>
      <c r="AS1195" s="27"/>
      <c r="AT1195" s="27"/>
      <c r="AU1195" s="12"/>
      <c r="AV1195" s="28"/>
    </row>
    <row r="1196" spans="4:48">
      <c r="D1196" s="12"/>
      <c r="E1196" s="12"/>
      <c r="F1196" s="12"/>
      <c r="G1196" s="12"/>
      <c r="H1196" s="36"/>
      <c r="J1196" s="19"/>
      <c r="K1196" s="19"/>
      <c r="L1196" s="19"/>
      <c r="AF1196" s="6"/>
      <c r="AG1196" s="6"/>
      <c r="AH1196" s="6"/>
      <c r="AI1196" s="6"/>
      <c r="AN1196" s="6"/>
      <c r="AO1196" s="6"/>
      <c r="AP1196" s="6"/>
      <c r="AQ1196" s="6"/>
      <c r="AR1196" s="27"/>
      <c r="AS1196" s="27"/>
      <c r="AT1196" s="27"/>
      <c r="AU1196" s="12"/>
      <c r="AV1196" s="28"/>
    </row>
    <row r="1197" spans="4:48">
      <c r="D1197" s="12"/>
      <c r="E1197" s="12"/>
      <c r="F1197" s="12"/>
      <c r="G1197" s="12"/>
      <c r="H1197" s="36"/>
      <c r="J1197" s="19"/>
      <c r="K1197" s="19"/>
      <c r="L1197" s="19"/>
      <c r="AF1197" s="6"/>
      <c r="AG1197" s="6"/>
      <c r="AH1197" s="6"/>
      <c r="AI1197" s="6"/>
      <c r="AN1197" s="6"/>
      <c r="AO1197" s="6"/>
      <c r="AP1197" s="6"/>
      <c r="AQ1197" s="6"/>
      <c r="AR1197" s="27"/>
      <c r="AS1197" s="27"/>
      <c r="AT1197" s="27"/>
      <c r="AU1197" s="12"/>
      <c r="AV1197" s="28"/>
    </row>
    <row r="1198" spans="4:48">
      <c r="D1198" s="12"/>
      <c r="E1198" s="12"/>
      <c r="F1198" s="12"/>
      <c r="G1198" s="12"/>
      <c r="H1198" s="36"/>
      <c r="J1198" s="19"/>
      <c r="K1198" s="19"/>
      <c r="L1198" s="19"/>
      <c r="AF1198" s="6"/>
      <c r="AG1198" s="6"/>
      <c r="AH1198" s="6"/>
      <c r="AI1198" s="6"/>
      <c r="AN1198" s="6"/>
      <c r="AO1198" s="6"/>
      <c r="AP1198" s="6"/>
      <c r="AQ1198" s="6"/>
      <c r="AR1198" s="27"/>
      <c r="AS1198" s="27"/>
      <c r="AT1198" s="27"/>
      <c r="AU1198" s="12"/>
      <c r="AV1198" s="28"/>
    </row>
    <row r="1199" spans="4:48">
      <c r="D1199" s="12"/>
      <c r="E1199" s="12"/>
      <c r="F1199" s="12"/>
      <c r="G1199" s="12"/>
      <c r="H1199" s="36"/>
      <c r="J1199" s="19"/>
      <c r="K1199" s="19"/>
      <c r="L1199" s="19"/>
      <c r="AF1199" s="6"/>
      <c r="AG1199" s="6"/>
      <c r="AH1199" s="6"/>
      <c r="AI1199" s="6"/>
      <c r="AN1199" s="6"/>
      <c r="AO1199" s="6"/>
      <c r="AP1199" s="6"/>
      <c r="AQ1199" s="6"/>
      <c r="AR1199" s="27"/>
      <c r="AS1199" s="27"/>
      <c r="AT1199" s="27"/>
      <c r="AU1199" s="12"/>
      <c r="AV1199" s="28"/>
    </row>
    <row r="1200" spans="4:48">
      <c r="D1200" s="12"/>
      <c r="E1200" s="12"/>
      <c r="F1200" s="12"/>
      <c r="G1200" s="12"/>
      <c r="H1200" s="36"/>
      <c r="J1200" s="19"/>
      <c r="K1200" s="19"/>
      <c r="L1200" s="19"/>
      <c r="AF1200" s="6"/>
      <c r="AG1200" s="6"/>
      <c r="AH1200" s="6"/>
      <c r="AI1200" s="6"/>
      <c r="AN1200" s="6"/>
      <c r="AO1200" s="6"/>
      <c r="AP1200" s="6"/>
      <c r="AQ1200" s="6"/>
      <c r="AR1200" s="27"/>
      <c r="AS1200" s="27"/>
      <c r="AT1200" s="27"/>
      <c r="AU1200" s="12"/>
      <c r="AV1200" s="28"/>
    </row>
    <row r="1201" spans="4:48">
      <c r="D1201" s="12"/>
      <c r="E1201" s="12"/>
      <c r="F1201" s="12"/>
      <c r="G1201" s="12"/>
      <c r="H1201" s="36"/>
      <c r="J1201" s="19"/>
      <c r="K1201" s="19"/>
      <c r="L1201" s="19"/>
      <c r="AF1201" s="6"/>
      <c r="AG1201" s="6"/>
      <c r="AH1201" s="6"/>
      <c r="AI1201" s="6"/>
      <c r="AN1201" s="6"/>
      <c r="AO1201" s="6"/>
      <c r="AP1201" s="6"/>
      <c r="AQ1201" s="6"/>
      <c r="AR1201" s="27"/>
      <c r="AS1201" s="27"/>
      <c r="AT1201" s="27"/>
      <c r="AU1201" s="12"/>
      <c r="AV1201" s="28"/>
    </row>
    <row r="1202" spans="4:48">
      <c r="D1202" s="12"/>
      <c r="E1202" s="12"/>
      <c r="F1202" s="12"/>
      <c r="G1202" s="12"/>
      <c r="H1202" s="36"/>
      <c r="J1202" s="19"/>
      <c r="K1202" s="19"/>
      <c r="L1202" s="19"/>
      <c r="AF1202" s="6"/>
      <c r="AG1202" s="6"/>
      <c r="AH1202" s="6"/>
      <c r="AI1202" s="6"/>
      <c r="AN1202" s="6"/>
      <c r="AO1202" s="6"/>
      <c r="AP1202" s="6"/>
      <c r="AQ1202" s="6"/>
      <c r="AR1202" s="27"/>
      <c r="AS1202" s="27"/>
      <c r="AT1202" s="27"/>
      <c r="AU1202" s="12"/>
      <c r="AV1202" s="28"/>
    </row>
    <row r="1203" spans="4:48">
      <c r="D1203" s="12"/>
      <c r="E1203" s="12"/>
      <c r="F1203" s="12"/>
      <c r="G1203" s="12"/>
      <c r="H1203" s="36"/>
      <c r="J1203" s="19"/>
      <c r="K1203" s="19"/>
      <c r="L1203" s="19"/>
      <c r="AF1203" s="6"/>
      <c r="AG1203" s="6"/>
      <c r="AH1203" s="6"/>
      <c r="AI1203" s="6"/>
      <c r="AN1203" s="6"/>
      <c r="AO1203" s="6"/>
      <c r="AP1203" s="6"/>
      <c r="AQ1203" s="6"/>
      <c r="AR1203" s="27"/>
      <c r="AS1203" s="27"/>
      <c r="AT1203" s="27"/>
      <c r="AU1203" s="12"/>
      <c r="AV1203" s="28"/>
    </row>
    <row r="1204" spans="4:48">
      <c r="D1204" s="12"/>
      <c r="E1204" s="12"/>
      <c r="F1204" s="12"/>
      <c r="G1204" s="12"/>
      <c r="H1204" s="36"/>
      <c r="J1204" s="19"/>
      <c r="K1204" s="19"/>
      <c r="L1204" s="19"/>
      <c r="AF1204" s="6"/>
      <c r="AG1204" s="6"/>
      <c r="AH1204" s="6"/>
      <c r="AI1204" s="6"/>
      <c r="AN1204" s="6"/>
      <c r="AO1204" s="6"/>
      <c r="AP1204" s="6"/>
      <c r="AQ1204" s="6"/>
      <c r="AR1204" s="27"/>
      <c r="AS1204" s="27"/>
      <c r="AT1204" s="27"/>
      <c r="AU1204" s="12"/>
      <c r="AV1204" s="28"/>
    </row>
    <row r="1205" spans="4:48">
      <c r="D1205" s="12"/>
      <c r="E1205" s="12"/>
      <c r="F1205" s="12"/>
      <c r="G1205" s="12"/>
      <c r="H1205" s="36"/>
      <c r="J1205" s="19"/>
      <c r="K1205" s="19"/>
      <c r="L1205" s="19"/>
      <c r="AF1205" s="6"/>
      <c r="AG1205" s="6"/>
      <c r="AH1205" s="6"/>
      <c r="AI1205" s="6"/>
      <c r="AN1205" s="6"/>
      <c r="AO1205" s="6"/>
      <c r="AP1205" s="6"/>
      <c r="AQ1205" s="6"/>
      <c r="AR1205" s="27"/>
      <c r="AS1205" s="27"/>
      <c r="AT1205" s="27"/>
      <c r="AU1205" s="12"/>
      <c r="AV1205" s="28"/>
    </row>
    <row r="1206" spans="4:48">
      <c r="D1206" s="12"/>
      <c r="E1206" s="12"/>
      <c r="F1206" s="12"/>
      <c r="G1206" s="12"/>
      <c r="H1206" s="36"/>
      <c r="J1206" s="19"/>
      <c r="K1206" s="19"/>
      <c r="L1206" s="19"/>
      <c r="AF1206" s="6"/>
      <c r="AG1206" s="6"/>
      <c r="AH1206" s="6"/>
      <c r="AI1206" s="6"/>
      <c r="AN1206" s="6"/>
      <c r="AO1206" s="6"/>
      <c r="AP1206" s="6"/>
      <c r="AQ1206" s="6"/>
      <c r="AR1206" s="27"/>
      <c r="AS1206" s="27"/>
      <c r="AT1206" s="27"/>
      <c r="AU1206" s="12"/>
      <c r="AV1206" s="28"/>
    </row>
    <row r="1207" spans="4:48">
      <c r="D1207" s="12"/>
      <c r="E1207" s="12"/>
      <c r="F1207" s="12"/>
      <c r="G1207" s="12"/>
      <c r="H1207" s="36"/>
      <c r="J1207" s="19"/>
      <c r="K1207" s="19"/>
      <c r="L1207" s="19"/>
      <c r="AF1207" s="6"/>
      <c r="AG1207" s="6"/>
      <c r="AH1207" s="6"/>
      <c r="AI1207" s="6"/>
      <c r="AN1207" s="6"/>
      <c r="AO1207" s="6"/>
      <c r="AP1207" s="6"/>
      <c r="AQ1207" s="6"/>
      <c r="AR1207" s="27"/>
      <c r="AS1207" s="27"/>
      <c r="AT1207" s="27"/>
      <c r="AU1207" s="12"/>
      <c r="AV1207" s="28"/>
    </row>
    <row r="1208" spans="4:48">
      <c r="D1208" s="12"/>
      <c r="E1208" s="12"/>
      <c r="F1208" s="12"/>
      <c r="G1208" s="12"/>
      <c r="H1208" s="36"/>
      <c r="J1208" s="19"/>
      <c r="K1208" s="19"/>
      <c r="L1208" s="19"/>
      <c r="AF1208" s="6"/>
      <c r="AG1208" s="6"/>
      <c r="AH1208" s="6"/>
      <c r="AI1208" s="6"/>
      <c r="AN1208" s="6"/>
      <c r="AO1208" s="6"/>
      <c r="AP1208" s="6"/>
      <c r="AQ1208" s="6"/>
      <c r="AR1208" s="27"/>
      <c r="AS1208" s="27"/>
      <c r="AT1208" s="27"/>
      <c r="AU1208" s="12"/>
      <c r="AV1208" s="28"/>
    </row>
    <row r="1209" spans="4:48">
      <c r="D1209" s="12"/>
      <c r="E1209" s="12"/>
      <c r="F1209" s="12"/>
      <c r="G1209" s="12"/>
      <c r="H1209" s="36"/>
      <c r="J1209" s="19"/>
      <c r="K1209" s="19"/>
      <c r="L1209" s="19"/>
      <c r="AF1209" s="6"/>
      <c r="AG1209" s="6"/>
      <c r="AH1209" s="6"/>
      <c r="AI1209" s="6"/>
      <c r="AN1209" s="6"/>
      <c r="AO1209" s="6"/>
      <c r="AP1209" s="6"/>
      <c r="AQ1209" s="6"/>
      <c r="AR1209" s="27"/>
      <c r="AS1209" s="27"/>
      <c r="AT1209" s="27"/>
      <c r="AU1209" s="12"/>
      <c r="AV1209" s="28"/>
    </row>
    <row r="1210" spans="4:48">
      <c r="D1210" s="12"/>
      <c r="E1210" s="12"/>
      <c r="F1210" s="12"/>
      <c r="G1210" s="12"/>
      <c r="H1210" s="36"/>
      <c r="J1210" s="19"/>
      <c r="K1210" s="19"/>
      <c r="L1210" s="19"/>
      <c r="AF1210" s="6"/>
      <c r="AG1210" s="6"/>
      <c r="AH1210" s="6"/>
      <c r="AI1210" s="6"/>
      <c r="AN1210" s="6"/>
      <c r="AO1210" s="6"/>
      <c r="AP1210" s="6"/>
      <c r="AQ1210" s="6"/>
      <c r="AR1210" s="27"/>
      <c r="AS1210" s="27"/>
      <c r="AT1210" s="27"/>
      <c r="AU1210" s="12"/>
      <c r="AV1210" s="28"/>
    </row>
    <row r="1211" spans="4:48">
      <c r="D1211" s="12"/>
      <c r="E1211" s="12"/>
      <c r="F1211" s="12"/>
      <c r="G1211" s="12"/>
      <c r="H1211" s="36"/>
      <c r="J1211" s="19"/>
      <c r="K1211" s="19"/>
      <c r="L1211" s="19"/>
      <c r="AF1211" s="6"/>
      <c r="AG1211" s="6"/>
      <c r="AH1211" s="6"/>
      <c r="AI1211" s="6"/>
      <c r="AN1211" s="6"/>
      <c r="AO1211" s="6"/>
      <c r="AP1211" s="6"/>
      <c r="AQ1211" s="6"/>
      <c r="AR1211" s="27"/>
      <c r="AS1211" s="27"/>
      <c r="AT1211" s="27"/>
      <c r="AU1211" s="12"/>
      <c r="AV1211" s="28"/>
    </row>
    <row r="1212" spans="4:48">
      <c r="D1212" s="12"/>
      <c r="E1212" s="12"/>
      <c r="F1212" s="12"/>
      <c r="G1212" s="12"/>
      <c r="H1212" s="36"/>
      <c r="J1212" s="19"/>
      <c r="K1212" s="19"/>
      <c r="L1212" s="19"/>
      <c r="AF1212" s="6"/>
      <c r="AG1212" s="6"/>
      <c r="AH1212" s="6"/>
      <c r="AI1212" s="6"/>
      <c r="AN1212" s="6"/>
      <c r="AO1212" s="6"/>
      <c r="AP1212" s="6"/>
      <c r="AQ1212" s="6"/>
      <c r="AR1212" s="27"/>
      <c r="AS1212" s="27"/>
      <c r="AT1212" s="27"/>
      <c r="AU1212" s="12"/>
      <c r="AV1212" s="28"/>
    </row>
    <row r="1213" spans="4:48">
      <c r="D1213" s="12"/>
      <c r="E1213" s="12"/>
      <c r="F1213" s="12"/>
      <c r="G1213" s="12"/>
      <c r="H1213" s="36"/>
      <c r="J1213" s="19"/>
      <c r="K1213" s="19"/>
      <c r="L1213" s="19"/>
      <c r="AF1213" s="6"/>
      <c r="AG1213" s="6"/>
      <c r="AH1213" s="6"/>
      <c r="AI1213" s="6"/>
      <c r="AN1213" s="6"/>
      <c r="AO1213" s="6"/>
      <c r="AP1213" s="6"/>
      <c r="AQ1213" s="6"/>
      <c r="AR1213" s="27"/>
      <c r="AS1213" s="27"/>
      <c r="AT1213" s="27"/>
      <c r="AU1213" s="12"/>
      <c r="AV1213" s="28"/>
    </row>
    <row r="1214" spans="4:48">
      <c r="D1214" s="12"/>
      <c r="E1214" s="12"/>
      <c r="F1214" s="12"/>
      <c r="G1214" s="12"/>
      <c r="H1214" s="36"/>
      <c r="J1214" s="19"/>
      <c r="K1214" s="19"/>
      <c r="L1214" s="19"/>
      <c r="AF1214" s="6"/>
      <c r="AG1214" s="6"/>
      <c r="AH1214" s="6"/>
      <c r="AI1214" s="6"/>
      <c r="AN1214" s="6"/>
      <c r="AO1214" s="6"/>
      <c r="AP1214" s="6"/>
      <c r="AQ1214" s="6"/>
      <c r="AR1214" s="27"/>
      <c r="AS1214" s="27"/>
      <c r="AT1214" s="27"/>
      <c r="AU1214" s="12"/>
      <c r="AV1214" s="28"/>
    </row>
    <row r="1215" spans="4:48">
      <c r="D1215" s="12"/>
      <c r="E1215" s="12"/>
      <c r="F1215" s="12"/>
      <c r="G1215" s="12"/>
      <c r="H1215" s="36"/>
      <c r="J1215" s="19"/>
      <c r="K1215" s="19"/>
      <c r="L1215" s="19"/>
      <c r="AF1215" s="6"/>
      <c r="AG1215" s="6"/>
      <c r="AH1215" s="6"/>
      <c r="AI1215" s="6"/>
      <c r="AN1215" s="6"/>
      <c r="AO1215" s="6"/>
      <c r="AP1215" s="6"/>
      <c r="AQ1215" s="6"/>
      <c r="AR1215" s="27"/>
      <c r="AS1215" s="27"/>
      <c r="AT1215" s="27"/>
      <c r="AU1215" s="12"/>
      <c r="AV1215" s="28"/>
    </row>
    <row r="1216" spans="4:48">
      <c r="D1216" s="12"/>
      <c r="E1216" s="12"/>
      <c r="F1216" s="12"/>
      <c r="G1216" s="12"/>
      <c r="H1216" s="36"/>
      <c r="J1216" s="19"/>
      <c r="K1216" s="19"/>
      <c r="L1216" s="19"/>
      <c r="AF1216" s="6"/>
      <c r="AG1216" s="6"/>
      <c r="AH1216" s="6"/>
      <c r="AI1216" s="6"/>
      <c r="AN1216" s="6"/>
      <c r="AO1216" s="6"/>
      <c r="AP1216" s="6"/>
      <c r="AQ1216" s="6"/>
      <c r="AR1216" s="27"/>
      <c r="AS1216" s="27"/>
      <c r="AT1216" s="27"/>
      <c r="AU1216" s="12"/>
      <c r="AV1216" s="28"/>
    </row>
    <row r="1217" spans="4:48">
      <c r="D1217" s="12"/>
      <c r="E1217" s="12"/>
      <c r="F1217" s="12"/>
      <c r="G1217" s="12"/>
      <c r="H1217" s="36"/>
      <c r="J1217" s="19"/>
      <c r="K1217" s="19"/>
      <c r="L1217" s="19"/>
      <c r="AF1217" s="6"/>
      <c r="AG1217" s="6"/>
      <c r="AH1217" s="6"/>
      <c r="AI1217" s="6"/>
      <c r="AN1217" s="6"/>
      <c r="AO1217" s="6"/>
      <c r="AP1217" s="6"/>
      <c r="AQ1217" s="6"/>
      <c r="AR1217" s="27"/>
      <c r="AS1217" s="27"/>
      <c r="AT1217" s="27"/>
      <c r="AU1217" s="12"/>
      <c r="AV1217" s="28"/>
    </row>
    <row r="1218" spans="4:48">
      <c r="D1218" s="12"/>
      <c r="E1218" s="12"/>
      <c r="F1218" s="12"/>
      <c r="G1218" s="12"/>
      <c r="H1218" s="36"/>
      <c r="J1218" s="19"/>
      <c r="K1218" s="19"/>
      <c r="L1218" s="19"/>
      <c r="AF1218" s="6"/>
      <c r="AG1218" s="6"/>
      <c r="AH1218" s="6"/>
      <c r="AI1218" s="6"/>
      <c r="AN1218" s="6"/>
      <c r="AO1218" s="6"/>
      <c r="AP1218" s="6"/>
      <c r="AQ1218" s="6"/>
      <c r="AR1218" s="27"/>
      <c r="AS1218" s="27"/>
      <c r="AT1218" s="27"/>
      <c r="AU1218" s="12"/>
      <c r="AV1218" s="28"/>
    </row>
    <row r="1219" spans="4:48">
      <c r="D1219" s="12"/>
      <c r="E1219" s="12"/>
      <c r="F1219" s="12"/>
      <c r="G1219" s="12"/>
      <c r="H1219" s="36"/>
      <c r="J1219" s="19"/>
      <c r="K1219" s="19"/>
      <c r="L1219" s="19"/>
      <c r="AF1219" s="6"/>
      <c r="AG1219" s="6"/>
      <c r="AH1219" s="6"/>
      <c r="AI1219" s="6"/>
      <c r="AN1219" s="6"/>
      <c r="AO1219" s="6"/>
      <c r="AP1219" s="6"/>
      <c r="AQ1219" s="6"/>
      <c r="AR1219" s="27"/>
      <c r="AS1219" s="27"/>
      <c r="AT1219" s="27"/>
      <c r="AU1219" s="12"/>
      <c r="AV1219" s="28"/>
    </row>
    <row r="1220" spans="4:48">
      <c r="D1220" s="12"/>
      <c r="E1220" s="12"/>
      <c r="F1220" s="12"/>
      <c r="G1220" s="12"/>
      <c r="H1220" s="36"/>
      <c r="J1220" s="19"/>
      <c r="K1220" s="19"/>
      <c r="L1220" s="19"/>
      <c r="AF1220" s="6"/>
      <c r="AG1220" s="6"/>
      <c r="AH1220" s="6"/>
      <c r="AI1220" s="6"/>
      <c r="AN1220" s="6"/>
      <c r="AO1220" s="6"/>
      <c r="AP1220" s="6"/>
      <c r="AQ1220" s="6"/>
      <c r="AR1220" s="27"/>
      <c r="AS1220" s="27"/>
      <c r="AT1220" s="27"/>
      <c r="AU1220" s="12"/>
      <c r="AV1220" s="28"/>
    </row>
    <row r="1221" spans="4:48">
      <c r="D1221" s="12"/>
      <c r="E1221" s="12"/>
      <c r="F1221" s="12"/>
      <c r="G1221" s="12"/>
      <c r="H1221" s="36"/>
      <c r="J1221" s="19"/>
      <c r="K1221" s="19"/>
      <c r="L1221" s="19"/>
      <c r="AF1221" s="6"/>
      <c r="AG1221" s="6"/>
      <c r="AH1221" s="6"/>
      <c r="AI1221" s="6"/>
      <c r="AN1221" s="6"/>
      <c r="AO1221" s="6"/>
      <c r="AP1221" s="6"/>
      <c r="AQ1221" s="6"/>
      <c r="AR1221" s="27"/>
      <c r="AS1221" s="27"/>
      <c r="AT1221" s="27"/>
      <c r="AU1221" s="12"/>
      <c r="AV1221" s="28"/>
    </row>
    <row r="1222" spans="4:48">
      <c r="D1222" s="12"/>
      <c r="E1222" s="12"/>
      <c r="F1222" s="12"/>
      <c r="G1222" s="12"/>
      <c r="H1222" s="36"/>
      <c r="J1222" s="19"/>
      <c r="K1222" s="19"/>
      <c r="L1222" s="19"/>
      <c r="AF1222" s="6"/>
      <c r="AG1222" s="6"/>
      <c r="AH1222" s="6"/>
      <c r="AI1222" s="6"/>
      <c r="AN1222" s="6"/>
      <c r="AO1222" s="6"/>
      <c r="AP1222" s="6"/>
      <c r="AQ1222" s="6"/>
      <c r="AR1222" s="27"/>
      <c r="AS1222" s="27"/>
      <c r="AT1222" s="27"/>
      <c r="AU1222" s="12"/>
      <c r="AV1222" s="28"/>
    </row>
    <row r="1223" spans="4:48">
      <c r="D1223" s="12"/>
      <c r="E1223" s="12"/>
      <c r="F1223" s="12"/>
      <c r="G1223" s="12"/>
      <c r="H1223" s="36"/>
      <c r="J1223" s="19"/>
      <c r="K1223" s="19"/>
      <c r="L1223" s="19"/>
      <c r="AF1223" s="6"/>
      <c r="AG1223" s="6"/>
      <c r="AH1223" s="6"/>
      <c r="AI1223" s="6"/>
      <c r="AN1223" s="6"/>
      <c r="AO1223" s="6"/>
      <c r="AP1223" s="6"/>
      <c r="AQ1223" s="6"/>
      <c r="AR1223" s="27"/>
      <c r="AS1223" s="27"/>
      <c r="AT1223" s="27"/>
      <c r="AU1223" s="12"/>
      <c r="AV1223" s="28"/>
    </row>
    <row r="1224" spans="4:48">
      <c r="D1224" s="12"/>
      <c r="E1224" s="12"/>
      <c r="F1224" s="12"/>
      <c r="G1224" s="12"/>
      <c r="H1224" s="36"/>
      <c r="J1224" s="19"/>
      <c r="K1224" s="19"/>
      <c r="L1224" s="19"/>
      <c r="AF1224" s="6"/>
      <c r="AG1224" s="6"/>
      <c r="AH1224" s="6"/>
      <c r="AI1224" s="6"/>
      <c r="AN1224" s="6"/>
      <c r="AO1224" s="6"/>
      <c r="AP1224" s="6"/>
      <c r="AQ1224" s="6"/>
      <c r="AR1224" s="27"/>
      <c r="AS1224" s="27"/>
      <c r="AT1224" s="27"/>
      <c r="AU1224" s="12"/>
      <c r="AV1224" s="28"/>
    </row>
    <row r="1225" spans="4:48">
      <c r="D1225" s="12"/>
      <c r="E1225" s="12"/>
      <c r="F1225" s="12"/>
      <c r="G1225" s="12"/>
      <c r="H1225" s="36"/>
      <c r="J1225" s="19"/>
      <c r="K1225" s="19"/>
      <c r="L1225" s="19"/>
      <c r="AF1225" s="6"/>
      <c r="AG1225" s="6"/>
      <c r="AH1225" s="6"/>
      <c r="AI1225" s="6"/>
      <c r="AN1225" s="6"/>
      <c r="AO1225" s="6"/>
      <c r="AP1225" s="6"/>
      <c r="AQ1225" s="6"/>
      <c r="AR1225" s="27"/>
      <c r="AS1225" s="27"/>
      <c r="AT1225" s="27"/>
      <c r="AU1225" s="12"/>
      <c r="AV1225" s="28"/>
    </row>
    <row r="1226" spans="4:48">
      <c r="D1226" s="12"/>
      <c r="E1226" s="12"/>
      <c r="F1226" s="12"/>
      <c r="G1226" s="12"/>
      <c r="H1226" s="36"/>
      <c r="J1226" s="19"/>
      <c r="K1226" s="19"/>
      <c r="L1226" s="19"/>
      <c r="AF1226" s="6"/>
      <c r="AG1226" s="6"/>
      <c r="AH1226" s="6"/>
      <c r="AI1226" s="6"/>
      <c r="AN1226" s="6"/>
      <c r="AO1226" s="6"/>
      <c r="AP1226" s="6"/>
      <c r="AQ1226" s="6"/>
      <c r="AR1226" s="27"/>
      <c r="AS1226" s="27"/>
      <c r="AT1226" s="27"/>
      <c r="AU1226" s="12"/>
      <c r="AV1226" s="28"/>
    </row>
    <row r="1227" spans="4:48">
      <c r="D1227" s="12"/>
      <c r="E1227" s="12"/>
      <c r="F1227" s="12"/>
      <c r="G1227" s="12"/>
      <c r="H1227" s="36"/>
      <c r="J1227" s="19"/>
      <c r="K1227" s="19"/>
      <c r="L1227" s="19"/>
      <c r="AF1227" s="6"/>
      <c r="AG1227" s="6"/>
      <c r="AH1227" s="6"/>
      <c r="AI1227" s="6"/>
      <c r="AN1227" s="6"/>
      <c r="AO1227" s="6"/>
      <c r="AP1227" s="6"/>
      <c r="AQ1227" s="6"/>
      <c r="AR1227" s="27"/>
      <c r="AS1227" s="27"/>
      <c r="AT1227" s="27"/>
      <c r="AU1227" s="12"/>
      <c r="AV1227" s="28"/>
    </row>
    <row r="1228" spans="4:48">
      <c r="D1228" s="12"/>
      <c r="E1228" s="12"/>
      <c r="F1228" s="12"/>
      <c r="G1228" s="12"/>
      <c r="H1228" s="36"/>
      <c r="J1228" s="19"/>
      <c r="K1228" s="19"/>
      <c r="L1228" s="19"/>
      <c r="AF1228" s="6"/>
      <c r="AG1228" s="6"/>
      <c r="AH1228" s="6"/>
      <c r="AI1228" s="6"/>
      <c r="AN1228" s="6"/>
      <c r="AO1228" s="6"/>
      <c r="AP1228" s="6"/>
      <c r="AQ1228" s="6"/>
      <c r="AR1228" s="27"/>
      <c r="AS1228" s="27"/>
      <c r="AT1228" s="27"/>
      <c r="AU1228" s="12"/>
      <c r="AV1228" s="28"/>
    </row>
    <row r="1229" spans="4:48">
      <c r="D1229" s="12"/>
      <c r="E1229" s="12"/>
      <c r="F1229" s="12"/>
      <c r="G1229" s="12"/>
      <c r="H1229" s="36"/>
      <c r="J1229" s="19"/>
      <c r="K1229" s="19"/>
      <c r="L1229" s="19"/>
      <c r="AF1229" s="6"/>
      <c r="AG1229" s="6"/>
      <c r="AH1229" s="6"/>
      <c r="AI1229" s="6"/>
      <c r="AN1229" s="6"/>
      <c r="AO1229" s="6"/>
      <c r="AP1229" s="6"/>
      <c r="AQ1229" s="6"/>
      <c r="AR1229" s="27"/>
      <c r="AS1229" s="27"/>
      <c r="AT1229" s="27"/>
      <c r="AU1229" s="12"/>
      <c r="AV1229" s="28"/>
    </row>
    <row r="1230" spans="4:48">
      <c r="D1230" s="12"/>
      <c r="E1230" s="12"/>
      <c r="F1230" s="12"/>
      <c r="G1230" s="12"/>
      <c r="H1230" s="36"/>
      <c r="J1230" s="19"/>
      <c r="K1230" s="19"/>
      <c r="L1230" s="19"/>
      <c r="AF1230" s="6"/>
      <c r="AG1230" s="6"/>
      <c r="AH1230" s="6"/>
      <c r="AI1230" s="6"/>
      <c r="AN1230" s="6"/>
      <c r="AO1230" s="6"/>
      <c r="AP1230" s="6"/>
      <c r="AQ1230" s="6"/>
      <c r="AR1230" s="27"/>
      <c r="AS1230" s="27"/>
      <c r="AT1230" s="27"/>
      <c r="AU1230" s="12"/>
      <c r="AV1230" s="28"/>
    </row>
    <row r="1231" spans="4:48">
      <c r="D1231" s="12"/>
      <c r="E1231" s="12"/>
      <c r="F1231" s="12"/>
      <c r="G1231" s="12"/>
      <c r="H1231" s="36"/>
      <c r="J1231" s="19"/>
      <c r="K1231" s="19"/>
      <c r="L1231" s="19"/>
      <c r="AF1231" s="6"/>
      <c r="AG1231" s="6"/>
      <c r="AH1231" s="6"/>
      <c r="AI1231" s="6"/>
      <c r="AN1231" s="6"/>
      <c r="AO1231" s="6"/>
      <c r="AP1231" s="6"/>
      <c r="AQ1231" s="6"/>
      <c r="AR1231" s="27"/>
      <c r="AS1231" s="27"/>
      <c r="AT1231" s="27"/>
      <c r="AU1231" s="12"/>
      <c r="AV1231" s="28"/>
    </row>
    <row r="1232" spans="4:48">
      <c r="D1232" s="12"/>
      <c r="E1232" s="12"/>
      <c r="F1232" s="12"/>
      <c r="G1232" s="12"/>
      <c r="H1232" s="36"/>
      <c r="J1232" s="19"/>
      <c r="K1232" s="19"/>
      <c r="L1232" s="19"/>
      <c r="AF1232" s="6"/>
      <c r="AG1232" s="6"/>
      <c r="AH1232" s="6"/>
      <c r="AI1232" s="6"/>
      <c r="AN1232" s="6"/>
      <c r="AO1232" s="6"/>
      <c r="AP1232" s="6"/>
      <c r="AQ1232" s="6"/>
      <c r="AR1232" s="27"/>
      <c r="AS1232" s="27"/>
      <c r="AT1232" s="27"/>
      <c r="AU1232" s="12"/>
      <c r="AV1232" s="28"/>
    </row>
    <row r="1233" spans="4:48">
      <c r="D1233" s="12"/>
      <c r="E1233" s="12"/>
      <c r="F1233" s="12"/>
      <c r="G1233" s="12"/>
      <c r="H1233" s="36"/>
      <c r="J1233" s="19"/>
      <c r="K1233" s="19"/>
      <c r="L1233" s="19"/>
      <c r="AF1233" s="6"/>
      <c r="AG1233" s="6"/>
      <c r="AH1233" s="6"/>
      <c r="AI1233" s="6"/>
      <c r="AN1233" s="6"/>
      <c r="AO1233" s="6"/>
      <c r="AP1233" s="6"/>
      <c r="AQ1233" s="6"/>
      <c r="AR1233" s="27"/>
      <c r="AS1233" s="27"/>
      <c r="AT1233" s="27"/>
      <c r="AU1233" s="12"/>
      <c r="AV1233" s="28"/>
    </row>
    <row r="1234" spans="4:48">
      <c r="D1234" s="12"/>
      <c r="E1234" s="12"/>
      <c r="F1234" s="12"/>
      <c r="G1234" s="12"/>
      <c r="H1234" s="36"/>
      <c r="J1234" s="19"/>
      <c r="K1234" s="19"/>
      <c r="L1234" s="19"/>
      <c r="AF1234" s="6"/>
      <c r="AG1234" s="6"/>
      <c r="AH1234" s="6"/>
      <c r="AI1234" s="6"/>
      <c r="AN1234" s="6"/>
      <c r="AO1234" s="6"/>
      <c r="AP1234" s="6"/>
      <c r="AQ1234" s="6"/>
      <c r="AR1234" s="27"/>
      <c r="AS1234" s="27"/>
      <c r="AT1234" s="27"/>
      <c r="AU1234" s="12"/>
      <c r="AV1234" s="28"/>
    </row>
    <row r="1235" spans="4:48">
      <c r="D1235" s="12"/>
      <c r="E1235" s="12"/>
      <c r="F1235" s="12"/>
      <c r="G1235" s="12"/>
      <c r="H1235" s="36"/>
      <c r="J1235" s="19"/>
      <c r="K1235" s="19"/>
      <c r="L1235" s="19"/>
      <c r="AF1235" s="6"/>
      <c r="AG1235" s="6"/>
      <c r="AH1235" s="6"/>
      <c r="AI1235" s="6"/>
      <c r="AN1235" s="6"/>
      <c r="AO1235" s="6"/>
      <c r="AP1235" s="6"/>
      <c r="AQ1235" s="6"/>
      <c r="AR1235" s="27"/>
      <c r="AS1235" s="27"/>
      <c r="AT1235" s="27"/>
      <c r="AU1235" s="12"/>
      <c r="AV1235" s="28"/>
    </row>
    <row r="1236" spans="4:48">
      <c r="D1236" s="12"/>
      <c r="E1236" s="12"/>
      <c r="F1236" s="12"/>
      <c r="G1236" s="12"/>
      <c r="H1236" s="36"/>
      <c r="J1236" s="19"/>
      <c r="K1236" s="19"/>
      <c r="L1236" s="19"/>
      <c r="AF1236" s="6"/>
      <c r="AG1236" s="6"/>
      <c r="AH1236" s="6"/>
      <c r="AI1236" s="6"/>
      <c r="AN1236" s="6"/>
      <c r="AO1236" s="6"/>
      <c r="AP1236" s="6"/>
      <c r="AQ1236" s="6"/>
      <c r="AR1236" s="27"/>
      <c r="AS1236" s="27"/>
      <c r="AT1236" s="27"/>
      <c r="AU1236" s="12"/>
      <c r="AV1236" s="28"/>
    </row>
    <row r="1237" spans="4:48">
      <c r="D1237" s="12"/>
      <c r="E1237" s="12"/>
      <c r="F1237" s="12"/>
      <c r="G1237" s="12"/>
      <c r="H1237" s="36"/>
      <c r="J1237" s="19"/>
      <c r="K1237" s="19"/>
      <c r="L1237" s="19"/>
      <c r="AF1237" s="6"/>
      <c r="AG1237" s="6"/>
      <c r="AH1237" s="6"/>
      <c r="AI1237" s="6"/>
      <c r="AN1237" s="6"/>
      <c r="AO1237" s="6"/>
      <c r="AP1237" s="6"/>
      <c r="AQ1237" s="6"/>
      <c r="AR1237" s="27"/>
      <c r="AS1237" s="27"/>
      <c r="AT1237" s="27"/>
      <c r="AU1237" s="12"/>
      <c r="AV1237" s="28"/>
    </row>
    <row r="1238" spans="4:48">
      <c r="D1238" s="12"/>
      <c r="E1238" s="12"/>
      <c r="F1238" s="12"/>
      <c r="G1238" s="12"/>
      <c r="H1238" s="36"/>
      <c r="J1238" s="19"/>
      <c r="K1238" s="19"/>
      <c r="L1238" s="19"/>
      <c r="AF1238" s="6"/>
      <c r="AG1238" s="6"/>
      <c r="AH1238" s="6"/>
      <c r="AI1238" s="6"/>
      <c r="AN1238" s="6"/>
      <c r="AO1238" s="6"/>
      <c r="AP1238" s="6"/>
      <c r="AQ1238" s="6"/>
      <c r="AR1238" s="27"/>
      <c r="AS1238" s="27"/>
      <c r="AT1238" s="27"/>
      <c r="AU1238" s="12"/>
      <c r="AV1238" s="28"/>
    </row>
    <row r="1239" spans="4:48">
      <c r="D1239" s="12"/>
      <c r="E1239" s="12"/>
      <c r="F1239" s="12"/>
      <c r="G1239" s="12"/>
      <c r="H1239" s="36"/>
      <c r="J1239" s="19"/>
      <c r="K1239" s="19"/>
      <c r="L1239" s="19"/>
      <c r="AF1239" s="6"/>
      <c r="AG1239" s="6"/>
      <c r="AH1239" s="6"/>
      <c r="AI1239" s="6"/>
      <c r="AN1239" s="6"/>
      <c r="AO1239" s="6"/>
      <c r="AP1239" s="6"/>
      <c r="AQ1239" s="6"/>
      <c r="AR1239" s="27"/>
      <c r="AS1239" s="27"/>
      <c r="AT1239" s="27"/>
      <c r="AU1239" s="12"/>
      <c r="AV1239" s="28"/>
    </row>
    <row r="1240" spans="4:48">
      <c r="D1240" s="12"/>
      <c r="E1240" s="12"/>
      <c r="F1240" s="12"/>
      <c r="G1240" s="12"/>
      <c r="H1240" s="36"/>
      <c r="J1240" s="19"/>
      <c r="K1240" s="19"/>
      <c r="L1240" s="19"/>
      <c r="AF1240" s="6"/>
      <c r="AG1240" s="6"/>
      <c r="AH1240" s="6"/>
      <c r="AI1240" s="6"/>
      <c r="AN1240" s="6"/>
      <c r="AO1240" s="6"/>
      <c r="AP1240" s="6"/>
      <c r="AQ1240" s="6"/>
      <c r="AR1240" s="27"/>
      <c r="AS1240" s="27"/>
      <c r="AT1240" s="27"/>
      <c r="AU1240" s="12"/>
      <c r="AV1240" s="28"/>
    </row>
    <row r="1241" spans="4:48">
      <c r="D1241" s="12"/>
      <c r="E1241" s="12"/>
      <c r="F1241" s="12"/>
      <c r="G1241" s="12"/>
      <c r="H1241" s="36"/>
      <c r="J1241" s="19"/>
      <c r="K1241" s="19"/>
      <c r="L1241" s="19"/>
      <c r="AF1241" s="6"/>
      <c r="AG1241" s="6"/>
      <c r="AH1241" s="6"/>
      <c r="AI1241" s="6"/>
      <c r="AN1241" s="6"/>
      <c r="AO1241" s="6"/>
      <c r="AP1241" s="6"/>
      <c r="AQ1241" s="6"/>
      <c r="AR1241" s="27"/>
      <c r="AS1241" s="27"/>
      <c r="AT1241" s="27"/>
      <c r="AU1241" s="12"/>
      <c r="AV1241" s="28"/>
    </row>
    <row r="1242" spans="4:48">
      <c r="D1242" s="12"/>
      <c r="E1242" s="12"/>
      <c r="F1242" s="12"/>
      <c r="G1242" s="12"/>
      <c r="H1242" s="36"/>
      <c r="J1242" s="19"/>
      <c r="K1242" s="19"/>
      <c r="L1242" s="19"/>
      <c r="AF1242" s="6"/>
      <c r="AG1242" s="6"/>
      <c r="AH1242" s="6"/>
      <c r="AI1242" s="6"/>
      <c r="AN1242" s="6"/>
      <c r="AO1242" s="6"/>
      <c r="AP1242" s="6"/>
      <c r="AQ1242" s="6"/>
      <c r="AR1242" s="27"/>
      <c r="AS1242" s="27"/>
      <c r="AT1242" s="27"/>
      <c r="AU1242" s="12"/>
      <c r="AV1242" s="28"/>
    </row>
    <row r="1243" spans="4:48">
      <c r="D1243" s="12"/>
      <c r="E1243" s="12"/>
      <c r="F1243" s="12"/>
      <c r="G1243" s="12"/>
      <c r="H1243" s="36"/>
      <c r="J1243" s="19"/>
      <c r="K1243" s="19"/>
      <c r="L1243" s="19"/>
      <c r="AF1243" s="6"/>
      <c r="AG1243" s="6"/>
      <c r="AH1243" s="6"/>
      <c r="AI1243" s="6"/>
      <c r="AN1243" s="6"/>
      <c r="AO1243" s="6"/>
      <c r="AP1243" s="6"/>
      <c r="AQ1243" s="6"/>
      <c r="AR1243" s="27"/>
      <c r="AS1243" s="27"/>
      <c r="AT1243" s="27"/>
      <c r="AU1243" s="12"/>
      <c r="AV1243" s="28"/>
    </row>
    <row r="1244" spans="4:48">
      <c r="D1244" s="12"/>
      <c r="E1244" s="12"/>
      <c r="F1244" s="12"/>
      <c r="G1244" s="12"/>
      <c r="H1244" s="36"/>
      <c r="J1244" s="19"/>
      <c r="K1244" s="19"/>
      <c r="L1244" s="19"/>
      <c r="AF1244" s="6"/>
      <c r="AG1244" s="6"/>
      <c r="AH1244" s="6"/>
      <c r="AI1244" s="6"/>
      <c r="AN1244" s="6"/>
      <c r="AO1244" s="6"/>
      <c r="AP1244" s="6"/>
      <c r="AQ1244" s="6"/>
      <c r="AR1244" s="27"/>
      <c r="AS1244" s="27"/>
      <c r="AT1244" s="27"/>
      <c r="AU1244" s="12"/>
      <c r="AV1244" s="28"/>
    </row>
    <row r="1245" spans="4:48">
      <c r="D1245" s="12"/>
      <c r="E1245" s="12"/>
      <c r="F1245" s="12"/>
      <c r="G1245" s="12"/>
      <c r="H1245" s="36"/>
      <c r="J1245" s="19"/>
      <c r="K1245" s="19"/>
      <c r="L1245" s="19"/>
      <c r="AF1245" s="6"/>
      <c r="AG1245" s="6"/>
      <c r="AH1245" s="6"/>
      <c r="AI1245" s="6"/>
      <c r="AN1245" s="6"/>
      <c r="AO1245" s="6"/>
      <c r="AP1245" s="6"/>
      <c r="AQ1245" s="6"/>
      <c r="AR1245" s="27"/>
      <c r="AS1245" s="27"/>
      <c r="AT1245" s="27"/>
      <c r="AU1245" s="12"/>
      <c r="AV1245" s="28"/>
    </row>
    <row r="1246" spans="4:48">
      <c r="D1246" s="12"/>
      <c r="E1246" s="12"/>
      <c r="F1246" s="12"/>
      <c r="G1246" s="12"/>
      <c r="H1246" s="36"/>
      <c r="J1246" s="19"/>
      <c r="K1246" s="19"/>
      <c r="L1246" s="19"/>
      <c r="AF1246" s="6"/>
      <c r="AG1246" s="6"/>
      <c r="AH1246" s="6"/>
      <c r="AI1246" s="6"/>
      <c r="AN1246" s="6"/>
      <c r="AO1246" s="6"/>
      <c r="AP1246" s="6"/>
      <c r="AQ1246" s="6"/>
      <c r="AR1246" s="27"/>
      <c r="AS1246" s="27"/>
      <c r="AT1246" s="27"/>
      <c r="AU1246" s="12"/>
      <c r="AV1246" s="28"/>
    </row>
    <row r="1247" spans="4:48">
      <c r="D1247" s="12"/>
      <c r="E1247" s="12"/>
      <c r="F1247" s="12"/>
      <c r="G1247" s="12"/>
      <c r="H1247" s="36"/>
      <c r="J1247" s="19"/>
      <c r="K1247" s="19"/>
      <c r="L1247" s="19"/>
      <c r="AF1247" s="6"/>
      <c r="AG1247" s="6"/>
      <c r="AH1247" s="6"/>
      <c r="AI1247" s="6"/>
      <c r="AN1247" s="6"/>
      <c r="AO1247" s="6"/>
      <c r="AP1247" s="6"/>
      <c r="AQ1247" s="6"/>
      <c r="AR1247" s="27"/>
      <c r="AS1247" s="27"/>
      <c r="AT1247" s="27"/>
      <c r="AU1247" s="12"/>
      <c r="AV1247" s="28"/>
    </row>
    <row r="1248" spans="4:48">
      <c r="D1248" s="12"/>
      <c r="E1248" s="12"/>
      <c r="F1248" s="12"/>
      <c r="G1248" s="12"/>
      <c r="H1248" s="36"/>
      <c r="J1248" s="19"/>
      <c r="K1248" s="19"/>
      <c r="L1248" s="19"/>
      <c r="AF1248" s="6"/>
      <c r="AG1248" s="6"/>
      <c r="AH1248" s="6"/>
      <c r="AI1248" s="6"/>
      <c r="AN1248" s="6"/>
      <c r="AO1248" s="6"/>
      <c r="AP1248" s="6"/>
      <c r="AQ1248" s="6"/>
      <c r="AR1248" s="27"/>
      <c r="AS1248" s="27"/>
      <c r="AT1248" s="27"/>
      <c r="AU1248" s="12"/>
      <c r="AV1248" s="28"/>
    </row>
    <row r="1249" spans="4:48">
      <c r="D1249" s="12"/>
      <c r="E1249" s="12"/>
      <c r="F1249" s="12"/>
      <c r="G1249" s="12"/>
      <c r="H1249" s="36"/>
      <c r="J1249" s="19"/>
      <c r="K1249" s="19"/>
      <c r="L1249" s="19"/>
      <c r="AF1249" s="6"/>
      <c r="AG1249" s="6"/>
      <c r="AH1249" s="6"/>
      <c r="AI1249" s="6"/>
      <c r="AN1249" s="6"/>
      <c r="AO1249" s="6"/>
      <c r="AP1249" s="6"/>
      <c r="AQ1249" s="6"/>
      <c r="AR1249" s="27"/>
      <c r="AS1249" s="27"/>
      <c r="AT1249" s="27"/>
      <c r="AU1249" s="12"/>
      <c r="AV1249" s="28"/>
    </row>
    <row r="1250" spans="4:48">
      <c r="D1250" s="12"/>
      <c r="E1250" s="12"/>
      <c r="F1250" s="12"/>
      <c r="G1250" s="12"/>
      <c r="H1250" s="36"/>
      <c r="J1250" s="19"/>
      <c r="K1250" s="19"/>
      <c r="L1250" s="19"/>
      <c r="AF1250" s="6"/>
      <c r="AG1250" s="6"/>
      <c r="AH1250" s="6"/>
      <c r="AI1250" s="6"/>
      <c r="AN1250" s="6"/>
      <c r="AO1250" s="6"/>
      <c r="AP1250" s="6"/>
      <c r="AQ1250" s="6"/>
      <c r="AR1250" s="27"/>
      <c r="AS1250" s="27"/>
      <c r="AT1250" s="27"/>
      <c r="AU1250" s="12"/>
      <c r="AV1250" s="28"/>
    </row>
    <row r="1251" spans="4:48">
      <c r="D1251" s="12"/>
      <c r="E1251" s="12"/>
      <c r="F1251" s="12"/>
      <c r="G1251" s="12"/>
      <c r="H1251" s="36"/>
      <c r="J1251" s="19"/>
      <c r="K1251" s="19"/>
      <c r="L1251" s="19"/>
      <c r="AF1251" s="6"/>
      <c r="AG1251" s="6"/>
      <c r="AH1251" s="6"/>
      <c r="AI1251" s="6"/>
      <c r="AN1251" s="6"/>
      <c r="AO1251" s="6"/>
      <c r="AP1251" s="6"/>
      <c r="AQ1251" s="6"/>
      <c r="AR1251" s="27"/>
      <c r="AS1251" s="27"/>
      <c r="AT1251" s="27"/>
      <c r="AU1251" s="12"/>
      <c r="AV1251" s="28"/>
    </row>
    <row r="1252" spans="4:48">
      <c r="D1252" s="12"/>
      <c r="E1252" s="12"/>
      <c r="F1252" s="12"/>
      <c r="G1252" s="12"/>
      <c r="H1252" s="36"/>
      <c r="J1252" s="19"/>
      <c r="K1252" s="19"/>
      <c r="L1252" s="19"/>
      <c r="AF1252" s="6"/>
      <c r="AG1252" s="6"/>
      <c r="AH1252" s="6"/>
      <c r="AI1252" s="6"/>
      <c r="AN1252" s="6"/>
      <c r="AO1252" s="6"/>
      <c r="AP1252" s="6"/>
      <c r="AQ1252" s="6"/>
      <c r="AR1252" s="27"/>
      <c r="AS1252" s="27"/>
      <c r="AT1252" s="27"/>
      <c r="AU1252" s="12"/>
      <c r="AV1252" s="28"/>
    </row>
    <row r="1253" spans="4:48">
      <c r="D1253" s="12"/>
      <c r="E1253" s="12"/>
      <c r="F1253" s="12"/>
      <c r="G1253" s="12"/>
      <c r="H1253" s="36"/>
      <c r="J1253" s="19"/>
      <c r="K1253" s="19"/>
      <c r="L1253" s="19"/>
      <c r="AF1253" s="6"/>
      <c r="AG1253" s="6"/>
      <c r="AH1253" s="6"/>
      <c r="AI1253" s="6"/>
      <c r="AN1253" s="6"/>
      <c r="AO1253" s="6"/>
      <c r="AP1253" s="6"/>
      <c r="AQ1253" s="6"/>
      <c r="AR1253" s="27"/>
      <c r="AS1253" s="27"/>
      <c r="AT1253" s="27"/>
      <c r="AU1253" s="12"/>
      <c r="AV1253" s="28"/>
    </row>
    <row r="1254" spans="4:48">
      <c r="D1254" s="12"/>
      <c r="E1254" s="12"/>
      <c r="F1254" s="12"/>
      <c r="G1254" s="12"/>
      <c r="H1254" s="36"/>
      <c r="J1254" s="19"/>
      <c r="K1254" s="19"/>
      <c r="L1254" s="19"/>
      <c r="AF1254" s="6"/>
      <c r="AG1254" s="6"/>
      <c r="AH1254" s="6"/>
      <c r="AI1254" s="6"/>
      <c r="AN1254" s="6"/>
      <c r="AO1254" s="6"/>
      <c r="AP1254" s="6"/>
      <c r="AQ1254" s="6"/>
      <c r="AR1254" s="27"/>
      <c r="AS1254" s="27"/>
      <c r="AT1254" s="27"/>
      <c r="AU1254" s="12"/>
      <c r="AV1254" s="28"/>
    </row>
    <row r="1255" spans="4:48">
      <c r="D1255" s="12"/>
      <c r="E1255" s="12"/>
      <c r="F1255" s="12"/>
      <c r="G1255" s="12"/>
      <c r="H1255" s="36"/>
      <c r="J1255" s="19"/>
      <c r="K1255" s="19"/>
      <c r="L1255" s="19"/>
      <c r="AF1255" s="6"/>
      <c r="AG1255" s="6"/>
      <c r="AH1255" s="6"/>
      <c r="AI1255" s="6"/>
      <c r="AN1255" s="6"/>
      <c r="AO1255" s="6"/>
      <c r="AP1255" s="6"/>
      <c r="AQ1255" s="6"/>
      <c r="AR1255" s="27"/>
      <c r="AS1255" s="27"/>
      <c r="AT1255" s="27"/>
      <c r="AU1255" s="12"/>
      <c r="AV1255" s="28"/>
    </row>
    <row r="1256" spans="4:48">
      <c r="D1256" s="12"/>
      <c r="E1256" s="12"/>
      <c r="F1256" s="12"/>
      <c r="G1256" s="12"/>
      <c r="H1256" s="36"/>
      <c r="J1256" s="19"/>
      <c r="K1256" s="19"/>
      <c r="L1256" s="19"/>
      <c r="AF1256" s="6"/>
      <c r="AG1256" s="6"/>
      <c r="AH1256" s="6"/>
      <c r="AI1256" s="6"/>
      <c r="AN1256" s="6"/>
      <c r="AO1256" s="6"/>
      <c r="AP1256" s="6"/>
      <c r="AQ1256" s="6"/>
      <c r="AR1256" s="27"/>
      <c r="AS1256" s="27"/>
      <c r="AT1256" s="27"/>
      <c r="AU1256" s="12"/>
      <c r="AV1256" s="28"/>
    </row>
    <row r="1257" spans="4:48">
      <c r="D1257" s="12"/>
      <c r="E1257" s="12"/>
      <c r="F1257" s="12"/>
      <c r="G1257" s="12"/>
      <c r="H1257" s="36"/>
      <c r="J1257" s="19"/>
      <c r="K1257" s="19"/>
      <c r="L1257" s="19"/>
      <c r="AF1257" s="6"/>
      <c r="AG1257" s="6"/>
      <c r="AH1257" s="6"/>
      <c r="AI1257" s="6"/>
      <c r="AN1257" s="6"/>
      <c r="AO1257" s="6"/>
      <c r="AP1257" s="6"/>
      <c r="AQ1257" s="6"/>
      <c r="AR1257" s="27"/>
      <c r="AS1257" s="27"/>
      <c r="AT1257" s="27"/>
      <c r="AU1257" s="12"/>
      <c r="AV1257" s="28"/>
    </row>
    <row r="1258" spans="4:48">
      <c r="D1258" s="12"/>
      <c r="E1258" s="12"/>
      <c r="F1258" s="12"/>
      <c r="G1258" s="12"/>
      <c r="H1258" s="36"/>
      <c r="J1258" s="19"/>
      <c r="K1258" s="19"/>
      <c r="L1258" s="19"/>
      <c r="AF1258" s="6"/>
      <c r="AG1258" s="6"/>
      <c r="AH1258" s="6"/>
      <c r="AI1258" s="6"/>
      <c r="AN1258" s="6"/>
      <c r="AO1258" s="6"/>
      <c r="AP1258" s="6"/>
      <c r="AQ1258" s="6"/>
      <c r="AR1258" s="27"/>
      <c r="AS1258" s="27"/>
      <c r="AT1258" s="27"/>
      <c r="AU1258" s="12"/>
      <c r="AV1258" s="28"/>
    </row>
    <row r="1259" spans="4:48">
      <c r="D1259" s="12"/>
      <c r="E1259" s="12"/>
      <c r="F1259" s="12"/>
      <c r="G1259" s="12"/>
      <c r="H1259" s="36"/>
      <c r="J1259" s="19"/>
      <c r="K1259" s="19"/>
      <c r="L1259" s="19"/>
      <c r="AF1259" s="6"/>
      <c r="AG1259" s="6"/>
      <c r="AH1259" s="6"/>
      <c r="AI1259" s="6"/>
      <c r="AN1259" s="6"/>
      <c r="AO1259" s="6"/>
      <c r="AP1259" s="6"/>
      <c r="AQ1259" s="6"/>
      <c r="AR1259" s="27"/>
      <c r="AS1259" s="27"/>
      <c r="AT1259" s="27"/>
      <c r="AU1259" s="12"/>
      <c r="AV1259" s="28"/>
    </row>
    <row r="1260" spans="4:48">
      <c r="D1260" s="12"/>
      <c r="E1260" s="12"/>
      <c r="F1260" s="12"/>
      <c r="G1260" s="12"/>
      <c r="H1260" s="36"/>
      <c r="J1260" s="19"/>
      <c r="K1260" s="19"/>
      <c r="L1260" s="19"/>
      <c r="AF1260" s="6"/>
      <c r="AG1260" s="6"/>
      <c r="AH1260" s="6"/>
      <c r="AI1260" s="6"/>
      <c r="AN1260" s="6"/>
      <c r="AO1260" s="6"/>
      <c r="AP1260" s="6"/>
      <c r="AQ1260" s="6"/>
      <c r="AR1260" s="27"/>
      <c r="AS1260" s="27"/>
      <c r="AT1260" s="27"/>
      <c r="AU1260" s="12"/>
      <c r="AV1260" s="28"/>
    </row>
    <row r="1261" spans="4:48">
      <c r="D1261" s="12"/>
      <c r="E1261" s="12"/>
      <c r="F1261" s="12"/>
      <c r="G1261" s="12"/>
      <c r="H1261" s="36"/>
      <c r="J1261" s="19"/>
      <c r="K1261" s="19"/>
      <c r="L1261" s="19"/>
      <c r="AF1261" s="6"/>
      <c r="AG1261" s="6"/>
      <c r="AH1261" s="6"/>
      <c r="AI1261" s="6"/>
      <c r="AN1261" s="6"/>
      <c r="AO1261" s="6"/>
      <c r="AP1261" s="6"/>
      <c r="AQ1261" s="6"/>
      <c r="AR1261" s="27"/>
      <c r="AS1261" s="27"/>
      <c r="AT1261" s="27"/>
      <c r="AU1261" s="12"/>
      <c r="AV1261" s="28"/>
    </row>
    <row r="1262" spans="4:48">
      <c r="D1262" s="12"/>
      <c r="E1262" s="12"/>
      <c r="F1262" s="12"/>
      <c r="G1262" s="12"/>
      <c r="H1262" s="36"/>
      <c r="J1262" s="19"/>
      <c r="K1262" s="19"/>
      <c r="L1262" s="19"/>
      <c r="AF1262" s="6"/>
      <c r="AG1262" s="6"/>
      <c r="AH1262" s="6"/>
      <c r="AI1262" s="6"/>
      <c r="AN1262" s="6"/>
      <c r="AO1262" s="6"/>
      <c r="AP1262" s="6"/>
      <c r="AQ1262" s="6"/>
      <c r="AR1262" s="27"/>
      <c r="AS1262" s="27"/>
      <c r="AT1262" s="27"/>
      <c r="AU1262" s="12"/>
      <c r="AV1262" s="28"/>
    </row>
    <row r="1263" spans="4:48">
      <c r="D1263" s="12"/>
      <c r="E1263" s="12"/>
      <c r="F1263" s="12"/>
      <c r="G1263" s="12"/>
      <c r="H1263" s="36"/>
      <c r="J1263" s="19"/>
      <c r="K1263" s="19"/>
      <c r="L1263" s="19"/>
      <c r="AF1263" s="6"/>
      <c r="AG1263" s="6"/>
      <c r="AH1263" s="6"/>
      <c r="AI1263" s="6"/>
      <c r="AN1263" s="6"/>
      <c r="AO1263" s="6"/>
      <c r="AP1263" s="6"/>
      <c r="AQ1263" s="6"/>
      <c r="AR1263" s="27"/>
      <c r="AS1263" s="27"/>
      <c r="AT1263" s="27"/>
      <c r="AU1263" s="12"/>
      <c r="AV1263" s="28"/>
    </row>
    <row r="1264" spans="4:48">
      <c r="D1264" s="12"/>
      <c r="E1264" s="12"/>
      <c r="F1264" s="12"/>
      <c r="G1264" s="12"/>
      <c r="H1264" s="36"/>
      <c r="J1264" s="19"/>
      <c r="K1264" s="19"/>
      <c r="L1264" s="19"/>
      <c r="AF1264" s="6"/>
      <c r="AG1264" s="6"/>
      <c r="AH1264" s="6"/>
      <c r="AI1264" s="6"/>
      <c r="AN1264" s="6"/>
      <c r="AO1264" s="6"/>
      <c r="AP1264" s="6"/>
      <c r="AQ1264" s="6"/>
      <c r="AR1264" s="27"/>
      <c r="AS1264" s="27"/>
      <c r="AT1264" s="27"/>
      <c r="AU1264" s="12"/>
      <c r="AV1264" s="28"/>
    </row>
    <row r="1265" spans="4:48">
      <c r="D1265" s="12"/>
      <c r="E1265" s="12"/>
      <c r="F1265" s="12"/>
      <c r="G1265" s="12"/>
      <c r="H1265" s="36"/>
      <c r="J1265" s="19"/>
      <c r="K1265" s="19"/>
      <c r="L1265" s="19"/>
      <c r="AF1265" s="6"/>
      <c r="AG1265" s="6"/>
      <c r="AH1265" s="6"/>
      <c r="AI1265" s="6"/>
      <c r="AN1265" s="6"/>
      <c r="AO1265" s="6"/>
      <c r="AP1265" s="6"/>
      <c r="AQ1265" s="6"/>
      <c r="AR1265" s="27"/>
      <c r="AS1265" s="27"/>
      <c r="AT1265" s="27"/>
      <c r="AU1265" s="12"/>
      <c r="AV1265" s="28"/>
    </row>
    <row r="1266" spans="4:48">
      <c r="D1266" s="12"/>
      <c r="E1266" s="12"/>
      <c r="F1266" s="12"/>
      <c r="G1266" s="12"/>
      <c r="H1266" s="36"/>
      <c r="J1266" s="19"/>
      <c r="K1266" s="19"/>
      <c r="L1266" s="19"/>
      <c r="AF1266" s="6"/>
      <c r="AG1266" s="6"/>
      <c r="AH1266" s="6"/>
      <c r="AI1266" s="6"/>
      <c r="AN1266" s="6"/>
      <c r="AO1266" s="6"/>
      <c r="AP1266" s="6"/>
      <c r="AQ1266" s="6"/>
      <c r="AR1266" s="27"/>
      <c r="AS1266" s="27"/>
      <c r="AT1266" s="27"/>
      <c r="AU1266" s="12"/>
      <c r="AV1266" s="28"/>
    </row>
    <row r="1267" spans="4:48">
      <c r="D1267" s="12"/>
      <c r="E1267" s="12"/>
      <c r="F1267" s="12"/>
      <c r="G1267" s="12"/>
      <c r="H1267" s="36"/>
      <c r="J1267" s="19"/>
      <c r="K1267" s="19"/>
      <c r="L1267" s="19"/>
      <c r="AF1267" s="6"/>
      <c r="AG1267" s="6"/>
      <c r="AH1267" s="6"/>
      <c r="AI1267" s="6"/>
      <c r="AN1267" s="6"/>
      <c r="AO1267" s="6"/>
      <c r="AP1267" s="6"/>
      <c r="AQ1267" s="6"/>
      <c r="AR1267" s="27"/>
      <c r="AS1267" s="27"/>
      <c r="AT1267" s="27"/>
      <c r="AU1267" s="12"/>
      <c r="AV1267" s="28"/>
    </row>
    <row r="1268" spans="4:48">
      <c r="D1268" s="12"/>
      <c r="E1268" s="12"/>
      <c r="F1268" s="12"/>
      <c r="G1268" s="12"/>
      <c r="H1268" s="36"/>
      <c r="J1268" s="19"/>
      <c r="K1268" s="19"/>
      <c r="L1268" s="19"/>
      <c r="AF1268" s="6"/>
      <c r="AG1268" s="6"/>
      <c r="AH1268" s="6"/>
      <c r="AI1268" s="6"/>
      <c r="AN1268" s="6"/>
      <c r="AO1268" s="6"/>
      <c r="AP1268" s="6"/>
      <c r="AQ1268" s="6"/>
      <c r="AR1268" s="27"/>
      <c r="AS1268" s="27"/>
      <c r="AT1268" s="27"/>
      <c r="AU1268" s="12"/>
      <c r="AV1268" s="28"/>
    </row>
    <row r="1269" spans="4:48">
      <c r="D1269" s="12"/>
      <c r="E1269" s="12"/>
      <c r="F1269" s="12"/>
      <c r="G1269" s="12"/>
      <c r="H1269" s="36"/>
      <c r="J1269" s="19"/>
      <c r="K1269" s="19"/>
      <c r="L1269" s="19"/>
      <c r="AF1269" s="6"/>
      <c r="AG1269" s="6"/>
      <c r="AH1269" s="6"/>
      <c r="AI1269" s="6"/>
      <c r="AN1269" s="6"/>
      <c r="AO1269" s="6"/>
      <c r="AP1269" s="6"/>
      <c r="AQ1269" s="6"/>
      <c r="AR1269" s="27"/>
      <c r="AS1269" s="27"/>
      <c r="AT1269" s="27"/>
      <c r="AU1269" s="12"/>
      <c r="AV1269" s="28"/>
    </row>
    <row r="1270" spans="4:48">
      <c r="D1270" s="12"/>
      <c r="E1270" s="12"/>
      <c r="F1270" s="12"/>
      <c r="G1270" s="12"/>
      <c r="H1270" s="36"/>
      <c r="J1270" s="19"/>
      <c r="K1270" s="19"/>
      <c r="L1270" s="19"/>
      <c r="AF1270" s="6"/>
      <c r="AG1270" s="6"/>
      <c r="AH1270" s="6"/>
      <c r="AI1270" s="6"/>
      <c r="AN1270" s="6"/>
      <c r="AO1270" s="6"/>
      <c r="AP1270" s="6"/>
      <c r="AQ1270" s="6"/>
      <c r="AR1270" s="27"/>
      <c r="AS1270" s="27"/>
      <c r="AT1270" s="27"/>
      <c r="AU1270" s="12"/>
      <c r="AV1270" s="28"/>
    </row>
    <row r="1271" spans="4:48">
      <c r="D1271" s="12"/>
      <c r="E1271" s="12"/>
      <c r="F1271" s="12"/>
      <c r="G1271" s="12"/>
      <c r="H1271" s="36"/>
      <c r="J1271" s="19"/>
      <c r="K1271" s="19"/>
      <c r="L1271" s="19"/>
      <c r="AF1271" s="6"/>
      <c r="AG1271" s="6"/>
      <c r="AH1271" s="6"/>
      <c r="AI1271" s="6"/>
      <c r="AN1271" s="6"/>
      <c r="AO1271" s="6"/>
      <c r="AP1271" s="6"/>
      <c r="AQ1271" s="6"/>
      <c r="AR1271" s="27"/>
      <c r="AS1271" s="27"/>
      <c r="AT1271" s="27"/>
      <c r="AU1271" s="12"/>
      <c r="AV1271" s="28"/>
    </row>
    <row r="1272" spans="4:48">
      <c r="D1272" s="12"/>
      <c r="E1272" s="12"/>
      <c r="F1272" s="12"/>
      <c r="G1272" s="12"/>
      <c r="H1272" s="36"/>
      <c r="J1272" s="19"/>
      <c r="K1272" s="19"/>
      <c r="L1272" s="19"/>
      <c r="AF1272" s="6"/>
      <c r="AG1272" s="6"/>
      <c r="AH1272" s="6"/>
      <c r="AI1272" s="6"/>
      <c r="AN1272" s="6"/>
      <c r="AO1272" s="6"/>
      <c r="AP1272" s="6"/>
      <c r="AQ1272" s="6"/>
      <c r="AR1272" s="27"/>
      <c r="AS1272" s="27"/>
      <c r="AT1272" s="27"/>
      <c r="AU1272" s="12"/>
      <c r="AV1272" s="28"/>
    </row>
    <row r="1273" spans="4:48">
      <c r="D1273" s="12"/>
      <c r="E1273" s="12"/>
      <c r="F1273" s="12"/>
      <c r="G1273" s="12"/>
      <c r="H1273" s="36"/>
      <c r="J1273" s="19"/>
      <c r="K1273" s="19"/>
      <c r="L1273" s="19"/>
      <c r="AF1273" s="6"/>
      <c r="AG1273" s="6"/>
      <c r="AH1273" s="6"/>
      <c r="AI1273" s="6"/>
      <c r="AN1273" s="6"/>
      <c r="AO1273" s="6"/>
      <c r="AP1273" s="6"/>
      <c r="AQ1273" s="6"/>
      <c r="AR1273" s="27"/>
      <c r="AS1273" s="27"/>
      <c r="AT1273" s="27"/>
      <c r="AU1273" s="12"/>
      <c r="AV1273" s="28"/>
    </row>
    <row r="1274" spans="4:48">
      <c r="D1274" s="12"/>
      <c r="E1274" s="12"/>
      <c r="F1274" s="12"/>
      <c r="G1274" s="12"/>
      <c r="H1274" s="36"/>
      <c r="J1274" s="19"/>
      <c r="K1274" s="19"/>
      <c r="L1274" s="19"/>
      <c r="AF1274" s="6"/>
      <c r="AG1274" s="6"/>
      <c r="AH1274" s="6"/>
      <c r="AI1274" s="6"/>
      <c r="AN1274" s="6"/>
      <c r="AO1274" s="6"/>
      <c r="AP1274" s="6"/>
      <c r="AQ1274" s="6"/>
      <c r="AR1274" s="27"/>
      <c r="AS1274" s="27"/>
      <c r="AT1274" s="27"/>
      <c r="AU1274" s="12"/>
      <c r="AV1274" s="28"/>
    </row>
    <row r="1275" spans="4:48">
      <c r="D1275" s="12"/>
      <c r="E1275" s="12"/>
      <c r="F1275" s="12"/>
      <c r="G1275" s="12"/>
      <c r="H1275" s="36"/>
      <c r="J1275" s="19"/>
      <c r="K1275" s="19"/>
      <c r="L1275" s="19"/>
      <c r="AF1275" s="6"/>
      <c r="AG1275" s="6"/>
      <c r="AH1275" s="6"/>
      <c r="AI1275" s="6"/>
      <c r="AN1275" s="6"/>
      <c r="AO1275" s="6"/>
      <c r="AP1275" s="6"/>
      <c r="AQ1275" s="6"/>
      <c r="AR1275" s="27"/>
      <c r="AS1275" s="27"/>
      <c r="AT1275" s="27"/>
      <c r="AU1275" s="12"/>
      <c r="AV1275" s="28"/>
    </row>
    <row r="1276" spans="4:48">
      <c r="D1276" s="12"/>
      <c r="E1276" s="12"/>
      <c r="F1276" s="12"/>
      <c r="G1276" s="12"/>
      <c r="H1276" s="36"/>
      <c r="J1276" s="19"/>
      <c r="K1276" s="19"/>
      <c r="L1276" s="19"/>
      <c r="AF1276" s="6"/>
      <c r="AG1276" s="6"/>
      <c r="AH1276" s="6"/>
      <c r="AI1276" s="6"/>
      <c r="AN1276" s="6"/>
      <c r="AO1276" s="6"/>
      <c r="AP1276" s="6"/>
      <c r="AQ1276" s="6"/>
      <c r="AR1276" s="27"/>
      <c r="AS1276" s="27"/>
      <c r="AT1276" s="27"/>
      <c r="AU1276" s="12"/>
      <c r="AV1276" s="28"/>
    </row>
    <row r="1277" spans="4:48">
      <c r="D1277" s="12"/>
      <c r="E1277" s="12"/>
      <c r="F1277" s="12"/>
      <c r="G1277" s="12"/>
      <c r="H1277" s="36"/>
      <c r="J1277" s="19"/>
      <c r="K1277" s="19"/>
      <c r="L1277" s="19"/>
      <c r="AF1277" s="6"/>
      <c r="AG1277" s="6"/>
      <c r="AH1277" s="6"/>
      <c r="AI1277" s="6"/>
      <c r="AN1277" s="6"/>
      <c r="AO1277" s="6"/>
      <c r="AP1277" s="6"/>
      <c r="AQ1277" s="6"/>
      <c r="AR1277" s="27"/>
      <c r="AS1277" s="27"/>
      <c r="AT1277" s="27"/>
      <c r="AU1277" s="12"/>
      <c r="AV1277" s="28"/>
    </row>
    <row r="1278" spans="4:48">
      <c r="D1278" s="12"/>
      <c r="E1278" s="12"/>
      <c r="F1278" s="12"/>
      <c r="G1278" s="12"/>
      <c r="H1278" s="36"/>
      <c r="J1278" s="19"/>
      <c r="K1278" s="19"/>
      <c r="L1278" s="19"/>
      <c r="AF1278" s="6"/>
      <c r="AG1278" s="6"/>
      <c r="AH1278" s="6"/>
      <c r="AI1278" s="6"/>
      <c r="AN1278" s="6"/>
      <c r="AO1278" s="6"/>
      <c r="AP1278" s="6"/>
      <c r="AQ1278" s="6"/>
      <c r="AR1278" s="27"/>
      <c r="AS1278" s="27"/>
      <c r="AT1278" s="27"/>
      <c r="AU1278" s="12"/>
      <c r="AV1278" s="28"/>
    </row>
    <row r="1279" spans="4:48">
      <c r="D1279" s="12"/>
      <c r="E1279" s="12"/>
      <c r="F1279" s="12"/>
      <c r="G1279" s="12"/>
      <c r="H1279" s="36"/>
      <c r="J1279" s="19"/>
      <c r="K1279" s="19"/>
      <c r="L1279" s="19"/>
      <c r="AF1279" s="6"/>
      <c r="AG1279" s="6"/>
      <c r="AH1279" s="6"/>
      <c r="AI1279" s="6"/>
      <c r="AN1279" s="6"/>
      <c r="AO1279" s="6"/>
      <c r="AP1279" s="6"/>
      <c r="AQ1279" s="6"/>
      <c r="AR1279" s="27"/>
      <c r="AS1279" s="27"/>
      <c r="AT1279" s="27"/>
      <c r="AU1279" s="12"/>
      <c r="AV1279" s="28"/>
    </row>
    <row r="1280" spans="4:48">
      <c r="D1280" s="12"/>
      <c r="E1280" s="12"/>
      <c r="F1280" s="12"/>
      <c r="G1280" s="12"/>
      <c r="H1280" s="36"/>
      <c r="J1280" s="19"/>
      <c r="K1280" s="19"/>
      <c r="L1280" s="19"/>
      <c r="AF1280" s="6"/>
      <c r="AG1280" s="6"/>
      <c r="AH1280" s="6"/>
      <c r="AI1280" s="6"/>
      <c r="AN1280" s="6"/>
      <c r="AO1280" s="6"/>
      <c r="AP1280" s="6"/>
      <c r="AQ1280" s="6"/>
      <c r="AR1280" s="27"/>
      <c r="AS1280" s="27"/>
      <c r="AT1280" s="27"/>
      <c r="AU1280" s="12"/>
      <c r="AV1280" s="28"/>
    </row>
    <row r="1281" spans="4:48">
      <c r="D1281" s="12"/>
      <c r="E1281" s="12"/>
      <c r="F1281" s="12"/>
      <c r="G1281" s="12"/>
      <c r="H1281" s="36"/>
      <c r="J1281" s="19"/>
      <c r="K1281" s="19"/>
      <c r="L1281" s="19"/>
      <c r="AF1281" s="6"/>
      <c r="AG1281" s="6"/>
      <c r="AH1281" s="6"/>
      <c r="AI1281" s="6"/>
      <c r="AN1281" s="6"/>
      <c r="AO1281" s="6"/>
      <c r="AP1281" s="6"/>
      <c r="AQ1281" s="6"/>
      <c r="AR1281" s="27"/>
      <c r="AS1281" s="27"/>
      <c r="AT1281" s="27"/>
      <c r="AU1281" s="12"/>
      <c r="AV1281" s="28"/>
    </row>
    <row r="1282" spans="4:48">
      <c r="D1282" s="12"/>
      <c r="E1282" s="12"/>
      <c r="F1282" s="12"/>
      <c r="G1282" s="12"/>
      <c r="H1282" s="36"/>
      <c r="J1282" s="19"/>
      <c r="K1282" s="19"/>
      <c r="L1282" s="19"/>
      <c r="AF1282" s="6"/>
      <c r="AG1282" s="6"/>
      <c r="AH1282" s="6"/>
      <c r="AI1282" s="6"/>
      <c r="AN1282" s="6"/>
      <c r="AO1282" s="6"/>
      <c r="AP1282" s="6"/>
      <c r="AQ1282" s="6"/>
      <c r="AR1282" s="27"/>
      <c r="AS1282" s="27"/>
      <c r="AT1282" s="27"/>
      <c r="AU1282" s="12"/>
      <c r="AV1282" s="28"/>
    </row>
    <row r="1283" spans="4:48">
      <c r="D1283" s="12"/>
      <c r="E1283" s="12"/>
      <c r="F1283" s="12"/>
      <c r="G1283" s="12"/>
      <c r="H1283" s="36"/>
      <c r="J1283" s="19"/>
      <c r="K1283" s="19"/>
      <c r="L1283" s="19"/>
      <c r="AF1283" s="6"/>
      <c r="AG1283" s="6"/>
      <c r="AH1283" s="6"/>
      <c r="AI1283" s="6"/>
      <c r="AN1283" s="6"/>
      <c r="AO1283" s="6"/>
      <c r="AP1283" s="6"/>
      <c r="AQ1283" s="6"/>
      <c r="AR1283" s="27"/>
      <c r="AS1283" s="27"/>
      <c r="AT1283" s="27"/>
      <c r="AU1283" s="12"/>
      <c r="AV1283" s="28"/>
    </row>
    <row r="1284" spans="4:48">
      <c r="D1284" s="12"/>
      <c r="E1284" s="12"/>
      <c r="F1284" s="12"/>
      <c r="G1284" s="12"/>
      <c r="H1284" s="36"/>
      <c r="J1284" s="19"/>
      <c r="K1284" s="19"/>
      <c r="L1284" s="19"/>
      <c r="AF1284" s="6"/>
      <c r="AG1284" s="6"/>
      <c r="AH1284" s="6"/>
      <c r="AI1284" s="6"/>
      <c r="AN1284" s="6"/>
      <c r="AO1284" s="6"/>
      <c r="AP1284" s="6"/>
      <c r="AQ1284" s="6"/>
      <c r="AR1284" s="27"/>
      <c r="AS1284" s="27"/>
      <c r="AT1284" s="27"/>
      <c r="AU1284" s="12"/>
      <c r="AV1284" s="28"/>
    </row>
    <row r="1285" spans="4:48">
      <c r="D1285" s="12"/>
      <c r="E1285" s="12"/>
      <c r="F1285" s="12"/>
      <c r="G1285" s="12"/>
      <c r="H1285" s="36"/>
      <c r="J1285" s="19"/>
      <c r="K1285" s="19"/>
      <c r="L1285" s="19"/>
      <c r="AF1285" s="6"/>
      <c r="AG1285" s="6"/>
      <c r="AH1285" s="6"/>
      <c r="AI1285" s="6"/>
      <c r="AN1285" s="6"/>
      <c r="AO1285" s="6"/>
      <c r="AP1285" s="6"/>
      <c r="AQ1285" s="6"/>
      <c r="AR1285" s="27"/>
      <c r="AS1285" s="27"/>
      <c r="AT1285" s="27"/>
      <c r="AU1285" s="12"/>
      <c r="AV1285" s="28"/>
    </row>
    <row r="1286" spans="4:48">
      <c r="D1286" s="12"/>
      <c r="E1286" s="12"/>
      <c r="F1286" s="12"/>
      <c r="G1286" s="12"/>
      <c r="H1286" s="36"/>
      <c r="J1286" s="19"/>
      <c r="K1286" s="19"/>
      <c r="L1286" s="19"/>
      <c r="AF1286" s="6"/>
      <c r="AG1286" s="6"/>
      <c r="AH1286" s="6"/>
      <c r="AI1286" s="6"/>
      <c r="AN1286" s="6"/>
      <c r="AO1286" s="6"/>
      <c r="AP1286" s="6"/>
      <c r="AQ1286" s="6"/>
      <c r="AR1286" s="27"/>
      <c r="AS1286" s="27"/>
      <c r="AT1286" s="27"/>
      <c r="AU1286" s="12"/>
      <c r="AV1286" s="28"/>
    </row>
    <row r="1287" spans="4:48">
      <c r="D1287" s="12"/>
      <c r="E1287" s="12"/>
      <c r="F1287" s="12"/>
      <c r="G1287" s="12"/>
      <c r="H1287" s="36"/>
      <c r="J1287" s="19"/>
      <c r="K1287" s="19"/>
      <c r="L1287" s="19"/>
      <c r="AF1287" s="6"/>
      <c r="AG1287" s="6"/>
      <c r="AH1287" s="6"/>
      <c r="AI1287" s="6"/>
      <c r="AN1287" s="6"/>
      <c r="AO1287" s="6"/>
      <c r="AP1287" s="6"/>
      <c r="AQ1287" s="6"/>
      <c r="AR1287" s="27"/>
      <c r="AS1287" s="27"/>
      <c r="AT1287" s="27"/>
      <c r="AU1287" s="12"/>
      <c r="AV1287" s="28"/>
    </row>
    <row r="1288" spans="4:48">
      <c r="D1288" s="12"/>
      <c r="E1288" s="12"/>
      <c r="F1288" s="12"/>
      <c r="G1288" s="12"/>
      <c r="H1288" s="36"/>
      <c r="J1288" s="19"/>
      <c r="K1288" s="19"/>
      <c r="L1288" s="19"/>
      <c r="AF1288" s="6"/>
      <c r="AG1288" s="6"/>
      <c r="AH1288" s="6"/>
      <c r="AI1288" s="6"/>
      <c r="AN1288" s="6"/>
      <c r="AO1288" s="6"/>
      <c r="AP1288" s="6"/>
      <c r="AQ1288" s="6"/>
      <c r="AR1288" s="27"/>
      <c r="AS1288" s="27"/>
      <c r="AT1288" s="27"/>
      <c r="AU1288" s="12"/>
      <c r="AV1288" s="28"/>
    </row>
    <row r="1289" spans="4:48">
      <c r="D1289" s="12"/>
      <c r="E1289" s="12"/>
      <c r="F1289" s="12"/>
      <c r="G1289" s="12"/>
      <c r="H1289" s="36"/>
      <c r="J1289" s="19"/>
      <c r="K1289" s="19"/>
      <c r="L1289" s="19"/>
      <c r="AF1289" s="6"/>
      <c r="AG1289" s="6"/>
      <c r="AH1289" s="6"/>
      <c r="AI1289" s="6"/>
      <c r="AN1289" s="6"/>
      <c r="AO1289" s="6"/>
      <c r="AP1289" s="6"/>
      <c r="AQ1289" s="6"/>
      <c r="AR1289" s="27"/>
      <c r="AS1289" s="27"/>
      <c r="AT1289" s="27"/>
      <c r="AU1289" s="12"/>
      <c r="AV1289" s="28"/>
    </row>
    <row r="1290" spans="4:48">
      <c r="D1290" s="12"/>
      <c r="E1290" s="12"/>
      <c r="F1290" s="12"/>
      <c r="G1290" s="12"/>
      <c r="H1290" s="36"/>
      <c r="J1290" s="19"/>
      <c r="K1290" s="19"/>
      <c r="L1290" s="19"/>
      <c r="AF1290" s="6"/>
      <c r="AG1290" s="6"/>
      <c r="AH1290" s="6"/>
      <c r="AI1290" s="6"/>
      <c r="AN1290" s="6"/>
      <c r="AO1290" s="6"/>
      <c r="AP1290" s="6"/>
      <c r="AQ1290" s="6"/>
      <c r="AR1290" s="27"/>
      <c r="AS1290" s="27"/>
      <c r="AT1290" s="27"/>
      <c r="AU1290" s="12"/>
      <c r="AV1290" s="28"/>
    </row>
    <row r="1291" spans="4:48">
      <c r="D1291" s="12"/>
      <c r="E1291" s="12"/>
      <c r="F1291" s="12"/>
      <c r="G1291" s="12"/>
      <c r="H1291" s="36"/>
      <c r="J1291" s="19"/>
      <c r="K1291" s="19"/>
      <c r="L1291" s="19"/>
      <c r="AF1291" s="6"/>
      <c r="AG1291" s="6"/>
      <c r="AH1291" s="6"/>
      <c r="AI1291" s="6"/>
      <c r="AN1291" s="6"/>
      <c r="AO1291" s="6"/>
      <c r="AP1291" s="6"/>
      <c r="AQ1291" s="6"/>
      <c r="AR1291" s="27"/>
      <c r="AS1291" s="27"/>
      <c r="AT1291" s="27"/>
      <c r="AU1291" s="12"/>
      <c r="AV1291" s="28"/>
    </row>
    <row r="1292" spans="4:48">
      <c r="D1292" s="12"/>
      <c r="E1292" s="12"/>
      <c r="F1292" s="12"/>
      <c r="G1292" s="12"/>
      <c r="H1292" s="36"/>
      <c r="J1292" s="19"/>
      <c r="K1292" s="19"/>
      <c r="L1292" s="19"/>
      <c r="AF1292" s="6"/>
      <c r="AG1292" s="6"/>
      <c r="AH1292" s="6"/>
      <c r="AI1292" s="6"/>
      <c r="AN1292" s="6"/>
      <c r="AO1292" s="6"/>
      <c r="AP1292" s="6"/>
      <c r="AQ1292" s="6"/>
      <c r="AR1292" s="27"/>
      <c r="AS1292" s="27"/>
      <c r="AT1292" s="27"/>
      <c r="AU1292" s="12"/>
      <c r="AV1292" s="28"/>
    </row>
    <row r="1293" spans="4:48">
      <c r="D1293" s="12"/>
      <c r="E1293" s="12"/>
      <c r="F1293" s="12"/>
      <c r="G1293" s="12"/>
      <c r="H1293" s="36"/>
      <c r="J1293" s="19"/>
      <c r="K1293" s="19"/>
      <c r="L1293" s="19"/>
      <c r="AF1293" s="6"/>
      <c r="AG1293" s="6"/>
      <c r="AH1293" s="6"/>
      <c r="AI1293" s="6"/>
      <c r="AN1293" s="6"/>
      <c r="AO1293" s="6"/>
      <c r="AP1293" s="6"/>
      <c r="AQ1293" s="6"/>
      <c r="AR1293" s="27"/>
      <c r="AS1293" s="27"/>
      <c r="AT1293" s="27"/>
      <c r="AU1293" s="12"/>
      <c r="AV1293" s="28"/>
    </row>
    <row r="1294" spans="4:48">
      <c r="D1294" s="12"/>
      <c r="E1294" s="12"/>
      <c r="F1294" s="12"/>
      <c r="G1294" s="12"/>
      <c r="H1294" s="36"/>
      <c r="J1294" s="19"/>
      <c r="K1294" s="19"/>
      <c r="L1294" s="19"/>
      <c r="AF1294" s="6"/>
      <c r="AG1294" s="6"/>
      <c r="AH1294" s="6"/>
      <c r="AI1294" s="6"/>
      <c r="AN1294" s="6"/>
      <c r="AO1294" s="6"/>
      <c r="AP1294" s="6"/>
      <c r="AQ1294" s="6"/>
      <c r="AR1294" s="27"/>
      <c r="AS1294" s="27"/>
      <c r="AT1294" s="27"/>
      <c r="AU1294" s="12"/>
      <c r="AV1294" s="28"/>
    </row>
    <row r="1295" spans="4:48">
      <c r="D1295" s="12"/>
      <c r="E1295" s="12"/>
      <c r="F1295" s="12"/>
      <c r="G1295" s="12"/>
      <c r="H1295" s="36"/>
      <c r="J1295" s="19"/>
      <c r="K1295" s="19"/>
      <c r="L1295" s="19"/>
      <c r="AF1295" s="6"/>
      <c r="AG1295" s="6"/>
      <c r="AH1295" s="6"/>
      <c r="AI1295" s="6"/>
      <c r="AN1295" s="6"/>
      <c r="AO1295" s="6"/>
      <c r="AP1295" s="6"/>
      <c r="AQ1295" s="6"/>
      <c r="AR1295" s="27"/>
      <c r="AS1295" s="27"/>
      <c r="AT1295" s="27"/>
      <c r="AU1295" s="12"/>
      <c r="AV1295" s="28"/>
    </row>
    <row r="1296" spans="4:48">
      <c r="D1296" s="12"/>
      <c r="E1296" s="12"/>
      <c r="F1296" s="12"/>
      <c r="G1296" s="12"/>
      <c r="H1296" s="36"/>
      <c r="J1296" s="19"/>
      <c r="K1296" s="19"/>
      <c r="L1296" s="19"/>
      <c r="AF1296" s="6"/>
      <c r="AG1296" s="6"/>
      <c r="AH1296" s="6"/>
      <c r="AI1296" s="6"/>
      <c r="AN1296" s="6"/>
      <c r="AO1296" s="6"/>
      <c r="AP1296" s="6"/>
      <c r="AQ1296" s="6"/>
      <c r="AR1296" s="27"/>
      <c r="AS1296" s="27"/>
      <c r="AT1296" s="27"/>
      <c r="AU1296" s="12"/>
      <c r="AV1296" s="28"/>
    </row>
    <row r="1297" spans="4:48">
      <c r="D1297" s="12"/>
      <c r="E1297" s="12"/>
      <c r="F1297" s="12"/>
      <c r="G1297" s="12"/>
      <c r="H1297" s="36"/>
      <c r="J1297" s="19"/>
      <c r="K1297" s="19"/>
      <c r="L1297" s="19"/>
      <c r="AF1297" s="6"/>
      <c r="AG1297" s="6"/>
      <c r="AH1297" s="6"/>
      <c r="AI1297" s="6"/>
      <c r="AN1297" s="6"/>
      <c r="AO1297" s="6"/>
      <c r="AP1297" s="6"/>
      <c r="AQ1297" s="6"/>
      <c r="AR1297" s="27"/>
      <c r="AS1297" s="27"/>
      <c r="AT1297" s="27"/>
      <c r="AU1297" s="12"/>
      <c r="AV1297" s="28"/>
    </row>
    <row r="1298" spans="4:48">
      <c r="D1298" s="12"/>
      <c r="E1298" s="12"/>
      <c r="F1298" s="12"/>
      <c r="G1298" s="12"/>
      <c r="H1298" s="36"/>
      <c r="J1298" s="19"/>
      <c r="K1298" s="19"/>
      <c r="L1298" s="19"/>
      <c r="AF1298" s="6"/>
      <c r="AG1298" s="6"/>
      <c r="AH1298" s="6"/>
      <c r="AI1298" s="6"/>
      <c r="AN1298" s="6"/>
      <c r="AO1298" s="6"/>
      <c r="AP1298" s="6"/>
      <c r="AQ1298" s="6"/>
      <c r="AR1298" s="27"/>
      <c r="AS1298" s="27"/>
      <c r="AT1298" s="27"/>
      <c r="AU1298" s="12"/>
      <c r="AV1298" s="28"/>
    </row>
    <row r="1299" spans="4:48">
      <c r="D1299" s="12"/>
      <c r="E1299" s="12"/>
      <c r="F1299" s="12"/>
      <c r="G1299" s="12"/>
      <c r="H1299" s="36"/>
      <c r="J1299" s="19"/>
      <c r="K1299" s="19"/>
      <c r="L1299" s="19"/>
      <c r="AF1299" s="6"/>
      <c r="AG1299" s="6"/>
      <c r="AH1299" s="6"/>
      <c r="AI1299" s="6"/>
      <c r="AN1299" s="6"/>
      <c r="AO1299" s="6"/>
      <c r="AP1299" s="6"/>
      <c r="AQ1299" s="6"/>
      <c r="AR1299" s="27"/>
      <c r="AS1299" s="27"/>
      <c r="AT1299" s="27"/>
      <c r="AU1299" s="12"/>
      <c r="AV1299" s="28"/>
    </row>
    <row r="1300" spans="4:48">
      <c r="D1300" s="12"/>
      <c r="E1300" s="12"/>
      <c r="F1300" s="12"/>
      <c r="G1300" s="12"/>
      <c r="H1300" s="36"/>
      <c r="J1300" s="19"/>
      <c r="K1300" s="19"/>
      <c r="L1300" s="19"/>
      <c r="AF1300" s="6"/>
      <c r="AG1300" s="6"/>
      <c r="AH1300" s="6"/>
      <c r="AI1300" s="6"/>
      <c r="AN1300" s="6"/>
      <c r="AO1300" s="6"/>
      <c r="AP1300" s="6"/>
      <c r="AQ1300" s="6"/>
      <c r="AR1300" s="27"/>
      <c r="AS1300" s="27"/>
      <c r="AT1300" s="27"/>
      <c r="AU1300" s="12"/>
      <c r="AV1300" s="28"/>
    </row>
    <row r="1301" spans="4:48">
      <c r="D1301" s="12"/>
      <c r="E1301" s="12"/>
      <c r="F1301" s="12"/>
      <c r="G1301" s="12"/>
      <c r="H1301" s="36"/>
      <c r="J1301" s="19"/>
      <c r="K1301" s="19"/>
      <c r="L1301" s="19"/>
      <c r="AF1301" s="6"/>
      <c r="AG1301" s="6"/>
      <c r="AH1301" s="6"/>
      <c r="AI1301" s="6"/>
      <c r="AN1301" s="6"/>
      <c r="AO1301" s="6"/>
      <c r="AP1301" s="6"/>
      <c r="AQ1301" s="6"/>
      <c r="AR1301" s="27"/>
      <c r="AS1301" s="27"/>
      <c r="AT1301" s="27"/>
      <c r="AU1301" s="12"/>
      <c r="AV1301" s="28"/>
    </row>
    <row r="1302" spans="4:48">
      <c r="D1302" s="12"/>
      <c r="E1302" s="12"/>
      <c r="F1302" s="12"/>
      <c r="G1302" s="12"/>
      <c r="H1302" s="36"/>
      <c r="J1302" s="19"/>
      <c r="K1302" s="19"/>
      <c r="L1302" s="19"/>
      <c r="AF1302" s="6"/>
      <c r="AG1302" s="6"/>
      <c r="AH1302" s="6"/>
      <c r="AI1302" s="6"/>
      <c r="AN1302" s="6"/>
      <c r="AO1302" s="6"/>
      <c r="AP1302" s="6"/>
      <c r="AQ1302" s="6"/>
      <c r="AR1302" s="27"/>
      <c r="AS1302" s="27"/>
      <c r="AT1302" s="27"/>
      <c r="AU1302" s="12"/>
      <c r="AV1302" s="28"/>
    </row>
    <row r="1303" spans="4:48">
      <c r="D1303" s="12"/>
      <c r="E1303" s="12"/>
      <c r="F1303" s="12"/>
      <c r="G1303" s="12"/>
      <c r="H1303" s="36"/>
      <c r="J1303" s="19"/>
      <c r="K1303" s="19"/>
      <c r="L1303" s="19"/>
      <c r="AF1303" s="6"/>
      <c r="AG1303" s="6"/>
      <c r="AH1303" s="6"/>
      <c r="AI1303" s="6"/>
      <c r="AN1303" s="6"/>
      <c r="AO1303" s="6"/>
      <c r="AP1303" s="6"/>
      <c r="AQ1303" s="6"/>
      <c r="AR1303" s="27"/>
      <c r="AS1303" s="27"/>
      <c r="AT1303" s="27"/>
      <c r="AU1303" s="12"/>
      <c r="AV1303" s="28"/>
    </row>
    <row r="1304" spans="4:48">
      <c r="D1304" s="12"/>
      <c r="E1304" s="12"/>
      <c r="F1304" s="12"/>
      <c r="G1304" s="12"/>
      <c r="H1304" s="36"/>
      <c r="J1304" s="19"/>
      <c r="K1304" s="19"/>
      <c r="L1304" s="19"/>
      <c r="AF1304" s="6"/>
      <c r="AG1304" s="6"/>
      <c r="AH1304" s="6"/>
      <c r="AI1304" s="6"/>
      <c r="AN1304" s="6"/>
      <c r="AO1304" s="6"/>
      <c r="AP1304" s="6"/>
      <c r="AQ1304" s="6"/>
      <c r="AR1304" s="27"/>
      <c r="AS1304" s="27"/>
      <c r="AT1304" s="27"/>
      <c r="AU1304" s="12"/>
      <c r="AV1304" s="28"/>
    </row>
    <row r="1305" spans="4:48">
      <c r="D1305" s="12"/>
      <c r="E1305" s="12"/>
      <c r="F1305" s="12"/>
      <c r="G1305" s="12"/>
      <c r="H1305" s="36"/>
      <c r="J1305" s="19"/>
      <c r="K1305" s="19"/>
      <c r="L1305" s="19"/>
      <c r="AF1305" s="6"/>
      <c r="AG1305" s="6"/>
      <c r="AH1305" s="6"/>
      <c r="AI1305" s="6"/>
      <c r="AN1305" s="6"/>
      <c r="AO1305" s="6"/>
      <c r="AP1305" s="6"/>
      <c r="AQ1305" s="6"/>
      <c r="AR1305" s="27"/>
      <c r="AS1305" s="27"/>
      <c r="AT1305" s="27"/>
      <c r="AU1305" s="12"/>
      <c r="AV1305" s="28"/>
    </row>
    <row r="1306" spans="4:48">
      <c r="D1306" s="12"/>
      <c r="E1306" s="12"/>
      <c r="F1306" s="12"/>
      <c r="G1306" s="12"/>
      <c r="H1306" s="36"/>
      <c r="J1306" s="19"/>
      <c r="K1306" s="19"/>
      <c r="L1306" s="19"/>
      <c r="AF1306" s="6"/>
      <c r="AG1306" s="6"/>
      <c r="AH1306" s="6"/>
      <c r="AI1306" s="6"/>
      <c r="AN1306" s="6"/>
      <c r="AO1306" s="6"/>
      <c r="AP1306" s="6"/>
      <c r="AQ1306" s="6"/>
      <c r="AR1306" s="27"/>
      <c r="AS1306" s="27"/>
      <c r="AT1306" s="27"/>
      <c r="AU1306" s="12"/>
      <c r="AV1306" s="28"/>
    </row>
    <row r="1307" spans="4:48">
      <c r="D1307" s="12"/>
      <c r="E1307" s="12"/>
      <c r="F1307" s="12"/>
      <c r="G1307" s="12"/>
      <c r="H1307" s="36"/>
      <c r="J1307" s="19"/>
      <c r="K1307" s="19"/>
      <c r="L1307" s="19"/>
      <c r="AF1307" s="6"/>
      <c r="AG1307" s="6"/>
      <c r="AH1307" s="6"/>
      <c r="AI1307" s="6"/>
      <c r="AN1307" s="6"/>
      <c r="AO1307" s="6"/>
      <c r="AP1307" s="6"/>
      <c r="AQ1307" s="6"/>
      <c r="AR1307" s="27"/>
      <c r="AS1307" s="27"/>
      <c r="AT1307" s="27"/>
      <c r="AU1307" s="12"/>
      <c r="AV1307" s="28"/>
    </row>
    <row r="1308" spans="4:48">
      <c r="D1308" s="12"/>
      <c r="E1308" s="12"/>
      <c r="F1308" s="12"/>
      <c r="G1308" s="12"/>
      <c r="H1308" s="36"/>
      <c r="J1308" s="19"/>
      <c r="K1308" s="19"/>
      <c r="L1308" s="19"/>
      <c r="AF1308" s="6"/>
      <c r="AG1308" s="6"/>
      <c r="AH1308" s="6"/>
      <c r="AI1308" s="6"/>
      <c r="AN1308" s="6"/>
      <c r="AO1308" s="6"/>
      <c r="AP1308" s="6"/>
      <c r="AQ1308" s="6"/>
      <c r="AR1308" s="27"/>
      <c r="AS1308" s="27"/>
      <c r="AT1308" s="27"/>
      <c r="AU1308" s="12"/>
      <c r="AV1308" s="28"/>
    </row>
    <row r="1309" spans="4:48">
      <c r="D1309" s="12"/>
      <c r="E1309" s="12"/>
      <c r="F1309" s="12"/>
      <c r="G1309" s="12"/>
      <c r="H1309" s="36"/>
      <c r="J1309" s="19"/>
      <c r="K1309" s="19"/>
      <c r="L1309" s="19"/>
      <c r="AF1309" s="6"/>
      <c r="AG1309" s="6"/>
      <c r="AH1309" s="6"/>
      <c r="AI1309" s="6"/>
      <c r="AN1309" s="6"/>
      <c r="AO1309" s="6"/>
      <c r="AP1309" s="6"/>
      <c r="AQ1309" s="6"/>
      <c r="AR1309" s="27"/>
      <c r="AS1309" s="27"/>
      <c r="AT1309" s="27"/>
      <c r="AU1309" s="12"/>
      <c r="AV1309" s="28"/>
    </row>
    <row r="1310" spans="4:48">
      <c r="D1310" s="12"/>
      <c r="E1310" s="12"/>
      <c r="F1310" s="12"/>
      <c r="G1310" s="12"/>
      <c r="H1310" s="36"/>
      <c r="J1310" s="19"/>
      <c r="K1310" s="19"/>
      <c r="L1310" s="19"/>
      <c r="AF1310" s="6"/>
      <c r="AG1310" s="6"/>
      <c r="AH1310" s="6"/>
      <c r="AI1310" s="6"/>
      <c r="AN1310" s="6"/>
      <c r="AO1310" s="6"/>
      <c r="AP1310" s="6"/>
      <c r="AQ1310" s="6"/>
      <c r="AR1310" s="27"/>
      <c r="AS1310" s="27"/>
      <c r="AT1310" s="27"/>
      <c r="AU1310" s="12"/>
      <c r="AV1310" s="28"/>
    </row>
    <row r="1311" spans="4:48">
      <c r="D1311" s="12"/>
      <c r="E1311" s="12"/>
      <c r="F1311" s="12"/>
      <c r="G1311" s="12"/>
      <c r="H1311" s="36"/>
      <c r="J1311" s="19"/>
      <c r="K1311" s="19"/>
      <c r="L1311" s="19"/>
      <c r="AF1311" s="6"/>
      <c r="AG1311" s="6"/>
      <c r="AH1311" s="6"/>
      <c r="AI1311" s="6"/>
      <c r="AN1311" s="6"/>
      <c r="AO1311" s="6"/>
      <c r="AP1311" s="6"/>
      <c r="AQ1311" s="6"/>
      <c r="AR1311" s="27"/>
      <c r="AS1311" s="27"/>
      <c r="AT1311" s="27"/>
      <c r="AU1311" s="12"/>
      <c r="AV1311" s="28"/>
    </row>
    <row r="1312" spans="4:48">
      <c r="D1312" s="12"/>
      <c r="E1312" s="12"/>
      <c r="F1312" s="12"/>
      <c r="G1312" s="12"/>
      <c r="H1312" s="36"/>
      <c r="J1312" s="19"/>
      <c r="K1312" s="19"/>
      <c r="L1312" s="19"/>
      <c r="AF1312" s="6"/>
      <c r="AG1312" s="6"/>
      <c r="AH1312" s="6"/>
      <c r="AI1312" s="6"/>
      <c r="AN1312" s="6"/>
      <c r="AO1312" s="6"/>
      <c r="AP1312" s="6"/>
      <c r="AQ1312" s="6"/>
      <c r="AR1312" s="27"/>
      <c r="AS1312" s="27"/>
      <c r="AT1312" s="27"/>
      <c r="AU1312" s="12"/>
      <c r="AV1312" s="28"/>
    </row>
    <row r="1313" spans="4:48">
      <c r="D1313" s="12"/>
      <c r="E1313" s="12"/>
      <c r="F1313" s="12"/>
      <c r="G1313" s="12"/>
      <c r="H1313" s="36"/>
      <c r="J1313" s="19"/>
      <c r="K1313" s="19"/>
      <c r="L1313" s="19"/>
      <c r="AF1313" s="6"/>
      <c r="AG1313" s="6"/>
      <c r="AH1313" s="6"/>
      <c r="AI1313" s="6"/>
      <c r="AN1313" s="6"/>
      <c r="AO1313" s="6"/>
      <c r="AP1313" s="6"/>
      <c r="AQ1313" s="6"/>
      <c r="AR1313" s="27"/>
      <c r="AS1313" s="27"/>
      <c r="AT1313" s="27"/>
      <c r="AU1313" s="12"/>
      <c r="AV1313" s="28"/>
    </row>
    <row r="1314" spans="4:48">
      <c r="D1314" s="12"/>
      <c r="E1314" s="12"/>
      <c r="F1314" s="12"/>
      <c r="G1314" s="12"/>
      <c r="H1314" s="36"/>
      <c r="J1314" s="19"/>
      <c r="K1314" s="19"/>
      <c r="L1314" s="19"/>
      <c r="AF1314" s="6"/>
      <c r="AG1314" s="6"/>
      <c r="AH1314" s="6"/>
      <c r="AI1314" s="6"/>
      <c r="AN1314" s="6"/>
      <c r="AO1314" s="6"/>
      <c r="AP1314" s="6"/>
      <c r="AQ1314" s="6"/>
      <c r="AR1314" s="27"/>
      <c r="AS1314" s="27"/>
      <c r="AT1314" s="27"/>
      <c r="AU1314" s="12"/>
      <c r="AV1314" s="28"/>
    </row>
    <row r="1315" spans="4:48">
      <c r="D1315" s="12"/>
      <c r="E1315" s="12"/>
      <c r="F1315" s="12"/>
      <c r="G1315" s="12"/>
      <c r="H1315" s="36"/>
      <c r="J1315" s="19"/>
      <c r="K1315" s="19"/>
      <c r="L1315" s="19"/>
      <c r="AF1315" s="6"/>
      <c r="AG1315" s="6"/>
      <c r="AH1315" s="6"/>
      <c r="AI1315" s="6"/>
      <c r="AN1315" s="6"/>
      <c r="AO1315" s="6"/>
      <c r="AP1315" s="6"/>
      <c r="AQ1315" s="6"/>
      <c r="AR1315" s="27"/>
      <c r="AS1315" s="27"/>
      <c r="AT1315" s="27"/>
      <c r="AU1315" s="12"/>
      <c r="AV1315" s="28"/>
    </row>
    <row r="1316" spans="4:48">
      <c r="D1316" s="12"/>
      <c r="E1316" s="12"/>
      <c r="F1316" s="12"/>
      <c r="G1316" s="12"/>
      <c r="H1316" s="36"/>
      <c r="J1316" s="19"/>
      <c r="K1316" s="19"/>
      <c r="L1316" s="19"/>
      <c r="AF1316" s="6"/>
      <c r="AG1316" s="6"/>
      <c r="AH1316" s="6"/>
      <c r="AI1316" s="6"/>
      <c r="AN1316" s="6"/>
      <c r="AO1316" s="6"/>
      <c r="AP1316" s="6"/>
      <c r="AQ1316" s="6"/>
      <c r="AR1316" s="27"/>
      <c r="AS1316" s="27"/>
      <c r="AT1316" s="27"/>
      <c r="AU1316" s="12"/>
      <c r="AV1316" s="28"/>
    </row>
    <row r="1317" spans="4:48">
      <c r="D1317" s="12"/>
      <c r="E1317" s="12"/>
      <c r="F1317" s="12"/>
      <c r="G1317" s="12"/>
      <c r="H1317" s="36"/>
      <c r="J1317" s="19"/>
      <c r="K1317" s="19"/>
      <c r="L1317" s="19"/>
      <c r="AF1317" s="6"/>
      <c r="AG1317" s="6"/>
      <c r="AH1317" s="6"/>
      <c r="AI1317" s="6"/>
      <c r="AN1317" s="6"/>
      <c r="AO1317" s="6"/>
      <c r="AP1317" s="6"/>
      <c r="AQ1317" s="6"/>
      <c r="AR1317" s="27"/>
      <c r="AS1317" s="27"/>
      <c r="AT1317" s="27"/>
      <c r="AU1317" s="12"/>
      <c r="AV1317" s="28"/>
    </row>
    <row r="1318" spans="4:48">
      <c r="D1318" s="12"/>
      <c r="E1318" s="12"/>
      <c r="F1318" s="12"/>
      <c r="G1318" s="12"/>
      <c r="H1318" s="36"/>
      <c r="J1318" s="19"/>
      <c r="K1318" s="19"/>
      <c r="L1318" s="19"/>
      <c r="AF1318" s="6"/>
      <c r="AG1318" s="6"/>
      <c r="AH1318" s="6"/>
      <c r="AI1318" s="6"/>
      <c r="AN1318" s="6"/>
      <c r="AO1318" s="6"/>
      <c r="AP1318" s="6"/>
      <c r="AQ1318" s="6"/>
      <c r="AR1318" s="27"/>
      <c r="AS1318" s="27"/>
      <c r="AT1318" s="27"/>
      <c r="AU1318" s="12"/>
      <c r="AV1318" s="28"/>
    </row>
    <row r="1319" spans="4:48">
      <c r="D1319" s="12"/>
      <c r="E1319" s="12"/>
      <c r="F1319" s="12"/>
      <c r="G1319" s="12"/>
      <c r="H1319" s="36"/>
      <c r="J1319" s="19"/>
      <c r="K1319" s="19"/>
      <c r="L1319" s="19"/>
      <c r="AF1319" s="6"/>
      <c r="AG1319" s="6"/>
      <c r="AH1319" s="6"/>
      <c r="AI1319" s="6"/>
      <c r="AN1319" s="6"/>
      <c r="AO1319" s="6"/>
      <c r="AP1319" s="6"/>
      <c r="AQ1319" s="6"/>
      <c r="AR1319" s="27"/>
      <c r="AS1319" s="27"/>
      <c r="AT1319" s="27"/>
      <c r="AU1319" s="12"/>
      <c r="AV1319" s="28"/>
    </row>
    <row r="1320" spans="4:48">
      <c r="D1320" s="12"/>
      <c r="E1320" s="12"/>
      <c r="F1320" s="12"/>
      <c r="G1320" s="12"/>
      <c r="H1320" s="36"/>
      <c r="J1320" s="19"/>
      <c r="K1320" s="19"/>
      <c r="L1320" s="19"/>
      <c r="AF1320" s="6"/>
      <c r="AG1320" s="6"/>
      <c r="AH1320" s="6"/>
      <c r="AI1320" s="6"/>
      <c r="AN1320" s="6"/>
      <c r="AO1320" s="6"/>
      <c r="AP1320" s="6"/>
      <c r="AQ1320" s="6"/>
      <c r="AR1320" s="27"/>
      <c r="AS1320" s="27"/>
      <c r="AT1320" s="27"/>
      <c r="AU1320" s="12"/>
      <c r="AV1320" s="28"/>
    </row>
    <row r="1321" spans="4:48">
      <c r="D1321" s="12"/>
      <c r="E1321" s="12"/>
      <c r="F1321" s="12"/>
      <c r="G1321" s="12"/>
      <c r="H1321" s="36"/>
      <c r="J1321" s="19"/>
      <c r="K1321" s="19"/>
      <c r="L1321" s="19"/>
      <c r="AF1321" s="6"/>
      <c r="AG1321" s="6"/>
      <c r="AH1321" s="6"/>
      <c r="AI1321" s="6"/>
      <c r="AN1321" s="6"/>
      <c r="AO1321" s="6"/>
      <c r="AP1321" s="6"/>
      <c r="AQ1321" s="6"/>
      <c r="AR1321" s="27"/>
      <c r="AS1321" s="27"/>
      <c r="AT1321" s="27"/>
      <c r="AU1321" s="12"/>
      <c r="AV1321" s="28"/>
    </row>
    <row r="1322" spans="4:48">
      <c r="D1322" s="12"/>
      <c r="E1322" s="12"/>
      <c r="F1322" s="12"/>
      <c r="G1322" s="12"/>
      <c r="H1322" s="36"/>
      <c r="J1322" s="19"/>
      <c r="K1322" s="19"/>
      <c r="L1322" s="19"/>
      <c r="AF1322" s="6"/>
      <c r="AG1322" s="6"/>
      <c r="AH1322" s="6"/>
      <c r="AI1322" s="6"/>
      <c r="AN1322" s="6"/>
      <c r="AO1322" s="6"/>
      <c r="AP1322" s="6"/>
      <c r="AQ1322" s="6"/>
      <c r="AR1322" s="27"/>
      <c r="AS1322" s="27"/>
      <c r="AT1322" s="27"/>
      <c r="AU1322" s="12"/>
      <c r="AV1322" s="28"/>
    </row>
    <row r="1323" spans="4:48">
      <c r="D1323" s="12"/>
      <c r="E1323" s="12"/>
      <c r="F1323" s="12"/>
      <c r="G1323" s="12"/>
      <c r="H1323" s="36"/>
      <c r="J1323" s="19"/>
      <c r="K1323" s="19"/>
      <c r="L1323" s="19"/>
      <c r="AF1323" s="6"/>
      <c r="AG1323" s="6"/>
      <c r="AH1323" s="6"/>
      <c r="AI1323" s="6"/>
      <c r="AN1323" s="6"/>
      <c r="AO1323" s="6"/>
      <c r="AP1323" s="6"/>
      <c r="AQ1323" s="6"/>
      <c r="AR1323" s="27"/>
      <c r="AS1323" s="27"/>
      <c r="AT1323" s="27"/>
      <c r="AU1323" s="12"/>
      <c r="AV1323" s="28"/>
    </row>
    <row r="1324" spans="4:48">
      <c r="D1324" s="12"/>
      <c r="E1324" s="12"/>
      <c r="F1324" s="12"/>
      <c r="G1324" s="12"/>
      <c r="H1324" s="36"/>
      <c r="J1324" s="19"/>
      <c r="K1324" s="19"/>
      <c r="L1324" s="19"/>
      <c r="AF1324" s="6"/>
      <c r="AG1324" s="6"/>
      <c r="AH1324" s="6"/>
      <c r="AI1324" s="6"/>
      <c r="AN1324" s="6"/>
      <c r="AO1324" s="6"/>
      <c r="AP1324" s="6"/>
      <c r="AQ1324" s="6"/>
      <c r="AR1324" s="27"/>
      <c r="AS1324" s="27"/>
      <c r="AT1324" s="27"/>
      <c r="AU1324" s="12"/>
      <c r="AV1324" s="28"/>
    </row>
    <row r="1325" spans="4:48">
      <c r="D1325" s="12"/>
      <c r="E1325" s="12"/>
      <c r="F1325" s="12"/>
      <c r="G1325" s="12"/>
      <c r="H1325" s="36"/>
      <c r="J1325" s="19"/>
      <c r="K1325" s="19"/>
      <c r="L1325" s="19"/>
      <c r="AF1325" s="6"/>
      <c r="AG1325" s="6"/>
      <c r="AH1325" s="6"/>
      <c r="AI1325" s="6"/>
      <c r="AN1325" s="6"/>
      <c r="AO1325" s="6"/>
      <c r="AP1325" s="6"/>
      <c r="AQ1325" s="6"/>
      <c r="AR1325" s="27"/>
      <c r="AS1325" s="27"/>
      <c r="AT1325" s="27"/>
      <c r="AU1325" s="12"/>
      <c r="AV1325" s="28"/>
    </row>
    <row r="1326" spans="4:48">
      <c r="D1326" s="12"/>
      <c r="E1326" s="12"/>
      <c r="F1326" s="12"/>
      <c r="G1326" s="12"/>
      <c r="H1326" s="36"/>
      <c r="J1326" s="19"/>
      <c r="K1326" s="19"/>
      <c r="L1326" s="19"/>
      <c r="AF1326" s="6"/>
      <c r="AG1326" s="6"/>
      <c r="AH1326" s="6"/>
      <c r="AI1326" s="6"/>
      <c r="AN1326" s="6"/>
      <c r="AO1326" s="6"/>
      <c r="AP1326" s="6"/>
      <c r="AQ1326" s="6"/>
      <c r="AR1326" s="27"/>
      <c r="AS1326" s="27"/>
      <c r="AT1326" s="27"/>
      <c r="AU1326" s="12"/>
      <c r="AV1326" s="28"/>
    </row>
    <row r="1327" spans="4:48">
      <c r="D1327" s="12"/>
      <c r="E1327" s="12"/>
      <c r="F1327" s="12"/>
      <c r="G1327" s="12"/>
      <c r="H1327" s="36"/>
      <c r="J1327" s="19"/>
      <c r="K1327" s="19"/>
      <c r="L1327" s="19"/>
      <c r="AF1327" s="6"/>
      <c r="AG1327" s="6"/>
      <c r="AH1327" s="6"/>
      <c r="AI1327" s="6"/>
      <c r="AN1327" s="6"/>
      <c r="AO1327" s="6"/>
      <c r="AP1327" s="6"/>
      <c r="AQ1327" s="6"/>
      <c r="AR1327" s="27"/>
      <c r="AS1327" s="27"/>
      <c r="AT1327" s="27"/>
      <c r="AU1327" s="12"/>
      <c r="AV1327" s="28"/>
    </row>
    <row r="1328" spans="4:48">
      <c r="D1328" s="12"/>
      <c r="E1328" s="12"/>
      <c r="F1328" s="12"/>
      <c r="G1328" s="12"/>
      <c r="H1328" s="36"/>
      <c r="J1328" s="19"/>
      <c r="K1328" s="19"/>
      <c r="L1328" s="19"/>
      <c r="AF1328" s="6"/>
      <c r="AG1328" s="6"/>
      <c r="AH1328" s="6"/>
      <c r="AI1328" s="6"/>
      <c r="AN1328" s="6"/>
      <c r="AO1328" s="6"/>
      <c r="AP1328" s="6"/>
      <c r="AQ1328" s="6"/>
      <c r="AR1328" s="27"/>
      <c r="AS1328" s="27"/>
      <c r="AT1328" s="27"/>
      <c r="AU1328" s="12"/>
      <c r="AV1328" s="28"/>
    </row>
    <row r="1329" spans="4:48">
      <c r="D1329" s="12"/>
      <c r="E1329" s="12"/>
      <c r="F1329" s="12"/>
      <c r="G1329" s="12"/>
      <c r="H1329" s="36"/>
      <c r="J1329" s="19"/>
      <c r="K1329" s="19"/>
      <c r="L1329" s="19"/>
      <c r="AF1329" s="6"/>
      <c r="AG1329" s="6"/>
      <c r="AH1329" s="6"/>
      <c r="AI1329" s="6"/>
      <c r="AN1329" s="6"/>
      <c r="AO1329" s="6"/>
      <c r="AP1329" s="6"/>
      <c r="AQ1329" s="6"/>
      <c r="AR1329" s="27"/>
      <c r="AS1329" s="27"/>
      <c r="AT1329" s="27"/>
      <c r="AU1329" s="12"/>
      <c r="AV1329" s="28"/>
    </row>
    <row r="1330" spans="4:48">
      <c r="D1330" s="12"/>
      <c r="E1330" s="12"/>
      <c r="F1330" s="12"/>
      <c r="G1330" s="12"/>
      <c r="H1330" s="36"/>
      <c r="J1330" s="19"/>
      <c r="K1330" s="19"/>
      <c r="L1330" s="19"/>
      <c r="AF1330" s="6"/>
      <c r="AG1330" s="6"/>
      <c r="AH1330" s="6"/>
      <c r="AI1330" s="6"/>
      <c r="AN1330" s="6"/>
      <c r="AO1330" s="6"/>
      <c r="AP1330" s="6"/>
      <c r="AQ1330" s="6"/>
      <c r="AR1330" s="27"/>
      <c r="AS1330" s="27"/>
      <c r="AT1330" s="27"/>
      <c r="AU1330" s="12"/>
      <c r="AV1330" s="28"/>
    </row>
    <row r="1331" spans="4:48">
      <c r="D1331" s="12"/>
      <c r="E1331" s="12"/>
      <c r="F1331" s="12"/>
      <c r="G1331" s="12"/>
      <c r="H1331" s="36"/>
      <c r="J1331" s="19"/>
      <c r="K1331" s="19"/>
      <c r="L1331" s="19"/>
      <c r="AF1331" s="6"/>
      <c r="AG1331" s="6"/>
      <c r="AH1331" s="6"/>
      <c r="AI1331" s="6"/>
      <c r="AN1331" s="6"/>
      <c r="AO1331" s="6"/>
      <c r="AP1331" s="6"/>
      <c r="AQ1331" s="6"/>
      <c r="AR1331" s="27"/>
      <c r="AS1331" s="27"/>
      <c r="AT1331" s="27"/>
      <c r="AU1331" s="12"/>
      <c r="AV1331" s="28"/>
    </row>
    <row r="1332" spans="4:48">
      <c r="D1332" s="12"/>
      <c r="E1332" s="12"/>
      <c r="F1332" s="12"/>
      <c r="G1332" s="12"/>
      <c r="H1332" s="36"/>
      <c r="J1332" s="19"/>
      <c r="K1332" s="19"/>
      <c r="L1332" s="19"/>
      <c r="AF1332" s="6"/>
      <c r="AG1332" s="6"/>
      <c r="AH1332" s="6"/>
      <c r="AI1332" s="6"/>
      <c r="AN1332" s="6"/>
      <c r="AO1332" s="6"/>
      <c r="AP1332" s="6"/>
      <c r="AQ1332" s="6"/>
      <c r="AR1332" s="27"/>
      <c r="AS1332" s="27"/>
      <c r="AT1332" s="27"/>
      <c r="AU1332" s="12"/>
      <c r="AV1332" s="28"/>
    </row>
    <row r="1333" spans="4:48">
      <c r="D1333" s="12"/>
      <c r="E1333" s="12"/>
      <c r="F1333" s="12"/>
      <c r="G1333" s="12"/>
      <c r="H1333" s="36"/>
      <c r="J1333" s="19"/>
      <c r="K1333" s="19"/>
      <c r="L1333" s="19"/>
      <c r="AF1333" s="6"/>
      <c r="AG1333" s="6"/>
      <c r="AH1333" s="6"/>
      <c r="AI1333" s="6"/>
      <c r="AN1333" s="6"/>
      <c r="AO1333" s="6"/>
      <c r="AP1333" s="6"/>
      <c r="AQ1333" s="6"/>
      <c r="AR1333" s="27"/>
      <c r="AS1333" s="27"/>
      <c r="AT1333" s="27"/>
      <c r="AU1333" s="12"/>
      <c r="AV1333" s="28"/>
    </row>
    <row r="1334" spans="4:48">
      <c r="D1334" s="12"/>
      <c r="E1334" s="12"/>
      <c r="F1334" s="12"/>
      <c r="G1334" s="12"/>
      <c r="H1334" s="36"/>
      <c r="J1334" s="19"/>
      <c r="K1334" s="19"/>
      <c r="L1334" s="19"/>
      <c r="AF1334" s="6"/>
      <c r="AG1334" s="6"/>
      <c r="AH1334" s="6"/>
      <c r="AI1334" s="6"/>
      <c r="AN1334" s="6"/>
      <c r="AO1334" s="6"/>
      <c r="AP1334" s="6"/>
      <c r="AQ1334" s="6"/>
      <c r="AR1334" s="27"/>
      <c r="AS1334" s="27"/>
      <c r="AT1334" s="27"/>
      <c r="AU1334" s="12"/>
      <c r="AV1334" s="28"/>
    </row>
    <row r="1335" spans="4:48">
      <c r="D1335" s="12"/>
      <c r="E1335" s="12"/>
      <c r="F1335" s="12"/>
      <c r="G1335" s="12"/>
      <c r="H1335" s="36"/>
      <c r="J1335" s="19"/>
      <c r="K1335" s="19"/>
      <c r="L1335" s="19"/>
      <c r="AF1335" s="6"/>
      <c r="AG1335" s="6"/>
      <c r="AH1335" s="6"/>
      <c r="AI1335" s="6"/>
      <c r="AN1335" s="6"/>
      <c r="AO1335" s="6"/>
      <c r="AP1335" s="6"/>
      <c r="AQ1335" s="6"/>
      <c r="AR1335" s="27"/>
      <c r="AS1335" s="27"/>
      <c r="AT1335" s="27"/>
      <c r="AU1335" s="12"/>
      <c r="AV1335" s="28"/>
    </row>
    <row r="1336" spans="4:48">
      <c r="D1336" s="12"/>
      <c r="E1336" s="12"/>
      <c r="F1336" s="12"/>
      <c r="G1336" s="12"/>
      <c r="H1336" s="36"/>
      <c r="J1336" s="19"/>
      <c r="K1336" s="19"/>
      <c r="L1336" s="19"/>
      <c r="AF1336" s="6"/>
      <c r="AG1336" s="6"/>
      <c r="AH1336" s="6"/>
      <c r="AI1336" s="6"/>
      <c r="AN1336" s="6"/>
      <c r="AO1336" s="6"/>
      <c r="AP1336" s="6"/>
      <c r="AQ1336" s="6"/>
      <c r="AR1336" s="27"/>
      <c r="AS1336" s="27"/>
      <c r="AT1336" s="27"/>
      <c r="AU1336" s="12"/>
      <c r="AV1336" s="28"/>
    </row>
    <row r="1337" spans="4:48">
      <c r="D1337" s="12"/>
      <c r="E1337" s="12"/>
      <c r="F1337" s="12"/>
      <c r="G1337" s="12"/>
      <c r="H1337" s="36"/>
      <c r="J1337" s="19"/>
      <c r="K1337" s="19"/>
      <c r="L1337" s="19"/>
      <c r="AF1337" s="6"/>
      <c r="AG1337" s="6"/>
      <c r="AH1337" s="6"/>
      <c r="AI1337" s="6"/>
      <c r="AN1337" s="6"/>
      <c r="AO1337" s="6"/>
      <c r="AP1337" s="6"/>
      <c r="AQ1337" s="6"/>
      <c r="AR1337" s="27"/>
      <c r="AS1337" s="27"/>
      <c r="AT1337" s="27"/>
      <c r="AU1337" s="12"/>
      <c r="AV1337" s="28"/>
    </row>
    <row r="1338" spans="4:48">
      <c r="D1338" s="12"/>
      <c r="E1338" s="12"/>
      <c r="F1338" s="12"/>
      <c r="G1338" s="12"/>
      <c r="H1338" s="36"/>
      <c r="J1338" s="19"/>
      <c r="K1338" s="19"/>
      <c r="L1338" s="19"/>
      <c r="AF1338" s="6"/>
      <c r="AG1338" s="6"/>
      <c r="AH1338" s="6"/>
      <c r="AI1338" s="6"/>
      <c r="AN1338" s="6"/>
      <c r="AO1338" s="6"/>
      <c r="AP1338" s="6"/>
      <c r="AQ1338" s="6"/>
      <c r="AR1338" s="27"/>
      <c r="AS1338" s="27"/>
      <c r="AT1338" s="27"/>
      <c r="AU1338" s="12"/>
      <c r="AV1338" s="28"/>
    </row>
    <row r="1339" spans="4:48">
      <c r="D1339" s="12"/>
      <c r="E1339" s="12"/>
      <c r="F1339" s="12"/>
      <c r="G1339" s="12"/>
      <c r="H1339" s="36"/>
      <c r="J1339" s="19"/>
      <c r="K1339" s="19"/>
      <c r="L1339" s="19"/>
      <c r="AF1339" s="6"/>
      <c r="AG1339" s="6"/>
      <c r="AH1339" s="6"/>
      <c r="AI1339" s="6"/>
      <c r="AN1339" s="6"/>
      <c r="AO1339" s="6"/>
      <c r="AP1339" s="6"/>
      <c r="AQ1339" s="6"/>
      <c r="AR1339" s="27"/>
      <c r="AS1339" s="27"/>
      <c r="AT1339" s="27"/>
      <c r="AU1339" s="12"/>
      <c r="AV1339" s="28"/>
    </row>
    <row r="1340" spans="4:48">
      <c r="D1340" s="12"/>
      <c r="E1340" s="12"/>
      <c r="F1340" s="12"/>
      <c r="G1340" s="12"/>
      <c r="H1340" s="36"/>
      <c r="J1340" s="19"/>
      <c r="K1340" s="19"/>
      <c r="L1340" s="19"/>
      <c r="AF1340" s="6"/>
      <c r="AG1340" s="6"/>
      <c r="AH1340" s="6"/>
      <c r="AI1340" s="6"/>
      <c r="AN1340" s="6"/>
      <c r="AO1340" s="6"/>
      <c r="AP1340" s="6"/>
      <c r="AQ1340" s="6"/>
      <c r="AR1340" s="27"/>
      <c r="AS1340" s="27"/>
      <c r="AT1340" s="27"/>
      <c r="AU1340" s="12"/>
      <c r="AV1340" s="28"/>
    </row>
    <row r="1341" spans="4:48">
      <c r="D1341" s="12"/>
      <c r="E1341" s="12"/>
      <c r="F1341" s="12"/>
      <c r="G1341" s="12"/>
      <c r="H1341" s="36"/>
      <c r="J1341" s="19"/>
      <c r="K1341" s="19"/>
      <c r="L1341" s="19"/>
      <c r="AF1341" s="6"/>
      <c r="AG1341" s="6"/>
      <c r="AH1341" s="6"/>
      <c r="AI1341" s="6"/>
      <c r="AN1341" s="6"/>
      <c r="AO1341" s="6"/>
      <c r="AP1341" s="6"/>
      <c r="AQ1341" s="6"/>
      <c r="AR1341" s="27"/>
      <c r="AS1341" s="27"/>
      <c r="AT1341" s="27"/>
      <c r="AU1341" s="12"/>
      <c r="AV1341" s="28"/>
    </row>
    <row r="1342" spans="4:48">
      <c r="D1342" s="12"/>
      <c r="E1342" s="12"/>
      <c r="F1342" s="12"/>
      <c r="G1342" s="12"/>
      <c r="H1342" s="36"/>
      <c r="J1342" s="19"/>
      <c r="K1342" s="19"/>
      <c r="L1342" s="19"/>
      <c r="AF1342" s="6"/>
      <c r="AG1342" s="6"/>
      <c r="AH1342" s="6"/>
      <c r="AI1342" s="6"/>
      <c r="AN1342" s="6"/>
      <c r="AO1342" s="6"/>
      <c r="AP1342" s="6"/>
      <c r="AQ1342" s="6"/>
      <c r="AR1342" s="27"/>
      <c r="AS1342" s="27"/>
      <c r="AT1342" s="27"/>
      <c r="AU1342" s="12"/>
      <c r="AV1342" s="28"/>
    </row>
    <row r="1343" spans="4:48">
      <c r="D1343" s="12"/>
      <c r="E1343" s="12"/>
      <c r="F1343" s="12"/>
      <c r="G1343" s="12"/>
      <c r="H1343" s="36"/>
      <c r="J1343" s="19"/>
      <c r="K1343" s="19"/>
      <c r="L1343" s="19"/>
      <c r="AF1343" s="6"/>
      <c r="AG1343" s="6"/>
      <c r="AH1343" s="6"/>
      <c r="AI1343" s="6"/>
      <c r="AN1343" s="6"/>
      <c r="AO1343" s="6"/>
      <c r="AP1343" s="6"/>
      <c r="AQ1343" s="6"/>
      <c r="AR1343" s="27"/>
      <c r="AS1343" s="27"/>
      <c r="AT1343" s="27"/>
      <c r="AU1343" s="12"/>
      <c r="AV1343" s="28"/>
    </row>
    <row r="1344" spans="4:48">
      <c r="D1344" s="12"/>
      <c r="E1344" s="12"/>
      <c r="F1344" s="12"/>
      <c r="G1344" s="12"/>
      <c r="H1344" s="36"/>
      <c r="J1344" s="19"/>
      <c r="K1344" s="19"/>
      <c r="L1344" s="19"/>
      <c r="AF1344" s="6"/>
      <c r="AG1344" s="6"/>
      <c r="AH1344" s="6"/>
      <c r="AI1344" s="6"/>
      <c r="AN1344" s="6"/>
      <c r="AO1344" s="6"/>
      <c r="AP1344" s="6"/>
      <c r="AQ1344" s="6"/>
      <c r="AR1344" s="27"/>
      <c r="AS1344" s="27"/>
      <c r="AT1344" s="27"/>
      <c r="AU1344" s="12"/>
      <c r="AV1344" s="28"/>
    </row>
    <row r="1345" spans="4:48">
      <c r="D1345" s="12"/>
      <c r="E1345" s="12"/>
      <c r="F1345" s="12"/>
      <c r="G1345" s="12"/>
      <c r="H1345" s="36"/>
      <c r="J1345" s="19"/>
      <c r="K1345" s="19"/>
      <c r="L1345" s="19"/>
      <c r="AF1345" s="6"/>
      <c r="AG1345" s="6"/>
      <c r="AH1345" s="6"/>
      <c r="AI1345" s="6"/>
      <c r="AN1345" s="6"/>
      <c r="AO1345" s="6"/>
      <c r="AP1345" s="6"/>
      <c r="AQ1345" s="6"/>
      <c r="AR1345" s="27"/>
      <c r="AS1345" s="27"/>
      <c r="AT1345" s="27"/>
      <c r="AU1345" s="12"/>
      <c r="AV1345" s="28"/>
    </row>
    <row r="1346" spans="4:48">
      <c r="D1346" s="12"/>
      <c r="E1346" s="12"/>
      <c r="F1346" s="12"/>
      <c r="G1346" s="12"/>
      <c r="H1346" s="36"/>
      <c r="J1346" s="19"/>
      <c r="K1346" s="19"/>
      <c r="L1346" s="19"/>
      <c r="AF1346" s="6"/>
      <c r="AG1346" s="6"/>
      <c r="AH1346" s="6"/>
      <c r="AI1346" s="6"/>
      <c r="AN1346" s="6"/>
      <c r="AO1346" s="6"/>
      <c r="AP1346" s="6"/>
      <c r="AQ1346" s="6"/>
      <c r="AR1346" s="27"/>
      <c r="AS1346" s="27"/>
      <c r="AT1346" s="27"/>
      <c r="AU1346" s="12"/>
      <c r="AV1346" s="28"/>
    </row>
    <row r="1347" spans="4:48">
      <c r="D1347" s="12"/>
      <c r="E1347" s="12"/>
      <c r="F1347" s="12"/>
      <c r="G1347" s="12"/>
      <c r="H1347" s="36"/>
      <c r="J1347" s="19"/>
      <c r="K1347" s="19"/>
      <c r="L1347" s="19"/>
      <c r="AF1347" s="6"/>
      <c r="AG1347" s="6"/>
      <c r="AH1347" s="6"/>
      <c r="AI1347" s="6"/>
      <c r="AN1347" s="6"/>
      <c r="AO1347" s="6"/>
      <c r="AP1347" s="6"/>
      <c r="AQ1347" s="6"/>
      <c r="AR1347" s="27"/>
      <c r="AS1347" s="27"/>
      <c r="AT1347" s="27"/>
      <c r="AU1347" s="12"/>
      <c r="AV1347" s="28"/>
    </row>
    <row r="1348" spans="4:48">
      <c r="D1348" s="12"/>
      <c r="E1348" s="12"/>
      <c r="F1348" s="12"/>
      <c r="G1348" s="12"/>
      <c r="H1348" s="36"/>
      <c r="J1348" s="19"/>
      <c r="K1348" s="19"/>
      <c r="L1348" s="19"/>
      <c r="AF1348" s="6"/>
      <c r="AG1348" s="6"/>
      <c r="AH1348" s="6"/>
      <c r="AI1348" s="6"/>
      <c r="AN1348" s="6"/>
      <c r="AO1348" s="6"/>
      <c r="AP1348" s="6"/>
      <c r="AQ1348" s="6"/>
      <c r="AR1348" s="27"/>
      <c r="AS1348" s="27"/>
      <c r="AT1348" s="27"/>
      <c r="AU1348" s="12"/>
      <c r="AV1348" s="28"/>
    </row>
    <row r="1349" spans="4:48">
      <c r="D1349" s="12"/>
      <c r="E1349" s="12"/>
      <c r="F1349" s="12"/>
      <c r="G1349" s="12"/>
      <c r="H1349" s="36"/>
      <c r="J1349" s="19"/>
      <c r="K1349" s="19"/>
      <c r="L1349" s="19"/>
      <c r="AF1349" s="6"/>
      <c r="AG1349" s="6"/>
      <c r="AH1349" s="6"/>
      <c r="AI1349" s="6"/>
      <c r="AN1349" s="6"/>
      <c r="AO1349" s="6"/>
      <c r="AP1349" s="6"/>
      <c r="AQ1349" s="6"/>
      <c r="AR1349" s="27"/>
      <c r="AS1349" s="27"/>
      <c r="AT1349" s="27"/>
      <c r="AU1349" s="12"/>
      <c r="AV1349" s="28"/>
    </row>
    <row r="1350" spans="4:48">
      <c r="D1350" s="12"/>
      <c r="E1350" s="12"/>
      <c r="F1350" s="12"/>
      <c r="G1350" s="12"/>
      <c r="H1350" s="36"/>
      <c r="J1350" s="19"/>
      <c r="K1350" s="19"/>
      <c r="L1350" s="19"/>
      <c r="AF1350" s="6"/>
      <c r="AG1350" s="6"/>
      <c r="AH1350" s="6"/>
      <c r="AI1350" s="6"/>
      <c r="AN1350" s="6"/>
      <c r="AO1350" s="6"/>
      <c r="AP1350" s="6"/>
      <c r="AQ1350" s="6"/>
      <c r="AR1350" s="27"/>
      <c r="AS1350" s="27"/>
      <c r="AT1350" s="27"/>
      <c r="AU1350" s="12"/>
      <c r="AV1350" s="28"/>
    </row>
    <row r="1351" spans="4:48">
      <c r="D1351" s="12"/>
      <c r="E1351" s="12"/>
      <c r="F1351" s="12"/>
      <c r="G1351" s="12"/>
      <c r="H1351" s="36"/>
      <c r="J1351" s="19"/>
      <c r="K1351" s="19"/>
      <c r="L1351" s="19"/>
      <c r="AF1351" s="6"/>
      <c r="AG1351" s="6"/>
      <c r="AH1351" s="6"/>
      <c r="AI1351" s="6"/>
      <c r="AN1351" s="6"/>
      <c r="AO1351" s="6"/>
      <c r="AP1351" s="6"/>
      <c r="AQ1351" s="6"/>
      <c r="AR1351" s="27"/>
      <c r="AS1351" s="27"/>
      <c r="AT1351" s="27"/>
      <c r="AU1351" s="12"/>
      <c r="AV1351" s="28"/>
    </row>
    <row r="1352" spans="4:48">
      <c r="D1352" s="12"/>
      <c r="E1352" s="12"/>
      <c r="F1352" s="12"/>
      <c r="G1352" s="12"/>
      <c r="H1352" s="36"/>
      <c r="J1352" s="19"/>
      <c r="K1352" s="19"/>
      <c r="L1352" s="19"/>
      <c r="AF1352" s="6"/>
      <c r="AG1352" s="6"/>
      <c r="AH1352" s="6"/>
      <c r="AI1352" s="6"/>
      <c r="AN1352" s="6"/>
      <c r="AO1352" s="6"/>
      <c r="AP1352" s="6"/>
      <c r="AQ1352" s="6"/>
      <c r="AR1352" s="27"/>
      <c r="AS1352" s="27"/>
      <c r="AT1352" s="27"/>
      <c r="AU1352" s="12"/>
      <c r="AV1352" s="28"/>
    </row>
    <row r="1353" spans="4:48">
      <c r="D1353" s="12"/>
      <c r="E1353" s="12"/>
      <c r="F1353" s="12"/>
      <c r="G1353" s="12"/>
      <c r="H1353" s="36"/>
      <c r="J1353" s="19"/>
      <c r="K1353" s="19"/>
      <c r="L1353" s="19"/>
      <c r="AF1353" s="6"/>
      <c r="AG1353" s="6"/>
      <c r="AH1353" s="6"/>
      <c r="AI1353" s="6"/>
      <c r="AN1353" s="6"/>
      <c r="AO1353" s="6"/>
      <c r="AP1353" s="6"/>
      <c r="AQ1353" s="6"/>
      <c r="AR1353" s="27"/>
      <c r="AS1353" s="27"/>
      <c r="AT1353" s="27"/>
      <c r="AU1353" s="12"/>
      <c r="AV1353" s="28"/>
    </row>
    <row r="1354" spans="4:48">
      <c r="D1354" s="12"/>
      <c r="E1354" s="12"/>
      <c r="F1354" s="12"/>
      <c r="G1354" s="12"/>
      <c r="H1354" s="36"/>
      <c r="J1354" s="19"/>
      <c r="K1354" s="19"/>
      <c r="L1354" s="19"/>
      <c r="AF1354" s="6"/>
      <c r="AG1354" s="6"/>
      <c r="AH1354" s="6"/>
      <c r="AI1354" s="6"/>
      <c r="AN1354" s="6"/>
      <c r="AO1354" s="6"/>
      <c r="AP1354" s="6"/>
      <c r="AQ1354" s="6"/>
      <c r="AR1354" s="27"/>
      <c r="AS1354" s="27"/>
      <c r="AT1354" s="27"/>
      <c r="AU1354" s="12"/>
      <c r="AV1354" s="28"/>
    </row>
    <row r="1355" spans="4:48">
      <c r="D1355" s="12"/>
      <c r="E1355" s="12"/>
      <c r="F1355" s="12"/>
      <c r="G1355" s="12"/>
      <c r="H1355" s="36"/>
      <c r="J1355" s="19"/>
      <c r="K1355" s="19"/>
      <c r="L1355" s="19"/>
      <c r="AF1355" s="6"/>
      <c r="AG1355" s="6"/>
      <c r="AH1355" s="6"/>
      <c r="AI1355" s="6"/>
      <c r="AN1355" s="6"/>
      <c r="AO1355" s="6"/>
      <c r="AP1355" s="6"/>
      <c r="AQ1355" s="6"/>
      <c r="AR1355" s="27"/>
      <c r="AS1355" s="27"/>
      <c r="AT1355" s="27"/>
      <c r="AU1355" s="12"/>
      <c r="AV1355" s="28"/>
    </row>
    <row r="1356" spans="4:48">
      <c r="D1356" s="12"/>
      <c r="E1356" s="12"/>
      <c r="F1356" s="12"/>
      <c r="G1356" s="12"/>
      <c r="H1356" s="36"/>
      <c r="J1356" s="19"/>
      <c r="K1356" s="19"/>
      <c r="L1356" s="19"/>
      <c r="AF1356" s="6"/>
      <c r="AG1356" s="6"/>
      <c r="AH1356" s="6"/>
      <c r="AI1356" s="6"/>
      <c r="AN1356" s="6"/>
      <c r="AO1356" s="6"/>
      <c r="AP1356" s="6"/>
      <c r="AQ1356" s="6"/>
      <c r="AR1356" s="27"/>
      <c r="AS1356" s="27"/>
      <c r="AT1356" s="27"/>
      <c r="AU1356" s="12"/>
      <c r="AV1356" s="28"/>
    </row>
    <row r="1357" spans="4:48">
      <c r="D1357" s="12"/>
      <c r="E1357" s="12"/>
      <c r="F1357" s="12"/>
      <c r="G1357" s="12"/>
      <c r="H1357" s="36"/>
      <c r="J1357" s="19"/>
      <c r="K1357" s="19"/>
      <c r="L1357" s="19"/>
      <c r="AF1357" s="6"/>
      <c r="AG1357" s="6"/>
      <c r="AH1357" s="6"/>
      <c r="AI1357" s="6"/>
      <c r="AN1357" s="6"/>
      <c r="AO1357" s="6"/>
      <c r="AP1357" s="6"/>
      <c r="AQ1357" s="6"/>
      <c r="AR1357" s="27"/>
      <c r="AS1357" s="27"/>
      <c r="AT1357" s="27"/>
      <c r="AU1357" s="12"/>
      <c r="AV1357" s="28"/>
    </row>
    <row r="1358" spans="4:48">
      <c r="D1358" s="12"/>
      <c r="E1358" s="12"/>
      <c r="F1358" s="12"/>
      <c r="G1358" s="12"/>
      <c r="H1358" s="36"/>
      <c r="J1358" s="19"/>
      <c r="K1358" s="19"/>
      <c r="L1358" s="19"/>
      <c r="AF1358" s="6"/>
      <c r="AG1358" s="6"/>
      <c r="AH1358" s="6"/>
      <c r="AI1358" s="6"/>
      <c r="AN1358" s="6"/>
      <c r="AO1358" s="6"/>
      <c r="AP1358" s="6"/>
      <c r="AQ1358" s="6"/>
      <c r="AR1358" s="27"/>
      <c r="AS1358" s="27"/>
      <c r="AT1358" s="27"/>
      <c r="AU1358" s="12"/>
      <c r="AV1358" s="28"/>
    </row>
    <row r="1359" spans="4:48">
      <c r="D1359" s="12"/>
      <c r="E1359" s="12"/>
      <c r="F1359" s="12"/>
      <c r="G1359" s="12"/>
      <c r="H1359" s="36"/>
      <c r="J1359" s="19"/>
      <c r="K1359" s="19"/>
      <c r="L1359" s="19"/>
      <c r="AF1359" s="6"/>
      <c r="AG1359" s="6"/>
      <c r="AH1359" s="6"/>
      <c r="AI1359" s="6"/>
      <c r="AN1359" s="6"/>
      <c r="AO1359" s="6"/>
      <c r="AP1359" s="6"/>
      <c r="AQ1359" s="6"/>
      <c r="AR1359" s="27"/>
      <c r="AS1359" s="27"/>
      <c r="AT1359" s="27"/>
      <c r="AU1359" s="12"/>
      <c r="AV1359" s="28"/>
    </row>
    <row r="1360" spans="4:48">
      <c r="D1360" s="12"/>
      <c r="E1360" s="12"/>
      <c r="F1360" s="12"/>
      <c r="G1360" s="12"/>
      <c r="H1360" s="36"/>
      <c r="J1360" s="19"/>
      <c r="K1360" s="19"/>
      <c r="L1360" s="19"/>
      <c r="AF1360" s="6"/>
      <c r="AG1360" s="6"/>
      <c r="AH1360" s="6"/>
      <c r="AI1360" s="6"/>
      <c r="AN1360" s="6"/>
      <c r="AO1360" s="6"/>
      <c r="AP1360" s="6"/>
      <c r="AQ1360" s="6"/>
      <c r="AR1360" s="27"/>
      <c r="AS1360" s="27"/>
      <c r="AT1360" s="27"/>
      <c r="AU1360" s="12"/>
      <c r="AV1360" s="28"/>
    </row>
    <row r="1361" spans="4:48">
      <c r="D1361" s="12"/>
      <c r="E1361" s="12"/>
      <c r="F1361" s="12"/>
      <c r="G1361" s="12"/>
      <c r="H1361" s="36"/>
      <c r="J1361" s="19"/>
      <c r="K1361" s="19"/>
      <c r="L1361" s="19"/>
      <c r="AF1361" s="6"/>
      <c r="AG1361" s="6"/>
      <c r="AH1361" s="6"/>
      <c r="AI1361" s="6"/>
      <c r="AN1361" s="6"/>
      <c r="AO1361" s="6"/>
      <c r="AP1361" s="6"/>
      <c r="AQ1361" s="6"/>
      <c r="AR1361" s="27"/>
      <c r="AS1361" s="27"/>
      <c r="AT1361" s="27"/>
      <c r="AU1361" s="12"/>
      <c r="AV1361" s="28"/>
    </row>
    <row r="1362" spans="4:48">
      <c r="D1362" s="12"/>
      <c r="E1362" s="12"/>
      <c r="F1362" s="12"/>
      <c r="G1362" s="12"/>
      <c r="H1362" s="36"/>
      <c r="J1362" s="19"/>
      <c r="K1362" s="19"/>
      <c r="L1362" s="19"/>
      <c r="AF1362" s="6"/>
      <c r="AG1362" s="6"/>
      <c r="AH1362" s="6"/>
      <c r="AI1362" s="6"/>
      <c r="AN1362" s="6"/>
      <c r="AO1362" s="6"/>
      <c r="AP1362" s="6"/>
      <c r="AQ1362" s="6"/>
      <c r="AR1362" s="27"/>
      <c r="AS1362" s="27"/>
      <c r="AT1362" s="27"/>
      <c r="AU1362" s="12"/>
      <c r="AV1362" s="28"/>
    </row>
    <row r="1363" spans="4:48">
      <c r="D1363" s="12"/>
      <c r="E1363" s="12"/>
      <c r="F1363" s="12"/>
      <c r="G1363" s="12"/>
      <c r="H1363" s="36"/>
      <c r="J1363" s="19"/>
      <c r="K1363" s="19"/>
      <c r="L1363" s="19"/>
      <c r="AF1363" s="6"/>
      <c r="AG1363" s="6"/>
      <c r="AH1363" s="6"/>
      <c r="AI1363" s="6"/>
      <c r="AN1363" s="6"/>
      <c r="AO1363" s="6"/>
      <c r="AP1363" s="6"/>
      <c r="AQ1363" s="6"/>
      <c r="AR1363" s="27"/>
      <c r="AS1363" s="27"/>
      <c r="AT1363" s="27"/>
      <c r="AU1363" s="12"/>
      <c r="AV1363" s="28"/>
    </row>
    <row r="1364" spans="4:48">
      <c r="D1364" s="12"/>
      <c r="E1364" s="12"/>
      <c r="F1364" s="12"/>
      <c r="G1364" s="12"/>
      <c r="H1364" s="36"/>
      <c r="J1364" s="19"/>
      <c r="K1364" s="19"/>
      <c r="L1364" s="19"/>
      <c r="AF1364" s="6"/>
      <c r="AG1364" s="6"/>
      <c r="AH1364" s="6"/>
      <c r="AI1364" s="6"/>
      <c r="AN1364" s="6"/>
      <c r="AO1364" s="6"/>
      <c r="AP1364" s="6"/>
      <c r="AQ1364" s="6"/>
      <c r="AR1364" s="27"/>
      <c r="AS1364" s="27"/>
      <c r="AT1364" s="27"/>
      <c r="AU1364" s="12"/>
      <c r="AV1364" s="28"/>
    </row>
    <row r="1365" spans="4:48">
      <c r="D1365" s="12"/>
      <c r="E1365" s="12"/>
      <c r="F1365" s="12"/>
      <c r="G1365" s="12"/>
      <c r="H1365" s="36"/>
      <c r="J1365" s="19"/>
      <c r="K1365" s="19"/>
      <c r="L1365" s="19"/>
      <c r="AF1365" s="6"/>
      <c r="AG1365" s="6"/>
      <c r="AH1365" s="6"/>
      <c r="AI1365" s="6"/>
      <c r="AN1365" s="6"/>
      <c r="AO1365" s="6"/>
      <c r="AP1365" s="6"/>
      <c r="AQ1365" s="6"/>
      <c r="AR1365" s="27"/>
      <c r="AS1365" s="27"/>
      <c r="AT1365" s="27"/>
      <c r="AU1365" s="12"/>
      <c r="AV1365" s="28"/>
    </row>
    <row r="1366" spans="4:48">
      <c r="D1366" s="12"/>
      <c r="E1366" s="12"/>
      <c r="F1366" s="12"/>
      <c r="G1366" s="12"/>
      <c r="H1366" s="36"/>
      <c r="J1366" s="19"/>
      <c r="K1366" s="19"/>
      <c r="L1366" s="19"/>
      <c r="AF1366" s="6"/>
      <c r="AG1366" s="6"/>
      <c r="AH1366" s="6"/>
      <c r="AI1366" s="6"/>
      <c r="AN1366" s="6"/>
      <c r="AO1366" s="6"/>
      <c r="AP1366" s="6"/>
      <c r="AQ1366" s="6"/>
      <c r="AR1366" s="27"/>
      <c r="AS1366" s="27"/>
      <c r="AT1366" s="27"/>
      <c r="AU1366" s="12"/>
      <c r="AV1366" s="28"/>
    </row>
    <row r="1367" spans="4:48">
      <c r="D1367" s="12"/>
      <c r="E1367" s="12"/>
      <c r="F1367" s="12"/>
      <c r="G1367" s="12"/>
      <c r="H1367" s="36"/>
      <c r="J1367" s="19"/>
      <c r="K1367" s="19"/>
      <c r="L1367" s="19"/>
      <c r="AF1367" s="6"/>
      <c r="AG1367" s="6"/>
      <c r="AH1367" s="6"/>
      <c r="AI1367" s="6"/>
      <c r="AN1367" s="6"/>
      <c r="AO1367" s="6"/>
      <c r="AP1367" s="6"/>
      <c r="AQ1367" s="6"/>
      <c r="AR1367" s="27"/>
      <c r="AS1367" s="27"/>
      <c r="AT1367" s="27"/>
      <c r="AU1367" s="12"/>
      <c r="AV1367" s="28"/>
    </row>
    <row r="1368" spans="4:48">
      <c r="D1368" s="12"/>
      <c r="E1368" s="12"/>
      <c r="F1368" s="12"/>
      <c r="G1368" s="12"/>
      <c r="H1368" s="36"/>
      <c r="J1368" s="19"/>
      <c r="K1368" s="19"/>
      <c r="L1368" s="19"/>
      <c r="AF1368" s="6"/>
      <c r="AG1368" s="6"/>
      <c r="AH1368" s="6"/>
      <c r="AI1368" s="6"/>
      <c r="AN1368" s="6"/>
      <c r="AO1368" s="6"/>
      <c r="AP1368" s="6"/>
      <c r="AQ1368" s="6"/>
      <c r="AR1368" s="27"/>
      <c r="AS1368" s="27"/>
      <c r="AT1368" s="27"/>
      <c r="AU1368" s="12"/>
      <c r="AV1368" s="28"/>
    </row>
    <row r="1369" spans="4:48">
      <c r="D1369" s="12"/>
      <c r="E1369" s="12"/>
      <c r="F1369" s="12"/>
      <c r="G1369" s="12"/>
      <c r="H1369" s="36"/>
      <c r="J1369" s="19"/>
      <c r="K1369" s="19"/>
      <c r="L1369" s="19"/>
      <c r="AF1369" s="6"/>
      <c r="AG1369" s="6"/>
      <c r="AH1369" s="6"/>
      <c r="AI1369" s="6"/>
      <c r="AN1369" s="6"/>
      <c r="AO1369" s="6"/>
      <c r="AP1369" s="6"/>
      <c r="AQ1369" s="6"/>
      <c r="AR1369" s="27"/>
      <c r="AS1369" s="27"/>
      <c r="AT1369" s="27"/>
      <c r="AU1369" s="12"/>
      <c r="AV1369" s="28"/>
    </row>
    <row r="1370" spans="4:48">
      <c r="D1370" s="12"/>
      <c r="E1370" s="12"/>
      <c r="F1370" s="12"/>
      <c r="G1370" s="12"/>
      <c r="H1370" s="36"/>
      <c r="J1370" s="19"/>
      <c r="K1370" s="19"/>
      <c r="L1370" s="19"/>
      <c r="AF1370" s="6"/>
      <c r="AG1370" s="6"/>
      <c r="AH1370" s="6"/>
      <c r="AI1370" s="6"/>
      <c r="AN1370" s="6"/>
      <c r="AO1370" s="6"/>
      <c r="AP1370" s="6"/>
      <c r="AQ1370" s="6"/>
      <c r="AR1370" s="27"/>
      <c r="AS1370" s="27"/>
      <c r="AT1370" s="27"/>
      <c r="AU1370" s="12"/>
      <c r="AV1370" s="28"/>
    </row>
    <row r="1371" spans="4:48">
      <c r="D1371" s="12"/>
      <c r="E1371" s="12"/>
      <c r="F1371" s="12"/>
      <c r="G1371" s="12"/>
      <c r="H1371" s="36"/>
      <c r="J1371" s="19"/>
      <c r="K1371" s="19"/>
      <c r="L1371" s="19"/>
      <c r="AF1371" s="6"/>
      <c r="AG1371" s="6"/>
      <c r="AH1371" s="6"/>
      <c r="AI1371" s="6"/>
      <c r="AN1371" s="6"/>
      <c r="AO1371" s="6"/>
      <c r="AP1371" s="6"/>
      <c r="AQ1371" s="6"/>
      <c r="AR1371" s="27"/>
      <c r="AS1371" s="27"/>
      <c r="AT1371" s="27"/>
      <c r="AU1371" s="12"/>
      <c r="AV1371" s="28"/>
    </row>
    <row r="1372" spans="4:48">
      <c r="D1372" s="12"/>
      <c r="E1372" s="12"/>
      <c r="F1372" s="12"/>
      <c r="G1372" s="12"/>
      <c r="H1372" s="36"/>
      <c r="J1372" s="19"/>
      <c r="K1372" s="19"/>
      <c r="L1372" s="19"/>
      <c r="AF1372" s="6"/>
      <c r="AG1372" s="6"/>
      <c r="AH1372" s="6"/>
      <c r="AI1372" s="6"/>
      <c r="AN1372" s="6"/>
      <c r="AO1372" s="6"/>
      <c r="AP1372" s="6"/>
      <c r="AQ1372" s="6"/>
      <c r="AR1372" s="27"/>
      <c r="AS1372" s="27"/>
      <c r="AT1372" s="27"/>
      <c r="AU1372" s="12"/>
      <c r="AV1372" s="28"/>
    </row>
    <row r="1373" spans="4:48">
      <c r="D1373" s="12"/>
      <c r="E1373" s="12"/>
      <c r="F1373" s="12"/>
      <c r="G1373" s="12"/>
      <c r="H1373" s="36"/>
      <c r="J1373" s="19"/>
      <c r="K1373" s="19"/>
      <c r="L1373" s="19"/>
      <c r="AF1373" s="6"/>
      <c r="AG1373" s="6"/>
      <c r="AH1373" s="6"/>
      <c r="AI1373" s="6"/>
      <c r="AN1373" s="6"/>
      <c r="AO1373" s="6"/>
      <c r="AP1373" s="6"/>
      <c r="AQ1373" s="6"/>
      <c r="AR1373" s="27"/>
      <c r="AS1373" s="27"/>
      <c r="AT1373" s="27"/>
      <c r="AU1373" s="12"/>
      <c r="AV1373" s="28"/>
    </row>
    <row r="1374" spans="4:48">
      <c r="D1374" s="12"/>
      <c r="E1374" s="12"/>
      <c r="F1374" s="12"/>
      <c r="G1374" s="12"/>
      <c r="H1374" s="36"/>
      <c r="J1374" s="19"/>
      <c r="K1374" s="19"/>
      <c r="L1374" s="19"/>
      <c r="AF1374" s="6"/>
      <c r="AG1374" s="6"/>
      <c r="AH1374" s="6"/>
      <c r="AI1374" s="6"/>
      <c r="AN1374" s="6"/>
      <c r="AO1374" s="6"/>
      <c r="AP1374" s="6"/>
      <c r="AQ1374" s="6"/>
      <c r="AR1374" s="27"/>
      <c r="AS1374" s="27"/>
      <c r="AT1374" s="27"/>
      <c r="AU1374" s="12"/>
      <c r="AV1374" s="28"/>
    </row>
    <row r="1375" spans="4:48">
      <c r="D1375" s="12"/>
      <c r="E1375" s="12"/>
      <c r="F1375" s="12"/>
      <c r="G1375" s="12"/>
      <c r="H1375" s="36"/>
      <c r="J1375" s="19"/>
      <c r="K1375" s="19"/>
      <c r="L1375" s="19"/>
      <c r="AF1375" s="6"/>
      <c r="AG1375" s="6"/>
      <c r="AH1375" s="6"/>
      <c r="AI1375" s="6"/>
      <c r="AN1375" s="6"/>
      <c r="AO1375" s="6"/>
      <c r="AP1375" s="6"/>
      <c r="AQ1375" s="6"/>
      <c r="AR1375" s="27"/>
      <c r="AS1375" s="27"/>
      <c r="AT1375" s="27"/>
      <c r="AU1375" s="12"/>
      <c r="AV1375" s="28"/>
    </row>
    <row r="1376" spans="4:48">
      <c r="D1376" s="12"/>
      <c r="E1376" s="12"/>
      <c r="F1376" s="12"/>
      <c r="G1376" s="12"/>
      <c r="H1376" s="36"/>
      <c r="J1376" s="19"/>
      <c r="K1376" s="19"/>
      <c r="L1376" s="19"/>
      <c r="AF1376" s="6"/>
      <c r="AG1376" s="6"/>
      <c r="AH1376" s="6"/>
      <c r="AI1376" s="6"/>
      <c r="AN1376" s="6"/>
      <c r="AO1376" s="6"/>
      <c r="AP1376" s="6"/>
      <c r="AQ1376" s="6"/>
      <c r="AR1376" s="27"/>
      <c r="AS1376" s="27"/>
      <c r="AT1376" s="27"/>
      <c r="AU1376" s="12"/>
      <c r="AV1376" s="28"/>
    </row>
    <row r="1377" spans="4:48">
      <c r="D1377" s="12"/>
      <c r="E1377" s="12"/>
      <c r="F1377" s="12"/>
      <c r="G1377" s="12"/>
      <c r="H1377" s="36"/>
      <c r="J1377" s="19"/>
      <c r="K1377" s="19"/>
      <c r="L1377" s="19"/>
      <c r="AF1377" s="6"/>
      <c r="AG1377" s="6"/>
      <c r="AH1377" s="6"/>
      <c r="AI1377" s="6"/>
      <c r="AN1377" s="6"/>
      <c r="AO1377" s="6"/>
      <c r="AP1377" s="6"/>
      <c r="AQ1377" s="6"/>
      <c r="AR1377" s="27"/>
      <c r="AS1377" s="27"/>
      <c r="AT1377" s="27"/>
      <c r="AU1377" s="12"/>
      <c r="AV1377" s="28"/>
    </row>
    <row r="1378" spans="4:48">
      <c r="D1378" s="12"/>
      <c r="E1378" s="12"/>
      <c r="F1378" s="12"/>
      <c r="G1378" s="12"/>
      <c r="H1378" s="36"/>
      <c r="J1378" s="19"/>
      <c r="K1378" s="19"/>
      <c r="L1378" s="19"/>
      <c r="AF1378" s="6"/>
      <c r="AG1378" s="6"/>
      <c r="AH1378" s="6"/>
      <c r="AI1378" s="6"/>
      <c r="AN1378" s="6"/>
      <c r="AO1378" s="6"/>
      <c r="AP1378" s="6"/>
      <c r="AQ1378" s="6"/>
      <c r="AR1378" s="27"/>
      <c r="AS1378" s="27"/>
      <c r="AT1378" s="27"/>
      <c r="AU1378" s="12"/>
      <c r="AV1378" s="28"/>
    </row>
    <row r="1379" spans="4:48">
      <c r="D1379" s="12"/>
      <c r="E1379" s="12"/>
      <c r="F1379" s="12"/>
      <c r="G1379" s="12"/>
      <c r="H1379" s="36"/>
      <c r="J1379" s="19"/>
      <c r="K1379" s="19"/>
      <c r="L1379" s="19"/>
      <c r="AF1379" s="6"/>
      <c r="AG1379" s="6"/>
      <c r="AH1379" s="6"/>
      <c r="AI1379" s="6"/>
      <c r="AN1379" s="6"/>
      <c r="AO1379" s="6"/>
      <c r="AP1379" s="6"/>
      <c r="AQ1379" s="6"/>
      <c r="AR1379" s="27"/>
      <c r="AS1379" s="27"/>
      <c r="AT1379" s="27"/>
      <c r="AU1379" s="12"/>
      <c r="AV1379" s="28"/>
    </row>
    <row r="1380" spans="4:48">
      <c r="D1380" s="12"/>
      <c r="E1380" s="12"/>
      <c r="F1380" s="12"/>
      <c r="G1380" s="12"/>
      <c r="H1380" s="36"/>
      <c r="J1380" s="19"/>
      <c r="K1380" s="19"/>
      <c r="L1380" s="19"/>
      <c r="AF1380" s="6"/>
      <c r="AG1380" s="6"/>
      <c r="AH1380" s="6"/>
      <c r="AI1380" s="6"/>
      <c r="AN1380" s="6"/>
      <c r="AO1380" s="6"/>
      <c r="AP1380" s="6"/>
      <c r="AQ1380" s="6"/>
      <c r="AR1380" s="27"/>
      <c r="AS1380" s="27"/>
      <c r="AT1380" s="27"/>
      <c r="AU1380" s="12"/>
      <c r="AV1380" s="28"/>
    </row>
    <row r="1381" spans="4:48">
      <c r="D1381" s="12"/>
      <c r="E1381" s="12"/>
      <c r="F1381" s="12"/>
      <c r="G1381" s="12"/>
      <c r="H1381" s="36"/>
      <c r="J1381" s="19"/>
      <c r="K1381" s="19"/>
      <c r="L1381" s="19"/>
      <c r="AF1381" s="6"/>
      <c r="AG1381" s="6"/>
      <c r="AH1381" s="6"/>
      <c r="AI1381" s="6"/>
      <c r="AN1381" s="6"/>
      <c r="AO1381" s="6"/>
      <c r="AP1381" s="6"/>
      <c r="AQ1381" s="6"/>
      <c r="AR1381" s="27"/>
      <c r="AS1381" s="27"/>
      <c r="AT1381" s="27"/>
      <c r="AU1381" s="12"/>
      <c r="AV1381" s="28"/>
    </row>
    <row r="1382" spans="4:48">
      <c r="D1382" s="12"/>
      <c r="E1382" s="12"/>
      <c r="F1382" s="12"/>
      <c r="G1382" s="12"/>
      <c r="H1382" s="36"/>
      <c r="J1382" s="19"/>
      <c r="K1382" s="19"/>
      <c r="L1382" s="19"/>
      <c r="AF1382" s="6"/>
      <c r="AG1382" s="6"/>
      <c r="AH1382" s="6"/>
      <c r="AI1382" s="6"/>
      <c r="AN1382" s="6"/>
      <c r="AO1382" s="6"/>
      <c r="AP1382" s="6"/>
      <c r="AQ1382" s="6"/>
      <c r="AR1382" s="27"/>
      <c r="AS1382" s="27"/>
      <c r="AT1382" s="27"/>
      <c r="AU1382" s="12"/>
      <c r="AV1382" s="28"/>
    </row>
    <row r="1383" spans="4:48">
      <c r="D1383" s="12"/>
      <c r="E1383" s="12"/>
      <c r="F1383" s="12"/>
      <c r="G1383" s="12"/>
      <c r="H1383" s="36"/>
      <c r="J1383" s="19"/>
      <c r="K1383" s="19"/>
      <c r="L1383" s="19"/>
      <c r="AF1383" s="6"/>
      <c r="AG1383" s="6"/>
      <c r="AH1383" s="6"/>
      <c r="AI1383" s="6"/>
      <c r="AN1383" s="6"/>
      <c r="AO1383" s="6"/>
      <c r="AP1383" s="6"/>
      <c r="AQ1383" s="6"/>
      <c r="AR1383" s="27"/>
      <c r="AS1383" s="27"/>
      <c r="AT1383" s="27"/>
      <c r="AU1383" s="12"/>
      <c r="AV1383" s="28"/>
    </row>
    <row r="1384" spans="4:48">
      <c r="D1384" s="12"/>
      <c r="E1384" s="12"/>
      <c r="F1384" s="12"/>
      <c r="G1384" s="12"/>
      <c r="H1384" s="36"/>
      <c r="J1384" s="19"/>
      <c r="K1384" s="19"/>
      <c r="L1384" s="19"/>
      <c r="AF1384" s="6"/>
      <c r="AG1384" s="6"/>
      <c r="AH1384" s="6"/>
      <c r="AI1384" s="6"/>
      <c r="AN1384" s="6"/>
      <c r="AO1384" s="6"/>
      <c r="AP1384" s="6"/>
      <c r="AQ1384" s="6"/>
      <c r="AR1384" s="27"/>
      <c r="AS1384" s="27"/>
      <c r="AT1384" s="27"/>
      <c r="AU1384" s="12"/>
      <c r="AV1384" s="28"/>
    </row>
    <row r="1385" spans="4:48">
      <c r="D1385" s="12"/>
      <c r="E1385" s="12"/>
      <c r="F1385" s="12"/>
      <c r="G1385" s="12"/>
      <c r="H1385" s="36"/>
      <c r="J1385" s="19"/>
      <c r="K1385" s="19"/>
      <c r="L1385" s="19"/>
      <c r="AF1385" s="6"/>
      <c r="AG1385" s="6"/>
      <c r="AH1385" s="6"/>
      <c r="AI1385" s="6"/>
      <c r="AN1385" s="6"/>
      <c r="AO1385" s="6"/>
      <c r="AP1385" s="6"/>
      <c r="AQ1385" s="6"/>
      <c r="AR1385" s="27"/>
      <c r="AS1385" s="27"/>
      <c r="AT1385" s="27"/>
      <c r="AU1385" s="12"/>
      <c r="AV1385" s="28"/>
    </row>
    <row r="1386" spans="4:48">
      <c r="D1386" s="12"/>
      <c r="E1386" s="12"/>
      <c r="F1386" s="12"/>
      <c r="G1386" s="12"/>
      <c r="H1386" s="36"/>
      <c r="J1386" s="19"/>
      <c r="K1386" s="19"/>
      <c r="L1386" s="19"/>
      <c r="AF1386" s="6"/>
      <c r="AG1386" s="6"/>
      <c r="AH1386" s="6"/>
      <c r="AI1386" s="6"/>
      <c r="AN1386" s="6"/>
      <c r="AO1386" s="6"/>
      <c r="AP1386" s="6"/>
      <c r="AQ1386" s="6"/>
      <c r="AR1386" s="27"/>
      <c r="AS1386" s="27"/>
      <c r="AT1386" s="27"/>
      <c r="AU1386" s="12"/>
      <c r="AV1386" s="28"/>
    </row>
    <row r="1387" spans="4:48">
      <c r="D1387" s="12"/>
      <c r="E1387" s="12"/>
      <c r="F1387" s="12"/>
      <c r="G1387" s="12"/>
      <c r="H1387" s="36"/>
      <c r="J1387" s="19"/>
      <c r="K1387" s="19"/>
      <c r="L1387" s="19"/>
      <c r="AF1387" s="6"/>
      <c r="AG1387" s="6"/>
      <c r="AH1387" s="6"/>
      <c r="AI1387" s="6"/>
      <c r="AN1387" s="6"/>
      <c r="AO1387" s="6"/>
      <c r="AP1387" s="6"/>
      <c r="AQ1387" s="6"/>
      <c r="AR1387" s="27"/>
      <c r="AS1387" s="27"/>
      <c r="AT1387" s="27"/>
      <c r="AU1387" s="12"/>
      <c r="AV1387" s="28"/>
    </row>
    <row r="1388" spans="4:48">
      <c r="D1388" s="12"/>
      <c r="E1388" s="12"/>
      <c r="F1388" s="12"/>
      <c r="G1388" s="12"/>
      <c r="H1388" s="36"/>
      <c r="J1388" s="19"/>
      <c r="K1388" s="19"/>
      <c r="L1388" s="19"/>
      <c r="AF1388" s="6"/>
      <c r="AG1388" s="6"/>
      <c r="AH1388" s="6"/>
      <c r="AI1388" s="6"/>
      <c r="AN1388" s="6"/>
      <c r="AO1388" s="6"/>
      <c r="AP1388" s="6"/>
      <c r="AQ1388" s="6"/>
      <c r="AR1388" s="27"/>
      <c r="AS1388" s="27"/>
      <c r="AT1388" s="27"/>
      <c r="AU1388" s="12"/>
      <c r="AV1388" s="28"/>
    </row>
    <row r="1389" spans="4:48">
      <c r="D1389" s="12"/>
      <c r="E1389" s="12"/>
      <c r="F1389" s="12"/>
      <c r="G1389" s="12"/>
      <c r="H1389" s="36"/>
      <c r="J1389" s="19"/>
      <c r="K1389" s="19"/>
      <c r="L1389" s="19"/>
      <c r="AF1389" s="6"/>
      <c r="AG1389" s="6"/>
      <c r="AH1389" s="6"/>
      <c r="AI1389" s="6"/>
      <c r="AN1389" s="6"/>
      <c r="AO1389" s="6"/>
      <c r="AP1389" s="6"/>
      <c r="AQ1389" s="6"/>
      <c r="AR1389" s="27"/>
      <c r="AS1389" s="27"/>
      <c r="AT1389" s="27"/>
      <c r="AU1389" s="12"/>
      <c r="AV1389" s="28"/>
    </row>
    <row r="1390" spans="4:48">
      <c r="D1390" s="12"/>
      <c r="E1390" s="12"/>
      <c r="F1390" s="12"/>
      <c r="G1390" s="12"/>
      <c r="H1390" s="36"/>
      <c r="J1390" s="19"/>
      <c r="K1390" s="19"/>
      <c r="L1390" s="19"/>
      <c r="AF1390" s="6"/>
      <c r="AG1390" s="6"/>
      <c r="AH1390" s="6"/>
      <c r="AI1390" s="6"/>
      <c r="AN1390" s="6"/>
      <c r="AO1390" s="6"/>
      <c r="AP1390" s="6"/>
      <c r="AQ1390" s="6"/>
      <c r="AR1390" s="27"/>
      <c r="AS1390" s="27"/>
      <c r="AT1390" s="27"/>
      <c r="AU1390" s="12"/>
      <c r="AV1390" s="28"/>
    </row>
    <row r="1391" spans="4:48">
      <c r="D1391" s="12"/>
      <c r="E1391" s="12"/>
      <c r="F1391" s="12"/>
      <c r="G1391" s="12"/>
      <c r="H1391" s="36"/>
      <c r="J1391" s="19"/>
      <c r="K1391" s="19"/>
      <c r="L1391" s="19"/>
      <c r="AF1391" s="6"/>
      <c r="AG1391" s="6"/>
      <c r="AH1391" s="6"/>
      <c r="AI1391" s="6"/>
      <c r="AN1391" s="6"/>
      <c r="AO1391" s="6"/>
      <c r="AP1391" s="6"/>
      <c r="AQ1391" s="6"/>
      <c r="AR1391" s="27"/>
      <c r="AS1391" s="27"/>
      <c r="AT1391" s="27"/>
      <c r="AU1391" s="12"/>
      <c r="AV1391" s="28"/>
    </row>
    <row r="1392" spans="4:48">
      <c r="D1392" s="12"/>
      <c r="E1392" s="12"/>
      <c r="F1392" s="12"/>
      <c r="G1392" s="12"/>
      <c r="H1392" s="36"/>
      <c r="J1392" s="19"/>
      <c r="K1392" s="19"/>
      <c r="L1392" s="19"/>
      <c r="AF1392" s="6"/>
      <c r="AG1392" s="6"/>
      <c r="AH1392" s="6"/>
      <c r="AI1392" s="6"/>
      <c r="AN1392" s="6"/>
      <c r="AO1392" s="6"/>
      <c r="AP1392" s="6"/>
      <c r="AQ1392" s="6"/>
      <c r="AR1392" s="27"/>
      <c r="AS1392" s="27"/>
      <c r="AT1392" s="27"/>
      <c r="AU1392" s="12"/>
      <c r="AV1392" s="28"/>
    </row>
    <row r="1393" spans="4:48">
      <c r="D1393" s="12"/>
      <c r="E1393" s="12"/>
      <c r="F1393" s="12"/>
      <c r="G1393" s="12"/>
      <c r="H1393" s="36"/>
      <c r="J1393" s="19"/>
      <c r="K1393" s="19"/>
      <c r="L1393" s="19"/>
      <c r="AF1393" s="6"/>
      <c r="AG1393" s="6"/>
      <c r="AH1393" s="6"/>
      <c r="AI1393" s="6"/>
      <c r="AN1393" s="6"/>
      <c r="AO1393" s="6"/>
      <c r="AP1393" s="6"/>
      <c r="AQ1393" s="6"/>
      <c r="AR1393" s="27"/>
      <c r="AS1393" s="27"/>
      <c r="AT1393" s="27"/>
      <c r="AU1393" s="12"/>
      <c r="AV1393" s="28"/>
    </row>
    <row r="1394" spans="4:48">
      <c r="D1394" s="12"/>
      <c r="E1394" s="12"/>
      <c r="F1394" s="12"/>
      <c r="G1394" s="12"/>
      <c r="H1394" s="36"/>
      <c r="J1394" s="19"/>
      <c r="K1394" s="19"/>
      <c r="L1394" s="19"/>
      <c r="AF1394" s="6"/>
      <c r="AG1394" s="6"/>
      <c r="AH1394" s="6"/>
      <c r="AI1394" s="6"/>
      <c r="AN1394" s="6"/>
      <c r="AO1394" s="6"/>
      <c r="AP1394" s="6"/>
      <c r="AQ1394" s="6"/>
      <c r="AR1394" s="27"/>
      <c r="AS1394" s="27"/>
      <c r="AT1394" s="27"/>
      <c r="AU1394" s="12"/>
      <c r="AV1394" s="28"/>
    </row>
    <row r="1395" spans="4:48">
      <c r="D1395" s="12"/>
      <c r="E1395" s="12"/>
      <c r="F1395" s="12"/>
      <c r="G1395" s="12"/>
      <c r="H1395" s="36"/>
      <c r="J1395" s="19"/>
      <c r="K1395" s="19"/>
      <c r="L1395" s="19"/>
      <c r="AF1395" s="6"/>
      <c r="AG1395" s="6"/>
      <c r="AH1395" s="6"/>
      <c r="AI1395" s="6"/>
      <c r="AN1395" s="6"/>
      <c r="AO1395" s="6"/>
      <c r="AP1395" s="6"/>
      <c r="AQ1395" s="6"/>
      <c r="AR1395" s="27"/>
      <c r="AS1395" s="27"/>
      <c r="AT1395" s="27"/>
      <c r="AU1395" s="12"/>
      <c r="AV1395" s="28"/>
    </row>
    <row r="1396" spans="4:48">
      <c r="D1396" s="12"/>
      <c r="E1396" s="12"/>
      <c r="F1396" s="12"/>
      <c r="G1396" s="12"/>
      <c r="H1396" s="36"/>
      <c r="J1396" s="19"/>
      <c r="K1396" s="19"/>
      <c r="L1396" s="19"/>
      <c r="AF1396" s="6"/>
      <c r="AG1396" s="6"/>
      <c r="AH1396" s="6"/>
      <c r="AI1396" s="6"/>
      <c r="AN1396" s="6"/>
      <c r="AO1396" s="6"/>
      <c r="AP1396" s="6"/>
      <c r="AQ1396" s="6"/>
      <c r="AR1396" s="27"/>
      <c r="AS1396" s="27"/>
      <c r="AT1396" s="27"/>
      <c r="AU1396" s="12"/>
      <c r="AV1396" s="28"/>
    </row>
    <row r="1397" spans="4:48">
      <c r="D1397" s="12"/>
      <c r="E1397" s="12"/>
      <c r="F1397" s="12"/>
      <c r="G1397" s="12"/>
      <c r="H1397" s="36"/>
      <c r="J1397" s="19"/>
      <c r="K1397" s="19"/>
      <c r="L1397" s="19"/>
      <c r="AF1397" s="6"/>
      <c r="AG1397" s="6"/>
      <c r="AH1397" s="6"/>
      <c r="AI1397" s="6"/>
      <c r="AN1397" s="6"/>
      <c r="AO1397" s="6"/>
      <c r="AP1397" s="6"/>
      <c r="AQ1397" s="6"/>
      <c r="AR1397" s="27"/>
      <c r="AS1397" s="27"/>
      <c r="AT1397" s="27"/>
      <c r="AU1397" s="12"/>
      <c r="AV1397" s="28"/>
    </row>
    <row r="1398" spans="4:48">
      <c r="D1398" s="12"/>
      <c r="E1398" s="12"/>
      <c r="F1398" s="12"/>
      <c r="G1398" s="12"/>
      <c r="H1398" s="36"/>
      <c r="J1398" s="19"/>
      <c r="K1398" s="19"/>
      <c r="L1398" s="19"/>
      <c r="AF1398" s="6"/>
      <c r="AG1398" s="6"/>
      <c r="AH1398" s="6"/>
      <c r="AI1398" s="6"/>
      <c r="AN1398" s="6"/>
      <c r="AO1398" s="6"/>
      <c r="AP1398" s="6"/>
      <c r="AQ1398" s="6"/>
      <c r="AR1398" s="27"/>
      <c r="AS1398" s="27"/>
      <c r="AT1398" s="27"/>
      <c r="AU1398" s="12"/>
      <c r="AV1398" s="28"/>
    </row>
    <row r="1399" spans="4:48">
      <c r="D1399" s="12"/>
      <c r="E1399" s="12"/>
      <c r="F1399" s="12"/>
      <c r="G1399" s="12"/>
      <c r="H1399" s="36"/>
      <c r="J1399" s="19"/>
      <c r="K1399" s="19"/>
      <c r="L1399" s="19"/>
      <c r="AF1399" s="6"/>
      <c r="AG1399" s="6"/>
      <c r="AH1399" s="6"/>
      <c r="AI1399" s="6"/>
      <c r="AN1399" s="6"/>
      <c r="AO1399" s="6"/>
      <c r="AP1399" s="6"/>
      <c r="AQ1399" s="6"/>
      <c r="AR1399" s="27"/>
      <c r="AS1399" s="27"/>
      <c r="AT1399" s="27"/>
      <c r="AU1399" s="12"/>
      <c r="AV1399" s="28"/>
    </row>
    <row r="1400" spans="4:48">
      <c r="D1400" s="12"/>
      <c r="E1400" s="12"/>
      <c r="F1400" s="12"/>
      <c r="G1400" s="12"/>
      <c r="H1400" s="36"/>
      <c r="J1400" s="19"/>
      <c r="K1400" s="19"/>
      <c r="L1400" s="19"/>
      <c r="AF1400" s="6"/>
      <c r="AG1400" s="6"/>
      <c r="AH1400" s="6"/>
      <c r="AI1400" s="6"/>
      <c r="AN1400" s="6"/>
      <c r="AO1400" s="6"/>
      <c r="AP1400" s="6"/>
      <c r="AQ1400" s="6"/>
      <c r="AR1400" s="27"/>
      <c r="AS1400" s="27"/>
      <c r="AT1400" s="27"/>
      <c r="AU1400" s="12"/>
      <c r="AV1400" s="28"/>
    </row>
    <row r="1401" spans="4:48">
      <c r="D1401" s="12"/>
      <c r="E1401" s="12"/>
      <c r="F1401" s="12"/>
      <c r="G1401" s="12"/>
      <c r="H1401" s="36"/>
      <c r="J1401" s="19"/>
      <c r="K1401" s="19"/>
      <c r="L1401" s="19"/>
      <c r="AF1401" s="6"/>
      <c r="AG1401" s="6"/>
      <c r="AH1401" s="6"/>
      <c r="AI1401" s="6"/>
      <c r="AN1401" s="6"/>
      <c r="AO1401" s="6"/>
      <c r="AP1401" s="6"/>
      <c r="AQ1401" s="6"/>
      <c r="AR1401" s="27"/>
      <c r="AS1401" s="27"/>
      <c r="AT1401" s="27"/>
      <c r="AU1401" s="12"/>
      <c r="AV1401" s="28"/>
    </row>
    <row r="1402" spans="4:48">
      <c r="D1402" s="12"/>
      <c r="E1402" s="12"/>
      <c r="F1402" s="12"/>
      <c r="G1402" s="12"/>
      <c r="H1402" s="36"/>
      <c r="J1402" s="19"/>
      <c r="K1402" s="19"/>
      <c r="L1402" s="19"/>
      <c r="AF1402" s="6"/>
      <c r="AG1402" s="6"/>
      <c r="AH1402" s="6"/>
      <c r="AI1402" s="6"/>
      <c r="AN1402" s="6"/>
      <c r="AO1402" s="6"/>
      <c r="AP1402" s="6"/>
      <c r="AQ1402" s="6"/>
      <c r="AR1402" s="27"/>
      <c r="AS1402" s="27"/>
      <c r="AT1402" s="27"/>
      <c r="AU1402" s="12"/>
      <c r="AV1402" s="28"/>
    </row>
    <row r="1403" spans="4:48">
      <c r="D1403" s="12"/>
      <c r="E1403" s="12"/>
      <c r="F1403" s="12"/>
      <c r="G1403" s="12"/>
      <c r="H1403" s="36"/>
      <c r="J1403" s="19"/>
      <c r="K1403" s="19"/>
      <c r="L1403" s="19"/>
      <c r="AF1403" s="6"/>
      <c r="AG1403" s="6"/>
      <c r="AH1403" s="6"/>
      <c r="AI1403" s="6"/>
      <c r="AN1403" s="6"/>
      <c r="AO1403" s="6"/>
      <c r="AP1403" s="6"/>
      <c r="AQ1403" s="6"/>
      <c r="AR1403" s="27"/>
      <c r="AS1403" s="27"/>
      <c r="AT1403" s="27"/>
      <c r="AU1403" s="12"/>
      <c r="AV1403" s="28"/>
    </row>
    <row r="1404" spans="4:48">
      <c r="D1404" s="12"/>
      <c r="E1404" s="12"/>
      <c r="F1404" s="12"/>
      <c r="G1404" s="12"/>
      <c r="H1404" s="36"/>
      <c r="J1404" s="19"/>
      <c r="K1404" s="19"/>
      <c r="L1404" s="19"/>
      <c r="AF1404" s="6"/>
      <c r="AG1404" s="6"/>
      <c r="AH1404" s="6"/>
      <c r="AI1404" s="6"/>
      <c r="AN1404" s="6"/>
      <c r="AO1404" s="6"/>
      <c r="AP1404" s="6"/>
      <c r="AQ1404" s="6"/>
      <c r="AR1404" s="27"/>
      <c r="AS1404" s="27"/>
      <c r="AT1404" s="27"/>
      <c r="AU1404" s="12"/>
      <c r="AV1404" s="28"/>
    </row>
    <row r="1405" spans="4:48">
      <c r="D1405" s="12"/>
      <c r="E1405" s="12"/>
      <c r="F1405" s="12"/>
      <c r="G1405" s="12"/>
      <c r="H1405" s="36"/>
      <c r="J1405" s="19"/>
      <c r="K1405" s="19"/>
      <c r="L1405" s="19"/>
      <c r="AF1405" s="6"/>
      <c r="AG1405" s="6"/>
      <c r="AH1405" s="6"/>
      <c r="AI1405" s="6"/>
      <c r="AN1405" s="6"/>
      <c r="AO1405" s="6"/>
      <c r="AP1405" s="6"/>
      <c r="AQ1405" s="6"/>
      <c r="AR1405" s="27"/>
      <c r="AS1405" s="27"/>
      <c r="AT1405" s="27"/>
      <c r="AU1405" s="12"/>
      <c r="AV1405" s="28"/>
    </row>
    <row r="1406" spans="4:48">
      <c r="D1406" s="12"/>
      <c r="E1406" s="12"/>
      <c r="F1406" s="12"/>
      <c r="G1406" s="12"/>
      <c r="H1406" s="36"/>
      <c r="J1406" s="19"/>
      <c r="K1406" s="19"/>
      <c r="L1406" s="19"/>
      <c r="AF1406" s="6"/>
      <c r="AG1406" s="6"/>
      <c r="AH1406" s="6"/>
      <c r="AI1406" s="6"/>
      <c r="AN1406" s="6"/>
      <c r="AO1406" s="6"/>
      <c r="AP1406" s="6"/>
      <c r="AQ1406" s="6"/>
      <c r="AR1406" s="27"/>
      <c r="AS1406" s="27"/>
      <c r="AT1406" s="27"/>
      <c r="AU1406" s="12"/>
      <c r="AV1406" s="28"/>
    </row>
    <row r="1407" spans="4:48">
      <c r="D1407" s="12"/>
      <c r="E1407" s="12"/>
      <c r="F1407" s="12"/>
      <c r="G1407" s="12"/>
      <c r="H1407" s="36"/>
      <c r="J1407" s="19"/>
      <c r="K1407" s="19"/>
      <c r="L1407" s="19"/>
      <c r="AF1407" s="6"/>
      <c r="AG1407" s="6"/>
      <c r="AH1407" s="6"/>
      <c r="AI1407" s="6"/>
      <c r="AN1407" s="6"/>
      <c r="AO1407" s="6"/>
      <c r="AP1407" s="6"/>
      <c r="AQ1407" s="6"/>
      <c r="AR1407" s="27"/>
      <c r="AS1407" s="27"/>
      <c r="AT1407" s="27"/>
      <c r="AU1407" s="12"/>
      <c r="AV1407" s="28"/>
    </row>
    <row r="1408" spans="4:48">
      <c r="D1408" s="12"/>
      <c r="E1408" s="12"/>
      <c r="F1408" s="12"/>
      <c r="G1408" s="12"/>
      <c r="H1408" s="36"/>
      <c r="J1408" s="19"/>
      <c r="K1408" s="19"/>
      <c r="L1408" s="19"/>
      <c r="AF1408" s="6"/>
      <c r="AG1408" s="6"/>
      <c r="AH1408" s="6"/>
      <c r="AI1408" s="6"/>
      <c r="AN1408" s="6"/>
      <c r="AO1408" s="6"/>
      <c r="AP1408" s="6"/>
      <c r="AQ1408" s="6"/>
      <c r="AR1408" s="27"/>
      <c r="AS1408" s="27"/>
      <c r="AT1408" s="27"/>
      <c r="AU1408" s="12"/>
      <c r="AV1408" s="28"/>
    </row>
    <row r="1409" spans="4:48">
      <c r="D1409" s="12"/>
      <c r="E1409" s="12"/>
      <c r="F1409" s="12"/>
      <c r="G1409" s="12"/>
      <c r="H1409" s="36"/>
      <c r="J1409" s="19"/>
      <c r="K1409" s="19"/>
      <c r="L1409" s="19"/>
      <c r="AF1409" s="6"/>
      <c r="AG1409" s="6"/>
      <c r="AH1409" s="6"/>
      <c r="AI1409" s="6"/>
      <c r="AN1409" s="6"/>
      <c r="AO1409" s="6"/>
      <c r="AP1409" s="6"/>
      <c r="AQ1409" s="6"/>
      <c r="AR1409" s="27"/>
      <c r="AS1409" s="27"/>
      <c r="AT1409" s="27"/>
      <c r="AU1409" s="12"/>
      <c r="AV1409" s="28"/>
    </row>
    <row r="1410" spans="4:48">
      <c r="D1410" s="12"/>
      <c r="E1410" s="12"/>
      <c r="F1410" s="12"/>
      <c r="G1410" s="12"/>
      <c r="H1410" s="36"/>
      <c r="J1410" s="19"/>
      <c r="K1410" s="19"/>
      <c r="L1410" s="19"/>
      <c r="AF1410" s="6"/>
      <c r="AG1410" s="6"/>
      <c r="AH1410" s="6"/>
      <c r="AI1410" s="6"/>
      <c r="AN1410" s="6"/>
      <c r="AO1410" s="6"/>
      <c r="AP1410" s="6"/>
      <c r="AQ1410" s="6"/>
      <c r="AR1410" s="27"/>
      <c r="AS1410" s="27"/>
      <c r="AT1410" s="27"/>
      <c r="AU1410" s="12"/>
      <c r="AV1410" s="28"/>
    </row>
    <row r="1411" spans="4:48">
      <c r="D1411" s="12"/>
      <c r="E1411" s="12"/>
      <c r="F1411" s="12"/>
      <c r="G1411" s="12"/>
      <c r="H1411" s="36"/>
      <c r="J1411" s="19"/>
      <c r="K1411" s="19"/>
      <c r="L1411" s="19"/>
      <c r="AF1411" s="6"/>
      <c r="AG1411" s="6"/>
      <c r="AH1411" s="6"/>
      <c r="AI1411" s="6"/>
      <c r="AN1411" s="6"/>
      <c r="AO1411" s="6"/>
      <c r="AP1411" s="6"/>
      <c r="AQ1411" s="6"/>
      <c r="AR1411" s="27"/>
      <c r="AS1411" s="27"/>
      <c r="AT1411" s="27"/>
      <c r="AU1411" s="12"/>
      <c r="AV1411" s="28"/>
    </row>
    <row r="1412" spans="4:48">
      <c r="D1412" s="12"/>
      <c r="E1412" s="12"/>
      <c r="F1412" s="12"/>
      <c r="G1412" s="12"/>
      <c r="H1412" s="36"/>
      <c r="J1412" s="19"/>
      <c r="K1412" s="19"/>
      <c r="L1412" s="19"/>
      <c r="AF1412" s="6"/>
      <c r="AG1412" s="6"/>
      <c r="AH1412" s="6"/>
      <c r="AI1412" s="6"/>
      <c r="AN1412" s="6"/>
      <c r="AO1412" s="6"/>
      <c r="AP1412" s="6"/>
      <c r="AQ1412" s="6"/>
      <c r="AR1412" s="27"/>
      <c r="AS1412" s="27"/>
      <c r="AT1412" s="27"/>
      <c r="AU1412" s="12"/>
      <c r="AV1412" s="28"/>
    </row>
    <row r="1413" spans="4:48">
      <c r="D1413" s="12"/>
      <c r="E1413" s="12"/>
      <c r="F1413" s="12"/>
      <c r="G1413" s="12"/>
      <c r="H1413" s="36"/>
      <c r="J1413" s="19"/>
      <c r="K1413" s="19"/>
      <c r="L1413" s="19"/>
      <c r="AF1413" s="6"/>
      <c r="AG1413" s="6"/>
      <c r="AH1413" s="6"/>
      <c r="AI1413" s="6"/>
      <c r="AN1413" s="6"/>
      <c r="AO1413" s="6"/>
      <c r="AP1413" s="6"/>
      <c r="AQ1413" s="6"/>
      <c r="AR1413" s="27"/>
      <c r="AS1413" s="27"/>
      <c r="AT1413" s="27"/>
      <c r="AU1413" s="12"/>
      <c r="AV1413" s="28"/>
    </row>
    <row r="1414" spans="4:48">
      <c r="D1414" s="12"/>
      <c r="E1414" s="12"/>
      <c r="F1414" s="12"/>
      <c r="G1414" s="12"/>
      <c r="H1414" s="36"/>
      <c r="J1414" s="19"/>
      <c r="K1414" s="19"/>
      <c r="L1414" s="19"/>
      <c r="AF1414" s="6"/>
      <c r="AG1414" s="6"/>
      <c r="AH1414" s="6"/>
      <c r="AI1414" s="6"/>
      <c r="AN1414" s="6"/>
      <c r="AO1414" s="6"/>
      <c r="AP1414" s="6"/>
      <c r="AQ1414" s="6"/>
      <c r="AR1414" s="27"/>
      <c r="AS1414" s="27"/>
      <c r="AT1414" s="27"/>
      <c r="AU1414" s="12"/>
      <c r="AV1414" s="28"/>
    </row>
    <row r="1415" spans="4:48">
      <c r="D1415" s="12"/>
      <c r="E1415" s="12"/>
      <c r="F1415" s="12"/>
      <c r="G1415" s="12"/>
      <c r="H1415" s="36"/>
      <c r="J1415" s="19"/>
      <c r="K1415" s="19"/>
      <c r="L1415" s="19"/>
      <c r="AF1415" s="6"/>
      <c r="AG1415" s="6"/>
      <c r="AH1415" s="6"/>
      <c r="AI1415" s="6"/>
      <c r="AN1415" s="6"/>
      <c r="AO1415" s="6"/>
      <c r="AP1415" s="6"/>
      <c r="AQ1415" s="6"/>
      <c r="AR1415" s="27"/>
      <c r="AS1415" s="27"/>
      <c r="AT1415" s="27"/>
      <c r="AU1415" s="12"/>
      <c r="AV1415" s="28"/>
    </row>
    <row r="1416" spans="4:48">
      <c r="D1416" s="12"/>
      <c r="E1416" s="12"/>
      <c r="F1416" s="12"/>
      <c r="G1416" s="12"/>
      <c r="H1416" s="36"/>
      <c r="J1416" s="19"/>
      <c r="K1416" s="19"/>
      <c r="L1416" s="19"/>
      <c r="AF1416" s="6"/>
      <c r="AG1416" s="6"/>
      <c r="AH1416" s="6"/>
      <c r="AI1416" s="6"/>
      <c r="AN1416" s="6"/>
      <c r="AO1416" s="6"/>
      <c r="AP1416" s="6"/>
      <c r="AQ1416" s="6"/>
      <c r="AR1416" s="27"/>
      <c r="AS1416" s="27"/>
      <c r="AT1416" s="27"/>
      <c r="AU1416" s="12"/>
      <c r="AV1416" s="28"/>
    </row>
    <row r="1417" spans="4:48">
      <c r="D1417" s="12"/>
      <c r="E1417" s="12"/>
      <c r="F1417" s="12"/>
      <c r="G1417" s="12"/>
      <c r="H1417" s="36"/>
      <c r="J1417" s="19"/>
      <c r="K1417" s="19"/>
      <c r="L1417" s="19"/>
      <c r="AF1417" s="6"/>
      <c r="AG1417" s="6"/>
      <c r="AH1417" s="6"/>
      <c r="AI1417" s="6"/>
      <c r="AN1417" s="6"/>
      <c r="AO1417" s="6"/>
      <c r="AP1417" s="6"/>
      <c r="AQ1417" s="6"/>
      <c r="AR1417" s="27"/>
      <c r="AS1417" s="27"/>
      <c r="AT1417" s="27"/>
      <c r="AU1417" s="12"/>
      <c r="AV1417" s="28"/>
    </row>
    <row r="1418" spans="4:48">
      <c r="D1418" s="12"/>
      <c r="E1418" s="12"/>
      <c r="F1418" s="12"/>
      <c r="G1418" s="12"/>
      <c r="H1418" s="36"/>
      <c r="J1418" s="19"/>
      <c r="K1418" s="19"/>
      <c r="L1418" s="19"/>
      <c r="AF1418" s="6"/>
      <c r="AG1418" s="6"/>
      <c r="AH1418" s="6"/>
      <c r="AI1418" s="6"/>
      <c r="AN1418" s="6"/>
      <c r="AO1418" s="6"/>
      <c r="AP1418" s="6"/>
      <c r="AQ1418" s="6"/>
      <c r="AR1418" s="27"/>
      <c r="AS1418" s="27"/>
      <c r="AT1418" s="27"/>
      <c r="AU1418" s="12"/>
      <c r="AV1418" s="28"/>
    </row>
    <row r="1419" spans="4:48">
      <c r="D1419" s="12"/>
      <c r="E1419" s="12"/>
      <c r="F1419" s="12"/>
      <c r="G1419" s="12"/>
      <c r="H1419" s="36"/>
      <c r="J1419" s="19"/>
      <c r="K1419" s="19"/>
      <c r="L1419" s="19"/>
      <c r="AF1419" s="6"/>
      <c r="AG1419" s="6"/>
      <c r="AH1419" s="6"/>
      <c r="AI1419" s="6"/>
      <c r="AN1419" s="6"/>
      <c r="AO1419" s="6"/>
      <c r="AP1419" s="6"/>
      <c r="AQ1419" s="6"/>
      <c r="AR1419" s="27"/>
      <c r="AS1419" s="27"/>
      <c r="AT1419" s="27"/>
      <c r="AU1419" s="12"/>
      <c r="AV1419" s="28"/>
    </row>
    <row r="1420" spans="4:48">
      <c r="D1420" s="12"/>
      <c r="E1420" s="12"/>
      <c r="F1420" s="12"/>
      <c r="G1420" s="12"/>
      <c r="H1420" s="36"/>
      <c r="J1420" s="19"/>
      <c r="K1420" s="19"/>
      <c r="L1420" s="19"/>
      <c r="AF1420" s="6"/>
      <c r="AG1420" s="6"/>
      <c r="AH1420" s="6"/>
      <c r="AI1420" s="6"/>
      <c r="AN1420" s="6"/>
      <c r="AO1420" s="6"/>
      <c r="AP1420" s="6"/>
      <c r="AQ1420" s="6"/>
      <c r="AR1420" s="27"/>
      <c r="AS1420" s="27"/>
      <c r="AT1420" s="27"/>
      <c r="AU1420" s="12"/>
      <c r="AV1420" s="28"/>
    </row>
    <row r="1421" spans="4:48">
      <c r="D1421" s="12"/>
      <c r="E1421" s="12"/>
      <c r="F1421" s="12"/>
      <c r="G1421" s="12"/>
      <c r="H1421" s="36"/>
      <c r="J1421" s="19"/>
      <c r="K1421" s="19"/>
      <c r="L1421" s="19"/>
      <c r="AF1421" s="6"/>
      <c r="AG1421" s="6"/>
      <c r="AH1421" s="6"/>
      <c r="AI1421" s="6"/>
      <c r="AN1421" s="6"/>
      <c r="AO1421" s="6"/>
      <c r="AP1421" s="6"/>
      <c r="AQ1421" s="6"/>
      <c r="AR1421" s="27"/>
      <c r="AS1421" s="27"/>
      <c r="AT1421" s="27"/>
      <c r="AU1421" s="12"/>
      <c r="AV1421" s="28"/>
    </row>
    <row r="1422" spans="4:48">
      <c r="D1422" s="12"/>
      <c r="E1422" s="12"/>
      <c r="F1422" s="12"/>
      <c r="G1422" s="12"/>
      <c r="H1422" s="36"/>
      <c r="J1422" s="19"/>
      <c r="K1422" s="19"/>
      <c r="L1422" s="19"/>
      <c r="AF1422" s="6"/>
      <c r="AG1422" s="6"/>
      <c r="AH1422" s="6"/>
      <c r="AI1422" s="6"/>
      <c r="AN1422" s="6"/>
      <c r="AO1422" s="6"/>
      <c r="AP1422" s="6"/>
      <c r="AQ1422" s="6"/>
      <c r="AR1422" s="27"/>
      <c r="AS1422" s="27"/>
      <c r="AT1422" s="27"/>
      <c r="AU1422" s="12"/>
      <c r="AV1422" s="28"/>
    </row>
    <row r="1423" spans="4:48">
      <c r="D1423" s="12"/>
      <c r="E1423" s="12"/>
      <c r="F1423" s="12"/>
      <c r="G1423" s="12"/>
      <c r="H1423" s="36"/>
      <c r="J1423" s="19"/>
      <c r="K1423" s="19"/>
      <c r="L1423" s="19"/>
      <c r="AF1423" s="6"/>
      <c r="AG1423" s="6"/>
      <c r="AH1423" s="6"/>
      <c r="AI1423" s="6"/>
      <c r="AN1423" s="6"/>
      <c r="AO1423" s="6"/>
      <c r="AP1423" s="6"/>
      <c r="AQ1423" s="6"/>
      <c r="AR1423" s="27"/>
      <c r="AS1423" s="27"/>
      <c r="AT1423" s="27"/>
      <c r="AU1423" s="12"/>
      <c r="AV1423" s="28"/>
    </row>
    <row r="1424" spans="4:48">
      <c r="D1424" s="12"/>
      <c r="E1424" s="12"/>
      <c r="F1424" s="12"/>
      <c r="G1424" s="12"/>
      <c r="H1424" s="36"/>
      <c r="J1424" s="19"/>
      <c r="K1424" s="19"/>
      <c r="L1424" s="19"/>
      <c r="AF1424" s="6"/>
      <c r="AG1424" s="6"/>
      <c r="AH1424" s="6"/>
      <c r="AI1424" s="6"/>
      <c r="AN1424" s="6"/>
      <c r="AO1424" s="6"/>
      <c r="AP1424" s="6"/>
      <c r="AQ1424" s="6"/>
      <c r="AR1424" s="27"/>
      <c r="AS1424" s="27"/>
      <c r="AT1424" s="27"/>
      <c r="AU1424" s="12"/>
      <c r="AV1424" s="28"/>
    </row>
    <row r="1425" spans="4:48">
      <c r="D1425" s="12"/>
      <c r="E1425" s="12"/>
      <c r="F1425" s="12"/>
      <c r="G1425" s="12"/>
      <c r="H1425" s="36"/>
      <c r="J1425" s="19"/>
      <c r="K1425" s="19"/>
      <c r="L1425" s="19"/>
      <c r="AF1425" s="6"/>
      <c r="AG1425" s="6"/>
      <c r="AH1425" s="6"/>
      <c r="AI1425" s="6"/>
      <c r="AN1425" s="6"/>
      <c r="AO1425" s="6"/>
      <c r="AP1425" s="6"/>
      <c r="AQ1425" s="6"/>
      <c r="AR1425" s="27"/>
      <c r="AS1425" s="27"/>
      <c r="AT1425" s="27"/>
      <c r="AU1425" s="12"/>
      <c r="AV1425" s="28"/>
    </row>
    <row r="1426" spans="4:48">
      <c r="D1426" s="12"/>
      <c r="E1426" s="12"/>
      <c r="F1426" s="12"/>
      <c r="G1426" s="12"/>
      <c r="H1426" s="36"/>
      <c r="J1426" s="19"/>
      <c r="K1426" s="19"/>
      <c r="L1426" s="19"/>
      <c r="AF1426" s="6"/>
      <c r="AG1426" s="6"/>
      <c r="AH1426" s="6"/>
      <c r="AI1426" s="6"/>
      <c r="AN1426" s="6"/>
      <c r="AO1426" s="6"/>
      <c r="AP1426" s="6"/>
      <c r="AQ1426" s="6"/>
      <c r="AR1426" s="27"/>
      <c r="AS1426" s="27"/>
      <c r="AT1426" s="27"/>
      <c r="AU1426" s="12"/>
      <c r="AV1426" s="28"/>
    </row>
    <row r="1427" spans="4:48">
      <c r="D1427" s="12"/>
      <c r="E1427" s="12"/>
      <c r="F1427" s="12"/>
      <c r="G1427" s="12"/>
      <c r="H1427" s="36"/>
      <c r="J1427" s="19"/>
      <c r="K1427" s="19"/>
      <c r="L1427" s="19"/>
      <c r="AF1427" s="6"/>
      <c r="AG1427" s="6"/>
      <c r="AH1427" s="6"/>
      <c r="AI1427" s="6"/>
      <c r="AN1427" s="6"/>
      <c r="AO1427" s="6"/>
      <c r="AP1427" s="6"/>
      <c r="AQ1427" s="6"/>
      <c r="AR1427" s="27"/>
      <c r="AS1427" s="27"/>
      <c r="AT1427" s="27"/>
      <c r="AU1427" s="12"/>
      <c r="AV1427" s="28"/>
    </row>
    <row r="1428" spans="4:48">
      <c r="D1428" s="12"/>
      <c r="E1428" s="12"/>
      <c r="F1428" s="12"/>
      <c r="G1428" s="12"/>
      <c r="H1428" s="36"/>
      <c r="J1428" s="19"/>
      <c r="K1428" s="19"/>
      <c r="L1428" s="19"/>
      <c r="AF1428" s="6"/>
      <c r="AG1428" s="6"/>
      <c r="AH1428" s="6"/>
      <c r="AI1428" s="6"/>
      <c r="AN1428" s="6"/>
      <c r="AO1428" s="6"/>
      <c r="AP1428" s="6"/>
      <c r="AQ1428" s="6"/>
      <c r="AR1428" s="27"/>
      <c r="AS1428" s="27"/>
      <c r="AT1428" s="27"/>
      <c r="AU1428" s="12"/>
      <c r="AV1428" s="28"/>
    </row>
    <row r="1429" spans="4:48">
      <c r="D1429" s="12"/>
      <c r="E1429" s="12"/>
      <c r="F1429" s="12"/>
      <c r="G1429" s="12"/>
      <c r="H1429" s="36"/>
      <c r="J1429" s="19"/>
      <c r="K1429" s="19"/>
      <c r="L1429" s="19"/>
      <c r="AF1429" s="6"/>
      <c r="AG1429" s="6"/>
      <c r="AH1429" s="6"/>
      <c r="AI1429" s="6"/>
      <c r="AN1429" s="6"/>
      <c r="AO1429" s="6"/>
      <c r="AP1429" s="6"/>
      <c r="AQ1429" s="6"/>
      <c r="AR1429" s="27"/>
      <c r="AS1429" s="27"/>
      <c r="AT1429" s="27"/>
      <c r="AU1429" s="12"/>
      <c r="AV1429" s="28"/>
    </row>
    <row r="1430" spans="4:48">
      <c r="D1430" s="12"/>
      <c r="E1430" s="12"/>
      <c r="F1430" s="12"/>
      <c r="G1430" s="12"/>
      <c r="H1430" s="36"/>
      <c r="J1430" s="19"/>
      <c r="K1430" s="19"/>
      <c r="L1430" s="19"/>
      <c r="AF1430" s="6"/>
      <c r="AG1430" s="6"/>
      <c r="AH1430" s="6"/>
      <c r="AI1430" s="6"/>
      <c r="AN1430" s="6"/>
      <c r="AO1430" s="6"/>
      <c r="AP1430" s="6"/>
      <c r="AQ1430" s="6"/>
      <c r="AR1430" s="27"/>
      <c r="AS1430" s="27"/>
      <c r="AT1430" s="27"/>
      <c r="AU1430" s="12"/>
      <c r="AV1430" s="28"/>
    </row>
    <row r="1431" spans="4:48">
      <c r="D1431" s="12"/>
      <c r="E1431" s="12"/>
      <c r="F1431" s="12"/>
      <c r="G1431" s="12"/>
      <c r="H1431" s="36"/>
      <c r="J1431" s="19"/>
      <c r="K1431" s="19"/>
      <c r="L1431" s="19"/>
      <c r="AF1431" s="6"/>
      <c r="AG1431" s="6"/>
      <c r="AH1431" s="6"/>
      <c r="AI1431" s="6"/>
      <c r="AN1431" s="6"/>
      <c r="AO1431" s="6"/>
      <c r="AP1431" s="6"/>
      <c r="AQ1431" s="6"/>
      <c r="AR1431" s="27"/>
      <c r="AS1431" s="27"/>
      <c r="AT1431" s="27"/>
      <c r="AU1431" s="12"/>
      <c r="AV1431" s="28"/>
    </row>
    <row r="1432" spans="4:48">
      <c r="D1432" s="12"/>
      <c r="E1432" s="12"/>
      <c r="F1432" s="12"/>
      <c r="G1432" s="12"/>
      <c r="H1432" s="36"/>
      <c r="J1432" s="19"/>
      <c r="K1432" s="19"/>
      <c r="L1432" s="19"/>
      <c r="AF1432" s="6"/>
      <c r="AG1432" s="6"/>
      <c r="AH1432" s="6"/>
      <c r="AI1432" s="6"/>
      <c r="AN1432" s="6"/>
      <c r="AO1432" s="6"/>
      <c r="AP1432" s="6"/>
      <c r="AQ1432" s="6"/>
      <c r="AR1432" s="27"/>
      <c r="AS1432" s="27"/>
      <c r="AT1432" s="27"/>
      <c r="AU1432" s="12"/>
      <c r="AV1432" s="28"/>
    </row>
    <row r="1433" spans="4:48">
      <c r="D1433" s="12"/>
      <c r="E1433" s="12"/>
      <c r="F1433" s="12"/>
      <c r="G1433" s="12"/>
      <c r="H1433" s="36"/>
      <c r="J1433" s="19"/>
      <c r="K1433" s="19"/>
      <c r="L1433" s="19"/>
      <c r="AF1433" s="6"/>
      <c r="AG1433" s="6"/>
      <c r="AH1433" s="6"/>
      <c r="AI1433" s="6"/>
      <c r="AN1433" s="6"/>
      <c r="AO1433" s="6"/>
      <c r="AP1433" s="6"/>
      <c r="AQ1433" s="6"/>
      <c r="AR1433" s="27"/>
      <c r="AS1433" s="27"/>
      <c r="AT1433" s="27"/>
      <c r="AU1433" s="12"/>
      <c r="AV1433" s="28"/>
    </row>
    <row r="1434" spans="4:48">
      <c r="D1434" s="12"/>
      <c r="E1434" s="12"/>
      <c r="F1434" s="12"/>
      <c r="G1434" s="12"/>
      <c r="H1434" s="36"/>
      <c r="J1434" s="19"/>
      <c r="K1434" s="19"/>
      <c r="L1434" s="19"/>
      <c r="AF1434" s="6"/>
      <c r="AG1434" s="6"/>
      <c r="AH1434" s="6"/>
      <c r="AI1434" s="6"/>
      <c r="AN1434" s="6"/>
      <c r="AO1434" s="6"/>
      <c r="AP1434" s="6"/>
      <c r="AQ1434" s="6"/>
      <c r="AR1434" s="27"/>
      <c r="AS1434" s="27"/>
      <c r="AT1434" s="27"/>
      <c r="AU1434" s="12"/>
      <c r="AV1434" s="28"/>
    </row>
    <row r="1435" spans="4:48">
      <c r="D1435" s="12"/>
      <c r="E1435" s="12"/>
      <c r="F1435" s="12"/>
      <c r="G1435" s="12"/>
      <c r="H1435" s="36"/>
      <c r="J1435" s="19"/>
      <c r="K1435" s="19"/>
      <c r="L1435" s="19"/>
      <c r="AF1435" s="6"/>
      <c r="AG1435" s="6"/>
      <c r="AH1435" s="6"/>
      <c r="AI1435" s="6"/>
      <c r="AN1435" s="6"/>
      <c r="AO1435" s="6"/>
      <c r="AP1435" s="6"/>
      <c r="AQ1435" s="6"/>
      <c r="AR1435" s="27"/>
      <c r="AS1435" s="27"/>
      <c r="AT1435" s="27"/>
      <c r="AU1435" s="12"/>
      <c r="AV1435" s="28"/>
    </row>
    <row r="1436" spans="4:48">
      <c r="D1436" s="12"/>
      <c r="E1436" s="12"/>
      <c r="F1436" s="12"/>
      <c r="G1436" s="12"/>
      <c r="H1436" s="36"/>
      <c r="J1436" s="19"/>
      <c r="K1436" s="19"/>
      <c r="L1436" s="19"/>
      <c r="AF1436" s="6"/>
      <c r="AG1436" s="6"/>
      <c r="AH1436" s="6"/>
      <c r="AI1436" s="6"/>
      <c r="AN1436" s="6"/>
      <c r="AO1436" s="6"/>
      <c r="AP1436" s="6"/>
      <c r="AQ1436" s="6"/>
      <c r="AR1436" s="27"/>
      <c r="AS1436" s="27"/>
      <c r="AT1436" s="27"/>
      <c r="AU1436" s="12"/>
      <c r="AV1436" s="28"/>
    </row>
    <row r="1437" spans="4:48">
      <c r="D1437" s="12"/>
      <c r="E1437" s="12"/>
      <c r="F1437" s="12"/>
      <c r="G1437" s="12"/>
      <c r="H1437" s="36"/>
      <c r="J1437" s="19"/>
      <c r="K1437" s="19"/>
      <c r="L1437" s="19"/>
      <c r="AF1437" s="6"/>
      <c r="AG1437" s="6"/>
      <c r="AH1437" s="6"/>
      <c r="AI1437" s="6"/>
      <c r="AN1437" s="6"/>
      <c r="AO1437" s="6"/>
      <c r="AP1437" s="6"/>
      <c r="AQ1437" s="6"/>
      <c r="AR1437" s="27"/>
      <c r="AS1437" s="27"/>
      <c r="AT1437" s="27"/>
      <c r="AU1437" s="12"/>
      <c r="AV1437" s="28"/>
    </row>
    <row r="1438" spans="4:48">
      <c r="D1438" s="12"/>
      <c r="E1438" s="12"/>
      <c r="F1438" s="12"/>
      <c r="G1438" s="12"/>
      <c r="H1438" s="36"/>
      <c r="J1438" s="19"/>
      <c r="K1438" s="19"/>
      <c r="L1438" s="19"/>
      <c r="AF1438" s="6"/>
      <c r="AG1438" s="6"/>
      <c r="AH1438" s="6"/>
      <c r="AI1438" s="6"/>
      <c r="AN1438" s="6"/>
      <c r="AO1438" s="6"/>
      <c r="AP1438" s="6"/>
      <c r="AQ1438" s="6"/>
      <c r="AR1438" s="27"/>
      <c r="AS1438" s="27"/>
      <c r="AT1438" s="27"/>
      <c r="AU1438" s="12"/>
      <c r="AV1438" s="28"/>
    </row>
    <row r="1439" spans="4:48">
      <c r="D1439" s="12"/>
      <c r="E1439" s="12"/>
      <c r="F1439" s="12"/>
      <c r="G1439" s="12"/>
      <c r="H1439" s="36"/>
      <c r="J1439" s="19"/>
      <c r="K1439" s="19"/>
      <c r="L1439" s="19"/>
      <c r="AF1439" s="6"/>
      <c r="AG1439" s="6"/>
      <c r="AH1439" s="6"/>
      <c r="AI1439" s="6"/>
      <c r="AN1439" s="6"/>
      <c r="AO1439" s="6"/>
      <c r="AP1439" s="6"/>
      <c r="AQ1439" s="6"/>
      <c r="AR1439" s="27"/>
      <c r="AS1439" s="27"/>
      <c r="AT1439" s="27"/>
      <c r="AU1439" s="12"/>
      <c r="AV1439" s="28"/>
    </row>
    <row r="1440" spans="4:48">
      <c r="D1440" s="12"/>
      <c r="E1440" s="12"/>
      <c r="F1440" s="12"/>
      <c r="G1440" s="12"/>
      <c r="H1440" s="36"/>
      <c r="J1440" s="19"/>
      <c r="K1440" s="19"/>
      <c r="L1440" s="19"/>
      <c r="AF1440" s="6"/>
      <c r="AG1440" s="6"/>
      <c r="AH1440" s="6"/>
      <c r="AI1440" s="6"/>
      <c r="AN1440" s="6"/>
      <c r="AO1440" s="6"/>
      <c r="AP1440" s="6"/>
      <c r="AQ1440" s="6"/>
      <c r="AR1440" s="27"/>
      <c r="AS1440" s="27"/>
      <c r="AT1440" s="27"/>
      <c r="AU1440" s="12"/>
      <c r="AV1440" s="28"/>
    </row>
    <row r="1441" spans="4:48">
      <c r="D1441" s="12"/>
      <c r="E1441" s="12"/>
      <c r="F1441" s="12"/>
      <c r="G1441" s="12"/>
      <c r="H1441" s="36"/>
      <c r="J1441" s="19"/>
      <c r="K1441" s="19"/>
      <c r="L1441" s="19"/>
      <c r="AF1441" s="6"/>
      <c r="AG1441" s="6"/>
      <c r="AH1441" s="6"/>
      <c r="AI1441" s="6"/>
      <c r="AN1441" s="6"/>
      <c r="AO1441" s="6"/>
      <c r="AP1441" s="6"/>
      <c r="AQ1441" s="6"/>
      <c r="AR1441" s="27"/>
      <c r="AS1441" s="27"/>
      <c r="AT1441" s="27"/>
      <c r="AU1441" s="12"/>
      <c r="AV1441" s="28"/>
    </row>
    <row r="1442" spans="4:48">
      <c r="D1442" s="12"/>
      <c r="E1442" s="12"/>
      <c r="F1442" s="12"/>
      <c r="G1442" s="12"/>
      <c r="H1442" s="36"/>
      <c r="J1442" s="19"/>
      <c r="K1442" s="19"/>
      <c r="L1442" s="19"/>
      <c r="AF1442" s="6"/>
      <c r="AG1442" s="6"/>
      <c r="AH1442" s="6"/>
      <c r="AI1442" s="6"/>
      <c r="AN1442" s="6"/>
      <c r="AO1442" s="6"/>
      <c r="AP1442" s="6"/>
      <c r="AQ1442" s="6"/>
      <c r="AR1442" s="27"/>
      <c r="AS1442" s="27"/>
      <c r="AT1442" s="27"/>
      <c r="AU1442" s="12"/>
      <c r="AV1442" s="28"/>
    </row>
    <row r="1443" spans="4:48">
      <c r="D1443" s="12"/>
      <c r="E1443" s="12"/>
      <c r="F1443" s="12"/>
      <c r="G1443" s="12"/>
      <c r="H1443" s="36"/>
      <c r="J1443" s="19"/>
      <c r="K1443" s="19"/>
      <c r="L1443" s="19"/>
      <c r="AF1443" s="6"/>
      <c r="AG1443" s="6"/>
      <c r="AH1443" s="6"/>
      <c r="AI1443" s="6"/>
      <c r="AN1443" s="6"/>
      <c r="AO1443" s="6"/>
      <c r="AP1443" s="6"/>
      <c r="AQ1443" s="6"/>
      <c r="AR1443" s="27"/>
      <c r="AS1443" s="27"/>
      <c r="AT1443" s="27"/>
      <c r="AU1443" s="12"/>
      <c r="AV1443" s="28"/>
    </row>
    <row r="1444" spans="4:48">
      <c r="D1444" s="12"/>
      <c r="E1444" s="12"/>
      <c r="F1444" s="12"/>
      <c r="G1444" s="12"/>
      <c r="H1444" s="36"/>
      <c r="J1444" s="19"/>
      <c r="K1444" s="19"/>
      <c r="L1444" s="19"/>
      <c r="AF1444" s="6"/>
      <c r="AG1444" s="6"/>
      <c r="AH1444" s="6"/>
      <c r="AI1444" s="6"/>
      <c r="AN1444" s="6"/>
      <c r="AO1444" s="6"/>
      <c r="AP1444" s="6"/>
      <c r="AQ1444" s="6"/>
      <c r="AR1444" s="27"/>
      <c r="AS1444" s="27"/>
      <c r="AT1444" s="27"/>
      <c r="AU1444" s="12"/>
      <c r="AV1444" s="28"/>
    </row>
    <row r="1445" spans="4:48">
      <c r="D1445" s="12"/>
      <c r="E1445" s="12"/>
      <c r="F1445" s="12"/>
      <c r="G1445" s="12"/>
      <c r="H1445" s="36"/>
      <c r="J1445" s="19"/>
      <c r="K1445" s="19"/>
      <c r="L1445" s="19"/>
      <c r="AF1445" s="6"/>
      <c r="AG1445" s="6"/>
      <c r="AH1445" s="6"/>
      <c r="AI1445" s="6"/>
      <c r="AN1445" s="6"/>
      <c r="AO1445" s="6"/>
      <c r="AP1445" s="6"/>
      <c r="AQ1445" s="6"/>
      <c r="AR1445" s="27"/>
      <c r="AS1445" s="27"/>
      <c r="AT1445" s="27"/>
      <c r="AU1445" s="12"/>
      <c r="AV1445" s="28"/>
    </row>
    <row r="1446" spans="4:48">
      <c r="D1446" s="12"/>
      <c r="E1446" s="12"/>
      <c r="F1446" s="12"/>
      <c r="G1446" s="12"/>
      <c r="H1446" s="36"/>
      <c r="J1446" s="19"/>
      <c r="K1446" s="19"/>
      <c r="L1446" s="19"/>
      <c r="AF1446" s="6"/>
      <c r="AG1446" s="6"/>
      <c r="AH1446" s="6"/>
      <c r="AI1446" s="6"/>
      <c r="AN1446" s="6"/>
      <c r="AO1446" s="6"/>
      <c r="AP1446" s="6"/>
      <c r="AQ1446" s="6"/>
      <c r="AR1446" s="27"/>
      <c r="AS1446" s="27"/>
      <c r="AT1446" s="27"/>
      <c r="AU1446" s="12"/>
      <c r="AV1446" s="28"/>
    </row>
    <row r="1447" spans="4:48">
      <c r="D1447" s="12"/>
      <c r="E1447" s="12"/>
      <c r="F1447" s="12"/>
      <c r="G1447" s="12"/>
      <c r="H1447" s="36"/>
      <c r="J1447" s="19"/>
      <c r="K1447" s="19"/>
      <c r="L1447" s="19"/>
      <c r="AF1447" s="6"/>
      <c r="AG1447" s="6"/>
      <c r="AH1447" s="6"/>
      <c r="AI1447" s="6"/>
      <c r="AN1447" s="6"/>
      <c r="AO1447" s="6"/>
      <c r="AP1447" s="6"/>
      <c r="AQ1447" s="6"/>
      <c r="AR1447" s="27"/>
      <c r="AS1447" s="27"/>
      <c r="AT1447" s="27"/>
      <c r="AU1447" s="12"/>
      <c r="AV1447" s="28"/>
    </row>
    <row r="1448" spans="4:48">
      <c r="D1448" s="12"/>
      <c r="E1448" s="12"/>
      <c r="F1448" s="12"/>
      <c r="G1448" s="12"/>
      <c r="H1448" s="36"/>
      <c r="J1448" s="19"/>
      <c r="K1448" s="19"/>
      <c r="L1448" s="19"/>
      <c r="AF1448" s="6"/>
      <c r="AG1448" s="6"/>
      <c r="AH1448" s="6"/>
      <c r="AI1448" s="6"/>
      <c r="AN1448" s="6"/>
      <c r="AO1448" s="6"/>
      <c r="AP1448" s="6"/>
      <c r="AQ1448" s="6"/>
      <c r="AR1448" s="27"/>
      <c r="AS1448" s="27"/>
      <c r="AT1448" s="27"/>
      <c r="AU1448" s="12"/>
      <c r="AV1448" s="28"/>
    </row>
    <row r="1449" spans="4:48">
      <c r="D1449" s="12"/>
      <c r="E1449" s="12"/>
      <c r="F1449" s="12"/>
      <c r="G1449" s="12"/>
      <c r="H1449" s="36"/>
      <c r="J1449" s="19"/>
      <c r="K1449" s="19"/>
      <c r="L1449" s="19"/>
      <c r="AF1449" s="6"/>
      <c r="AG1449" s="6"/>
      <c r="AH1449" s="6"/>
      <c r="AI1449" s="6"/>
      <c r="AN1449" s="6"/>
      <c r="AO1449" s="6"/>
      <c r="AP1449" s="6"/>
      <c r="AQ1449" s="6"/>
      <c r="AR1449" s="27"/>
      <c r="AS1449" s="27"/>
      <c r="AT1449" s="27"/>
      <c r="AU1449" s="12"/>
      <c r="AV1449" s="28"/>
    </row>
    <row r="1450" spans="4:48">
      <c r="D1450" s="12"/>
      <c r="E1450" s="12"/>
      <c r="F1450" s="12"/>
      <c r="G1450" s="12"/>
      <c r="H1450" s="36"/>
      <c r="J1450" s="19"/>
      <c r="K1450" s="19"/>
      <c r="L1450" s="19"/>
      <c r="AF1450" s="6"/>
      <c r="AG1450" s="6"/>
      <c r="AH1450" s="6"/>
      <c r="AI1450" s="6"/>
      <c r="AN1450" s="6"/>
      <c r="AO1450" s="6"/>
      <c r="AP1450" s="6"/>
      <c r="AQ1450" s="6"/>
      <c r="AR1450" s="27"/>
      <c r="AS1450" s="27"/>
      <c r="AT1450" s="27"/>
      <c r="AU1450" s="12"/>
      <c r="AV1450" s="28"/>
    </row>
    <row r="1451" spans="4:48">
      <c r="D1451" s="12"/>
      <c r="E1451" s="12"/>
      <c r="F1451" s="12"/>
      <c r="G1451" s="12"/>
      <c r="H1451" s="36"/>
      <c r="J1451" s="19"/>
      <c r="K1451" s="19"/>
      <c r="L1451" s="19"/>
      <c r="AF1451" s="6"/>
      <c r="AG1451" s="6"/>
      <c r="AH1451" s="6"/>
      <c r="AI1451" s="6"/>
      <c r="AN1451" s="6"/>
      <c r="AO1451" s="6"/>
      <c r="AP1451" s="6"/>
      <c r="AQ1451" s="6"/>
      <c r="AR1451" s="27"/>
      <c r="AS1451" s="27"/>
      <c r="AT1451" s="27"/>
      <c r="AU1451" s="12"/>
      <c r="AV1451" s="28"/>
    </row>
    <row r="1452" spans="4:48">
      <c r="D1452" s="12"/>
      <c r="E1452" s="12"/>
      <c r="F1452" s="12"/>
      <c r="G1452" s="12"/>
      <c r="H1452" s="36"/>
      <c r="J1452" s="19"/>
      <c r="K1452" s="19"/>
      <c r="L1452" s="19"/>
      <c r="AF1452" s="6"/>
      <c r="AG1452" s="6"/>
      <c r="AH1452" s="6"/>
      <c r="AI1452" s="6"/>
      <c r="AN1452" s="6"/>
      <c r="AO1452" s="6"/>
      <c r="AP1452" s="6"/>
      <c r="AQ1452" s="6"/>
      <c r="AR1452" s="27"/>
      <c r="AS1452" s="27"/>
      <c r="AT1452" s="27"/>
      <c r="AU1452" s="12"/>
      <c r="AV1452" s="28"/>
    </row>
    <row r="1453" spans="4:48">
      <c r="D1453" s="12"/>
      <c r="E1453" s="12"/>
      <c r="F1453" s="12"/>
      <c r="G1453" s="12"/>
      <c r="H1453" s="36"/>
      <c r="J1453" s="19"/>
      <c r="K1453" s="19"/>
      <c r="L1453" s="19"/>
      <c r="AF1453" s="6"/>
      <c r="AG1453" s="6"/>
      <c r="AH1453" s="6"/>
      <c r="AI1453" s="6"/>
      <c r="AN1453" s="6"/>
      <c r="AO1453" s="6"/>
      <c r="AP1453" s="6"/>
      <c r="AQ1453" s="6"/>
      <c r="AR1453" s="27"/>
      <c r="AS1453" s="27"/>
      <c r="AT1453" s="27"/>
      <c r="AU1453" s="12"/>
      <c r="AV1453" s="28"/>
    </row>
    <row r="1454" spans="4:48">
      <c r="D1454" s="12"/>
      <c r="E1454" s="12"/>
      <c r="F1454" s="12"/>
      <c r="G1454" s="12"/>
      <c r="H1454" s="36"/>
      <c r="J1454" s="19"/>
      <c r="K1454" s="19"/>
      <c r="L1454" s="19"/>
      <c r="AF1454" s="6"/>
      <c r="AG1454" s="6"/>
      <c r="AH1454" s="6"/>
      <c r="AI1454" s="6"/>
      <c r="AN1454" s="6"/>
      <c r="AO1454" s="6"/>
      <c r="AP1454" s="6"/>
      <c r="AQ1454" s="6"/>
      <c r="AR1454" s="27"/>
      <c r="AS1454" s="27"/>
      <c r="AT1454" s="27"/>
      <c r="AU1454" s="12"/>
      <c r="AV1454" s="28"/>
    </row>
    <row r="1455" spans="4:48">
      <c r="D1455" s="12"/>
      <c r="E1455" s="12"/>
      <c r="F1455" s="12"/>
      <c r="G1455" s="12"/>
      <c r="H1455" s="36"/>
      <c r="J1455" s="19"/>
      <c r="K1455" s="19"/>
      <c r="L1455" s="19"/>
      <c r="AF1455" s="6"/>
      <c r="AG1455" s="6"/>
      <c r="AH1455" s="6"/>
      <c r="AI1455" s="6"/>
      <c r="AN1455" s="6"/>
      <c r="AO1455" s="6"/>
      <c r="AP1455" s="6"/>
      <c r="AQ1455" s="6"/>
      <c r="AR1455" s="27"/>
      <c r="AS1455" s="27"/>
      <c r="AT1455" s="27"/>
      <c r="AU1455" s="12"/>
      <c r="AV1455" s="28"/>
    </row>
    <row r="1456" spans="4:48">
      <c r="D1456" s="12"/>
      <c r="E1456" s="12"/>
      <c r="F1456" s="12"/>
      <c r="G1456" s="12"/>
      <c r="H1456" s="36"/>
      <c r="J1456" s="19"/>
      <c r="K1456" s="19"/>
      <c r="L1456" s="19"/>
      <c r="AF1456" s="6"/>
      <c r="AG1456" s="6"/>
      <c r="AH1456" s="6"/>
      <c r="AI1456" s="6"/>
      <c r="AN1456" s="6"/>
      <c r="AO1456" s="6"/>
      <c r="AP1456" s="6"/>
      <c r="AQ1456" s="6"/>
      <c r="AR1456" s="27"/>
      <c r="AS1456" s="27"/>
      <c r="AT1456" s="27"/>
      <c r="AU1456" s="12"/>
      <c r="AV1456" s="28"/>
    </row>
    <row r="1457" spans="4:48">
      <c r="D1457" s="12"/>
      <c r="E1457" s="12"/>
      <c r="F1457" s="12"/>
      <c r="G1457" s="12"/>
      <c r="H1457" s="36"/>
      <c r="J1457" s="19"/>
      <c r="K1457" s="19"/>
      <c r="L1457" s="19"/>
      <c r="AF1457" s="6"/>
      <c r="AG1457" s="6"/>
      <c r="AH1457" s="6"/>
      <c r="AI1457" s="6"/>
      <c r="AN1457" s="6"/>
      <c r="AO1457" s="6"/>
      <c r="AP1457" s="6"/>
      <c r="AQ1457" s="6"/>
      <c r="AR1457" s="27"/>
      <c r="AS1457" s="27"/>
      <c r="AT1457" s="27"/>
      <c r="AU1457" s="12"/>
      <c r="AV1457" s="28"/>
    </row>
    <row r="1458" spans="4:48">
      <c r="D1458" s="12"/>
      <c r="E1458" s="12"/>
      <c r="F1458" s="12"/>
      <c r="G1458" s="12"/>
      <c r="H1458" s="36"/>
      <c r="J1458" s="19"/>
      <c r="K1458" s="19"/>
      <c r="L1458" s="19"/>
      <c r="AF1458" s="6"/>
      <c r="AG1458" s="6"/>
      <c r="AH1458" s="6"/>
      <c r="AI1458" s="6"/>
      <c r="AN1458" s="6"/>
      <c r="AO1458" s="6"/>
      <c r="AP1458" s="6"/>
      <c r="AQ1458" s="6"/>
      <c r="AR1458" s="27"/>
      <c r="AS1458" s="27"/>
      <c r="AT1458" s="27"/>
      <c r="AU1458" s="12"/>
      <c r="AV1458" s="28"/>
    </row>
    <row r="1459" spans="4:48">
      <c r="D1459" s="12"/>
      <c r="E1459" s="12"/>
      <c r="F1459" s="12"/>
      <c r="G1459" s="12"/>
      <c r="H1459" s="36"/>
      <c r="J1459" s="19"/>
      <c r="K1459" s="19"/>
      <c r="L1459" s="19"/>
      <c r="AF1459" s="6"/>
      <c r="AG1459" s="6"/>
      <c r="AH1459" s="6"/>
      <c r="AI1459" s="6"/>
      <c r="AN1459" s="6"/>
      <c r="AO1459" s="6"/>
      <c r="AP1459" s="6"/>
      <c r="AQ1459" s="6"/>
      <c r="AR1459" s="27"/>
      <c r="AS1459" s="27"/>
      <c r="AT1459" s="27"/>
      <c r="AU1459" s="12"/>
      <c r="AV1459" s="28"/>
    </row>
    <row r="1460" spans="4:48">
      <c r="D1460" s="12"/>
      <c r="E1460" s="12"/>
      <c r="F1460" s="12"/>
      <c r="G1460" s="12"/>
      <c r="H1460" s="36"/>
      <c r="J1460" s="19"/>
      <c r="K1460" s="19"/>
      <c r="L1460" s="19"/>
      <c r="AF1460" s="6"/>
      <c r="AG1460" s="6"/>
      <c r="AH1460" s="6"/>
      <c r="AI1460" s="6"/>
      <c r="AN1460" s="6"/>
      <c r="AO1460" s="6"/>
      <c r="AP1460" s="6"/>
      <c r="AQ1460" s="6"/>
      <c r="AR1460" s="27"/>
      <c r="AS1460" s="27"/>
      <c r="AT1460" s="27"/>
      <c r="AU1460" s="12"/>
      <c r="AV1460" s="28"/>
    </row>
    <row r="1461" spans="4:48">
      <c r="D1461" s="12"/>
      <c r="E1461" s="12"/>
      <c r="F1461" s="12"/>
      <c r="G1461" s="12"/>
      <c r="H1461" s="36"/>
      <c r="J1461" s="19"/>
      <c r="K1461" s="19"/>
      <c r="L1461" s="19"/>
      <c r="AF1461" s="6"/>
      <c r="AG1461" s="6"/>
      <c r="AH1461" s="6"/>
      <c r="AI1461" s="6"/>
      <c r="AN1461" s="6"/>
      <c r="AO1461" s="6"/>
      <c r="AP1461" s="6"/>
      <c r="AQ1461" s="6"/>
      <c r="AR1461" s="27"/>
      <c r="AS1461" s="27"/>
      <c r="AT1461" s="27"/>
      <c r="AU1461" s="12"/>
      <c r="AV1461" s="28"/>
    </row>
    <row r="1462" spans="4:48">
      <c r="D1462" s="12"/>
      <c r="E1462" s="12"/>
      <c r="F1462" s="12"/>
      <c r="G1462" s="12"/>
      <c r="H1462" s="36"/>
      <c r="J1462" s="19"/>
      <c r="K1462" s="19"/>
      <c r="L1462" s="19"/>
      <c r="AF1462" s="6"/>
      <c r="AG1462" s="6"/>
      <c r="AH1462" s="6"/>
      <c r="AI1462" s="6"/>
      <c r="AN1462" s="6"/>
      <c r="AO1462" s="6"/>
      <c r="AP1462" s="6"/>
      <c r="AQ1462" s="6"/>
      <c r="AR1462" s="27"/>
      <c r="AS1462" s="27"/>
      <c r="AT1462" s="27"/>
      <c r="AU1462" s="12"/>
      <c r="AV1462" s="28"/>
    </row>
    <row r="1463" spans="4:48">
      <c r="D1463" s="12"/>
      <c r="E1463" s="12"/>
      <c r="F1463" s="12"/>
      <c r="G1463" s="12"/>
      <c r="H1463" s="36"/>
      <c r="J1463" s="19"/>
      <c r="K1463" s="19"/>
      <c r="L1463" s="19"/>
      <c r="AF1463" s="6"/>
      <c r="AG1463" s="6"/>
      <c r="AH1463" s="6"/>
      <c r="AI1463" s="6"/>
      <c r="AN1463" s="6"/>
      <c r="AO1463" s="6"/>
      <c r="AP1463" s="6"/>
      <c r="AQ1463" s="6"/>
      <c r="AR1463" s="27"/>
      <c r="AS1463" s="27"/>
      <c r="AT1463" s="27"/>
      <c r="AU1463" s="12"/>
      <c r="AV1463" s="28"/>
    </row>
    <row r="1464" spans="4:48">
      <c r="D1464" s="12"/>
      <c r="E1464" s="12"/>
      <c r="F1464" s="12"/>
      <c r="G1464" s="12"/>
      <c r="H1464" s="36"/>
      <c r="J1464" s="19"/>
      <c r="K1464" s="19"/>
      <c r="L1464" s="19"/>
      <c r="AF1464" s="6"/>
      <c r="AG1464" s="6"/>
      <c r="AH1464" s="6"/>
      <c r="AI1464" s="6"/>
      <c r="AN1464" s="6"/>
      <c r="AO1464" s="6"/>
      <c r="AP1464" s="6"/>
      <c r="AQ1464" s="6"/>
      <c r="AR1464" s="27"/>
      <c r="AS1464" s="27"/>
      <c r="AT1464" s="27"/>
      <c r="AU1464" s="12"/>
      <c r="AV1464" s="28"/>
    </row>
    <row r="1465" spans="4:48">
      <c r="D1465" s="12"/>
      <c r="E1465" s="12"/>
      <c r="F1465" s="12"/>
      <c r="G1465" s="12"/>
      <c r="H1465" s="36"/>
      <c r="J1465" s="19"/>
      <c r="K1465" s="19"/>
      <c r="L1465" s="19"/>
      <c r="AF1465" s="6"/>
      <c r="AG1465" s="6"/>
      <c r="AH1465" s="6"/>
      <c r="AI1465" s="6"/>
      <c r="AN1465" s="6"/>
      <c r="AO1465" s="6"/>
      <c r="AP1465" s="6"/>
      <c r="AQ1465" s="6"/>
      <c r="AR1465" s="27"/>
      <c r="AS1465" s="27"/>
      <c r="AT1465" s="27"/>
      <c r="AU1465" s="12"/>
      <c r="AV1465" s="28"/>
    </row>
    <row r="1466" spans="4:48">
      <c r="D1466" s="12"/>
      <c r="E1466" s="12"/>
      <c r="F1466" s="12"/>
      <c r="G1466" s="12"/>
      <c r="H1466" s="36"/>
      <c r="J1466" s="19"/>
      <c r="K1466" s="19"/>
      <c r="L1466" s="19"/>
      <c r="AF1466" s="6"/>
      <c r="AG1466" s="6"/>
      <c r="AH1466" s="6"/>
      <c r="AI1466" s="6"/>
      <c r="AN1466" s="6"/>
      <c r="AO1466" s="6"/>
      <c r="AP1466" s="6"/>
      <c r="AQ1466" s="6"/>
      <c r="AR1466" s="27"/>
      <c r="AS1466" s="27"/>
      <c r="AT1466" s="27"/>
      <c r="AU1466" s="12"/>
      <c r="AV1466" s="28"/>
    </row>
    <row r="1467" spans="4:48">
      <c r="D1467" s="12"/>
      <c r="E1467" s="12"/>
      <c r="F1467" s="12"/>
      <c r="G1467" s="12"/>
      <c r="H1467" s="36"/>
      <c r="J1467" s="19"/>
      <c r="K1467" s="19"/>
      <c r="L1467" s="19"/>
      <c r="AF1467" s="6"/>
      <c r="AG1467" s="6"/>
      <c r="AH1467" s="6"/>
      <c r="AI1467" s="6"/>
      <c r="AN1467" s="6"/>
      <c r="AO1467" s="6"/>
      <c r="AP1467" s="6"/>
      <c r="AQ1467" s="6"/>
      <c r="AR1467" s="27"/>
      <c r="AS1467" s="27"/>
      <c r="AT1467" s="27"/>
      <c r="AU1467" s="12"/>
      <c r="AV1467" s="28"/>
    </row>
    <row r="1468" spans="4:48">
      <c r="D1468" s="12"/>
      <c r="E1468" s="12"/>
      <c r="F1468" s="12"/>
      <c r="G1468" s="12"/>
      <c r="H1468" s="36"/>
      <c r="J1468" s="19"/>
      <c r="K1468" s="19"/>
      <c r="L1468" s="19"/>
      <c r="AF1468" s="6"/>
      <c r="AG1468" s="6"/>
      <c r="AH1468" s="6"/>
      <c r="AI1468" s="6"/>
      <c r="AN1468" s="6"/>
      <c r="AO1468" s="6"/>
      <c r="AP1468" s="6"/>
      <c r="AQ1468" s="6"/>
      <c r="AR1468" s="27"/>
      <c r="AS1468" s="27"/>
      <c r="AT1468" s="27"/>
      <c r="AU1468" s="12"/>
      <c r="AV1468" s="28"/>
    </row>
    <row r="1469" spans="4:48">
      <c r="D1469" s="12"/>
      <c r="E1469" s="12"/>
      <c r="F1469" s="12"/>
      <c r="G1469" s="12"/>
      <c r="H1469" s="36"/>
      <c r="J1469" s="19"/>
      <c r="K1469" s="19"/>
      <c r="L1469" s="19"/>
      <c r="AF1469" s="6"/>
      <c r="AG1469" s="6"/>
      <c r="AH1469" s="6"/>
      <c r="AI1469" s="6"/>
      <c r="AN1469" s="6"/>
      <c r="AO1469" s="6"/>
      <c r="AP1469" s="6"/>
      <c r="AQ1469" s="6"/>
      <c r="AR1469" s="27"/>
      <c r="AS1469" s="27"/>
      <c r="AT1469" s="27"/>
      <c r="AU1469" s="12"/>
      <c r="AV1469" s="28"/>
    </row>
    <row r="1470" spans="4:48">
      <c r="D1470" s="12"/>
      <c r="E1470" s="12"/>
      <c r="F1470" s="12"/>
      <c r="G1470" s="12"/>
      <c r="H1470" s="36"/>
      <c r="J1470" s="19"/>
      <c r="K1470" s="19"/>
      <c r="L1470" s="19"/>
      <c r="AF1470" s="6"/>
      <c r="AG1470" s="6"/>
      <c r="AH1470" s="6"/>
      <c r="AI1470" s="6"/>
      <c r="AN1470" s="6"/>
      <c r="AO1470" s="6"/>
      <c r="AP1470" s="6"/>
      <c r="AQ1470" s="6"/>
      <c r="AR1470" s="27"/>
      <c r="AS1470" s="27"/>
      <c r="AT1470" s="27"/>
      <c r="AU1470" s="12"/>
      <c r="AV1470" s="28"/>
    </row>
    <row r="1471" spans="4:48">
      <c r="D1471" s="12"/>
      <c r="E1471" s="12"/>
      <c r="F1471" s="12"/>
      <c r="G1471" s="12"/>
      <c r="H1471" s="36"/>
      <c r="J1471" s="19"/>
      <c r="K1471" s="19"/>
      <c r="L1471" s="19"/>
      <c r="AF1471" s="6"/>
      <c r="AG1471" s="6"/>
      <c r="AH1471" s="6"/>
      <c r="AI1471" s="6"/>
      <c r="AN1471" s="6"/>
      <c r="AO1471" s="6"/>
      <c r="AP1471" s="6"/>
      <c r="AQ1471" s="6"/>
      <c r="AR1471" s="27"/>
      <c r="AS1471" s="27"/>
      <c r="AT1471" s="27"/>
      <c r="AU1471" s="12"/>
      <c r="AV1471" s="28"/>
    </row>
    <row r="1472" spans="4:48">
      <c r="D1472" s="12"/>
      <c r="E1472" s="12"/>
      <c r="F1472" s="12"/>
      <c r="G1472" s="12"/>
      <c r="H1472" s="36"/>
      <c r="J1472" s="19"/>
      <c r="K1472" s="19"/>
      <c r="L1472" s="19"/>
      <c r="AF1472" s="6"/>
      <c r="AG1472" s="6"/>
      <c r="AH1472" s="6"/>
      <c r="AI1472" s="6"/>
      <c r="AN1472" s="6"/>
      <c r="AO1472" s="6"/>
      <c r="AP1472" s="6"/>
      <c r="AQ1472" s="6"/>
      <c r="AR1472" s="27"/>
      <c r="AS1472" s="27"/>
      <c r="AT1472" s="27"/>
      <c r="AU1472" s="12"/>
      <c r="AV1472" s="28"/>
    </row>
    <row r="1473" spans="4:48">
      <c r="D1473" s="12"/>
      <c r="E1473" s="12"/>
      <c r="F1473" s="12"/>
      <c r="G1473" s="12"/>
      <c r="H1473" s="36"/>
      <c r="J1473" s="19"/>
      <c r="K1473" s="19"/>
      <c r="L1473" s="19"/>
      <c r="AF1473" s="6"/>
      <c r="AG1473" s="6"/>
      <c r="AH1473" s="6"/>
      <c r="AI1473" s="6"/>
      <c r="AN1473" s="6"/>
      <c r="AO1473" s="6"/>
      <c r="AP1473" s="6"/>
      <c r="AQ1473" s="6"/>
      <c r="AR1473" s="27"/>
      <c r="AS1473" s="27"/>
      <c r="AT1473" s="27"/>
      <c r="AU1473" s="12"/>
      <c r="AV1473" s="28"/>
    </row>
    <row r="1474" spans="4:48">
      <c r="D1474" s="12"/>
      <c r="E1474" s="12"/>
      <c r="F1474" s="12"/>
      <c r="G1474" s="12"/>
      <c r="H1474" s="36"/>
      <c r="J1474" s="19"/>
      <c r="K1474" s="19"/>
      <c r="L1474" s="19"/>
      <c r="AF1474" s="6"/>
      <c r="AG1474" s="6"/>
      <c r="AH1474" s="6"/>
      <c r="AI1474" s="6"/>
      <c r="AN1474" s="6"/>
      <c r="AO1474" s="6"/>
      <c r="AP1474" s="6"/>
      <c r="AQ1474" s="6"/>
      <c r="AR1474" s="27"/>
      <c r="AS1474" s="27"/>
      <c r="AT1474" s="27"/>
      <c r="AU1474" s="12"/>
      <c r="AV1474" s="28"/>
    </row>
    <row r="1475" spans="4:48">
      <c r="D1475" s="12"/>
      <c r="E1475" s="12"/>
      <c r="F1475" s="12"/>
      <c r="G1475" s="12"/>
      <c r="H1475" s="36"/>
      <c r="J1475" s="19"/>
      <c r="K1475" s="19"/>
      <c r="L1475" s="19"/>
      <c r="AF1475" s="6"/>
      <c r="AG1475" s="6"/>
      <c r="AH1475" s="6"/>
      <c r="AI1475" s="6"/>
      <c r="AN1475" s="6"/>
      <c r="AO1475" s="6"/>
      <c r="AP1475" s="6"/>
      <c r="AQ1475" s="6"/>
      <c r="AR1475" s="27"/>
      <c r="AS1475" s="27"/>
      <c r="AT1475" s="27"/>
      <c r="AU1475" s="12"/>
      <c r="AV1475" s="28"/>
    </row>
    <row r="1476" spans="4:48">
      <c r="D1476" s="12"/>
      <c r="E1476" s="12"/>
      <c r="F1476" s="12"/>
      <c r="G1476" s="12"/>
      <c r="H1476" s="36"/>
      <c r="J1476" s="19"/>
      <c r="K1476" s="19"/>
      <c r="L1476" s="19"/>
      <c r="AF1476" s="6"/>
      <c r="AG1476" s="6"/>
      <c r="AH1476" s="6"/>
      <c r="AI1476" s="6"/>
      <c r="AN1476" s="6"/>
      <c r="AO1476" s="6"/>
      <c r="AP1476" s="6"/>
      <c r="AQ1476" s="6"/>
      <c r="AR1476" s="27"/>
      <c r="AS1476" s="27"/>
      <c r="AT1476" s="27"/>
      <c r="AU1476" s="12"/>
      <c r="AV1476" s="28"/>
    </row>
    <row r="1477" spans="4:48">
      <c r="D1477" s="12"/>
      <c r="E1477" s="12"/>
      <c r="F1477" s="12"/>
      <c r="G1477" s="12"/>
      <c r="H1477" s="36"/>
      <c r="J1477" s="19"/>
      <c r="K1477" s="19"/>
      <c r="L1477" s="19"/>
      <c r="AF1477" s="6"/>
      <c r="AG1477" s="6"/>
      <c r="AH1477" s="6"/>
      <c r="AI1477" s="6"/>
      <c r="AN1477" s="6"/>
      <c r="AO1477" s="6"/>
      <c r="AP1477" s="6"/>
      <c r="AQ1477" s="6"/>
      <c r="AR1477" s="27"/>
      <c r="AS1477" s="27"/>
      <c r="AT1477" s="27"/>
      <c r="AU1477" s="12"/>
      <c r="AV1477" s="28"/>
    </row>
    <row r="1478" spans="4:48">
      <c r="D1478" s="12"/>
      <c r="E1478" s="12"/>
      <c r="F1478" s="12"/>
      <c r="G1478" s="12"/>
      <c r="H1478" s="36"/>
      <c r="J1478" s="19"/>
      <c r="K1478" s="19"/>
      <c r="L1478" s="19"/>
      <c r="AF1478" s="6"/>
      <c r="AG1478" s="6"/>
      <c r="AH1478" s="6"/>
      <c r="AI1478" s="6"/>
      <c r="AN1478" s="6"/>
      <c r="AO1478" s="6"/>
      <c r="AP1478" s="6"/>
      <c r="AQ1478" s="6"/>
      <c r="AR1478" s="27"/>
      <c r="AS1478" s="27"/>
      <c r="AT1478" s="27"/>
      <c r="AU1478" s="12"/>
      <c r="AV1478" s="28"/>
    </row>
    <row r="1479" spans="4:48">
      <c r="D1479" s="12"/>
      <c r="E1479" s="12"/>
      <c r="F1479" s="12"/>
      <c r="G1479" s="12"/>
      <c r="H1479" s="36"/>
      <c r="J1479" s="19"/>
      <c r="K1479" s="19"/>
      <c r="L1479" s="19"/>
      <c r="AF1479" s="6"/>
      <c r="AG1479" s="6"/>
      <c r="AH1479" s="6"/>
      <c r="AI1479" s="6"/>
      <c r="AN1479" s="6"/>
      <c r="AO1479" s="6"/>
      <c r="AP1479" s="6"/>
      <c r="AQ1479" s="6"/>
      <c r="AR1479" s="27"/>
      <c r="AS1479" s="27"/>
      <c r="AT1479" s="27"/>
      <c r="AU1479" s="12"/>
      <c r="AV1479" s="28"/>
    </row>
    <row r="1480" spans="4:48">
      <c r="D1480" s="12"/>
      <c r="E1480" s="12"/>
      <c r="F1480" s="12"/>
      <c r="G1480" s="12"/>
      <c r="H1480" s="36"/>
      <c r="J1480" s="19"/>
      <c r="K1480" s="19"/>
      <c r="L1480" s="19"/>
      <c r="AF1480" s="6"/>
      <c r="AG1480" s="6"/>
      <c r="AH1480" s="6"/>
      <c r="AI1480" s="6"/>
      <c r="AN1480" s="6"/>
      <c r="AO1480" s="6"/>
      <c r="AP1480" s="6"/>
      <c r="AQ1480" s="6"/>
      <c r="AR1480" s="27"/>
      <c r="AS1480" s="27"/>
      <c r="AT1480" s="27"/>
      <c r="AU1480" s="12"/>
      <c r="AV1480" s="28"/>
    </row>
    <row r="1481" spans="4:48">
      <c r="D1481" s="12"/>
      <c r="E1481" s="12"/>
      <c r="F1481" s="12"/>
      <c r="G1481" s="12"/>
      <c r="H1481" s="36"/>
      <c r="J1481" s="19"/>
      <c r="K1481" s="19"/>
      <c r="L1481" s="19"/>
      <c r="AF1481" s="6"/>
      <c r="AG1481" s="6"/>
      <c r="AH1481" s="6"/>
      <c r="AI1481" s="6"/>
      <c r="AN1481" s="6"/>
      <c r="AO1481" s="6"/>
      <c r="AP1481" s="6"/>
      <c r="AQ1481" s="6"/>
      <c r="AR1481" s="27"/>
      <c r="AS1481" s="27"/>
      <c r="AT1481" s="27"/>
      <c r="AU1481" s="12"/>
      <c r="AV1481" s="28"/>
    </row>
    <row r="1482" spans="4:48">
      <c r="D1482" s="12"/>
      <c r="E1482" s="12"/>
      <c r="F1482" s="12"/>
      <c r="G1482" s="12"/>
      <c r="H1482" s="36"/>
      <c r="J1482" s="19"/>
      <c r="K1482" s="19"/>
      <c r="L1482" s="19"/>
      <c r="AF1482" s="6"/>
      <c r="AG1482" s="6"/>
      <c r="AH1482" s="6"/>
      <c r="AI1482" s="6"/>
      <c r="AN1482" s="6"/>
      <c r="AO1482" s="6"/>
      <c r="AP1482" s="6"/>
      <c r="AQ1482" s="6"/>
      <c r="AR1482" s="27"/>
      <c r="AS1482" s="27"/>
      <c r="AT1482" s="27"/>
      <c r="AU1482" s="12"/>
      <c r="AV1482" s="28"/>
    </row>
    <row r="1483" spans="4:48">
      <c r="D1483" s="12"/>
      <c r="E1483" s="12"/>
      <c r="F1483" s="12"/>
      <c r="G1483" s="12"/>
      <c r="H1483" s="36"/>
      <c r="J1483" s="19"/>
      <c r="K1483" s="19"/>
      <c r="L1483" s="19"/>
      <c r="AF1483" s="6"/>
      <c r="AG1483" s="6"/>
      <c r="AH1483" s="6"/>
      <c r="AI1483" s="6"/>
      <c r="AN1483" s="6"/>
      <c r="AO1483" s="6"/>
      <c r="AP1483" s="6"/>
      <c r="AQ1483" s="6"/>
      <c r="AR1483" s="27"/>
      <c r="AS1483" s="27"/>
      <c r="AT1483" s="27"/>
      <c r="AU1483" s="12"/>
      <c r="AV1483" s="28"/>
    </row>
    <row r="1484" spans="4:48">
      <c r="D1484" s="12"/>
      <c r="E1484" s="12"/>
      <c r="F1484" s="12"/>
      <c r="G1484" s="12"/>
      <c r="H1484" s="36"/>
      <c r="J1484" s="19"/>
      <c r="K1484" s="19"/>
      <c r="L1484" s="19"/>
      <c r="AF1484" s="6"/>
      <c r="AG1484" s="6"/>
      <c r="AH1484" s="6"/>
      <c r="AI1484" s="6"/>
      <c r="AN1484" s="6"/>
      <c r="AO1484" s="6"/>
      <c r="AP1484" s="6"/>
      <c r="AQ1484" s="6"/>
      <c r="AR1484" s="27"/>
      <c r="AS1484" s="27"/>
      <c r="AT1484" s="27"/>
      <c r="AU1484" s="12"/>
      <c r="AV1484" s="28"/>
    </row>
    <row r="1485" spans="4:48">
      <c r="D1485" s="12"/>
      <c r="E1485" s="12"/>
      <c r="F1485" s="12"/>
      <c r="G1485" s="12"/>
      <c r="H1485" s="36"/>
      <c r="J1485" s="19"/>
      <c r="K1485" s="19"/>
      <c r="L1485" s="19"/>
      <c r="AF1485" s="6"/>
      <c r="AG1485" s="6"/>
      <c r="AH1485" s="6"/>
      <c r="AI1485" s="6"/>
      <c r="AN1485" s="6"/>
      <c r="AO1485" s="6"/>
      <c r="AP1485" s="6"/>
      <c r="AQ1485" s="6"/>
      <c r="AR1485" s="27"/>
      <c r="AS1485" s="27"/>
      <c r="AT1485" s="27"/>
      <c r="AU1485" s="12"/>
      <c r="AV1485" s="28"/>
    </row>
    <row r="1486" spans="4:48">
      <c r="D1486" s="12"/>
      <c r="E1486" s="12"/>
      <c r="F1486" s="12"/>
      <c r="G1486" s="12"/>
      <c r="H1486" s="36"/>
      <c r="J1486" s="19"/>
      <c r="K1486" s="19"/>
      <c r="L1486" s="19"/>
      <c r="AF1486" s="6"/>
      <c r="AG1486" s="6"/>
      <c r="AH1486" s="6"/>
      <c r="AI1486" s="6"/>
      <c r="AN1486" s="6"/>
      <c r="AO1486" s="6"/>
      <c r="AP1486" s="6"/>
      <c r="AQ1486" s="6"/>
      <c r="AR1486" s="27"/>
      <c r="AS1486" s="27"/>
      <c r="AT1486" s="27"/>
      <c r="AU1486" s="12"/>
      <c r="AV1486" s="28"/>
    </row>
    <row r="1487" spans="4:48">
      <c r="D1487" s="12"/>
      <c r="E1487" s="12"/>
      <c r="F1487" s="12"/>
      <c r="G1487" s="12"/>
      <c r="H1487" s="36"/>
      <c r="J1487" s="19"/>
      <c r="K1487" s="19"/>
      <c r="L1487" s="19"/>
      <c r="AF1487" s="6"/>
      <c r="AG1487" s="6"/>
      <c r="AH1487" s="6"/>
      <c r="AI1487" s="6"/>
      <c r="AN1487" s="6"/>
      <c r="AO1487" s="6"/>
      <c r="AP1487" s="6"/>
      <c r="AQ1487" s="6"/>
      <c r="AR1487" s="27"/>
      <c r="AS1487" s="27"/>
      <c r="AT1487" s="27"/>
      <c r="AU1487" s="12"/>
      <c r="AV1487" s="28"/>
    </row>
    <row r="1488" spans="4:48">
      <c r="D1488" s="12"/>
      <c r="E1488" s="12"/>
      <c r="F1488" s="12"/>
      <c r="G1488" s="12"/>
      <c r="H1488" s="36"/>
      <c r="J1488" s="19"/>
      <c r="K1488" s="19"/>
      <c r="L1488" s="19"/>
      <c r="AF1488" s="6"/>
      <c r="AG1488" s="6"/>
      <c r="AH1488" s="6"/>
      <c r="AI1488" s="6"/>
      <c r="AN1488" s="6"/>
      <c r="AO1488" s="6"/>
      <c r="AP1488" s="6"/>
      <c r="AQ1488" s="6"/>
      <c r="AR1488" s="27"/>
      <c r="AS1488" s="27"/>
      <c r="AT1488" s="27"/>
      <c r="AU1488" s="12"/>
      <c r="AV1488" s="28"/>
    </row>
    <row r="1489" spans="4:48">
      <c r="D1489" s="12"/>
      <c r="E1489" s="12"/>
      <c r="F1489" s="12"/>
      <c r="G1489" s="12"/>
      <c r="H1489" s="36"/>
      <c r="J1489" s="19"/>
      <c r="K1489" s="19"/>
      <c r="L1489" s="19"/>
      <c r="AF1489" s="6"/>
      <c r="AG1489" s="6"/>
      <c r="AH1489" s="6"/>
      <c r="AI1489" s="6"/>
      <c r="AN1489" s="6"/>
      <c r="AO1489" s="6"/>
      <c r="AP1489" s="6"/>
      <c r="AQ1489" s="6"/>
      <c r="AR1489" s="27"/>
      <c r="AS1489" s="27"/>
      <c r="AT1489" s="27"/>
      <c r="AU1489" s="12"/>
      <c r="AV1489" s="28"/>
    </row>
    <row r="1490" spans="4:48">
      <c r="D1490" s="12"/>
      <c r="E1490" s="12"/>
      <c r="F1490" s="12"/>
      <c r="G1490" s="12"/>
      <c r="H1490" s="36"/>
      <c r="J1490" s="19"/>
      <c r="K1490" s="19"/>
      <c r="L1490" s="19"/>
      <c r="AF1490" s="6"/>
      <c r="AG1490" s="6"/>
      <c r="AH1490" s="6"/>
      <c r="AI1490" s="6"/>
      <c r="AN1490" s="6"/>
      <c r="AO1490" s="6"/>
      <c r="AP1490" s="6"/>
      <c r="AQ1490" s="6"/>
      <c r="AR1490" s="27"/>
      <c r="AS1490" s="27"/>
      <c r="AT1490" s="27"/>
      <c r="AU1490" s="12"/>
      <c r="AV1490" s="28"/>
    </row>
    <row r="1491" spans="4:48">
      <c r="D1491" s="12"/>
      <c r="E1491" s="12"/>
      <c r="F1491" s="12"/>
      <c r="G1491" s="12"/>
      <c r="H1491" s="36"/>
      <c r="J1491" s="19"/>
      <c r="K1491" s="19"/>
      <c r="L1491" s="19"/>
      <c r="AF1491" s="6"/>
      <c r="AG1491" s="6"/>
      <c r="AH1491" s="6"/>
      <c r="AI1491" s="6"/>
      <c r="AN1491" s="6"/>
      <c r="AO1491" s="6"/>
      <c r="AP1491" s="6"/>
      <c r="AQ1491" s="6"/>
      <c r="AR1491" s="27"/>
      <c r="AS1491" s="27"/>
      <c r="AT1491" s="27"/>
      <c r="AU1491" s="12"/>
      <c r="AV1491" s="28"/>
    </row>
    <row r="1492" spans="4:48">
      <c r="D1492" s="12"/>
      <c r="E1492" s="12"/>
      <c r="F1492" s="12"/>
      <c r="G1492" s="12"/>
      <c r="H1492" s="36"/>
      <c r="J1492" s="19"/>
      <c r="K1492" s="19"/>
      <c r="L1492" s="19"/>
      <c r="AF1492" s="6"/>
      <c r="AG1492" s="6"/>
      <c r="AH1492" s="6"/>
      <c r="AI1492" s="6"/>
      <c r="AN1492" s="6"/>
      <c r="AO1492" s="6"/>
      <c r="AP1492" s="6"/>
      <c r="AQ1492" s="6"/>
      <c r="AR1492" s="27"/>
      <c r="AS1492" s="27"/>
      <c r="AT1492" s="27"/>
      <c r="AU1492" s="12"/>
      <c r="AV1492" s="28"/>
    </row>
    <row r="1493" spans="4:48">
      <c r="D1493" s="12"/>
      <c r="E1493" s="12"/>
      <c r="F1493" s="12"/>
      <c r="G1493" s="12"/>
      <c r="H1493" s="36"/>
      <c r="J1493" s="19"/>
      <c r="K1493" s="19"/>
      <c r="L1493" s="19"/>
      <c r="AF1493" s="6"/>
      <c r="AG1493" s="6"/>
      <c r="AH1493" s="6"/>
      <c r="AI1493" s="6"/>
      <c r="AN1493" s="6"/>
      <c r="AO1493" s="6"/>
      <c r="AP1493" s="6"/>
      <c r="AQ1493" s="6"/>
      <c r="AR1493" s="27"/>
      <c r="AS1493" s="27"/>
      <c r="AT1493" s="27"/>
      <c r="AU1493" s="12"/>
      <c r="AV1493" s="28"/>
    </row>
    <row r="1494" spans="4:48">
      <c r="D1494" s="12"/>
      <c r="E1494" s="12"/>
      <c r="F1494" s="12"/>
      <c r="G1494" s="12"/>
      <c r="H1494" s="36"/>
      <c r="J1494" s="19"/>
      <c r="K1494" s="19"/>
      <c r="L1494" s="19"/>
      <c r="AF1494" s="6"/>
      <c r="AG1494" s="6"/>
      <c r="AH1494" s="6"/>
      <c r="AI1494" s="6"/>
      <c r="AN1494" s="6"/>
      <c r="AO1494" s="6"/>
      <c r="AP1494" s="6"/>
      <c r="AQ1494" s="6"/>
      <c r="AR1494" s="27"/>
      <c r="AS1494" s="27"/>
      <c r="AT1494" s="27"/>
      <c r="AU1494" s="12"/>
      <c r="AV1494" s="28"/>
    </row>
    <row r="1495" spans="4:48">
      <c r="D1495" s="12"/>
      <c r="E1495" s="12"/>
      <c r="F1495" s="12"/>
      <c r="G1495" s="12"/>
      <c r="H1495" s="36"/>
      <c r="J1495" s="19"/>
      <c r="K1495" s="19"/>
      <c r="L1495" s="19"/>
      <c r="AF1495" s="6"/>
      <c r="AG1495" s="6"/>
      <c r="AH1495" s="6"/>
      <c r="AI1495" s="6"/>
      <c r="AN1495" s="6"/>
      <c r="AO1495" s="6"/>
      <c r="AP1495" s="6"/>
      <c r="AQ1495" s="6"/>
      <c r="AR1495" s="27"/>
      <c r="AS1495" s="27"/>
      <c r="AT1495" s="27"/>
      <c r="AU1495" s="12"/>
      <c r="AV1495" s="28"/>
    </row>
    <row r="1496" spans="4:48">
      <c r="D1496" s="12"/>
      <c r="E1496" s="12"/>
      <c r="F1496" s="12"/>
      <c r="G1496" s="12"/>
      <c r="H1496" s="36"/>
      <c r="J1496" s="19"/>
      <c r="K1496" s="19"/>
      <c r="L1496" s="19"/>
      <c r="AF1496" s="6"/>
      <c r="AG1496" s="6"/>
      <c r="AH1496" s="6"/>
      <c r="AI1496" s="6"/>
      <c r="AN1496" s="6"/>
      <c r="AO1496" s="6"/>
      <c r="AP1496" s="6"/>
      <c r="AQ1496" s="6"/>
      <c r="AR1496" s="27"/>
      <c r="AS1496" s="27"/>
      <c r="AT1496" s="27"/>
      <c r="AU1496" s="12"/>
      <c r="AV1496" s="28"/>
    </row>
    <row r="1497" spans="4:48">
      <c r="D1497" s="12"/>
      <c r="E1497" s="12"/>
      <c r="F1497" s="12"/>
      <c r="G1497" s="12"/>
      <c r="H1497" s="36"/>
      <c r="J1497" s="19"/>
      <c r="K1497" s="19"/>
      <c r="L1497" s="19"/>
      <c r="AF1497" s="6"/>
      <c r="AG1497" s="6"/>
      <c r="AH1497" s="6"/>
      <c r="AI1497" s="6"/>
      <c r="AN1497" s="6"/>
      <c r="AO1497" s="6"/>
      <c r="AP1497" s="6"/>
      <c r="AQ1497" s="6"/>
      <c r="AR1497" s="27"/>
      <c r="AS1497" s="27"/>
      <c r="AT1497" s="27"/>
      <c r="AU1497" s="12"/>
      <c r="AV1497" s="28"/>
    </row>
    <row r="1498" spans="4:48">
      <c r="D1498" s="12"/>
      <c r="E1498" s="12"/>
      <c r="F1498" s="12"/>
      <c r="G1498" s="12"/>
      <c r="H1498" s="36"/>
      <c r="J1498" s="19"/>
      <c r="K1498" s="19"/>
      <c r="L1498" s="19"/>
      <c r="AF1498" s="6"/>
      <c r="AG1498" s="6"/>
      <c r="AH1498" s="6"/>
      <c r="AI1498" s="6"/>
      <c r="AN1498" s="6"/>
      <c r="AO1498" s="6"/>
      <c r="AP1498" s="6"/>
      <c r="AQ1498" s="6"/>
      <c r="AR1498" s="27"/>
      <c r="AS1498" s="27"/>
      <c r="AT1498" s="27"/>
      <c r="AU1498" s="12"/>
      <c r="AV1498" s="28"/>
    </row>
    <row r="1499" spans="4:48">
      <c r="D1499" s="12"/>
      <c r="E1499" s="12"/>
      <c r="F1499" s="12"/>
      <c r="G1499" s="12"/>
      <c r="H1499" s="36"/>
      <c r="J1499" s="19"/>
      <c r="K1499" s="19"/>
      <c r="L1499" s="19"/>
      <c r="AF1499" s="6"/>
      <c r="AG1499" s="6"/>
      <c r="AH1499" s="6"/>
      <c r="AI1499" s="6"/>
      <c r="AN1499" s="6"/>
      <c r="AO1499" s="6"/>
      <c r="AP1499" s="6"/>
      <c r="AQ1499" s="6"/>
      <c r="AR1499" s="27"/>
      <c r="AS1499" s="27"/>
      <c r="AT1499" s="27"/>
      <c r="AU1499" s="12"/>
      <c r="AV1499" s="28"/>
    </row>
    <row r="1500" spans="4:48">
      <c r="D1500" s="12"/>
      <c r="E1500" s="12"/>
      <c r="F1500" s="12"/>
      <c r="G1500" s="12"/>
      <c r="H1500" s="36"/>
      <c r="J1500" s="19"/>
      <c r="K1500" s="19"/>
      <c r="L1500" s="19"/>
      <c r="AF1500" s="6"/>
      <c r="AG1500" s="6"/>
      <c r="AH1500" s="6"/>
      <c r="AI1500" s="6"/>
      <c r="AN1500" s="6"/>
      <c r="AO1500" s="6"/>
      <c r="AP1500" s="6"/>
      <c r="AQ1500" s="6"/>
      <c r="AR1500" s="27"/>
      <c r="AS1500" s="27"/>
      <c r="AT1500" s="27"/>
      <c r="AU1500" s="12"/>
      <c r="AV1500" s="28"/>
    </row>
    <row r="1501" spans="4:48">
      <c r="D1501" s="12"/>
      <c r="E1501" s="12"/>
      <c r="F1501" s="12"/>
      <c r="G1501" s="12"/>
      <c r="H1501" s="36"/>
      <c r="J1501" s="19"/>
      <c r="K1501" s="19"/>
      <c r="L1501" s="19"/>
      <c r="AF1501" s="6"/>
      <c r="AG1501" s="6"/>
      <c r="AH1501" s="6"/>
      <c r="AI1501" s="6"/>
      <c r="AN1501" s="6"/>
      <c r="AO1501" s="6"/>
      <c r="AP1501" s="6"/>
      <c r="AQ1501" s="6"/>
      <c r="AR1501" s="27"/>
      <c r="AS1501" s="27"/>
      <c r="AT1501" s="27"/>
      <c r="AU1501" s="12"/>
      <c r="AV1501" s="28"/>
    </row>
    <row r="1502" spans="4:48">
      <c r="D1502" s="12"/>
      <c r="E1502" s="12"/>
      <c r="F1502" s="12"/>
      <c r="G1502" s="12"/>
      <c r="H1502" s="36"/>
      <c r="J1502" s="19"/>
      <c r="K1502" s="19"/>
      <c r="L1502" s="19"/>
      <c r="AF1502" s="6"/>
      <c r="AG1502" s="6"/>
      <c r="AH1502" s="6"/>
      <c r="AI1502" s="6"/>
      <c r="AN1502" s="6"/>
      <c r="AO1502" s="6"/>
      <c r="AP1502" s="6"/>
      <c r="AQ1502" s="6"/>
      <c r="AR1502" s="27"/>
      <c r="AS1502" s="27"/>
      <c r="AT1502" s="27"/>
      <c r="AU1502" s="12"/>
      <c r="AV1502" s="28"/>
    </row>
    <row r="1503" spans="4:48">
      <c r="D1503" s="12"/>
      <c r="E1503" s="12"/>
      <c r="F1503" s="12"/>
      <c r="G1503" s="12"/>
      <c r="H1503" s="36"/>
      <c r="J1503" s="19"/>
      <c r="K1503" s="19"/>
      <c r="L1503" s="19"/>
      <c r="AF1503" s="6"/>
      <c r="AG1503" s="6"/>
      <c r="AH1503" s="6"/>
      <c r="AI1503" s="6"/>
      <c r="AN1503" s="6"/>
      <c r="AO1503" s="6"/>
      <c r="AP1503" s="6"/>
      <c r="AQ1503" s="6"/>
      <c r="AR1503" s="27"/>
      <c r="AS1503" s="27"/>
      <c r="AT1503" s="27"/>
      <c r="AU1503" s="12"/>
      <c r="AV1503" s="28"/>
    </row>
    <row r="1504" spans="4:48">
      <c r="D1504" s="12"/>
      <c r="E1504" s="12"/>
      <c r="F1504" s="12"/>
      <c r="G1504" s="12"/>
      <c r="H1504" s="36"/>
      <c r="J1504" s="19"/>
      <c r="K1504" s="19"/>
      <c r="L1504" s="19"/>
      <c r="AF1504" s="6"/>
      <c r="AG1504" s="6"/>
      <c r="AH1504" s="6"/>
      <c r="AI1504" s="6"/>
      <c r="AN1504" s="6"/>
      <c r="AO1504" s="6"/>
      <c r="AP1504" s="6"/>
      <c r="AQ1504" s="6"/>
      <c r="AR1504" s="27"/>
      <c r="AS1504" s="27"/>
      <c r="AT1504" s="27"/>
      <c r="AU1504" s="12"/>
      <c r="AV1504" s="28"/>
    </row>
    <row r="1505" spans="4:48">
      <c r="D1505" s="12"/>
      <c r="E1505" s="12"/>
      <c r="F1505" s="12"/>
      <c r="G1505" s="12"/>
      <c r="H1505" s="36"/>
      <c r="J1505" s="19"/>
      <c r="K1505" s="19"/>
      <c r="L1505" s="19"/>
      <c r="AF1505" s="6"/>
      <c r="AG1505" s="6"/>
      <c r="AH1505" s="6"/>
      <c r="AI1505" s="6"/>
      <c r="AN1505" s="6"/>
      <c r="AO1505" s="6"/>
      <c r="AP1505" s="6"/>
      <c r="AQ1505" s="6"/>
      <c r="AR1505" s="27"/>
      <c r="AS1505" s="27"/>
      <c r="AT1505" s="27"/>
      <c r="AU1505" s="12"/>
      <c r="AV1505" s="28"/>
    </row>
    <row r="1506" spans="4:48">
      <c r="D1506" s="12"/>
      <c r="E1506" s="12"/>
      <c r="F1506" s="12"/>
      <c r="G1506" s="12"/>
      <c r="H1506" s="36"/>
      <c r="J1506" s="19"/>
      <c r="K1506" s="19"/>
      <c r="L1506" s="19"/>
      <c r="AF1506" s="6"/>
      <c r="AG1506" s="6"/>
      <c r="AH1506" s="6"/>
      <c r="AI1506" s="6"/>
      <c r="AN1506" s="6"/>
      <c r="AO1506" s="6"/>
      <c r="AP1506" s="6"/>
      <c r="AQ1506" s="6"/>
      <c r="AR1506" s="27"/>
      <c r="AS1506" s="27"/>
      <c r="AT1506" s="27"/>
      <c r="AU1506" s="12"/>
      <c r="AV1506" s="28"/>
    </row>
    <row r="1507" spans="4:48">
      <c r="D1507" s="12"/>
      <c r="E1507" s="12"/>
      <c r="F1507" s="12"/>
      <c r="G1507" s="12"/>
      <c r="H1507" s="36"/>
      <c r="J1507" s="19"/>
      <c r="K1507" s="19"/>
      <c r="L1507" s="19"/>
      <c r="AF1507" s="6"/>
      <c r="AG1507" s="6"/>
      <c r="AH1507" s="6"/>
      <c r="AI1507" s="6"/>
      <c r="AN1507" s="6"/>
      <c r="AO1507" s="6"/>
      <c r="AP1507" s="6"/>
      <c r="AQ1507" s="6"/>
      <c r="AR1507" s="27"/>
      <c r="AS1507" s="27"/>
      <c r="AT1507" s="27"/>
      <c r="AU1507" s="12"/>
      <c r="AV1507" s="28"/>
    </row>
    <row r="1508" spans="4:48">
      <c r="D1508" s="12"/>
      <c r="E1508" s="12"/>
      <c r="F1508" s="12"/>
      <c r="G1508" s="12"/>
      <c r="H1508" s="36"/>
      <c r="J1508" s="19"/>
      <c r="K1508" s="19"/>
      <c r="L1508" s="19"/>
      <c r="AF1508" s="6"/>
      <c r="AG1508" s="6"/>
      <c r="AH1508" s="6"/>
      <c r="AI1508" s="6"/>
      <c r="AN1508" s="6"/>
      <c r="AO1508" s="6"/>
      <c r="AP1508" s="6"/>
      <c r="AQ1508" s="6"/>
      <c r="AR1508" s="27"/>
      <c r="AS1508" s="27"/>
      <c r="AT1508" s="27"/>
      <c r="AU1508" s="12"/>
      <c r="AV1508" s="28"/>
    </row>
    <row r="1509" spans="4:48">
      <c r="D1509" s="12"/>
      <c r="E1509" s="12"/>
      <c r="F1509" s="12"/>
      <c r="G1509" s="12"/>
      <c r="H1509" s="36"/>
      <c r="J1509" s="19"/>
      <c r="K1509" s="19"/>
      <c r="L1509" s="19"/>
      <c r="AF1509" s="6"/>
      <c r="AG1509" s="6"/>
      <c r="AH1509" s="6"/>
      <c r="AI1509" s="6"/>
      <c r="AN1509" s="6"/>
      <c r="AO1509" s="6"/>
      <c r="AP1509" s="6"/>
      <c r="AQ1509" s="6"/>
      <c r="AR1509" s="27"/>
      <c r="AS1509" s="27"/>
      <c r="AT1509" s="27"/>
      <c r="AU1509" s="12"/>
      <c r="AV1509" s="28"/>
    </row>
    <row r="1510" spans="4:48">
      <c r="D1510" s="12"/>
      <c r="E1510" s="12"/>
      <c r="F1510" s="12"/>
      <c r="G1510" s="12"/>
      <c r="H1510" s="36"/>
      <c r="J1510" s="19"/>
      <c r="K1510" s="19"/>
      <c r="L1510" s="19"/>
      <c r="AF1510" s="6"/>
      <c r="AG1510" s="6"/>
      <c r="AH1510" s="6"/>
      <c r="AI1510" s="6"/>
      <c r="AN1510" s="6"/>
      <c r="AO1510" s="6"/>
      <c r="AP1510" s="6"/>
      <c r="AQ1510" s="6"/>
      <c r="AR1510" s="27"/>
      <c r="AS1510" s="27"/>
      <c r="AT1510" s="27"/>
      <c r="AU1510" s="12"/>
      <c r="AV1510" s="28"/>
    </row>
    <row r="1511" spans="4:48">
      <c r="D1511" s="12"/>
      <c r="E1511" s="12"/>
      <c r="F1511" s="12"/>
      <c r="G1511" s="12"/>
      <c r="H1511" s="36"/>
      <c r="J1511" s="19"/>
      <c r="K1511" s="19"/>
      <c r="L1511" s="19"/>
      <c r="AF1511" s="6"/>
      <c r="AG1511" s="6"/>
      <c r="AH1511" s="6"/>
      <c r="AI1511" s="6"/>
      <c r="AN1511" s="6"/>
      <c r="AO1511" s="6"/>
      <c r="AP1511" s="6"/>
      <c r="AQ1511" s="6"/>
      <c r="AR1511" s="27"/>
      <c r="AS1511" s="27"/>
      <c r="AT1511" s="27"/>
      <c r="AU1511" s="12"/>
      <c r="AV1511" s="28"/>
    </row>
    <row r="1512" spans="4:48">
      <c r="D1512" s="12"/>
      <c r="E1512" s="12"/>
      <c r="F1512" s="12"/>
      <c r="G1512" s="12"/>
      <c r="H1512" s="36"/>
      <c r="J1512" s="19"/>
      <c r="K1512" s="19"/>
      <c r="L1512" s="19"/>
      <c r="AF1512" s="6"/>
      <c r="AG1512" s="6"/>
      <c r="AH1512" s="6"/>
      <c r="AI1512" s="6"/>
      <c r="AN1512" s="6"/>
      <c r="AO1512" s="6"/>
      <c r="AP1512" s="6"/>
      <c r="AQ1512" s="6"/>
      <c r="AR1512" s="27"/>
      <c r="AS1512" s="27"/>
      <c r="AT1512" s="27"/>
      <c r="AU1512" s="12"/>
      <c r="AV1512" s="28"/>
    </row>
    <row r="1513" spans="4:48">
      <c r="D1513" s="12"/>
      <c r="E1513" s="12"/>
      <c r="F1513" s="12"/>
      <c r="G1513" s="12"/>
      <c r="H1513" s="36"/>
      <c r="J1513" s="19"/>
      <c r="K1513" s="19"/>
      <c r="L1513" s="19"/>
      <c r="AF1513" s="6"/>
      <c r="AG1513" s="6"/>
      <c r="AH1513" s="6"/>
      <c r="AI1513" s="6"/>
      <c r="AN1513" s="6"/>
      <c r="AO1513" s="6"/>
      <c r="AP1513" s="6"/>
      <c r="AQ1513" s="6"/>
      <c r="AR1513" s="27"/>
      <c r="AS1513" s="27"/>
      <c r="AT1513" s="27"/>
      <c r="AU1513" s="12"/>
      <c r="AV1513" s="28"/>
    </row>
    <row r="1514" spans="4:48">
      <c r="D1514" s="12"/>
      <c r="E1514" s="12"/>
      <c r="F1514" s="12"/>
      <c r="G1514" s="12"/>
      <c r="H1514" s="36"/>
      <c r="J1514" s="19"/>
      <c r="K1514" s="19"/>
      <c r="L1514" s="19"/>
      <c r="AF1514" s="6"/>
      <c r="AG1514" s="6"/>
      <c r="AH1514" s="6"/>
      <c r="AI1514" s="6"/>
      <c r="AN1514" s="6"/>
      <c r="AO1514" s="6"/>
      <c r="AP1514" s="6"/>
      <c r="AQ1514" s="6"/>
      <c r="AR1514" s="27"/>
      <c r="AS1514" s="27"/>
      <c r="AT1514" s="27"/>
      <c r="AU1514" s="12"/>
      <c r="AV1514" s="28"/>
    </row>
    <row r="1515" spans="4:48">
      <c r="D1515" s="12"/>
      <c r="E1515" s="12"/>
      <c r="F1515" s="12"/>
      <c r="G1515" s="12"/>
      <c r="H1515" s="36"/>
      <c r="J1515" s="19"/>
      <c r="K1515" s="19"/>
      <c r="L1515" s="19"/>
      <c r="AF1515" s="6"/>
      <c r="AG1515" s="6"/>
      <c r="AH1515" s="6"/>
      <c r="AI1515" s="6"/>
      <c r="AN1515" s="6"/>
      <c r="AO1515" s="6"/>
      <c r="AP1515" s="6"/>
      <c r="AQ1515" s="6"/>
      <c r="AR1515" s="27"/>
      <c r="AS1515" s="27"/>
      <c r="AT1515" s="27"/>
      <c r="AU1515" s="12"/>
      <c r="AV1515" s="28"/>
    </row>
    <row r="1516" spans="4:48">
      <c r="D1516" s="12"/>
      <c r="E1516" s="12"/>
      <c r="F1516" s="12"/>
      <c r="G1516" s="12"/>
      <c r="H1516" s="36"/>
      <c r="J1516" s="19"/>
      <c r="K1516" s="19"/>
      <c r="L1516" s="19"/>
      <c r="AF1516" s="6"/>
      <c r="AG1516" s="6"/>
      <c r="AH1516" s="6"/>
      <c r="AI1516" s="6"/>
      <c r="AN1516" s="6"/>
      <c r="AO1516" s="6"/>
      <c r="AP1516" s="6"/>
      <c r="AQ1516" s="6"/>
      <c r="AR1516" s="27"/>
      <c r="AS1516" s="27"/>
      <c r="AT1516" s="27"/>
      <c r="AU1516" s="12"/>
      <c r="AV1516" s="28"/>
    </row>
    <row r="1517" spans="4:48">
      <c r="D1517" s="12"/>
      <c r="E1517" s="12"/>
      <c r="F1517" s="12"/>
      <c r="G1517" s="12"/>
      <c r="H1517" s="36"/>
      <c r="J1517" s="19"/>
      <c r="K1517" s="19"/>
      <c r="L1517" s="19"/>
      <c r="AF1517" s="6"/>
      <c r="AG1517" s="6"/>
      <c r="AH1517" s="6"/>
      <c r="AI1517" s="6"/>
      <c r="AN1517" s="6"/>
      <c r="AO1517" s="6"/>
      <c r="AP1517" s="6"/>
      <c r="AQ1517" s="6"/>
      <c r="AR1517" s="27"/>
      <c r="AS1517" s="27"/>
      <c r="AT1517" s="27"/>
      <c r="AU1517" s="12"/>
      <c r="AV1517" s="28"/>
    </row>
    <row r="1518" spans="4:48">
      <c r="D1518" s="12"/>
      <c r="E1518" s="12"/>
      <c r="F1518" s="12"/>
      <c r="G1518" s="12"/>
      <c r="H1518" s="36"/>
      <c r="J1518" s="19"/>
      <c r="K1518" s="19"/>
      <c r="L1518" s="19"/>
      <c r="AF1518" s="6"/>
      <c r="AG1518" s="6"/>
      <c r="AH1518" s="6"/>
      <c r="AI1518" s="6"/>
      <c r="AN1518" s="6"/>
      <c r="AO1518" s="6"/>
      <c r="AP1518" s="6"/>
      <c r="AQ1518" s="6"/>
      <c r="AR1518" s="27"/>
      <c r="AS1518" s="27"/>
      <c r="AT1518" s="27"/>
      <c r="AU1518" s="12"/>
      <c r="AV1518" s="28"/>
    </row>
    <row r="1519" spans="4:48">
      <c r="D1519" s="12"/>
      <c r="E1519" s="12"/>
      <c r="F1519" s="12"/>
      <c r="G1519" s="12"/>
      <c r="H1519" s="36"/>
      <c r="J1519" s="19"/>
      <c r="K1519" s="19"/>
      <c r="L1519" s="19"/>
      <c r="AF1519" s="6"/>
      <c r="AG1519" s="6"/>
      <c r="AH1519" s="6"/>
      <c r="AI1519" s="6"/>
      <c r="AN1519" s="6"/>
      <c r="AO1519" s="6"/>
      <c r="AP1519" s="6"/>
      <c r="AQ1519" s="6"/>
      <c r="AR1519" s="27"/>
      <c r="AS1519" s="27"/>
      <c r="AT1519" s="27"/>
      <c r="AU1519" s="12"/>
      <c r="AV1519" s="28"/>
    </row>
    <row r="1520" spans="4:48">
      <c r="D1520" s="12"/>
      <c r="E1520" s="12"/>
      <c r="F1520" s="12"/>
      <c r="G1520" s="12"/>
      <c r="H1520" s="36"/>
      <c r="J1520" s="19"/>
      <c r="K1520" s="19"/>
      <c r="L1520" s="19"/>
      <c r="AF1520" s="6"/>
      <c r="AG1520" s="6"/>
      <c r="AH1520" s="6"/>
      <c r="AI1520" s="6"/>
      <c r="AN1520" s="6"/>
      <c r="AO1520" s="6"/>
      <c r="AP1520" s="6"/>
      <c r="AQ1520" s="6"/>
      <c r="AR1520" s="27"/>
      <c r="AS1520" s="27"/>
      <c r="AT1520" s="27"/>
      <c r="AU1520" s="12"/>
      <c r="AV1520" s="28"/>
    </row>
    <row r="1521" spans="4:48">
      <c r="D1521" s="12"/>
      <c r="E1521" s="12"/>
      <c r="F1521" s="12"/>
      <c r="G1521" s="12"/>
      <c r="H1521" s="36"/>
      <c r="J1521" s="19"/>
      <c r="K1521" s="19"/>
      <c r="L1521" s="19"/>
      <c r="AF1521" s="6"/>
      <c r="AG1521" s="6"/>
      <c r="AH1521" s="6"/>
      <c r="AI1521" s="6"/>
      <c r="AN1521" s="6"/>
      <c r="AO1521" s="6"/>
      <c r="AP1521" s="6"/>
      <c r="AQ1521" s="6"/>
      <c r="AR1521" s="27"/>
      <c r="AS1521" s="27"/>
      <c r="AT1521" s="27"/>
      <c r="AU1521" s="12"/>
      <c r="AV1521" s="28"/>
    </row>
    <row r="1522" spans="4:48">
      <c r="D1522" s="12"/>
      <c r="E1522" s="12"/>
      <c r="F1522" s="12"/>
      <c r="G1522" s="12"/>
      <c r="H1522" s="36"/>
      <c r="J1522" s="19"/>
      <c r="K1522" s="19"/>
      <c r="L1522" s="19"/>
      <c r="AF1522" s="6"/>
      <c r="AG1522" s="6"/>
      <c r="AH1522" s="6"/>
      <c r="AI1522" s="6"/>
      <c r="AN1522" s="6"/>
      <c r="AO1522" s="6"/>
      <c r="AP1522" s="6"/>
      <c r="AQ1522" s="6"/>
      <c r="AR1522" s="27"/>
      <c r="AS1522" s="27"/>
      <c r="AT1522" s="27"/>
      <c r="AU1522" s="12"/>
      <c r="AV1522" s="28"/>
    </row>
    <row r="1523" spans="4:48">
      <c r="D1523" s="12"/>
      <c r="E1523" s="12"/>
      <c r="F1523" s="12"/>
      <c r="G1523" s="12"/>
      <c r="H1523" s="36"/>
      <c r="J1523" s="19"/>
      <c r="K1523" s="19"/>
      <c r="L1523" s="19"/>
      <c r="AF1523" s="6"/>
      <c r="AG1523" s="6"/>
      <c r="AH1523" s="6"/>
      <c r="AI1523" s="6"/>
      <c r="AN1523" s="6"/>
      <c r="AO1523" s="6"/>
      <c r="AP1523" s="6"/>
      <c r="AQ1523" s="6"/>
      <c r="AR1523" s="27"/>
      <c r="AS1523" s="27"/>
      <c r="AT1523" s="27"/>
      <c r="AU1523" s="12"/>
      <c r="AV1523" s="28"/>
    </row>
    <row r="1524" spans="4:48">
      <c r="D1524" s="12"/>
      <c r="E1524" s="12"/>
      <c r="F1524" s="12"/>
      <c r="G1524" s="12"/>
      <c r="H1524" s="36"/>
      <c r="J1524" s="19"/>
      <c r="K1524" s="19"/>
      <c r="L1524" s="19"/>
      <c r="AF1524" s="6"/>
      <c r="AG1524" s="6"/>
      <c r="AH1524" s="6"/>
      <c r="AI1524" s="6"/>
      <c r="AN1524" s="6"/>
      <c r="AO1524" s="6"/>
      <c r="AP1524" s="6"/>
      <c r="AQ1524" s="6"/>
      <c r="AR1524" s="27"/>
      <c r="AS1524" s="27"/>
      <c r="AT1524" s="27"/>
      <c r="AU1524" s="12"/>
      <c r="AV1524" s="28"/>
    </row>
    <row r="1525" spans="4:48">
      <c r="D1525" s="12"/>
      <c r="E1525" s="12"/>
      <c r="F1525" s="12"/>
      <c r="G1525" s="12"/>
      <c r="H1525" s="36"/>
      <c r="J1525" s="19"/>
      <c r="K1525" s="19"/>
      <c r="L1525" s="19"/>
      <c r="AF1525" s="6"/>
      <c r="AG1525" s="6"/>
      <c r="AH1525" s="6"/>
      <c r="AI1525" s="6"/>
      <c r="AN1525" s="6"/>
      <c r="AO1525" s="6"/>
      <c r="AP1525" s="6"/>
      <c r="AQ1525" s="6"/>
      <c r="AR1525" s="27"/>
      <c r="AS1525" s="27"/>
      <c r="AT1525" s="27"/>
      <c r="AU1525" s="12"/>
      <c r="AV1525" s="28"/>
    </row>
    <row r="1526" spans="4:48">
      <c r="D1526" s="12"/>
      <c r="E1526" s="12"/>
      <c r="F1526" s="12"/>
      <c r="G1526" s="12"/>
      <c r="H1526" s="36"/>
      <c r="J1526" s="19"/>
      <c r="K1526" s="19"/>
      <c r="L1526" s="19"/>
      <c r="AF1526" s="6"/>
      <c r="AG1526" s="6"/>
      <c r="AH1526" s="6"/>
      <c r="AI1526" s="6"/>
      <c r="AN1526" s="6"/>
      <c r="AO1526" s="6"/>
      <c r="AP1526" s="6"/>
      <c r="AQ1526" s="6"/>
      <c r="AR1526" s="27"/>
      <c r="AS1526" s="27"/>
      <c r="AT1526" s="27"/>
      <c r="AU1526" s="12"/>
      <c r="AV1526" s="28"/>
    </row>
    <row r="1527" spans="4:48">
      <c r="D1527" s="12"/>
      <c r="E1527" s="12"/>
      <c r="F1527" s="12"/>
      <c r="G1527" s="12"/>
      <c r="H1527" s="36"/>
      <c r="J1527" s="19"/>
      <c r="K1527" s="19"/>
      <c r="L1527" s="19"/>
      <c r="AF1527" s="6"/>
      <c r="AG1527" s="6"/>
      <c r="AH1527" s="6"/>
      <c r="AI1527" s="6"/>
      <c r="AN1527" s="6"/>
      <c r="AO1527" s="6"/>
      <c r="AP1527" s="6"/>
      <c r="AQ1527" s="6"/>
      <c r="AR1527" s="27"/>
      <c r="AS1527" s="27"/>
      <c r="AT1527" s="27"/>
      <c r="AU1527" s="12"/>
      <c r="AV1527" s="28"/>
    </row>
    <row r="1528" spans="4:48">
      <c r="D1528" s="12"/>
      <c r="E1528" s="12"/>
      <c r="F1528" s="12"/>
      <c r="G1528" s="12"/>
      <c r="H1528" s="36"/>
      <c r="J1528" s="19"/>
      <c r="K1528" s="19"/>
      <c r="L1528" s="19"/>
      <c r="AF1528" s="6"/>
      <c r="AG1528" s="6"/>
      <c r="AH1528" s="6"/>
      <c r="AI1528" s="6"/>
      <c r="AN1528" s="6"/>
      <c r="AO1528" s="6"/>
      <c r="AP1528" s="6"/>
      <c r="AQ1528" s="6"/>
      <c r="AR1528" s="27"/>
      <c r="AS1528" s="27"/>
      <c r="AT1528" s="27"/>
      <c r="AU1528" s="12"/>
      <c r="AV1528" s="28"/>
    </row>
    <row r="1529" spans="4:48">
      <c r="D1529" s="12"/>
      <c r="E1529" s="12"/>
      <c r="F1529" s="12"/>
      <c r="G1529" s="12"/>
      <c r="H1529" s="36"/>
      <c r="J1529" s="19"/>
      <c r="K1529" s="19"/>
      <c r="L1529" s="19"/>
      <c r="AF1529" s="6"/>
      <c r="AG1529" s="6"/>
      <c r="AH1529" s="6"/>
      <c r="AI1529" s="6"/>
      <c r="AN1529" s="6"/>
      <c r="AO1529" s="6"/>
      <c r="AP1529" s="6"/>
      <c r="AQ1529" s="6"/>
      <c r="AR1529" s="27"/>
      <c r="AS1529" s="27"/>
      <c r="AT1529" s="27"/>
      <c r="AU1529" s="12"/>
      <c r="AV1529" s="28"/>
    </row>
    <row r="1530" spans="4:48">
      <c r="D1530" s="12"/>
      <c r="E1530" s="12"/>
      <c r="F1530" s="12"/>
      <c r="G1530" s="12"/>
      <c r="H1530" s="36"/>
      <c r="J1530" s="19"/>
      <c r="K1530" s="19"/>
      <c r="L1530" s="19"/>
      <c r="AF1530" s="6"/>
      <c r="AG1530" s="6"/>
      <c r="AH1530" s="6"/>
      <c r="AI1530" s="6"/>
      <c r="AN1530" s="6"/>
      <c r="AO1530" s="6"/>
      <c r="AP1530" s="6"/>
      <c r="AQ1530" s="6"/>
      <c r="AR1530" s="27"/>
      <c r="AS1530" s="27"/>
      <c r="AT1530" s="27"/>
      <c r="AU1530" s="12"/>
      <c r="AV1530" s="28"/>
    </row>
    <row r="1531" spans="4:48">
      <c r="D1531" s="12"/>
      <c r="E1531" s="12"/>
      <c r="F1531" s="12"/>
      <c r="G1531" s="12"/>
      <c r="H1531" s="36"/>
      <c r="J1531" s="19"/>
      <c r="K1531" s="19"/>
      <c r="L1531" s="19"/>
      <c r="AF1531" s="6"/>
      <c r="AG1531" s="6"/>
      <c r="AH1531" s="6"/>
      <c r="AI1531" s="6"/>
      <c r="AN1531" s="6"/>
      <c r="AO1531" s="6"/>
      <c r="AP1531" s="6"/>
      <c r="AQ1531" s="6"/>
      <c r="AR1531" s="27"/>
      <c r="AS1531" s="27"/>
      <c r="AT1531" s="27"/>
      <c r="AU1531" s="12"/>
      <c r="AV1531" s="28"/>
    </row>
    <row r="1532" spans="4:48">
      <c r="D1532" s="12"/>
      <c r="E1532" s="12"/>
      <c r="F1532" s="12"/>
      <c r="G1532" s="12"/>
      <c r="H1532" s="36"/>
      <c r="J1532" s="19"/>
      <c r="K1532" s="19"/>
      <c r="L1532" s="19"/>
      <c r="AF1532" s="6"/>
      <c r="AG1532" s="6"/>
      <c r="AH1532" s="6"/>
      <c r="AI1532" s="6"/>
      <c r="AN1532" s="6"/>
      <c r="AO1532" s="6"/>
      <c r="AP1532" s="6"/>
      <c r="AQ1532" s="6"/>
      <c r="AR1532" s="27"/>
      <c r="AS1532" s="27"/>
      <c r="AT1532" s="27"/>
      <c r="AU1532" s="12"/>
      <c r="AV1532" s="28"/>
    </row>
    <row r="1533" spans="4:48">
      <c r="D1533" s="12"/>
      <c r="E1533" s="12"/>
      <c r="F1533" s="12"/>
      <c r="G1533" s="12"/>
      <c r="H1533" s="36"/>
      <c r="J1533" s="19"/>
      <c r="K1533" s="19"/>
      <c r="L1533" s="19"/>
      <c r="AF1533" s="6"/>
      <c r="AG1533" s="6"/>
      <c r="AH1533" s="6"/>
      <c r="AI1533" s="6"/>
      <c r="AN1533" s="6"/>
      <c r="AO1533" s="6"/>
      <c r="AP1533" s="6"/>
      <c r="AQ1533" s="6"/>
      <c r="AR1533" s="27"/>
      <c r="AS1533" s="27"/>
      <c r="AT1533" s="27"/>
      <c r="AU1533" s="12"/>
      <c r="AV1533" s="28"/>
    </row>
    <row r="1534" spans="4:48">
      <c r="D1534" s="12"/>
      <c r="E1534" s="12"/>
      <c r="F1534" s="12"/>
      <c r="G1534" s="12"/>
      <c r="H1534" s="36"/>
      <c r="J1534" s="19"/>
      <c r="K1534" s="19"/>
      <c r="L1534" s="19"/>
      <c r="AF1534" s="6"/>
      <c r="AG1534" s="6"/>
      <c r="AH1534" s="6"/>
      <c r="AI1534" s="6"/>
      <c r="AN1534" s="6"/>
      <c r="AO1534" s="6"/>
      <c r="AP1534" s="6"/>
      <c r="AQ1534" s="6"/>
      <c r="AR1534" s="27"/>
      <c r="AS1534" s="27"/>
      <c r="AT1534" s="27"/>
      <c r="AU1534" s="12"/>
      <c r="AV1534" s="28"/>
    </row>
    <row r="1535" spans="4:48">
      <c r="D1535" s="12"/>
      <c r="E1535" s="12"/>
      <c r="F1535" s="12"/>
      <c r="G1535" s="12"/>
      <c r="H1535" s="36"/>
      <c r="J1535" s="19"/>
      <c r="K1535" s="19"/>
      <c r="L1535" s="19"/>
      <c r="AF1535" s="6"/>
      <c r="AG1535" s="6"/>
      <c r="AH1535" s="6"/>
      <c r="AI1535" s="6"/>
      <c r="AN1535" s="6"/>
      <c r="AO1535" s="6"/>
      <c r="AP1535" s="6"/>
      <c r="AQ1535" s="6"/>
      <c r="AR1535" s="27"/>
      <c r="AS1535" s="27"/>
      <c r="AT1535" s="27"/>
      <c r="AU1535" s="12"/>
      <c r="AV1535" s="28"/>
    </row>
    <row r="1536" spans="4:48">
      <c r="D1536" s="12"/>
      <c r="E1536" s="12"/>
      <c r="F1536" s="12"/>
      <c r="G1536" s="12"/>
      <c r="H1536" s="36"/>
      <c r="J1536" s="19"/>
      <c r="K1536" s="19"/>
      <c r="L1536" s="19"/>
      <c r="AF1536" s="6"/>
      <c r="AG1536" s="6"/>
      <c r="AH1536" s="6"/>
      <c r="AI1536" s="6"/>
      <c r="AN1536" s="6"/>
      <c r="AO1536" s="6"/>
      <c r="AP1536" s="6"/>
      <c r="AQ1536" s="6"/>
      <c r="AR1536" s="27"/>
      <c r="AS1536" s="27"/>
      <c r="AT1536" s="27"/>
      <c r="AU1536" s="12"/>
      <c r="AV1536" s="28"/>
    </row>
    <row r="1537" spans="4:48">
      <c r="D1537" s="12"/>
      <c r="E1537" s="12"/>
      <c r="F1537" s="12"/>
      <c r="G1537" s="12"/>
      <c r="H1537" s="36"/>
      <c r="J1537" s="19"/>
      <c r="K1537" s="19"/>
      <c r="L1537" s="19"/>
      <c r="AF1537" s="6"/>
      <c r="AG1537" s="6"/>
      <c r="AH1537" s="6"/>
      <c r="AI1537" s="6"/>
      <c r="AN1537" s="6"/>
      <c r="AO1537" s="6"/>
      <c r="AP1537" s="6"/>
      <c r="AQ1537" s="6"/>
      <c r="AR1537" s="27"/>
      <c r="AS1537" s="27"/>
      <c r="AT1537" s="27"/>
      <c r="AU1537" s="12"/>
      <c r="AV1537" s="28"/>
    </row>
    <row r="1538" spans="4:48">
      <c r="D1538" s="12"/>
      <c r="E1538" s="12"/>
      <c r="F1538" s="12"/>
      <c r="G1538" s="12"/>
      <c r="H1538" s="36"/>
      <c r="J1538" s="19"/>
      <c r="K1538" s="19"/>
      <c r="L1538" s="19"/>
      <c r="AF1538" s="6"/>
      <c r="AG1538" s="6"/>
      <c r="AH1538" s="6"/>
      <c r="AI1538" s="6"/>
      <c r="AN1538" s="6"/>
      <c r="AO1538" s="6"/>
      <c r="AP1538" s="6"/>
      <c r="AQ1538" s="6"/>
      <c r="AR1538" s="27"/>
      <c r="AS1538" s="27"/>
      <c r="AT1538" s="27"/>
      <c r="AU1538" s="12"/>
      <c r="AV1538" s="28"/>
    </row>
    <row r="1539" spans="4:48">
      <c r="D1539" s="12"/>
      <c r="E1539" s="12"/>
      <c r="F1539" s="12"/>
      <c r="G1539" s="12"/>
      <c r="H1539" s="36"/>
      <c r="J1539" s="19"/>
      <c r="K1539" s="19"/>
      <c r="L1539" s="19"/>
      <c r="AF1539" s="6"/>
      <c r="AG1539" s="6"/>
      <c r="AH1539" s="6"/>
      <c r="AI1539" s="6"/>
      <c r="AN1539" s="6"/>
      <c r="AO1539" s="6"/>
      <c r="AP1539" s="6"/>
      <c r="AQ1539" s="6"/>
      <c r="AR1539" s="27"/>
      <c r="AS1539" s="27"/>
      <c r="AT1539" s="27"/>
      <c r="AU1539" s="12"/>
      <c r="AV1539" s="28"/>
    </row>
    <row r="1540" spans="4:48">
      <c r="D1540" s="12"/>
      <c r="E1540" s="12"/>
      <c r="F1540" s="12"/>
      <c r="G1540" s="12"/>
      <c r="H1540" s="36"/>
      <c r="J1540" s="19"/>
      <c r="K1540" s="19"/>
      <c r="L1540" s="19"/>
      <c r="AF1540" s="6"/>
      <c r="AG1540" s="6"/>
      <c r="AH1540" s="6"/>
      <c r="AI1540" s="6"/>
      <c r="AN1540" s="6"/>
      <c r="AO1540" s="6"/>
      <c r="AP1540" s="6"/>
      <c r="AQ1540" s="6"/>
      <c r="AR1540" s="27"/>
      <c r="AS1540" s="27"/>
      <c r="AT1540" s="27"/>
      <c r="AU1540" s="12"/>
      <c r="AV1540" s="28"/>
    </row>
    <row r="1541" spans="4:48">
      <c r="D1541" s="12"/>
      <c r="E1541" s="12"/>
      <c r="F1541" s="12"/>
      <c r="G1541" s="12"/>
      <c r="H1541" s="36"/>
      <c r="J1541" s="19"/>
      <c r="K1541" s="19"/>
      <c r="L1541" s="19"/>
      <c r="AF1541" s="6"/>
      <c r="AG1541" s="6"/>
      <c r="AH1541" s="6"/>
      <c r="AI1541" s="6"/>
      <c r="AN1541" s="6"/>
      <c r="AO1541" s="6"/>
      <c r="AP1541" s="6"/>
      <c r="AQ1541" s="6"/>
      <c r="AR1541" s="27"/>
      <c r="AS1541" s="27"/>
      <c r="AT1541" s="27"/>
      <c r="AU1541" s="12"/>
      <c r="AV1541" s="28"/>
    </row>
    <row r="1542" spans="4:48">
      <c r="D1542" s="12"/>
      <c r="E1542" s="12"/>
      <c r="F1542" s="12"/>
      <c r="G1542" s="12"/>
      <c r="H1542" s="36"/>
      <c r="J1542" s="19"/>
      <c r="K1542" s="19"/>
      <c r="L1542" s="19"/>
      <c r="AF1542" s="6"/>
      <c r="AG1542" s="6"/>
      <c r="AH1542" s="6"/>
      <c r="AI1542" s="6"/>
      <c r="AN1542" s="6"/>
      <c r="AO1542" s="6"/>
      <c r="AP1542" s="6"/>
      <c r="AQ1542" s="6"/>
      <c r="AR1542" s="27"/>
      <c r="AS1542" s="27"/>
      <c r="AT1542" s="27"/>
      <c r="AU1542" s="12"/>
      <c r="AV1542" s="28"/>
    </row>
    <row r="1543" spans="4:48">
      <c r="D1543" s="12"/>
      <c r="E1543" s="12"/>
      <c r="F1543" s="12"/>
      <c r="G1543" s="12"/>
      <c r="H1543" s="36"/>
      <c r="J1543" s="19"/>
      <c r="K1543" s="19"/>
      <c r="L1543" s="19"/>
      <c r="AF1543" s="6"/>
      <c r="AG1543" s="6"/>
      <c r="AH1543" s="6"/>
      <c r="AI1543" s="6"/>
      <c r="AN1543" s="6"/>
      <c r="AO1543" s="6"/>
      <c r="AP1543" s="6"/>
      <c r="AQ1543" s="6"/>
      <c r="AR1543" s="27"/>
      <c r="AS1543" s="27"/>
      <c r="AT1543" s="27"/>
      <c r="AU1543" s="12"/>
      <c r="AV1543" s="28"/>
    </row>
    <row r="1544" spans="4:48">
      <c r="D1544" s="12"/>
      <c r="E1544" s="12"/>
      <c r="F1544" s="12"/>
      <c r="G1544" s="12"/>
      <c r="H1544" s="36"/>
      <c r="J1544" s="19"/>
      <c r="K1544" s="19"/>
      <c r="L1544" s="19"/>
      <c r="AF1544" s="6"/>
      <c r="AG1544" s="6"/>
      <c r="AH1544" s="6"/>
      <c r="AI1544" s="6"/>
      <c r="AN1544" s="6"/>
      <c r="AO1544" s="6"/>
      <c r="AP1544" s="6"/>
      <c r="AQ1544" s="6"/>
      <c r="AR1544" s="27"/>
      <c r="AS1544" s="27"/>
      <c r="AT1544" s="27"/>
      <c r="AU1544" s="12"/>
      <c r="AV1544" s="28"/>
    </row>
    <row r="1545" spans="4:48">
      <c r="D1545" s="12"/>
      <c r="E1545" s="12"/>
      <c r="F1545" s="12"/>
      <c r="G1545" s="12"/>
      <c r="H1545" s="36"/>
      <c r="J1545" s="19"/>
      <c r="K1545" s="19"/>
      <c r="L1545" s="19"/>
      <c r="AF1545" s="6"/>
      <c r="AG1545" s="6"/>
      <c r="AH1545" s="6"/>
      <c r="AI1545" s="6"/>
      <c r="AN1545" s="6"/>
      <c r="AO1545" s="6"/>
      <c r="AP1545" s="6"/>
      <c r="AQ1545" s="6"/>
      <c r="AR1545" s="27"/>
      <c r="AS1545" s="27"/>
      <c r="AT1545" s="27"/>
      <c r="AU1545" s="12"/>
      <c r="AV1545" s="28"/>
    </row>
    <row r="1546" spans="4:48">
      <c r="D1546" s="12"/>
      <c r="E1546" s="12"/>
      <c r="F1546" s="12"/>
      <c r="G1546" s="12"/>
      <c r="H1546" s="36"/>
      <c r="J1546" s="19"/>
      <c r="K1546" s="19"/>
      <c r="L1546" s="19"/>
      <c r="AF1546" s="6"/>
      <c r="AG1546" s="6"/>
      <c r="AH1546" s="6"/>
      <c r="AI1546" s="6"/>
      <c r="AN1546" s="6"/>
      <c r="AO1546" s="6"/>
      <c r="AP1546" s="6"/>
      <c r="AQ1546" s="6"/>
      <c r="AR1546" s="27"/>
      <c r="AS1546" s="27"/>
      <c r="AT1546" s="27"/>
      <c r="AU1546" s="12"/>
      <c r="AV1546" s="28"/>
    </row>
    <row r="1547" spans="4:48">
      <c r="D1547" s="12"/>
      <c r="E1547" s="12"/>
      <c r="F1547" s="12"/>
      <c r="G1547" s="12"/>
      <c r="H1547" s="36"/>
      <c r="J1547" s="19"/>
      <c r="K1547" s="19"/>
      <c r="L1547" s="19"/>
      <c r="AF1547" s="6"/>
      <c r="AG1547" s="6"/>
      <c r="AH1547" s="6"/>
      <c r="AI1547" s="6"/>
      <c r="AN1547" s="6"/>
      <c r="AO1547" s="6"/>
      <c r="AP1547" s="6"/>
      <c r="AQ1547" s="6"/>
      <c r="AR1547" s="27"/>
      <c r="AS1547" s="27"/>
      <c r="AT1547" s="27"/>
      <c r="AU1547" s="12"/>
      <c r="AV1547" s="28"/>
    </row>
    <row r="1548" spans="4:48">
      <c r="D1548" s="12"/>
      <c r="E1548" s="12"/>
      <c r="F1548" s="12"/>
      <c r="G1548" s="12"/>
      <c r="H1548" s="36"/>
      <c r="J1548" s="19"/>
      <c r="K1548" s="19"/>
      <c r="L1548" s="19"/>
      <c r="AF1548" s="6"/>
      <c r="AG1548" s="6"/>
      <c r="AH1548" s="6"/>
      <c r="AI1548" s="6"/>
      <c r="AN1548" s="6"/>
      <c r="AO1548" s="6"/>
      <c r="AP1548" s="6"/>
      <c r="AQ1548" s="6"/>
      <c r="AR1548" s="27"/>
      <c r="AS1548" s="27"/>
      <c r="AT1548" s="27"/>
      <c r="AU1548" s="12"/>
      <c r="AV1548" s="28"/>
    </row>
    <row r="1549" spans="4:48">
      <c r="D1549" s="12"/>
      <c r="E1549" s="12"/>
      <c r="F1549" s="12"/>
      <c r="G1549" s="12"/>
      <c r="H1549" s="36"/>
      <c r="J1549" s="19"/>
      <c r="K1549" s="19"/>
      <c r="L1549" s="19"/>
      <c r="AF1549" s="6"/>
      <c r="AG1549" s="6"/>
      <c r="AH1549" s="6"/>
      <c r="AI1549" s="6"/>
      <c r="AN1549" s="6"/>
      <c r="AO1549" s="6"/>
      <c r="AP1549" s="6"/>
      <c r="AQ1549" s="6"/>
      <c r="AR1549" s="27"/>
      <c r="AS1549" s="27"/>
      <c r="AT1549" s="27"/>
      <c r="AU1549" s="12"/>
      <c r="AV1549" s="28"/>
    </row>
    <row r="1550" spans="4:48">
      <c r="D1550" s="12"/>
      <c r="E1550" s="12"/>
      <c r="F1550" s="12"/>
      <c r="G1550" s="12"/>
      <c r="H1550" s="36"/>
      <c r="J1550" s="19"/>
      <c r="K1550" s="19"/>
      <c r="L1550" s="19"/>
      <c r="AF1550" s="6"/>
      <c r="AG1550" s="6"/>
      <c r="AH1550" s="6"/>
      <c r="AI1550" s="6"/>
      <c r="AN1550" s="6"/>
      <c r="AO1550" s="6"/>
      <c r="AP1550" s="6"/>
      <c r="AQ1550" s="6"/>
      <c r="AR1550" s="27"/>
      <c r="AS1550" s="27"/>
      <c r="AT1550" s="27"/>
      <c r="AU1550" s="12"/>
      <c r="AV1550" s="28"/>
    </row>
    <row r="1551" spans="4:48">
      <c r="D1551" s="12"/>
      <c r="E1551" s="12"/>
      <c r="F1551" s="12"/>
      <c r="G1551" s="12"/>
      <c r="H1551" s="36"/>
      <c r="J1551" s="19"/>
      <c r="K1551" s="19"/>
      <c r="L1551" s="19"/>
      <c r="AF1551" s="6"/>
      <c r="AG1551" s="6"/>
      <c r="AH1551" s="6"/>
      <c r="AI1551" s="6"/>
      <c r="AN1551" s="6"/>
      <c r="AO1551" s="6"/>
      <c r="AP1551" s="6"/>
      <c r="AQ1551" s="6"/>
      <c r="AR1551" s="27"/>
      <c r="AS1551" s="27"/>
      <c r="AT1551" s="27"/>
      <c r="AU1551" s="12"/>
      <c r="AV1551" s="28"/>
    </row>
    <row r="1552" spans="4:48">
      <c r="D1552" s="12"/>
      <c r="E1552" s="12"/>
      <c r="F1552" s="12"/>
      <c r="G1552" s="12"/>
      <c r="H1552" s="36"/>
      <c r="J1552" s="19"/>
      <c r="K1552" s="19"/>
      <c r="L1552" s="19"/>
      <c r="AF1552" s="6"/>
      <c r="AG1552" s="6"/>
      <c r="AH1552" s="6"/>
      <c r="AI1552" s="6"/>
      <c r="AN1552" s="6"/>
      <c r="AO1552" s="6"/>
      <c r="AP1552" s="6"/>
      <c r="AQ1552" s="6"/>
      <c r="AR1552" s="27"/>
      <c r="AS1552" s="27"/>
      <c r="AT1552" s="27"/>
      <c r="AU1552" s="12"/>
      <c r="AV1552" s="28"/>
    </row>
    <row r="1553" spans="4:48">
      <c r="D1553" s="12"/>
      <c r="E1553" s="12"/>
      <c r="F1553" s="12"/>
      <c r="G1553" s="12"/>
      <c r="H1553" s="36"/>
      <c r="J1553" s="19"/>
      <c r="K1553" s="19"/>
      <c r="L1553" s="19"/>
      <c r="AF1553" s="6"/>
      <c r="AG1553" s="6"/>
      <c r="AH1553" s="6"/>
      <c r="AI1553" s="6"/>
      <c r="AN1553" s="6"/>
      <c r="AO1553" s="6"/>
      <c r="AP1553" s="6"/>
      <c r="AQ1553" s="6"/>
      <c r="AR1553" s="27"/>
      <c r="AS1553" s="27"/>
      <c r="AT1553" s="27"/>
      <c r="AU1553" s="12"/>
      <c r="AV1553" s="28"/>
    </row>
    <row r="1554" spans="4:48">
      <c r="D1554" s="12"/>
      <c r="E1554" s="12"/>
      <c r="F1554" s="12"/>
      <c r="G1554" s="12"/>
      <c r="H1554" s="36"/>
      <c r="J1554" s="19"/>
      <c r="K1554" s="19"/>
      <c r="L1554" s="19"/>
      <c r="AF1554" s="6"/>
      <c r="AG1554" s="6"/>
      <c r="AH1554" s="6"/>
      <c r="AI1554" s="6"/>
      <c r="AN1554" s="6"/>
      <c r="AO1554" s="6"/>
      <c r="AP1554" s="6"/>
      <c r="AQ1554" s="6"/>
      <c r="AR1554" s="27"/>
      <c r="AS1554" s="27"/>
      <c r="AT1554" s="27"/>
      <c r="AU1554" s="12"/>
      <c r="AV1554" s="28"/>
    </row>
    <row r="1555" spans="4:48">
      <c r="D1555" s="12"/>
      <c r="E1555" s="12"/>
      <c r="F1555" s="12"/>
      <c r="G1555" s="12"/>
      <c r="H1555" s="36"/>
      <c r="J1555" s="19"/>
      <c r="K1555" s="19"/>
      <c r="L1555" s="19"/>
      <c r="AF1555" s="6"/>
      <c r="AG1555" s="6"/>
      <c r="AH1555" s="6"/>
      <c r="AI1555" s="6"/>
      <c r="AN1555" s="6"/>
      <c r="AO1555" s="6"/>
      <c r="AP1555" s="6"/>
      <c r="AQ1555" s="6"/>
      <c r="AR1555" s="27"/>
      <c r="AS1555" s="27"/>
      <c r="AT1555" s="27"/>
      <c r="AU1555" s="12"/>
      <c r="AV1555" s="28"/>
    </row>
    <row r="1556" spans="4:48">
      <c r="D1556" s="12"/>
      <c r="E1556" s="12"/>
      <c r="F1556" s="12"/>
      <c r="G1556" s="12"/>
      <c r="H1556" s="36"/>
      <c r="J1556" s="19"/>
      <c r="K1556" s="19"/>
      <c r="L1556" s="19"/>
      <c r="AF1556" s="6"/>
      <c r="AG1556" s="6"/>
      <c r="AH1556" s="6"/>
      <c r="AI1556" s="6"/>
      <c r="AN1556" s="6"/>
      <c r="AO1556" s="6"/>
      <c r="AP1556" s="6"/>
      <c r="AQ1556" s="6"/>
      <c r="AR1556" s="27"/>
      <c r="AS1556" s="27"/>
      <c r="AT1556" s="27"/>
      <c r="AU1556" s="12"/>
      <c r="AV1556" s="28"/>
    </row>
    <row r="1557" spans="4:48">
      <c r="D1557" s="12"/>
      <c r="E1557" s="12"/>
      <c r="F1557" s="12"/>
      <c r="G1557" s="12"/>
      <c r="H1557" s="36"/>
      <c r="J1557" s="19"/>
      <c r="K1557" s="19"/>
      <c r="L1557" s="19"/>
      <c r="AF1557" s="6"/>
      <c r="AG1557" s="6"/>
      <c r="AH1557" s="6"/>
      <c r="AI1557" s="6"/>
      <c r="AN1557" s="6"/>
      <c r="AO1557" s="6"/>
      <c r="AP1557" s="6"/>
      <c r="AQ1557" s="6"/>
      <c r="AR1557" s="27"/>
      <c r="AS1557" s="27"/>
      <c r="AT1557" s="27"/>
      <c r="AU1557" s="12"/>
      <c r="AV1557" s="28"/>
    </row>
    <row r="1558" spans="4:48">
      <c r="D1558" s="12"/>
      <c r="E1558" s="12"/>
      <c r="F1558" s="12"/>
      <c r="G1558" s="12"/>
      <c r="H1558" s="36"/>
      <c r="J1558" s="19"/>
      <c r="K1558" s="19"/>
      <c r="L1558" s="19"/>
      <c r="AF1558" s="6"/>
      <c r="AG1558" s="6"/>
      <c r="AH1558" s="6"/>
      <c r="AI1558" s="6"/>
      <c r="AN1558" s="6"/>
      <c r="AO1558" s="6"/>
      <c r="AP1558" s="6"/>
      <c r="AQ1558" s="6"/>
      <c r="AR1558" s="27"/>
      <c r="AS1558" s="27"/>
      <c r="AT1558" s="27"/>
      <c r="AU1558" s="12"/>
      <c r="AV1558" s="28"/>
    </row>
    <row r="1559" spans="4:48">
      <c r="D1559" s="12"/>
      <c r="E1559" s="12"/>
      <c r="F1559" s="12"/>
      <c r="G1559" s="12"/>
      <c r="H1559" s="36"/>
      <c r="J1559" s="19"/>
      <c r="K1559" s="19"/>
      <c r="L1559" s="19"/>
      <c r="AF1559" s="6"/>
      <c r="AG1559" s="6"/>
      <c r="AH1559" s="6"/>
      <c r="AI1559" s="6"/>
      <c r="AN1559" s="6"/>
      <c r="AO1559" s="6"/>
      <c r="AP1559" s="6"/>
      <c r="AQ1559" s="6"/>
      <c r="AR1559" s="27"/>
      <c r="AS1559" s="27"/>
      <c r="AT1559" s="27"/>
      <c r="AU1559" s="12"/>
      <c r="AV1559" s="28"/>
    </row>
    <row r="1560" spans="4:48">
      <c r="D1560" s="12"/>
      <c r="E1560" s="12"/>
      <c r="F1560" s="12"/>
      <c r="G1560" s="12"/>
      <c r="H1560" s="36"/>
      <c r="J1560" s="19"/>
      <c r="K1560" s="19"/>
      <c r="L1560" s="19"/>
      <c r="AF1560" s="6"/>
      <c r="AG1560" s="6"/>
      <c r="AH1560" s="6"/>
      <c r="AI1560" s="6"/>
      <c r="AN1560" s="6"/>
      <c r="AO1560" s="6"/>
      <c r="AP1560" s="6"/>
      <c r="AQ1560" s="6"/>
      <c r="AR1560" s="27"/>
      <c r="AS1560" s="27"/>
      <c r="AT1560" s="27"/>
      <c r="AU1560" s="12"/>
      <c r="AV1560" s="28"/>
    </row>
    <row r="1561" spans="4:48">
      <c r="D1561" s="12"/>
      <c r="E1561" s="12"/>
      <c r="F1561" s="12"/>
      <c r="G1561" s="12"/>
      <c r="H1561" s="36"/>
      <c r="J1561" s="19"/>
      <c r="K1561" s="19"/>
      <c r="L1561" s="19"/>
      <c r="AF1561" s="6"/>
      <c r="AG1561" s="6"/>
      <c r="AH1561" s="6"/>
      <c r="AI1561" s="6"/>
      <c r="AN1561" s="6"/>
      <c r="AO1561" s="6"/>
      <c r="AP1561" s="6"/>
      <c r="AQ1561" s="6"/>
      <c r="AR1561" s="27"/>
      <c r="AS1561" s="27"/>
      <c r="AT1561" s="27"/>
      <c r="AU1561" s="12"/>
      <c r="AV1561" s="28"/>
    </row>
    <row r="1562" spans="4:48">
      <c r="D1562" s="12"/>
      <c r="E1562" s="12"/>
      <c r="F1562" s="12"/>
      <c r="G1562" s="12"/>
      <c r="H1562" s="36"/>
      <c r="J1562" s="19"/>
      <c r="K1562" s="19"/>
      <c r="L1562" s="19"/>
      <c r="AF1562" s="6"/>
      <c r="AG1562" s="6"/>
      <c r="AH1562" s="6"/>
      <c r="AI1562" s="6"/>
      <c r="AN1562" s="6"/>
      <c r="AO1562" s="6"/>
      <c r="AP1562" s="6"/>
      <c r="AQ1562" s="6"/>
      <c r="AR1562" s="27"/>
      <c r="AS1562" s="27"/>
      <c r="AT1562" s="27"/>
      <c r="AU1562" s="12"/>
      <c r="AV1562" s="28"/>
    </row>
    <row r="1563" spans="4:48">
      <c r="D1563" s="12"/>
      <c r="E1563" s="12"/>
      <c r="F1563" s="12"/>
      <c r="G1563" s="12"/>
      <c r="H1563" s="36"/>
      <c r="J1563" s="19"/>
      <c r="K1563" s="19"/>
      <c r="L1563" s="19"/>
      <c r="AF1563" s="6"/>
      <c r="AG1563" s="6"/>
      <c r="AH1563" s="6"/>
      <c r="AI1563" s="6"/>
      <c r="AN1563" s="6"/>
      <c r="AO1563" s="6"/>
      <c r="AP1563" s="6"/>
      <c r="AQ1563" s="6"/>
      <c r="AR1563" s="27"/>
      <c r="AS1563" s="27"/>
      <c r="AT1563" s="27"/>
      <c r="AU1563" s="12"/>
      <c r="AV1563" s="28"/>
    </row>
    <row r="1564" spans="4:48">
      <c r="D1564" s="12"/>
      <c r="E1564" s="12"/>
      <c r="F1564" s="12"/>
      <c r="G1564" s="12"/>
      <c r="H1564" s="36"/>
      <c r="J1564" s="19"/>
      <c r="K1564" s="19"/>
      <c r="L1564" s="19"/>
      <c r="AF1564" s="6"/>
      <c r="AG1564" s="6"/>
      <c r="AH1564" s="6"/>
      <c r="AI1564" s="6"/>
      <c r="AN1564" s="6"/>
      <c r="AO1564" s="6"/>
      <c r="AP1564" s="6"/>
      <c r="AQ1564" s="6"/>
      <c r="AR1564" s="27"/>
      <c r="AS1564" s="27"/>
      <c r="AT1564" s="27"/>
      <c r="AU1564" s="12"/>
      <c r="AV1564" s="28"/>
    </row>
    <row r="1565" spans="4:48">
      <c r="D1565" s="12"/>
      <c r="E1565" s="12"/>
      <c r="F1565" s="12"/>
      <c r="G1565" s="12"/>
      <c r="H1565" s="36"/>
      <c r="J1565" s="19"/>
      <c r="K1565" s="19"/>
      <c r="L1565" s="19"/>
      <c r="AF1565" s="6"/>
      <c r="AG1565" s="6"/>
      <c r="AH1565" s="6"/>
      <c r="AI1565" s="6"/>
      <c r="AN1565" s="6"/>
      <c r="AO1565" s="6"/>
      <c r="AP1565" s="6"/>
      <c r="AQ1565" s="6"/>
      <c r="AR1565" s="27"/>
      <c r="AS1565" s="27"/>
      <c r="AT1565" s="27"/>
      <c r="AU1565" s="12"/>
      <c r="AV1565" s="28"/>
    </row>
    <row r="1566" spans="4:48">
      <c r="D1566" s="12"/>
      <c r="E1566" s="12"/>
      <c r="F1566" s="12"/>
      <c r="G1566" s="12"/>
      <c r="H1566" s="36"/>
      <c r="J1566" s="19"/>
      <c r="K1566" s="19"/>
      <c r="L1566" s="19"/>
      <c r="AF1566" s="6"/>
      <c r="AG1566" s="6"/>
      <c r="AH1566" s="6"/>
      <c r="AI1566" s="6"/>
      <c r="AN1566" s="6"/>
      <c r="AO1566" s="6"/>
      <c r="AP1566" s="6"/>
      <c r="AQ1566" s="6"/>
      <c r="AR1566" s="27"/>
      <c r="AS1566" s="27"/>
      <c r="AT1566" s="27"/>
      <c r="AU1566" s="12"/>
      <c r="AV1566" s="28"/>
    </row>
    <row r="1567" spans="4:48">
      <c r="D1567" s="12"/>
      <c r="E1567" s="12"/>
      <c r="F1567" s="12"/>
      <c r="G1567" s="12"/>
      <c r="H1567" s="36"/>
      <c r="J1567" s="19"/>
      <c r="K1567" s="19"/>
      <c r="L1567" s="19"/>
      <c r="AF1567" s="6"/>
      <c r="AG1567" s="6"/>
      <c r="AH1567" s="6"/>
      <c r="AI1567" s="6"/>
      <c r="AN1567" s="6"/>
      <c r="AO1567" s="6"/>
      <c r="AP1567" s="6"/>
      <c r="AQ1567" s="6"/>
      <c r="AR1567" s="27"/>
      <c r="AS1567" s="27"/>
      <c r="AT1567" s="27"/>
      <c r="AU1567" s="12"/>
      <c r="AV1567" s="28"/>
    </row>
    <row r="1568" spans="4:48">
      <c r="D1568" s="12"/>
      <c r="E1568" s="12"/>
      <c r="F1568" s="12"/>
      <c r="G1568" s="12"/>
      <c r="H1568" s="36"/>
      <c r="J1568" s="19"/>
      <c r="K1568" s="19"/>
      <c r="L1568" s="19"/>
      <c r="AF1568" s="6"/>
      <c r="AG1568" s="6"/>
      <c r="AH1568" s="6"/>
      <c r="AI1568" s="6"/>
      <c r="AN1568" s="6"/>
      <c r="AO1568" s="6"/>
      <c r="AP1568" s="6"/>
      <c r="AQ1568" s="6"/>
      <c r="AR1568" s="27"/>
      <c r="AS1568" s="27"/>
      <c r="AT1568" s="27"/>
      <c r="AU1568" s="12"/>
      <c r="AV1568" s="28"/>
    </row>
    <row r="1569" spans="4:48">
      <c r="D1569" s="12"/>
      <c r="E1569" s="12"/>
      <c r="F1569" s="12"/>
      <c r="G1569" s="12"/>
      <c r="H1569" s="36"/>
      <c r="J1569" s="19"/>
      <c r="K1569" s="19"/>
      <c r="L1569" s="19"/>
      <c r="AF1569" s="6"/>
      <c r="AG1569" s="6"/>
      <c r="AH1569" s="6"/>
      <c r="AI1569" s="6"/>
      <c r="AN1569" s="6"/>
      <c r="AO1569" s="6"/>
      <c r="AP1569" s="6"/>
      <c r="AQ1569" s="6"/>
      <c r="AR1569" s="27"/>
      <c r="AS1569" s="27"/>
      <c r="AT1569" s="27"/>
      <c r="AU1569" s="12"/>
      <c r="AV1569" s="28"/>
    </row>
    <row r="1570" spans="4:48">
      <c r="D1570" s="12"/>
      <c r="E1570" s="12"/>
      <c r="F1570" s="12"/>
      <c r="G1570" s="12"/>
      <c r="H1570" s="36"/>
      <c r="J1570" s="19"/>
      <c r="K1570" s="19"/>
      <c r="L1570" s="19"/>
      <c r="AF1570" s="6"/>
      <c r="AG1570" s="6"/>
      <c r="AH1570" s="6"/>
      <c r="AI1570" s="6"/>
      <c r="AN1570" s="6"/>
      <c r="AO1570" s="6"/>
      <c r="AP1570" s="6"/>
      <c r="AQ1570" s="6"/>
      <c r="AR1570" s="27"/>
      <c r="AS1570" s="27"/>
      <c r="AT1570" s="27"/>
      <c r="AU1570" s="12"/>
      <c r="AV1570" s="28"/>
    </row>
    <row r="1571" spans="4:48">
      <c r="D1571" s="12"/>
      <c r="E1571" s="12"/>
      <c r="F1571" s="12"/>
      <c r="G1571" s="12"/>
      <c r="H1571" s="36"/>
      <c r="J1571" s="19"/>
      <c r="K1571" s="19"/>
      <c r="L1571" s="19"/>
      <c r="AF1571" s="6"/>
      <c r="AG1571" s="6"/>
      <c r="AH1571" s="6"/>
      <c r="AI1571" s="6"/>
      <c r="AN1571" s="6"/>
      <c r="AO1571" s="6"/>
      <c r="AP1571" s="6"/>
      <c r="AQ1571" s="6"/>
      <c r="AR1571" s="27"/>
      <c r="AS1571" s="27"/>
      <c r="AT1571" s="27"/>
      <c r="AU1571" s="12"/>
      <c r="AV1571" s="28"/>
    </row>
    <row r="1572" spans="4:48">
      <c r="D1572" s="12"/>
      <c r="E1572" s="12"/>
      <c r="F1572" s="12"/>
      <c r="G1572" s="12"/>
      <c r="H1572" s="36"/>
      <c r="J1572" s="19"/>
      <c r="K1572" s="19"/>
      <c r="L1572" s="19"/>
      <c r="AF1572" s="6"/>
      <c r="AG1572" s="6"/>
      <c r="AH1572" s="6"/>
      <c r="AI1572" s="6"/>
      <c r="AN1572" s="6"/>
      <c r="AO1572" s="6"/>
      <c r="AP1572" s="6"/>
      <c r="AQ1572" s="6"/>
      <c r="AR1572" s="27"/>
      <c r="AS1572" s="27"/>
      <c r="AT1572" s="27"/>
      <c r="AU1572" s="12"/>
      <c r="AV1572" s="28"/>
    </row>
    <row r="1573" spans="4:48">
      <c r="D1573" s="12"/>
      <c r="E1573" s="12"/>
      <c r="F1573" s="12"/>
      <c r="G1573" s="12"/>
      <c r="H1573" s="36"/>
      <c r="J1573" s="19"/>
      <c r="K1573" s="19"/>
      <c r="L1573" s="19"/>
      <c r="AF1573" s="6"/>
      <c r="AG1573" s="6"/>
      <c r="AH1573" s="6"/>
      <c r="AI1573" s="6"/>
      <c r="AN1573" s="6"/>
      <c r="AO1573" s="6"/>
      <c r="AP1573" s="6"/>
      <c r="AQ1573" s="6"/>
      <c r="AR1573" s="27"/>
      <c r="AS1573" s="27"/>
      <c r="AT1573" s="27"/>
      <c r="AU1573" s="12"/>
      <c r="AV1573" s="28"/>
    </row>
    <row r="1574" spans="4:48">
      <c r="D1574" s="12"/>
      <c r="E1574" s="12"/>
      <c r="F1574" s="12"/>
      <c r="G1574" s="12"/>
      <c r="H1574" s="36"/>
      <c r="J1574" s="19"/>
      <c r="K1574" s="19"/>
      <c r="L1574" s="19"/>
      <c r="AF1574" s="6"/>
      <c r="AG1574" s="6"/>
      <c r="AH1574" s="6"/>
      <c r="AI1574" s="6"/>
      <c r="AN1574" s="6"/>
      <c r="AO1574" s="6"/>
      <c r="AP1574" s="6"/>
      <c r="AQ1574" s="6"/>
      <c r="AR1574" s="27"/>
      <c r="AS1574" s="27"/>
      <c r="AT1574" s="27"/>
      <c r="AU1574" s="12"/>
      <c r="AV1574" s="28"/>
    </row>
    <row r="1575" spans="4:48">
      <c r="D1575" s="12"/>
      <c r="E1575" s="12"/>
      <c r="F1575" s="12"/>
      <c r="G1575" s="12"/>
      <c r="H1575" s="36"/>
      <c r="J1575" s="19"/>
      <c r="K1575" s="19"/>
      <c r="L1575" s="19"/>
      <c r="AF1575" s="6"/>
      <c r="AG1575" s="6"/>
      <c r="AH1575" s="6"/>
      <c r="AI1575" s="6"/>
      <c r="AN1575" s="6"/>
      <c r="AO1575" s="6"/>
      <c r="AP1575" s="6"/>
      <c r="AQ1575" s="6"/>
      <c r="AR1575" s="27"/>
      <c r="AS1575" s="27"/>
      <c r="AT1575" s="27"/>
      <c r="AU1575" s="12"/>
      <c r="AV1575" s="28"/>
    </row>
    <row r="1576" spans="4:48">
      <c r="D1576" s="12"/>
      <c r="E1576" s="12"/>
      <c r="F1576" s="12"/>
      <c r="G1576" s="12"/>
      <c r="H1576" s="36"/>
      <c r="J1576" s="19"/>
      <c r="K1576" s="19"/>
      <c r="L1576" s="19"/>
      <c r="AF1576" s="6"/>
      <c r="AG1576" s="6"/>
      <c r="AH1576" s="6"/>
      <c r="AI1576" s="6"/>
      <c r="AN1576" s="6"/>
      <c r="AO1576" s="6"/>
      <c r="AP1576" s="6"/>
      <c r="AQ1576" s="6"/>
      <c r="AR1576" s="27"/>
      <c r="AS1576" s="27"/>
      <c r="AT1576" s="27"/>
      <c r="AU1576" s="12"/>
      <c r="AV1576" s="28"/>
    </row>
    <row r="1577" spans="4:48">
      <c r="D1577" s="12"/>
      <c r="E1577" s="12"/>
      <c r="F1577" s="12"/>
      <c r="G1577" s="12"/>
      <c r="H1577" s="36"/>
      <c r="J1577" s="19"/>
      <c r="K1577" s="19"/>
      <c r="L1577" s="19"/>
      <c r="AF1577" s="6"/>
      <c r="AG1577" s="6"/>
      <c r="AH1577" s="6"/>
      <c r="AI1577" s="6"/>
      <c r="AN1577" s="6"/>
      <c r="AO1577" s="6"/>
      <c r="AP1577" s="6"/>
      <c r="AQ1577" s="6"/>
      <c r="AR1577" s="27"/>
      <c r="AS1577" s="27"/>
      <c r="AT1577" s="27"/>
      <c r="AU1577" s="12"/>
      <c r="AV1577" s="28"/>
    </row>
    <row r="1578" spans="4:48">
      <c r="D1578" s="12"/>
      <c r="E1578" s="12"/>
      <c r="F1578" s="12"/>
      <c r="G1578" s="12"/>
      <c r="H1578" s="36"/>
      <c r="J1578" s="19"/>
      <c r="K1578" s="19"/>
      <c r="L1578" s="19"/>
      <c r="AF1578" s="6"/>
      <c r="AG1578" s="6"/>
      <c r="AH1578" s="6"/>
      <c r="AI1578" s="6"/>
      <c r="AN1578" s="6"/>
      <c r="AO1578" s="6"/>
      <c r="AP1578" s="6"/>
      <c r="AQ1578" s="6"/>
      <c r="AR1578" s="27"/>
      <c r="AS1578" s="27"/>
      <c r="AT1578" s="27"/>
      <c r="AU1578" s="12"/>
      <c r="AV1578" s="28"/>
    </row>
    <row r="1579" spans="4:48">
      <c r="D1579" s="12"/>
      <c r="E1579" s="12"/>
      <c r="F1579" s="12"/>
      <c r="G1579" s="12"/>
      <c r="H1579" s="36"/>
      <c r="J1579" s="19"/>
      <c r="K1579" s="19"/>
      <c r="L1579" s="19"/>
      <c r="AF1579" s="6"/>
      <c r="AG1579" s="6"/>
      <c r="AH1579" s="6"/>
      <c r="AI1579" s="6"/>
      <c r="AN1579" s="6"/>
      <c r="AO1579" s="6"/>
      <c r="AP1579" s="6"/>
      <c r="AQ1579" s="6"/>
      <c r="AR1579" s="27"/>
      <c r="AS1579" s="27"/>
      <c r="AT1579" s="27"/>
      <c r="AU1579" s="12"/>
      <c r="AV1579" s="28"/>
    </row>
    <row r="1580" spans="4:48">
      <c r="D1580" s="12"/>
      <c r="E1580" s="12"/>
      <c r="F1580" s="12"/>
      <c r="G1580" s="12"/>
      <c r="H1580" s="36"/>
      <c r="J1580" s="19"/>
      <c r="K1580" s="19"/>
      <c r="L1580" s="19"/>
      <c r="AF1580" s="6"/>
      <c r="AG1580" s="6"/>
      <c r="AH1580" s="6"/>
      <c r="AI1580" s="6"/>
      <c r="AN1580" s="6"/>
      <c r="AO1580" s="6"/>
      <c r="AP1580" s="6"/>
      <c r="AQ1580" s="6"/>
      <c r="AR1580" s="27"/>
      <c r="AS1580" s="27"/>
      <c r="AT1580" s="27"/>
      <c r="AU1580" s="12"/>
      <c r="AV1580" s="28"/>
    </row>
    <row r="1581" spans="4:48">
      <c r="D1581" s="12"/>
      <c r="E1581" s="12"/>
      <c r="F1581" s="12"/>
      <c r="G1581" s="12"/>
      <c r="H1581" s="36"/>
      <c r="J1581" s="19"/>
      <c r="K1581" s="19"/>
      <c r="L1581" s="19"/>
      <c r="AF1581" s="6"/>
      <c r="AG1581" s="6"/>
      <c r="AH1581" s="6"/>
      <c r="AI1581" s="6"/>
      <c r="AN1581" s="6"/>
      <c r="AO1581" s="6"/>
      <c r="AP1581" s="6"/>
      <c r="AQ1581" s="6"/>
      <c r="AR1581" s="27"/>
      <c r="AS1581" s="27"/>
      <c r="AT1581" s="27"/>
      <c r="AU1581" s="12"/>
      <c r="AV1581" s="28"/>
    </row>
    <row r="1582" spans="4:48">
      <c r="D1582" s="12"/>
      <c r="E1582" s="12"/>
      <c r="F1582" s="12"/>
      <c r="G1582" s="12"/>
      <c r="H1582" s="36"/>
      <c r="J1582" s="19"/>
      <c r="K1582" s="19"/>
      <c r="L1582" s="19"/>
      <c r="AF1582" s="6"/>
      <c r="AG1582" s="6"/>
      <c r="AH1582" s="6"/>
      <c r="AI1582" s="6"/>
      <c r="AN1582" s="6"/>
      <c r="AO1582" s="6"/>
      <c r="AP1582" s="6"/>
      <c r="AQ1582" s="6"/>
      <c r="AR1582" s="27"/>
      <c r="AS1582" s="27"/>
      <c r="AT1582" s="27"/>
      <c r="AU1582" s="12"/>
      <c r="AV1582" s="28"/>
    </row>
    <row r="1583" spans="4:48">
      <c r="D1583" s="12"/>
      <c r="E1583" s="12"/>
      <c r="F1583" s="12"/>
      <c r="G1583" s="12"/>
      <c r="H1583" s="36"/>
      <c r="J1583" s="19"/>
      <c r="K1583" s="19"/>
      <c r="L1583" s="19"/>
      <c r="AF1583" s="6"/>
      <c r="AG1583" s="6"/>
      <c r="AH1583" s="6"/>
      <c r="AI1583" s="6"/>
      <c r="AN1583" s="6"/>
      <c r="AO1583" s="6"/>
      <c r="AP1583" s="6"/>
      <c r="AQ1583" s="6"/>
      <c r="AR1583" s="27"/>
      <c r="AS1583" s="27"/>
      <c r="AT1583" s="27"/>
      <c r="AU1583" s="12"/>
      <c r="AV1583" s="28"/>
    </row>
    <row r="1584" spans="4:48">
      <c r="D1584" s="12"/>
      <c r="E1584" s="12"/>
      <c r="F1584" s="12"/>
      <c r="G1584" s="12"/>
      <c r="H1584" s="36"/>
      <c r="J1584" s="19"/>
      <c r="K1584" s="19"/>
      <c r="L1584" s="19"/>
      <c r="AF1584" s="6"/>
      <c r="AG1584" s="6"/>
      <c r="AH1584" s="6"/>
      <c r="AI1584" s="6"/>
      <c r="AN1584" s="6"/>
      <c r="AO1584" s="6"/>
      <c r="AP1584" s="6"/>
      <c r="AQ1584" s="6"/>
      <c r="AR1584" s="27"/>
      <c r="AS1584" s="27"/>
      <c r="AT1584" s="27"/>
      <c r="AU1584" s="12"/>
      <c r="AV1584" s="28"/>
    </row>
    <row r="1585" spans="4:48">
      <c r="D1585" s="12"/>
      <c r="E1585" s="12"/>
      <c r="F1585" s="12"/>
      <c r="G1585" s="12"/>
      <c r="H1585" s="36"/>
      <c r="J1585" s="19"/>
      <c r="K1585" s="19"/>
      <c r="L1585" s="19"/>
      <c r="AF1585" s="6"/>
      <c r="AG1585" s="6"/>
      <c r="AH1585" s="6"/>
      <c r="AI1585" s="6"/>
      <c r="AN1585" s="6"/>
      <c r="AO1585" s="6"/>
      <c r="AP1585" s="6"/>
      <c r="AQ1585" s="6"/>
      <c r="AR1585" s="27"/>
      <c r="AS1585" s="27"/>
      <c r="AT1585" s="27"/>
      <c r="AU1585" s="12"/>
      <c r="AV1585" s="28"/>
    </row>
    <row r="1586" spans="4:48">
      <c r="D1586" s="12"/>
      <c r="E1586" s="12"/>
      <c r="F1586" s="12"/>
      <c r="G1586" s="12"/>
      <c r="H1586" s="36"/>
      <c r="J1586" s="19"/>
      <c r="K1586" s="19"/>
      <c r="L1586" s="19"/>
      <c r="AF1586" s="6"/>
      <c r="AG1586" s="6"/>
      <c r="AH1586" s="6"/>
      <c r="AI1586" s="6"/>
      <c r="AN1586" s="6"/>
      <c r="AO1586" s="6"/>
      <c r="AP1586" s="6"/>
      <c r="AQ1586" s="6"/>
      <c r="AR1586" s="27"/>
      <c r="AS1586" s="27"/>
      <c r="AT1586" s="27"/>
      <c r="AU1586" s="12"/>
      <c r="AV1586" s="28"/>
    </row>
    <row r="1587" spans="4:48">
      <c r="D1587" s="12"/>
      <c r="E1587" s="12"/>
      <c r="F1587" s="12"/>
      <c r="G1587" s="12"/>
      <c r="H1587" s="36"/>
      <c r="J1587" s="19"/>
      <c r="K1587" s="19"/>
      <c r="L1587" s="19"/>
      <c r="AF1587" s="6"/>
      <c r="AG1587" s="6"/>
      <c r="AH1587" s="6"/>
      <c r="AI1587" s="6"/>
      <c r="AN1587" s="6"/>
      <c r="AO1587" s="6"/>
      <c r="AP1587" s="6"/>
      <c r="AQ1587" s="6"/>
      <c r="AR1587" s="27"/>
      <c r="AS1587" s="27"/>
      <c r="AT1587" s="27"/>
      <c r="AU1587" s="12"/>
      <c r="AV1587" s="28"/>
    </row>
    <row r="1588" spans="4:48">
      <c r="D1588" s="12"/>
      <c r="E1588" s="12"/>
      <c r="F1588" s="12"/>
      <c r="G1588" s="12"/>
      <c r="H1588" s="36"/>
      <c r="J1588" s="19"/>
      <c r="K1588" s="19"/>
      <c r="L1588" s="19"/>
      <c r="AF1588" s="6"/>
      <c r="AG1588" s="6"/>
      <c r="AH1588" s="6"/>
      <c r="AI1588" s="6"/>
      <c r="AN1588" s="6"/>
      <c r="AO1588" s="6"/>
      <c r="AP1588" s="6"/>
      <c r="AQ1588" s="6"/>
      <c r="AR1588" s="27"/>
      <c r="AS1588" s="27"/>
      <c r="AT1588" s="27"/>
      <c r="AU1588" s="12"/>
      <c r="AV1588" s="28"/>
    </row>
    <row r="1589" spans="4:48">
      <c r="D1589" s="12"/>
      <c r="E1589" s="12"/>
      <c r="F1589" s="12"/>
      <c r="G1589" s="12"/>
      <c r="H1589" s="36"/>
      <c r="J1589" s="19"/>
      <c r="K1589" s="19"/>
      <c r="L1589" s="19"/>
      <c r="AF1589" s="6"/>
      <c r="AG1589" s="6"/>
      <c r="AH1589" s="6"/>
      <c r="AI1589" s="6"/>
      <c r="AN1589" s="6"/>
      <c r="AO1589" s="6"/>
      <c r="AP1589" s="6"/>
      <c r="AQ1589" s="6"/>
      <c r="AR1589" s="27"/>
      <c r="AS1589" s="27"/>
      <c r="AT1589" s="27"/>
      <c r="AU1589" s="12"/>
      <c r="AV1589" s="28"/>
    </row>
    <row r="1590" spans="4:48">
      <c r="D1590" s="12"/>
      <c r="E1590" s="12"/>
      <c r="F1590" s="12"/>
      <c r="G1590" s="12"/>
      <c r="H1590" s="36"/>
      <c r="J1590" s="19"/>
      <c r="K1590" s="19"/>
      <c r="L1590" s="19"/>
      <c r="AF1590" s="6"/>
      <c r="AG1590" s="6"/>
      <c r="AH1590" s="6"/>
      <c r="AI1590" s="6"/>
      <c r="AN1590" s="6"/>
      <c r="AO1590" s="6"/>
      <c r="AP1590" s="6"/>
      <c r="AQ1590" s="6"/>
      <c r="AR1590" s="27"/>
      <c r="AS1590" s="27"/>
      <c r="AT1590" s="27"/>
      <c r="AU1590" s="12"/>
      <c r="AV1590" s="28"/>
    </row>
    <row r="1591" spans="4:48">
      <c r="D1591" s="12"/>
      <c r="E1591" s="12"/>
      <c r="F1591" s="12"/>
      <c r="G1591" s="12"/>
      <c r="H1591" s="36"/>
      <c r="J1591" s="19"/>
      <c r="K1591" s="19"/>
      <c r="L1591" s="19"/>
      <c r="AF1591" s="6"/>
      <c r="AG1591" s="6"/>
      <c r="AH1591" s="6"/>
      <c r="AI1591" s="6"/>
      <c r="AN1591" s="6"/>
      <c r="AO1591" s="6"/>
      <c r="AP1591" s="6"/>
      <c r="AQ1591" s="6"/>
      <c r="AR1591" s="27"/>
      <c r="AS1591" s="27"/>
      <c r="AT1591" s="27"/>
      <c r="AU1591" s="12"/>
      <c r="AV1591" s="28"/>
    </row>
    <row r="1592" spans="4:48">
      <c r="D1592" s="12"/>
      <c r="E1592" s="12"/>
      <c r="F1592" s="12"/>
      <c r="G1592" s="12"/>
      <c r="H1592" s="36"/>
      <c r="J1592" s="19"/>
      <c r="K1592" s="19"/>
      <c r="L1592" s="19"/>
      <c r="AF1592" s="6"/>
      <c r="AG1592" s="6"/>
      <c r="AH1592" s="6"/>
      <c r="AI1592" s="6"/>
      <c r="AN1592" s="6"/>
      <c r="AO1592" s="6"/>
      <c r="AP1592" s="6"/>
      <c r="AQ1592" s="6"/>
      <c r="AR1592" s="27"/>
      <c r="AS1592" s="27"/>
      <c r="AT1592" s="27"/>
      <c r="AU1592" s="12"/>
      <c r="AV1592" s="28"/>
    </row>
    <row r="1593" spans="4:48">
      <c r="D1593" s="12"/>
      <c r="E1593" s="12"/>
      <c r="F1593" s="12"/>
      <c r="G1593" s="12"/>
      <c r="H1593" s="36"/>
      <c r="J1593" s="19"/>
      <c r="K1593" s="19"/>
      <c r="L1593" s="19"/>
      <c r="AF1593" s="6"/>
      <c r="AG1593" s="6"/>
      <c r="AH1593" s="6"/>
      <c r="AI1593" s="6"/>
      <c r="AN1593" s="6"/>
      <c r="AO1593" s="6"/>
      <c r="AP1593" s="6"/>
      <c r="AQ1593" s="6"/>
      <c r="AR1593" s="27"/>
      <c r="AS1593" s="27"/>
      <c r="AT1593" s="27"/>
      <c r="AU1593" s="12"/>
      <c r="AV1593" s="28"/>
    </row>
    <row r="1594" spans="4:48">
      <c r="D1594" s="12"/>
      <c r="E1594" s="12"/>
      <c r="F1594" s="12"/>
      <c r="G1594" s="12"/>
      <c r="H1594" s="36"/>
      <c r="J1594" s="19"/>
      <c r="K1594" s="19"/>
      <c r="L1594" s="19"/>
      <c r="AF1594" s="6"/>
      <c r="AG1594" s="6"/>
      <c r="AH1594" s="6"/>
      <c r="AI1594" s="6"/>
      <c r="AN1594" s="6"/>
      <c r="AO1594" s="6"/>
      <c r="AP1594" s="6"/>
      <c r="AQ1594" s="6"/>
      <c r="AR1594" s="27"/>
      <c r="AS1594" s="27"/>
      <c r="AT1594" s="27"/>
      <c r="AU1594" s="12"/>
      <c r="AV1594" s="28"/>
    </row>
    <row r="1595" spans="4:48">
      <c r="D1595" s="12"/>
      <c r="E1595" s="12"/>
      <c r="F1595" s="12"/>
      <c r="G1595" s="12"/>
      <c r="H1595" s="36"/>
      <c r="J1595" s="19"/>
      <c r="K1595" s="19"/>
      <c r="L1595" s="19"/>
      <c r="AF1595" s="6"/>
      <c r="AG1595" s="6"/>
      <c r="AH1595" s="6"/>
      <c r="AI1595" s="6"/>
      <c r="AN1595" s="6"/>
      <c r="AO1595" s="6"/>
      <c r="AP1595" s="6"/>
      <c r="AQ1595" s="6"/>
      <c r="AR1595" s="27"/>
      <c r="AS1595" s="27"/>
      <c r="AT1595" s="27"/>
      <c r="AU1595" s="12"/>
      <c r="AV1595" s="28"/>
    </row>
    <row r="1596" spans="4:48">
      <c r="D1596" s="12"/>
      <c r="E1596" s="12"/>
      <c r="F1596" s="12"/>
      <c r="G1596" s="12"/>
      <c r="H1596" s="36"/>
      <c r="J1596" s="19"/>
      <c r="K1596" s="19"/>
      <c r="L1596" s="19"/>
      <c r="AF1596" s="6"/>
      <c r="AG1596" s="6"/>
      <c r="AH1596" s="6"/>
      <c r="AI1596" s="6"/>
      <c r="AN1596" s="6"/>
      <c r="AO1596" s="6"/>
      <c r="AP1596" s="6"/>
      <c r="AQ1596" s="6"/>
      <c r="AR1596" s="27"/>
      <c r="AS1596" s="27"/>
      <c r="AT1596" s="27"/>
      <c r="AU1596" s="12"/>
      <c r="AV1596" s="28"/>
    </row>
    <row r="1597" spans="4:48">
      <c r="D1597" s="12"/>
      <c r="E1597" s="12"/>
      <c r="F1597" s="12"/>
      <c r="G1597" s="12"/>
      <c r="H1597" s="36"/>
      <c r="J1597" s="19"/>
      <c r="K1597" s="19"/>
      <c r="L1597" s="19"/>
      <c r="AF1597" s="6"/>
      <c r="AG1597" s="6"/>
      <c r="AH1597" s="6"/>
      <c r="AI1597" s="6"/>
      <c r="AN1597" s="6"/>
      <c r="AO1597" s="6"/>
      <c r="AP1597" s="6"/>
      <c r="AQ1597" s="6"/>
      <c r="AR1597" s="27"/>
      <c r="AS1597" s="27"/>
      <c r="AT1597" s="27"/>
      <c r="AU1597" s="12"/>
      <c r="AV1597" s="28"/>
    </row>
    <row r="1598" spans="4:48">
      <c r="D1598" s="12"/>
      <c r="E1598" s="12"/>
      <c r="F1598" s="12"/>
      <c r="G1598" s="12"/>
      <c r="H1598" s="36"/>
      <c r="J1598" s="19"/>
      <c r="K1598" s="19"/>
      <c r="L1598" s="19"/>
      <c r="AF1598" s="6"/>
      <c r="AG1598" s="6"/>
      <c r="AH1598" s="6"/>
      <c r="AI1598" s="6"/>
      <c r="AN1598" s="6"/>
      <c r="AO1598" s="6"/>
      <c r="AP1598" s="6"/>
      <c r="AQ1598" s="6"/>
      <c r="AR1598" s="27"/>
      <c r="AS1598" s="27"/>
      <c r="AT1598" s="27"/>
      <c r="AU1598" s="12"/>
      <c r="AV1598" s="28"/>
    </row>
    <row r="1599" spans="4:48">
      <c r="D1599" s="12"/>
      <c r="E1599" s="12"/>
      <c r="F1599" s="12"/>
      <c r="G1599" s="12"/>
      <c r="H1599" s="36"/>
      <c r="J1599" s="19"/>
      <c r="K1599" s="19"/>
      <c r="L1599" s="19"/>
      <c r="AF1599" s="6"/>
      <c r="AG1599" s="6"/>
      <c r="AH1599" s="6"/>
      <c r="AI1599" s="6"/>
      <c r="AN1599" s="6"/>
      <c r="AO1599" s="6"/>
      <c r="AP1599" s="6"/>
      <c r="AQ1599" s="6"/>
      <c r="AR1599" s="27"/>
      <c r="AS1599" s="27"/>
      <c r="AT1599" s="27"/>
      <c r="AU1599" s="12"/>
      <c r="AV1599" s="28"/>
    </row>
    <row r="1600" spans="4:48">
      <c r="D1600" s="12"/>
      <c r="E1600" s="12"/>
      <c r="F1600" s="12"/>
      <c r="G1600" s="12"/>
      <c r="H1600" s="36"/>
      <c r="J1600" s="19"/>
      <c r="K1600" s="19"/>
      <c r="L1600" s="19"/>
      <c r="AF1600" s="6"/>
      <c r="AG1600" s="6"/>
      <c r="AH1600" s="6"/>
      <c r="AI1600" s="6"/>
      <c r="AN1600" s="6"/>
      <c r="AO1600" s="6"/>
      <c r="AP1600" s="6"/>
      <c r="AQ1600" s="6"/>
      <c r="AR1600" s="27"/>
      <c r="AS1600" s="27"/>
      <c r="AT1600" s="27"/>
      <c r="AU1600" s="12"/>
      <c r="AV1600" s="28"/>
    </row>
    <row r="1601" spans="4:48">
      <c r="D1601" s="12"/>
      <c r="E1601" s="12"/>
      <c r="F1601" s="12"/>
      <c r="G1601" s="12"/>
      <c r="H1601" s="36"/>
      <c r="J1601" s="19"/>
      <c r="K1601" s="19"/>
      <c r="L1601" s="19"/>
      <c r="AF1601" s="6"/>
      <c r="AG1601" s="6"/>
      <c r="AH1601" s="6"/>
      <c r="AI1601" s="6"/>
      <c r="AN1601" s="6"/>
      <c r="AO1601" s="6"/>
      <c r="AP1601" s="6"/>
      <c r="AQ1601" s="6"/>
      <c r="AR1601" s="27"/>
      <c r="AS1601" s="27"/>
      <c r="AT1601" s="27"/>
      <c r="AU1601" s="12"/>
      <c r="AV1601" s="28"/>
    </row>
    <row r="1602" spans="4:48">
      <c r="D1602" s="12"/>
      <c r="E1602" s="12"/>
      <c r="F1602" s="12"/>
      <c r="G1602" s="12"/>
      <c r="H1602" s="36"/>
      <c r="J1602" s="19"/>
      <c r="K1602" s="19"/>
      <c r="L1602" s="19"/>
      <c r="AF1602" s="6"/>
      <c r="AG1602" s="6"/>
      <c r="AH1602" s="6"/>
      <c r="AI1602" s="6"/>
      <c r="AN1602" s="6"/>
      <c r="AO1602" s="6"/>
      <c r="AP1602" s="6"/>
      <c r="AQ1602" s="6"/>
      <c r="AR1602" s="27"/>
      <c r="AS1602" s="27"/>
      <c r="AT1602" s="27"/>
      <c r="AU1602" s="12"/>
      <c r="AV1602" s="28"/>
    </row>
    <row r="1603" spans="4:48">
      <c r="D1603" s="12"/>
      <c r="E1603" s="12"/>
      <c r="F1603" s="12"/>
      <c r="G1603" s="12"/>
      <c r="H1603" s="36"/>
      <c r="J1603" s="19"/>
      <c r="K1603" s="19"/>
      <c r="L1603" s="19"/>
      <c r="AF1603" s="6"/>
      <c r="AG1603" s="6"/>
      <c r="AH1603" s="6"/>
      <c r="AI1603" s="6"/>
      <c r="AN1603" s="6"/>
      <c r="AO1603" s="6"/>
      <c r="AP1603" s="6"/>
      <c r="AQ1603" s="6"/>
      <c r="AR1603" s="27"/>
      <c r="AS1603" s="27"/>
      <c r="AT1603" s="27"/>
      <c r="AU1603" s="12"/>
      <c r="AV1603" s="28"/>
    </row>
    <row r="1604" spans="4:48">
      <c r="D1604" s="12"/>
      <c r="E1604" s="12"/>
      <c r="F1604" s="12"/>
      <c r="G1604" s="12"/>
      <c r="H1604" s="36"/>
      <c r="J1604" s="19"/>
      <c r="K1604" s="19"/>
      <c r="L1604" s="19"/>
      <c r="AF1604" s="6"/>
      <c r="AG1604" s="6"/>
      <c r="AH1604" s="6"/>
      <c r="AI1604" s="6"/>
      <c r="AN1604" s="6"/>
      <c r="AO1604" s="6"/>
      <c r="AP1604" s="6"/>
      <c r="AQ1604" s="6"/>
      <c r="AR1604" s="27"/>
      <c r="AS1604" s="27"/>
      <c r="AT1604" s="27"/>
      <c r="AU1604" s="12"/>
      <c r="AV1604" s="28"/>
    </row>
    <row r="1605" spans="4:48">
      <c r="D1605" s="12"/>
      <c r="E1605" s="12"/>
      <c r="F1605" s="12"/>
      <c r="G1605" s="12"/>
      <c r="H1605" s="36"/>
      <c r="J1605" s="19"/>
      <c r="K1605" s="19"/>
      <c r="L1605" s="19"/>
      <c r="AF1605" s="6"/>
      <c r="AG1605" s="6"/>
      <c r="AH1605" s="6"/>
      <c r="AI1605" s="6"/>
      <c r="AN1605" s="6"/>
      <c r="AO1605" s="6"/>
      <c r="AP1605" s="6"/>
      <c r="AQ1605" s="6"/>
      <c r="AR1605" s="27"/>
      <c r="AS1605" s="27"/>
      <c r="AT1605" s="27"/>
      <c r="AU1605" s="12"/>
      <c r="AV1605" s="28"/>
    </row>
    <row r="1606" spans="4:48">
      <c r="D1606" s="12"/>
      <c r="E1606" s="12"/>
      <c r="F1606" s="12"/>
      <c r="G1606" s="12"/>
      <c r="H1606" s="36"/>
      <c r="J1606" s="19"/>
      <c r="K1606" s="19"/>
      <c r="L1606" s="19"/>
      <c r="AF1606" s="6"/>
      <c r="AG1606" s="6"/>
      <c r="AH1606" s="6"/>
      <c r="AI1606" s="6"/>
      <c r="AN1606" s="6"/>
      <c r="AO1606" s="6"/>
      <c r="AP1606" s="6"/>
      <c r="AQ1606" s="6"/>
      <c r="AR1606" s="27"/>
      <c r="AS1606" s="27"/>
      <c r="AT1606" s="27"/>
      <c r="AU1606" s="12"/>
      <c r="AV1606" s="28"/>
    </row>
    <row r="1607" spans="4:48">
      <c r="D1607" s="12"/>
      <c r="E1607" s="12"/>
      <c r="F1607" s="12"/>
      <c r="G1607" s="12"/>
      <c r="H1607" s="36"/>
      <c r="J1607" s="19"/>
      <c r="K1607" s="19"/>
      <c r="L1607" s="19"/>
      <c r="AF1607" s="6"/>
      <c r="AG1607" s="6"/>
      <c r="AH1607" s="6"/>
      <c r="AI1607" s="6"/>
      <c r="AN1607" s="6"/>
      <c r="AO1607" s="6"/>
      <c r="AP1607" s="6"/>
      <c r="AQ1607" s="6"/>
      <c r="AR1607" s="27"/>
      <c r="AS1607" s="27"/>
      <c r="AT1607" s="27"/>
      <c r="AU1607" s="12"/>
      <c r="AV1607" s="28"/>
    </row>
    <row r="1608" spans="4:48">
      <c r="D1608" s="12"/>
      <c r="E1608" s="12"/>
      <c r="F1608" s="12"/>
      <c r="G1608" s="12"/>
      <c r="H1608" s="36"/>
      <c r="J1608" s="19"/>
      <c r="K1608" s="19"/>
      <c r="L1608" s="19"/>
      <c r="AF1608" s="6"/>
      <c r="AG1608" s="6"/>
      <c r="AH1608" s="6"/>
      <c r="AI1608" s="6"/>
      <c r="AN1608" s="6"/>
      <c r="AO1608" s="6"/>
      <c r="AP1608" s="6"/>
      <c r="AQ1608" s="6"/>
      <c r="AR1608" s="27"/>
      <c r="AS1608" s="27"/>
      <c r="AT1608" s="27"/>
      <c r="AU1608" s="12"/>
      <c r="AV1608" s="28"/>
    </row>
    <row r="1609" spans="4:48">
      <c r="D1609" s="12"/>
      <c r="E1609" s="12"/>
      <c r="F1609" s="12"/>
      <c r="G1609" s="12"/>
      <c r="H1609" s="36"/>
      <c r="J1609" s="19"/>
      <c r="K1609" s="19"/>
      <c r="L1609" s="19"/>
      <c r="AF1609" s="6"/>
      <c r="AG1609" s="6"/>
      <c r="AH1609" s="6"/>
      <c r="AI1609" s="6"/>
      <c r="AN1609" s="6"/>
      <c r="AO1609" s="6"/>
      <c r="AP1609" s="6"/>
      <c r="AQ1609" s="6"/>
      <c r="AR1609" s="27"/>
      <c r="AS1609" s="27"/>
      <c r="AT1609" s="27"/>
      <c r="AU1609" s="12"/>
      <c r="AV1609" s="28"/>
    </row>
    <row r="1610" spans="4:48">
      <c r="D1610" s="12"/>
      <c r="E1610" s="12"/>
      <c r="F1610" s="12"/>
      <c r="G1610" s="12"/>
      <c r="H1610" s="36"/>
      <c r="J1610" s="19"/>
      <c r="K1610" s="19"/>
      <c r="L1610" s="19"/>
      <c r="AF1610" s="6"/>
      <c r="AG1610" s="6"/>
      <c r="AH1610" s="6"/>
      <c r="AI1610" s="6"/>
      <c r="AN1610" s="6"/>
      <c r="AO1610" s="6"/>
      <c r="AP1610" s="6"/>
      <c r="AQ1610" s="6"/>
      <c r="AR1610" s="27"/>
      <c r="AS1610" s="27"/>
      <c r="AT1610" s="27"/>
      <c r="AU1610" s="12"/>
      <c r="AV1610" s="28"/>
    </row>
    <row r="1611" spans="4:48">
      <c r="D1611" s="12"/>
      <c r="E1611" s="12"/>
      <c r="F1611" s="12"/>
      <c r="G1611" s="12"/>
      <c r="H1611" s="36"/>
      <c r="J1611" s="19"/>
      <c r="K1611" s="19"/>
      <c r="L1611" s="19"/>
      <c r="AF1611" s="6"/>
      <c r="AG1611" s="6"/>
      <c r="AH1611" s="6"/>
      <c r="AI1611" s="6"/>
      <c r="AN1611" s="6"/>
      <c r="AO1611" s="6"/>
      <c r="AP1611" s="6"/>
      <c r="AQ1611" s="6"/>
      <c r="AR1611" s="27"/>
      <c r="AS1611" s="27"/>
      <c r="AT1611" s="27"/>
      <c r="AU1611" s="12"/>
      <c r="AV1611" s="28"/>
    </row>
    <row r="1612" spans="4:48">
      <c r="D1612" s="12"/>
      <c r="E1612" s="12"/>
      <c r="F1612" s="12"/>
      <c r="G1612" s="12"/>
      <c r="H1612" s="36"/>
      <c r="J1612" s="19"/>
      <c r="K1612" s="19"/>
      <c r="L1612" s="19"/>
      <c r="AF1612" s="6"/>
      <c r="AG1612" s="6"/>
      <c r="AH1612" s="6"/>
      <c r="AI1612" s="6"/>
      <c r="AN1612" s="6"/>
      <c r="AO1612" s="6"/>
      <c r="AP1612" s="6"/>
      <c r="AQ1612" s="6"/>
      <c r="AR1612" s="27"/>
      <c r="AS1612" s="27"/>
      <c r="AT1612" s="27"/>
      <c r="AU1612" s="12"/>
      <c r="AV1612" s="28"/>
    </row>
    <row r="1613" spans="4:48">
      <c r="D1613" s="12"/>
      <c r="E1613" s="12"/>
      <c r="F1613" s="12"/>
      <c r="G1613" s="12"/>
      <c r="H1613" s="36"/>
      <c r="J1613" s="19"/>
      <c r="K1613" s="19"/>
      <c r="L1613" s="19"/>
      <c r="AF1613" s="6"/>
      <c r="AG1613" s="6"/>
      <c r="AH1613" s="6"/>
      <c r="AI1613" s="6"/>
      <c r="AN1613" s="6"/>
      <c r="AO1613" s="6"/>
      <c r="AP1613" s="6"/>
      <c r="AQ1613" s="6"/>
      <c r="AR1613" s="27"/>
      <c r="AS1613" s="27"/>
      <c r="AT1613" s="27"/>
      <c r="AU1613" s="12"/>
      <c r="AV1613" s="28"/>
    </row>
    <row r="1614" spans="4:48">
      <c r="D1614" s="12"/>
      <c r="E1614" s="12"/>
      <c r="F1614" s="12"/>
      <c r="G1614" s="12"/>
      <c r="H1614" s="36"/>
      <c r="J1614" s="19"/>
      <c r="K1614" s="19"/>
      <c r="L1614" s="19"/>
      <c r="AF1614" s="6"/>
      <c r="AG1614" s="6"/>
      <c r="AH1614" s="6"/>
      <c r="AI1614" s="6"/>
      <c r="AN1614" s="6"/>
      <c r="AO1614" s="6"/>
      <c r="AP1614" s="6"/>
      <c r="AQ1614" s="6"/>
      <c r="AR1614" s="27"/>
      <c r="AS1614" s="27"/>
      <c r="AT1614" s="27"/>
      <c r="AU1614" s="12"/>
      <c r="AV1614" s="28"/>
    </row>
    <row r="1615" spans="4:48">
      <c r="D1615" s="12"/>
      <c r="E1615" s="12"/>
      <c r="F1615" s="12"/>
      <c r="G1615" s="12"/>
      <c r="H1615" s="36"/>
      <c r="J1615" s="19"/>
      <c r="K1615" s="19"/>
      <c r="L1615" s="19"/>
      <c r="AF1615" s="6"/>
      <c r="AG1615" s="6"/>
      <c r="AH1615" s="6"/>
      <c r="AI1615" s="6"/>
      <c r="AN1615" s="6"/>
      <c r="AO1615" s="6"/>
      <c r="AP1615" s="6"/>
      <c r="AQ1615" s="6"/>
      <c r="AR1615" s="27"/>
      <c r="AS1615" s="27"/>
      <c r="AT1615" s="27"/>
      <c r="AU1615" s="12"/>
      <c r="AV1615" s="28"/>
    </row>
    <row r="1616" spans="4:48">
      <c r="D1616" s="12"/>
      <c r="E1616" s="12"/>
      <c r="F1616" s="12"/>
      <c r="G1616" s="12"/>
      <c r="H1616" s="36"/>
      <c r="J1616" s="19"/>
      <c r="K1616" s="19"/>
      <c r="L1616" s="19"/>
      <c r="AF1616" s="6"/>
      <c r="AG1616" s="6"/>
      <c r="AH1616" s="6"/>
      <c r="AI1616" s="6"/>
      <c r="AN1616" s="6"/>
      <c r="AO1616" s="6"/>
      <c r="AP1616" s="6"/>
      <c r="AQ1616" s="6"/>
      <c r="AR1616" s="27"/>
      <c r="AS1616" s="27"/>
      <c r="AT1616" s="27"/>
      <c r="AU1616" s="12"/>
      <c r="AV1616" s="28"/>
    </row>
    <row r="1617" spans="4:48">
      <c r="D1617" s="12"/>
      <c r="E1617" s="12"/>
      <c r="F1617" s="12"/>
      <c r="G1617" s="12"/>
      <c r="H1617" s="36"/>
      <c r="J1617" s="19"/>
      <c r="K1617" s="19"/>
      <c r="L1617" s="19"/>
      <c r="AF1617" s="6"/>
      <c r="AG1617" s="6"/>
      <c r="AH1617" s="6"/>
      <c r="AI1617" s="6"/>
      <c r="AN1617" s="6"/>
      <c r="AO1617" s="6"/>
      <c r="AP1617" s="6"/>
      <c r="AQ1617" s="6"/>
      <c r="AR1617" s="27"/>
      <c r="AS1617" s="27"/>
      <c r="AT1617" s="27"/>
      <c r="AU1617" s="12"/>
      <c r="AV1617" s="28"/>
    </row>
    <row r="1618" spans="4:48">
      <c r="D1618" s="12"/>
      <c r="E1618" s="12"/>
      <c r="F1618" s="12"/>
      <c r="G1618" s="12"/>
      <c r="H1618" s="36"/>
      <c r="J1618" s="19"/>
      <c r="K1618" s="19"/>
      <c r="L1618" s="19"/>
      <c r="AF1618" s="6"/>
      <c r="AG1618" s="6"/>
      <c r="AH1618" s="6"/>
      <c r="AI1618" s="6"/>
      <c r="AN1618" s="6"/>
      <c r="AO1618" s="6"/>
      <c r="AP1618" s="6"/>
      <c r="AQ1618" s="6"/>
      <c r="AR1618" s="27"/>
      <c r="AS1618" s="27"/>
      <c r="AT1618" s="27"/>
      <c r="AU1618" s="12"/>
      <c r="AV1618" s="28"/>
    </row>
    <row r="1619" spans="4:48">
      <c r="D1619" s="12"/>
      <c r="E1619" s="12"/>
      <c r="F1619" s="12"/>
      <c r="G1619" s="12"/>
      <c r="H1619" s="36"/>
      <c r="J1619" s="19"/>
      <c r="K1619" s="19"/>
      <c r="L1619" s="19"/>
      <c r="AF1619" s="6"/>
      <c r="AG1619" s="6"/>
      <c r="AH1619" s="6"/>
      <c r="AI1619" s="6"/>
      <c r="AN1619" s="6"/>
      <c r="AO1619" s="6"/>
      <c r="AP1619" s="6"/>
      <c r="AQ1619" s="6"/>
      <c r="AR1619" s="27"/>
      <c r="AS1619" s="27"/>
      <c r="AT1619" s="27"/>
      <c r="AU1619" s="12"/>
      <c r="AV1619" s="28"/>
    </row>
    <row r="1620" spans="4:48">
      <c r="D1620" s="12"/>
      <c r="E1620" s="12"/>
      <c r="F1620" s="12"/>
      <c r="G1620" s="12"/>
      <c r="H1620" s="36"/>
      <c r="J1620" s="19"/>
      <c r="K1620" s="19"/>
      <c r="L1620" s="19"/>
      <c r="AF1620" s="6"/>
      <c r="AG1620" s="6"/>
      <c r="AH1620" s="6"/>
      <c r="AI1620" s="6"/>
      <c r="AN1620" s="6"/>
      <c r="AO1620" s="6"/>
      <c r="AP1620" s="6"/>
      <c r="AQ1620" s="6"/>
      <c r="AR1620" s="27"/>
      <c r="AS1620" s="27"/>
      <c r="AT1620" s="27"/>
      <c r="AU1620" s="12"/>
      <c r="AV1620" s="28"/>
    </row>
    <row r="1621" spans="4:48">
      <c r="D1621" s="12"/>
      <c r="E1621" s="12"/>
      <c r="F1621" s="12"/>
      <c r="G1621" s="12"/>
      <c r="H1621" s="36"/>
      <c r="J1621" s="19"/>
      <c r="K1621" s="19"/>
      <c r="L1621" s="19"/>
      <c r="AF1621" s="6"/>
      <c r="AG1621" s="6"/>
      <c r="AH1621" s="6"/>
      <c r="AI1621" s="6"/>
      <c r="AN1621" s="6"/>
      <c r="AO1621" s="6"/>
      <c r="AP1621" s="6"/>
      <c r="AQ1621" s="6"/>
      <c r="AR1621" s="27"/>
      <c r="AS1621" s="27"/>
      <c r="AT1621" s="27"/>
      <c r="AU1621" s="12"/>
      <c r="AV1621" s="28"/>
    </row>
    <row r="1622" spans="4:48">
      <c r="D1622" s="12"/>
      <c r="E1622" s="12"/>
      <c r="F1622" s="12"/>
      <c r="G1622" s="12"/>
      <c r="H1622" s="36"/>
      <c r="J1622" s="19"/>
      <c r="K1622" s="19"/>
      <c r="L1622" s="19"/>
      <c r="AF1622" s="6"/>
      <c r="AG1622" s="6"/>
      <c r="AH1622" s="6"/>
      <c r="AI1622" s="6"/>
      <c r="AN1622" s="6"/>
      <c r="AO1622" s="6"/>
      <c r="AP1622" s="6"/>
      <c r="AQ1622" s="6"/>
      <c r="AR1622" s="27"/>
      <c r="AS1622" s="27"/>
      <c r="AT1622" s="27"/>
      <c r="AU1622" s="12"/>
      <c r="AV1622" s="28"/>
    </row>
    <row r="1623" spans="4:48">
      <c r="D1623" s="12"/>
      <c r="E1623" s="12"/>
      <c r="F1623" s="12"/>
      <c r="G1623" s="12"/>
      <c r="H1623" s="36"/>
      <c r="J1623" s="19"/>
      <c r="K1623" s="19"/>
      <c r="L1623" s="19"/>
      <c r="AF1623" s="6"/>
      <c r="AG1623" s="6"/>
      <c r="AH1623" s="6"/>
      <c r="AI1623" s="6"/>
      <c r="AN1623" s="6"/>
      <c r="AO1623" s="6"/>
      <c r="AP1623" s="6"/>
      <c r="AQ1623" s="6"/>
      <c r="AR1623" s="27"/>
      <c r="AS1623" s="27"/>
      <c r="AT1623" s="27"/>
      <c r="AU1623" s="12"/>
      <c r="AV1623" s="28"/>
    </row>
    <row r="1624" spans="4:48">
      <c r="D1624" s="12"/>
      <c r="E1624" s="12"/>
      <c r="F1624" s="12"/>
      <c r="G1624" s="12"/>
      <c r="H1624" s="36"/>
      <c r="J1624" s="19"/>
      <c r="K1624" s="19"/>
      <c r="L1624" s="19"/>
      <c r="AF1624" s="6"/>
      <c r="AG1624" s="6"/>
      <c r="AH1624" s="6"/>
      <c r="AI1624" s="6"/>
      <c r="AN1624" s="6"/>
      <c r="AO1624" s="6"/>
      <c r="AP1624" s="6"/>
      <c r="AQ1624" s="6"/>
      <c r="AR1624" s="27"/>
      <c r="AS1624" s="27"/>
      <c r="AT1624" s="27"/>
      <c r="AU1624" s="12"/>
      <c r="AV1624" s="28"/>
    </row>
    <row r="1625" spans="4:48">
      <c r="D1625" s="12"/>
      <c r="E1625" s="12"/>
      <c r="F1625" s="12"/>
      <c r="G1625" s="12"/>
      <c r="H1625" s="36"/>
      <c r="J1625" s="19"/>
      <c r="K1625" s="19"/>
      <c r="L1625" s="19"/>
      <c r="AF1625" s="6"/>
      <c r="AG1625" s="6"/>
      <c r="AH1625" s="6"/>
      <c r="AI1625" s="6"/>
      <c r="AN1625" s="6"/>
      <c r="AO1625" s="6"/>
      <c r="AP1625" s="6"/>
      <c r="AQ1625" s="6"/>
      <c r="AR1625" s="27"/>
      <c r="AS1625" s="27"/>
      <c r="AT1625" s="27"/>
      <c r="AU1625" s="12"/>
      <c r="AV1625" s="28"/>
    </row>
    <row r="1626" spans="4:48">
      <c r="D1626" s="12"/>
      <c r="E1626" s="12"/>
      <c r="F1626" s="12"/>
      <c r="G1626" s="12"/>
      <c r="H1626" s="36"/>
      <c r="J1626" s="19"/>
      <c r="K1626" s="19"/>
      <c r="L1626" s="19"/>
      <c r="AF1626" s="6"/>
      <c r="AG1626" s="6"/>
      <c r="AH1626" s="6"/>
      <c r="AI1626" s="6"/>
      <c r="AN1626" s="6"/>
      <c r="AO1626" s="6"/>
      <c r="AP1626" s="6"/>
      <c r="AQ1626" s="6"/>
      <c r="AR1626" s="27"/>
      <c r="AS1626" s="27"/>
      <c r="AT1626" s="27"/>
      <c r="AU1626" s="12"/>
      <c r="AV1626" s="28"/>
    </row>
    <row r="1627" spans="4:48">
      <c r="D1627" s="12"/>
      <c r="E1627" s="12"/>
      <c r="F1627" s="12"/>
      <c r="G1627" s="12"/>
      <c r="H1627" s="36"/>
      <c r="J1627" s="19"/>
      <c r="K1627" s="19"/>
      <c r="L1627" s="19"/>
      <c r="AF1627" s="6"/>
      <c r="AG1627" s="6"/>
      <c r="AH1627" s="6"/>
      <c r="AI1627" s="6"/>
      <c r="AN1627" s="6"/>
      <c r="AO1627" s="6"/>
      <c r="AP1627" s="6"/>
      <c r="AQ1627" s="6"/>
      <c r="AR1627" s="27"/>
      <c r="AS1627" s="27"/>
      <c r="AT1627" s="27"/>
      <c r="AU1627" s="12"/>
      <c r="AV1627" s="28"/>
    </row>
    <row r="1628" spans="4:48">
      <c r="D1628" s="12"/>
      <c r="E1628" s="12"/>
      <c r="F1628" s="12"/>
      <c r="G1628" s="12"/>
      <c r="H1628" s="36"/>
      <c r="J1628" s="19"/>
      <c r="K1628" s="19"/>
      <c r="L1628" s="19"/>
      <c r="AF1628" s="6"/>
      <c r="AG1628" s="6"/>
      <c r="AH1628" s="6"/>
      <c r="AI1628" s="6"/>
      <c r="AN1628" s="6"/>
      <c r="AO1628" s="6"/>
      <c r="AP1628" s="6"/>
      <c r="AQ1628" s="6"/>
      <c r="AR1628" s="27"/>
      <c r="AS1628" s="27"/>
      <c r="AT1628" s="27"/>
      <c r="AU1628" s="12"/>
      <c r="AV1628" s="28"/>
    </row>
    <row r="1629" spans="4:48">
      <c r="D1629" s="12"/>
      <c r="E1629" s="12"/>
      <c r="F1629" s="12"/>
      <c r="G1629" s="12"/>
      <c r="H1629" s="36"/>
      <c r="J1629" s="19"/>
      <c r="K1629" s="19"/>
      <c r="L1629" s="19"/>
      <c r="AF1629" s="6"/>
      <c r="AG1629" s="6"/>
      <c r="AH1629" s="6"/>
      <c r="AI1629" s="6"/>
      <c r="AN1629" s="6"/>
      <c r="AO1629" s="6"/>
      <c r="AP1629" s="6"/>
      <c r="AQ1629" s="6"/>
      <c r="AR1629" s="27"/>
      <c r="AS1629" s="27"/>
      <c r="AT1629" s="27"/>
      <c r="AU1629" s="12"/>
      <c r="AV1629" s="28"/>
    </row>
    <row r="1630" spans="4:48">
      <c r="D1630" s="12"/>
      <c r="E1630" s="12"/>
      <c r="F1630" s="12"/>
      <c r="G1630" s="12"/>
      <c r="H1630" s="36"/>
      <c r="J1630" s="19"/>
      <c r="K1630" s="19"/>
      <c r="L1630" s="19"/>
      <c r="AF1630" s="6"/>
      <c r="AG1630" s="6"/>
      <c r="AH1630" s="6"/>
      <c r="AI1630" s="6"/>
      <c r="AN1630" s="6"/>
      <c r="AO1630" s="6"/>
      <c r="AP1630" s="6"/>
      <c r="AQ1630" s="6"/>
      <c r="AR1630" s="27"/>
      <c r="AS1630" s="27"/>
      <c r="AT1630" s="27"/>
      <c r="AU1630" s="12"/>
      <c r="AV1630" s="28"/>
    </row>
    <row r="1631" spans="4:48">
      <c r="D1631" s="12"/>
      <c r="E1631" s="12"/>
      <c r="F1631" s="12"/>
      <c r="G1631" s="12"/>
      <c r="H1631" s="36"/>
      <c r="J1631" s="19"/>
      <c r="K1631" s="19"/>
      <c r="L1631" s="19"/>
      <c r="AF1631" s="6"/>
      <c r="AG1631" s="6"/>
      <c r="AH1631" s="6"/>
      <c r="AI1631" s="6"/>
      <c r="AN1631" s="6"/>
      <c r="AO1631" s="6"/>
      <c r="AP1631" s="6"/>
      <c r="AQ1631" s="6"/>
      <c r="AR1631" s="27"/>
      <c r="AS1631" s="27"/>
      <c r="AT1631" s="27"/>
      <c r="AU1631" s="12"/>
      <c r="AV1631" s="28"/>
    </row>
    <row r="1632" spans="4:48">
      <c r="D1632" s="12"/>
      <c r="E1632" s="12"/>
      <c r="F1632" s="12"/>
      <c r="G1632" s="12"/>
      <c r="H1632" s="36"/>
      <c r="J1632" s="19"/>
      <c r="K1632" s="19"/>
      <c r="L1632" s="19"/>
      <c r="AF1632" s="6"/>
      <c r="AG1632" s="6"/>
      <c r="AH1632" s="6"/>
      <c r="AI1632" s="6"/>
      <c r="AN1632" s="6"/>
      <c r="AO1632" s="6"/>
      <c r="AP1632" s="6"/>
      <c r="AQ1632" s="6"/>
      <c r="AR1632" s="27"/>
      <c r="AS1632" s="27"/>
      <c r="AT1632" s="27"/>
      <c r="AU1632" s="12"/>
      <c r="AV1632" s="28"/>
    </row>
    <row r="1633" spans="4:48">
      <c r="D1633" s="12"/>
      <c r="E1633" s="12"/>
      <c r="F1633" s="12"/>
      <c r="G1633" s="12"/>
      <c r="H1633" s="36"/>
      <c r="J1633" s="19"/>
      <c r="K1633" s="19"/>
      <c r="L1633" s="19"/>
      <c r="AF1633" s="6"/>
      <c r="AG1633" s="6"/>
      <c r="AH1633" s="6"/>
      <c r="AI1633" s="6"/>
      <c r="AN1633" s="6"/>
      <c r="AO1633" s="6"/>
      <c r="AP1633" s="6"/>
      <c r="AQ1633" s="6"/>
      <c r="AR1633" s="27"/>
      <c r="AS1633" s="27"/>
      <c r="AT1633" s="27"/>
      <c r="AU1633" s="12"/>
      <c r="AV1633" s="28"/>
    </row>
    <row r="1634" spans="4:48">
      <c r="D1634" s="12"/>
      <c r="E1634" s="12"/>
      <c r="F1634" s="12"/>
      <c r="G1634" s="12"/>
      <c r="H1634" s="36"/>
      <c r="J1634" s="19"/>
      <c r="K1634" s="19"/>
      <c r="L1634" s="19"/>
      <c r="AF1634" s="6"/>
      <c r="AG1634" s="6"/>
      <c r="AH1634" s="6"/>
      <c r="AI1634" s="6"/>
      <c r="AN1634" s="6"/>
      <c r="AO1634" s="6"/>
      <c r="AP1634" s="6"/>
      <c r="AQ1634" s="6"/>
      <c r="AR1634" s="27"/>
      <c r="AS1634" s="27"/>
      <c r="AT1634" s="27"/>
      <c r="AU1634" s="12"/>
      <c r="AV1634" s="28"/>
    </row>
    <row r="1635" spans="4:48">
      <c r="D1635" s="12"/>
      <c r="E1635" s="12"/>
      <c r="F1635" s="12"/>
      <c r="G1635" s="12"/>
      <c r="H1635" s="36"/>
      <c r="J1635" s="19"/>
      <c r="K1635" s="19"/>
      <c r="L1635" s="19"/>
      <c r="AF1635" s="6"/>
      <c r="AG1635" s="6"/>
      <c r="AH1635" s="6"/>
      <c r="AI1635" s="6"/>
      <c r="AN1635" s="6"/>
      <c r="AO1635" s="6"/>
      <c r="AP1635" s="6"/>
      <c r="AQ1635" s="6"/>
      <c r="AR1635" s="27"/>
      <c r="AS1635" s="27"/>
      <c r="AT1635" s="27"/>
      <c r="AU1635" s="12"/>
      <c r="AV1635" s="28"/>
    </row>
    <row r="1636" spans="4:48">
      <c r="D1636" s="12"/>
      <c r="E1636" s="12"/>
      <c r="F1636" s="12"/>
      <c r="G1636" s="12"/>
      <c r="H1636" s="36"/>
      <c r="J1636" s="19"/>
      <c r="K1636" s="19"/>
      <c r="L1636" s="19"/>
      <c r="AF1636" s="6"/>
      <c r="AG1636" s="6"/>
      <c r="AH1636" s="6"/>
      <c r="AI1636" s="6"/>
      <c r="AN1636" s="6"/>
      <c r="AO1636" s="6"/>
      <c r="AP1636" s="6"/>
      <c r="AQ1636" s="6"/>
      <c r="AR1636" s="27"/>
      <c r="AS1636" s="27"/>
      <c r="AT1636" s="27"/>
      <c r="AU1636" s="12"/>
      <c r="AV1636" s="28"/>
    </row>
    <row r="1637" spans="4:48">
      <c r="D1637" s="12"/>
      <c r="E1637" s="12"/>
      <c r="F1637" s="12"/>
      <c r="G1637" s="12"/>
      <c r="H1637" s="36"/>
      <c r="J1637" s="19"/>
      <c r="K1637" s="19"/>
      <c r="L1637" s="19"/>
      <c r="AF1637" s="6"/>
      <c r="AG1637" s="6"/>
      <c r="AH1637" s="6"/>
      <c r="AI1637" s="6"/>
      <c r="AN1637" s="6"/>
      <c r="AO1637" s="6"/>
      <c r="AP1637" s="6"/>
      <c r="AQ1637" s="6"/>
      <c r="AR1637" s="27"/>
      <c r="AS1637" s="27"/>
      <c r="AT1637" s="27"/>
      <c r="AU1637" s="12"/>
      <c r="AV1637" s="28"/>
    </row>
    <row r="1638" spans="4:48">
      <c r="D1638" s="12"/>
      <c r="E1638" s="12"/>
      <c r="F1638" s="12"/>
      <c r="G1638" s="12"/>
      <c r="H1638" s="36"/>
      <c r="J1638" s="19"/>
      <c r="K1638" s="19"/>
      <c r="L1638" s="19"/>
      <c r="AF1638" s="6"/>
      <c r="AG1638" s="6"/>
      <c r="AH1638" s="6"/>
      <c r="AI1638" s="6"/>
      <c r="AN1638" s="6"/>
      <c r="AO1638" s="6"/>
      <c r="AP1638" s="6"/>
      <c r="AQ1638" s="6"/>
      <c r="AR1638" s="27"/>
      <c r="AS1638" s="27"/>
      <c r="AT1638" s="27"/>
      <c r="AU1638" s="12"/>
      <c r="AV1638" s="28"/>
    </row>
    <row r="1639" spans="1:48">
      <c r="A1639" s="38"/>
      <c r="D1639" s="12"/>
      <c r="E1639" s="12"/>
      <c r="F1639" s="12"/>
      <c r="G1639" s="12"/>
      <c r="H1639" s="36"/>
      <c r="J1639" s="19"/>
      <c r="K1639" s="19"/>
      <c r="L1639" s="19"/>
      <c r="AF1639" s="6"/>
      <c r="AG1639" s="6"/>
      <c r="AH1639" s="6"/>
      <c r="AI1639" s="6"/>
      <c r="AN1639" s="6"/>
      <c r="AO1639" s="6"/>
      <c r="AP1639" s="6"/>
      <c r="AQ1639" s="6"/>
      <c r="AR1639" s="27"/>
      <c r="AS1639" s="27"/>
      <c r="AT1639" s="27"/>
      <c r="AU1639" s="12"/>
      <c r="AV1639" s="28"/>
    </row>
    <row r="1640" spans="1:48">
      <c r="A1640" s="38"/>
      <c r="D1640" s="12"/>
      <c r="E1640" s="12"/>
      <c r="F1640" s="12"/>
      <c r="G1640" s="12"/>
      <c r="H1640" s="36"/>
      <c r="J1640" s="19"/>
      <c r="K1640" s="19"/>
      <c r="L1640" s="19"/>
      <c r="AF1640" s="6"/>
      <c r="AG1640" s="6"/>
      <c r="AH1640" s="6"/>
      <c r="AI1640" s="6"/>
      <c r="AN1640" s="6"/>
      <c r="AO1640" s="6"/>
      <c r="AP1640" s="6"/>
      <c r="AQ1640" s="6"/>
      <c r="AR1640" s="27"/>
      <c r="AS1640" s="27"/>
      <c r="AT1640" s="27"/>
      <c r="AU1640" s="12"/>
      <c r="AV1640" s="28"/>
    </row>
    <row r="1641" spans="1:48">
      <c r="A1641" s="38"/>
      <c r="D1641" s="12"/>
      <c r="E1641" s="12"/>
      <c r="F1641" s="12"/>
      <c r="G1641" s="12"/>
      <c r="H1641" s="36"/>
      <c r="J1641" s="19"/>
      <c r="K1641" s="19"/>
      <c r="L1641" s="19"/>
      <c r="AF1641" s="6"/>
      <c r="AG1641" s="6"/>
      <c r="AH1641" s="6"/>
      <c r="AI1641" s="6"/>
      <c r="AN1641" s="6"/>
      <c r="AO1641" s="6"/>
      <c r="AP1641" s="6"/>
      <c r="AQ1641" s="6"/>
      <c r="AR1641" s="27"/>
      <c r="AS1641" s="27"/>
      <c r="AT1641" s="27"/>
      <c r="AU1641" s="12"/>
      <c r="AV1641" s="28"/>
    </row>
    <row r="1642" spans="1:48">
      <c r="A1642" s="38"/>
      <c r="D1642" s="12"/>
      <c r="E1642" s="12"/>
      <c r="F1642" s="12"/>
      <c r="G1642" s="12"/>
      <c r="H1642" s="36"/>
      <c r="J1642" s="19"/>
      <c r="K1642" s="19"/>
      <c r="L1642" s="19"/>
      <c r="AF1642" s="6"/>
      <c r="AG1642" s="6"/>
      <c r="AH1642" s="6"/>
      <c r="AI1642" s="6"/>
      <c r="AN1642" s="6"/>
      <c r="AO1642" s="6"/>
      <c r="AP1642" s="6"/>
      <c r="AQ1642" s="6"/>
      <c r="AR1642" s="27"/>
      <c r="AS1642" s="27"/>
      <c r="AT1642" s="27"/>
      <c r="AU1642" s="12"/>
      <c r="AV1642" s="28"/>
    </row>
    <row r="1643" spans="1:48">
      <c r="A1643" s="38"/>
      <c r="D1643" s="12"/>
      <c r="E1643" s="12"/>
      <c r="F1643" s="12"/>
      <c r="G1643" s="12"/>
      <c r="H1643" s="36"/>
      <c r="J1643" s="19"/>
      <c r="K1643" s="19"/>
      <c r="L1643" s="19"/>
      <c r="AF1643" s="6"/>
      <c r="AG1643" s="6"/>
      <c r="AH1643" s="6"/>
      <c r="AI1643" s="6"/>
      <c r="AN1643" s="6"/>
      <c r="AO1643" s="6"/>
      <c r="AP1643" s="6"/>
      <c r="AQ1643" s="6"/>
      <c r="AR1643" s="27"/>
      <c r="AS1643" s="27"/>
      <c r="AT1643" s="27"/>
      <c r="AU1643" s="12"/>
      <c r="AV1643" s="28"/>
    </row>
    <row r="1644" spans="1:48">
      <c r="A1644" s="38"/>
      <c r="D1644" s="12"/>
      <c r="E1644" s="12"/>
      <c r="F1644" s="12"/>
      <c r="G1644" s="12"/>
      <c r="H1644" s="36"/>
      <c r="J1644" s="19"/>
      <c r="K1644" s="19"/>
      <c r="L1644" s="19"/>
      <c r="AF1644" s="6"/>
      <c r="AG1644" s="6"/>
      <c r="AH1644" s="6"/>
      <c r="AI1644" s="6"/>
      <c r="AN1644" s="6"/>
      <c r="AO1644" s="6"/>
      <c r="AP1644" s="6"/>
      <c r="AQ1644" s="6"/>
      <c r="AR1644" s="27"/>
      <c r="AS1644" s="27"/>
      <c r="AT1644" s="27"/>
      <c r="AU1644" s="12"/>
      <c r="AV1644" s="28"/>
    </row>
    <row r="1645" spans="1:48">
      <c r="A1645" s="38"/>
      <c r="D1645" s="12"/>
      <c r="E1645" s="12"/>
      <c r="F1645" s="12"/>
      <c r="G1645" s="12"/>
      <c r="H1645" s="36"/>
      <c r="J1645" s="19"/>
      <c r="K1645" s="19"/>
      <c r="L1645" s="19"/>
      <c r="AF1645" s="6"/>
      <c r="AG1645" s="6"/>
      <c r="AH1645" s="6"/>
      <c r="AI1645" s="6"/>
      <c r="AN1645" s="6"/>
      <c r="AO1645" s="6"/>
      <c r="AP1645" s="6"/>
      <c r="AQ1645" s="6"/>
      <c r="AR1645" s="27"/>
      <c r="AS1645" s="27"/>
      <c r="AT1645" s="27"/>
      <c r="AU1645" s="12"/>
      <c r="AV1645" s="28"/>
    </row>
    <row r="1646" spans="1:48">
      <c r="A1646" s="38"/>
      <c r="D1646" s="12"/>
      <c r="E1646" s="12"/>
      <c r="F1646" s="12"/>
      <c r="G1646" s="12"/>
      <c r="H1646" s="36"/>
      <c r="J1646" s="19"/>
      <c r="K1646" s="19"/>
      <c r="L1646" s="19"/>
      <c r="AF1646" s="6"/>
      <c r="AG1646" s="6"/>
      <c r="AH1646" s="6"/>
      <c r="AI1646" s="6"/>
      <c r="AN1646" s="6"/>
      <c r="AO1646" s="6"/>
      <c r="AP1646" s="6"/>
      <c r="AQ1646" s="6"/>
      <c r="AR1646" s="27"/>
      <c r="AS1646" s="27"/>
      <c r="AT1646" s="27"/>
      <c r="AU1646" s="12"/>
      <c r="AV1646" s="28"/>
    </row>
    <row r="1647" spans="1:48">
      <c r="A1647" s="38"/>
      <c r="D1647" s="12"/>
      <c r="E1647" s="12"/>
      <c r="F1647" s="12"/>
      <c r="G1647" s="12"/>
      <c r="H1647" s="36"/>
      <c r="J1647" s="19"/>
      <c r="K1647" s="19"/>
      <c r="L1647" s="19"/>
      <c r="AF1647" s="6"/>
      <c r="AG1647" s="6"/>
      <c r="AH1647" s="6"/>
      <c r="AI1647" s="6"/>
      <c r="AN1647" s="6"/>
      <c r="AO1647" s="6"/>
      <c r="AP1647" s="6"/>
      <c r="AQ1647" s="6"/>
      <c r="AR1647" s="27"/>
      <c r="AS1647" s="27"/>
      <c r="AT1647" s="27"/>
      <c r="AU1647" s="12"/>
      <c r="AV1647" s="28"/>
    </row>
    <row r="1648" spans="1:48">
      <c r="A1648" s="38"/>
      <c r="D1648" s="12"/>
      <c r="E1648" s="12"/>
      <c r="F1648" s="12"/>
      <c r="G1648" s="12"/>
      <c r="H1648" s="36"/>
      <c r="J1648" s="19"/>
      <c r="K1648" s="19"/>
      <c r="L1648" s="19"/>
      <c r="AF1648" s="6"/>
      <c r="AG1648" s="6"/>
      <c r="AH1648" s="6"/>
      <c r="AI1648" s="6"/>
      <c r="AN1648" s="6"/>
      <c r="AO1648" s="6"/>
      <c r="AP1648" s="6"/>
      <c r="AQ1648" s="6"/>
      <c r="AR1648" s="27"/>
      <c r="AS1648" s="27"/>
      <c r="AT1648" s="27"/>
      <c r="AU1648" s="12"/>
      <c r="AV1648" s="28"/>
    </row>
    <row r="1649" spans="1:48">
      <c r="A1649" s="38"/>
      <c r="D1649" s="12"/>
      <c r="E1649" s="12"/>
      <c r="F1649" s="12"/>
      <c r="G1649" s="12"/>
      <c r="H1649" s="36"/>
      <c r="J1649" s="19"/>
      <c r="K1649" s="19"/>
      <c r="L1649" s="19"/>
      <c r="AF1649" s="6"/>
      <c r="AG1649" s="6"/>
      <c r="AH1649" s="6"/>
      <c r="AI1649" s="6"/>
      <c r="AN1649" s="6"/>
      <c r="AO1649" s="6"/>
      <c r="AP1649" s="6"/>
      <c r="AQ1649" s="6"/>
      <c r="AR1649" s="27"/>
      <c r="AS1649" s="27"/>
      <c r="AT1649" s="27"/>
      <c r="AU1649" s="12"/>
      <c r="AV1649" s="28"/>
    </row>
    <row r="1650" spans="1:48">
      <c r="A1650" s="16"/>
      <c r="D1650" s="12"/>
      <c r="E1650" s="12"/>
      <c r="F1650" s="12"/>
      <c r="G1650" s="12"/>
      <c r="H1650" s="36"/>
      <c r="J1650" s="19"/>
      <c r="K1650" s="19"/>
      <c r="L1650" s="19"/>
      <c r="AF1650" s="6"/>
      <c r="AG1650" s="6"/>
      <c r="AH1650" s="6"/>
      <c r="AI1650" s="6"/>
      <c r="AN1650" s="6"/>
      <c r="AO1650" s="6"/>
      <c r="AP1650" s="6"/>
      <c r="AQ1650" s="6"/>
      <c r="AR1650" s="27"/>
      <c r="AS1650" s="27"/>
      <c r="AT1650" s="27"/>
      <c r="AU1650" s="12"/>
      <c r="AV1650" s="28"/>
    </row>
    <row r="1651" spans="1:48">
      <c r="A1651" s="16"/>
      <c r="D1651" s="12"/>
      <c r="E1651" s="12"/>
      <c r="F1651" s="12"/>
      <c r="G1651" s="12"/>
      <c r="H1651" s="36"/>
      <c r="J1651" s="19"/>
      <c r="K1651" s="19"/>
      <c r="L1651" s="19"/>
      <c r="AF1651" s="6"/>
      <c r="AG1651" s="6"/>
      <c r="AH1651" s="6"/>
      <c r="AI1651" s="6"/>
      <c r="AN1651" s="6"/>
      <c r="AO1651" s="6"/>
      <c r="AP1651" s="6"/>
      <c r="AQ1651" s="6"/>
      <c r="AR1651" s="27"/>
      <c r="AS1651" s="27"/>
      <c r="AT1651" s="27"/>
      <c r="AU1651" s="12"/>
      <c r="AV1651" s="28"/>
    </row>
    <row r="1652" spans="1:48">
      <c r="A1652" s="16"/>
      <c r="D1652" s="12"/>
      <c r="E1652" s="12"/>
      <c r="F1652" s="12"/>
      <c r="G1652" s="12"/>
      <c r="H1652" s="36"/>
      <c r="J1652" s="19"/>
      <c r="K1652" s="19"/>
      <c r="L1652" s="19"/>
      <c r="AF1652" s="6"/>
      <c r="AG1652" s="6"/>
      <c r="AH1652" s="6"/>
      <c r="AI1652" s="6"/>
      <c r="AN1652" s="6"/>
      <c r="AO1652" s="6"/>
      <c r="AP1652" s="6"/>
      <c r="AQ1652" s="6"/>
      <c r="AR1652" s="27"/>
      <c r="AS1652" s="27"/>
      <c r="AT1652" s="27"/>
      <c r="AU1652" s="12"/>
      <c r="AV1652" s="28"/>
    </row>
    <row r="1653" spans="1:48">
      <c r="A1653" s="16"/>
      <c r="D1653" s="12"/>
      <c r="E1653" s="12"/>
      <c r="F1653" s="12"/>
      <c r="G1653" s="12"/>
      <c r="H1653" s="36"/>
      <c r="J1653" s="19"/>
      <c r="K1653" s="19"/>
      <c r="L1653" s="19"/>
      <c r="AF1653" s="6"/>
      <c r="AG1653" s="6"/>
      <c r="AH1653" s="6"/>
      <c r="AI1653" s="6"/>
      <c r="AN1653" s="6"/>
      <c r="AO1653" s="6"/>
      <c r="AP1653" s="6"/>
      <c r="AQ1653" s="6"/>
      <c r="AR1653" s="27"/>
      <c r="AS1653" s="27"/>
      <c r="AT1653" s="27"/>
      <c r="AU1653" s="12"/>
      <c r="AV1653" s="28"/>
    </row>
    <row r="1654" spans="1:48">
      <c r="A1654" s="16"/>
      <c r="D1654" s="12"/>
      <c r="E1654" s="12"/>
      <c r="F1654" s="12"/>
      <c r="G1654" s="12"/>
      <c r="H1654" s="36"/>
      <c r="J1654" s="19"/>
      <c r="K1654" s="19"/>
      <c r="L1654" s="19"/>
      <c r="AF1654" s="6"/>
      <c r="AG1654" s="6"/>
      <c r="AH1654" s="6"/>
      <c r="AI1654" s="6"/>
      <c r="AN1654" s="6"/>
      <c r="AO1654" s="6"/>
      <c r="AP1654" s="6"/>
      <c r="AQ1654" s="6"/>
      <c r="AR1654" s="27"/>
      <c r="AS1654" s="27"/>
      <c r="AT1654" s="27"/>
      <c r="AU1654" s="12"/>
      <c r="AV1654" s="28"/>
    </row>
    <row r="1655" spans="1:48">
      <c r="A1655" s="16"/>
      <c r="D1655" s="12"/>
      <c r="E1655" s="12"/>
      <c r="F1655" s="12"/>
      <c r="G1655" s="12"/>
      <c r="H1655" s="36"/>
      <c r="J1655" s="19"/>
      <c r="K1655" s="19"/>
      <c r="L1655" s="19"/>
      <c r="AF1655" s="6"/>
      <c r="AG1655" s="6"/>
      <c r="AH1655" s="6"/>
      <c r="AI1655" s="6"/>
      <c r="AN1655" s="6"/>
      <c r="AO1655" s="6"/>
      <c r="AP1655" s="6"/>
      <c r="AQ1655" s="6"/>
      <c r="AR1655" s="27"/>
      <c r="AS1655" s="27"/>
      <c r="AT1655" s="27"/>
      <c r="AU1655" s="12"/>
      <c r="AV1655" s="28"/>
    </row>
    <row r="1656" spans="1:48">
      <c r="A1656" s="16"/>
      <c r="D1656" s="12"/>
      <c r="E1656" s="12"/>
      <c r="F1656" s="12"/>
      <c r="G1656" s="12"/>
      <c r="H1656" s="36"/>
      <c r="J1656" s="19"/>
      <c r="K1656" s="19"/>
      <c r="L1656" s="19"/>
      <c r="AF1656" s="6"/>
      <c r="AG1656" s="6"/>
      <c r="AH1656" s="6"/>
      <c r="AI1656" s="6"/>
      <c r="AN1656" s="6"/>
      <c r="AO1656" s="6"/>
      <c r="AP1656" s="6"/>
      <c r="AQ1656" s="6"/>
      <c r="AR1656" s="27"/>
      <c r="AS1656" s="27"/>
      <c r="AT1656" s="27"/>
      <c r="AU1656" s="12"/>
      <c r="AV1656" s="28"/>
    </row>
    <row r="1657" spans="1:48">
      <c r="A1657" s="16"/>
      <c r="D1657" s="12"/>
      <c r="E1657" s="12"/>
      <c r="F1657" s="12"/>
      <c r="G1657" s="12"/>
      <c r="H1657" s="36"/>
      <c r="J1657" s="19"/>
      <c r="K1657" s="19"/>
      <c r="L1657" s="19"/>
      <c r="AF1657" s="6"/>
      <c r="AG1657" s="6"/>
      <c r="AH1657" s="6"/>
      <c r="AI1657" s="6"/>
      <c r="AN1657" s="6"/>
      <c r="AO1657" s="6"/>
      <c r="AP1657" s="6"/>
      <c r="AQ1657" s="6"/>
      <c r="AR1657" s="27"/>
      <c r="AS1657" s="27"/>
      <c r="AT1657" s="27"/>
      <c r="AU1657" s="12"/>
      <c r="AV1657" s="28"/>
    </row>
    <row r="1658" spans="1:48">
      <c r="A1658" s="16"/>
      <c r="D1658" s="12"/>
      <c r="E1658" s="12"/>
      <c r="F1658" s="12"/>
      <c r="G1658" s="12"/>
      <c r="H1658" s="36"/>
      <c r="J1658" s="19"/>
      <c r="K1658" s="19"/>
      <c r="L1658" s="19"/>
      <c r="AF1658" s="6"/>
      <c r="AG1658" s="6"/>
      <c r="AH1658" s="6"/>
      <c r="AI1658" s="6"/>
      <c r="AN1658" s="6"/>
      <c r="AO1658" s="6"/>
      <c r="AP1658" s="6"/>
      <c r="AQ1658" s="6"/>
      <c r="AR1658" s="27"/>
      <c r="AS1658" s="27"/>
      <c r="AT1658" s="27"/>
      <c r="AU1658" s="12"/>
      <c r="AV1658" s="28"/>
    </row>
    <row r="1659" spans="1:48">
      <c r="A1659" s="16"/>
      <c r="D1659" s="12"/>
      <c r="E1659" s="12"/>
      <c r="F1659" s="12"/>
      <c r="G1659" s="12"/>
      <c r="H1659" s="36"/>
      <c r="J1659" s="19"/>
      <c r="K1659" s="19"/>
      <c r="L1659" s="19"/>
      <c r="AF1659" s="6"/>
      <c r="AG1659" s="6"/>
      <c r="AH1659" s="6"/>
      <c r="AI1659" s="6"/>
      <c r="AN1659" s="6"/>
      <c r="AO1659" s="6"/>
      <c r="AP1659" s="6"/>
      <c r="AQ1659" s="6"/>
      <c r="AR1659" s="27"/>
      <c r="AS1659" s="27"/>
      <c r="AT1659" s="27"/>
      <c r="AU1659" s="12"/>
      <c r="AV1659" s="28"/>
    </row>
    <row r="1660" spans="5:49">
      <c r="E1660" s="12"/>
      <c r="F1660" s="12"/>
      <c r="G1660" s="12"/>
      <c r="H1660" s="12"/>
      <c r="I1660" s="36"/>
      <c r="L1660" s="19"/>
      <c r="M1660" s="19"/>
      <c r="AS1660" s="27"/>
      <c r="AT1660" s="27"/>
      <c r="AU1660" s="27"/>
      <c r="AV1660" s="12"/>
      <c r="AW1660" s="28"/>
    </row>
    <row r="1661" spans="5:49">
      <c r="E1661" s="12"/>
      <c r="F1661" s="12"/>
      <c r="G1661" s="12"/>
      <c r="H1661" s="12"/>
      <c r="I1661" s="36"/>
      <c r="L1661" s="19"/>
      <c r="M1661" s="19"/>
      <c r="AS1661" s="27"/>
      <c r="AT1661" s="27"/>
      <c r="AU1661" s="27"/>
      <c r="AV1661" s="12"/>
      <c r="AW1661" s="28"/>
    </row>
    <row r="1662" spans="5:49">
      <c r="E1662" s="12"/>
      <c r="F1662" s="12"/>
      <c r="G1662" s="12"/>
      <c r="H1662" s="12"/>
      <c r="I1662" s="36"/>
      <c r="L1662" s="19"/>
      <c r="M1662" s="19"/>
      <c r="AS1662" s="27"/>
      <c r="AT1662" s="27"/>
      <c r="AU1662" s="27"/>
      <c r="AV1662" s="12"/>
      <c r="AW1662" s="28"/>
    </row>
    <row r="1663" spans="5:49">
      <c r="E1663" s="12"/>
      <c r="F1663" s="12"/>
      <c r="G1663" s="12"/>
      <c r="H1663" s="12"/>
      <c r="I1663" s="36"/>
      <c r="L1663" s="19"/>
      <c r="M1663" s="19"/>
      <c r="AS1663" s="27"/>
      <c r="AT1663" s="27"/>
      <c r="AU1663" s="27"/>
      <c r="AV1663" s="12"/>
      <c r="AW1663" s="28"/>
    </row>
    <row r="1664" spans="5:49">
      <c r="E1664" s="12"/>
      <c r="F1664" s="12"/>
      <c r="G1664" s="12"/>
      <c r="H1664" s="12"/>
      <c r="I1664" s="36"/>
      <c r="L1664" s="19"/>
      <c r="M1664" s="19"/>
      <c r="AS1664" s="27"/>
      <c r="AT1664" s="27"/>
      <c r="AU1664" s="27"/>
      <c r="AV1664" s="12"/>
      <c r="AW1664" s="28"/>
    </row>
    <row r="1665" spans="5:49">
      <c r="E1665" s="12"/>
      <c r="F1665" s="12"/>
      <c r="G1665" s="12"/>
      <c r="H1665" s="12"/>
      <c r="I1665" s="36"/>
      <c r="L1665" s="19"/>
      <c r="M1665" s="19"/>
      <c r="AS1665" s="27"/>
      <c r="AT1665" s="27"/>
      <c r="AU1665" s="27"/>
      <c r="AV1665" s="12"/>
      <c r="AW1665" s="28"/>
    </row>
    <row r="1666" spans="5:49">
      <c r="E1666" s="12"/>
      <c r="F1666" s="12"/>
      <c r="G1666" s="12"/>
      <c r="H1666" s="12"/>
      <c r="I1666" s="36"/>
      <c r="L1666" s="19"/>
      <c r="M1666" s="19"/>
      <c r="AS1666" s="27"/>
      <c r="AT1666" s="27"/>
      <c r="AU1666" s="27"/>
      <c r="AV1666" s="12"/>
      <c r="AW1666" s="28"/>
    </row>
    <row r="1667" spans="5:49">
      <c r="E1667" s="12"/>
      <c r="F1667" s="12"/>
      <c r="G1667" s="12"/>
      <c r="H1667" s="12"/>
      <c r="I1667" s="36"/>
      <c r="L1667" s="19"/>
      <c r="M1667" s="19"/>
      <c r="AS1667" s="27"/>
      <c r="AT1667" s="27"/>
      <c r="AU1667" s="27"/>
      <c r="AV1667" s="12"/>
      <c r="AW1667" s="28"/>
    </row>
    <row r="1668" spans="5:49">
      <c r="E1668" s="12"/>
      <c r="F1668" s="12"/>
      <c r="G1668" s="12"/>
      <c r="H1668" s="12"/>
      <c r="I1668" s="36"/>
      <c r="L1668" s="19"/>
      <c r="M1668" s="19"/>
      <c r="AS1668" s="27"/>
      <c r="AT1668" s="27"/>
      <c r="AU1668" s="27"/>
      <c r="AV1668" s="12"/>
      <c r="AW1668" s="28"/>
    </row>
    <row r="1669" spans="5:49">
      <c r="E1669" s="12"/>
      <c r="F1669" s="12"/>
      <c r="G1669" s="12"/>
      <c r="H1669" s="12"/>
      <c r="I1669" s="36"/>
      <c r="L1669" s="19"/>
      <c r="M1669" s="19"/>
      <c r="AS1669" s="27"/>
      <c r="AT1669" s="27"/>
      <c r="AU1669" s="27"/>
      <c r="AV1669" s="12"/>
      <c r="AW1669" s="28"/>
    </row>
    <row r="1670" spans="5:49">
      <c r="E1670" s="12"/>
      <c r="F1670" s="12"/>
      <c r="G1670" s="12"/>
      <c r="H1670" s="12"/>
      <c r="I1670" s="36"/>
      <c r="L1670" s="19"/>
      <c r="M1670" s="19"/>
      <c r="AS1670" s="27"/>
      <c r="AT1670" s="27"/>
      <c r="AU1670" s="27"/>
      <c r="AV1670" s="12"/>
      <c r="AW1670" s="28"/>
    </row>
    <row r="1671" spans="5:49">
      <c r="E1671" s="12"/>
      <c r="F1671" s="12"/>
      <c r="G1671" s="12"/>
      <c r="H1671" s="12"/>
      <c r="I1671" s="36"/>
      <c r="L1671" s="19"/>
      <c r="M1671" s="19"/>
      <c r="AS1671" s="27"/>
      <c r="AT1671" s="27"/>
      <c r="AU1671" s="27"/>
      <c r="AV1671" s="12"/>
      <c r="AW1671" s="28"/>
    </row>
    <row r="1672" spans="5:49">
      <c r="E1672" s="12"/>
      <c r="F1672" s="12"/>
      <c r="G1672" s="12"/>
      <c r="H1672" s="12"/>
      <c r="I1672" s="36"/>
      <c r="L1672" s="19"/>
      <c r="M1672" s="19"/>
      <c r="AS1672" s="27"/>
      <c r="AT1672" s="27"/>
      <c r="AU1672" s="27"/>
      <c r="AV1672" s="12"/>
      <c r="AW1672" s="28"/>
    </row>
    <row r="1673" spans="5:49">
      <c r="E1673" s="12"/>
      <c r="F1673" s="12"/>
      <c r="G1673" s="12"/>
      <c r="H1673" s="12"/>
      <c r="I1673" s="36"/>
      <c r="L1673" s="19"/>
      <c r="M1673" s="19"/>
      <c r="AS1673" s="27"/>
      <c r="AT1673" s="27"/>
      <c r="AU1673" s="27"/>
      <c r="AV1673" s="12"/>
      <c r="AW1673" s="28"/>
    </row>
    <row r="1674" spans="5:49">
      <c r="E1674" s="12"/>
      <c r="F1674" s="12"/>
      <c r="G1674" s="12"/>
      <c r="H1674" s="12"/>
      <c r="I1674" s="36"/>
      <c r="L1674" s="19"/>
      <c r="M1674" s="19"/>
      <c r="AS1674" s="27"/>
      <c r="AT1674" s="27"/>
      <c r="AU1674" s="27"/>
      <c r="AV1674" s="12"/>
      <c r="AW1674" s="28"/>
    </row>
    <row r="1675" spans="5:49">
      <c r="E1675" s="12"/>
      <c r="F1675" s="12"/>
      <c r="G1675" s="12"/>
      <c r="H1675" s="12"/>
      <c r="I1675" s="36"/>
      <c r="L1675" s="19"/>
      <c r="M1675" s="19"/>
      <c r="AS1675" s="27"/>
      <c r="AT1675" s="27"/>
      <c r="AU1675" s="27"/>
      <c r="AV1675" s="12"/>
      <c r="AW1675" s="28"/>
    </row>
    <row r="1676" spans="5:49">
      <c r="E1676" s="12"/>
      <c r="F1676" s="12"/>
      <c r="G1676" s="12"/>
      <c r="H1676" s="12"/>
      <c r="I1676" s="36"/>
      <c r="L1676" s="19"/>
      <c r="M1676" s="19"/>
      <c r="AS1676" s="27"/>
      <c r="AT1676" s="27"/>
      <c r="AU1676" s="27"/>
      <c r="AV1676" s="12"/>
      <c r="AW1676" s="28"/>
    </row>
    <row r="1677" spans="5:49">
      <c r="E1677" s="12"/>
      <c r="F1677" s="12"/>
      <c r="G1677" s="12"/>
      <c r="H1677" s="12"/>
      <c r="I1677" s="36"/>
      <c r="L1677" s="19"/>
      <c r="M1677" s="19"/>
      <c r="AS1677" s="27"/>
      <c r="AT1677" s="27"/>
      <c r="AU1677" s="27"/>
      <c r="AV1677" s="12"/>
      <c r="AW1677" s="28"/>
    </row>
    <row r="1678" spans="5:49">
      <c r="E1678" s="12"/>
      <c r="F1678" s="12"/>
      <c r="G1678" s="12"/>
      <c r="H1678" s="12"/>
      <c r="I1678" s="36"/>
      <c r="L1678" s="19"/>
      <c r="M1678" s="19"/>
      <c r="AS1678" s="27"/>
      <c r="AT1678" s="27"/>
      <c r="AU1678" s="27"/>
      <c r="AV1678" s="12"/>
      <c r="AW1678" s="28"/>
    </row>
    <row r="1679" spans="5:49">
      <c r="E1679" s="12"/>
      <c r="F1679" s="12"/>
      <c r="G1679" s="12"/>
      <c r="H1679" s="12"/>
      <c r="I1679" s="36"/>
      <c r="L1679" s="19"/>
      <c r="M1679" s="19"/>
      <c r="AS1679" s="27"/>
      <c r="AT1679" s="27"/>
      <c r="AU1679" s="27"/>
      <c r="AV1679" s="12"/>
      <c r="AW1679" s="28"/>
    </row>
    <row r="1680" spans="5:49">
      <c r="E1680" s="12"/>
      <c r="F1680" s="12"/>
      <c r="G1680" s="12"/>
      <c r="H1680" s="12"/>
      <c r="I1680" s="36"/>
      <c r="L1680" s="19"/>
      <c r="M1680" s="19"/>
      <c r="AS1680" s="27"/>
      <c r="AT1680" s="27"/>
      <c r="AU1680" s="27"/>
      <c r="AV1680" s="12"/>
      <c r="AW1680" s="28"/>
    </row>
    <row r="1681" spans="5:49">
      <c r="E1681" s="12"/>
      <c r="F1681" s="12"/>
      <c r="G1681" s="12"/>
      <c r="H1681" s="12"/>
      <c r="I1681" s="36"/>
      <c r="L1681" s="19"/>
      <c r="M1681" s="19"/>
      <c r="AS1681" s="27"/>
      <c r="AT1681" s="27"/>
      <c r="AU1681" s="27"/>
      <c r="AV1681" s="12"/>
      <c r="AW1681" s="28"/>
    </row>
    <row r="1682" spans="5:49">
      <c r="E1682" s="12"/>
      <c r="F1682" s="12"/>
      <c r="G1682" s="12"/>
      <c r="H1682" s="12"/>
      <c r="I1682" s="36"/>
      <c r="L1682" s="19"/>
      <c r="M1682" s="19"/>
      <c r="AS1682" s="27"/>
      <c r="AT1682" s="27"/>
      <c r="AU1682" s="27"/>
      <c r="AV1682" s="12"/>
      <c r="AW1682" s="28"/>
    </row>
    <row r="1683" spans="5:49">
      <c r="E1683" s="12"/>
      <c r="F1683" s="12"/>
      <c r="G1683" s="12"/>
      <c r="H1683" s="12"/>
      <c r="I1683" s="36"/>
      <c r="L1683" s="19"/>
      <c r="M1683" s="19"/>
      <c r="AS1683" s="27"/>
      <c r="AT1683" s="27"/>
      <c r="AU1683" s="27"/>
      <c r="AV1683" s="12"/>
      <c r="AW1683" s="28"/>
    </row>
    <row r="1684" spans="5:49">
      <c r="E1684" s="12"/>
      <c r="F1684" s="12"/>
      <c r="G1684" s="12"/>
      <c r="H1684" s="12"/>
      <c r="I1684" s="36"/>
      <c r="L1684" s="19"/>
      <c r="M1684" s="19"/>
      <c r="AS1684" s="27"/>
      <c r="AT1684" s="27"/>
      <c r="AU1684" s="27"/>
      <c r="AV1684" s="12"/>
      <c r="AW1684" s="28"/>
    </row>
    <row r="1685" spans="5:49">
      <c r="E1685" s="12"/>
      <c r="F1685" s="12"/>
      <c r="G1685" s="12"/>
      <c r="H1685" s="12"/>
      <c r="I1685" s="36"/>
      <c r="L1685" s="19"/>
      <c r="M1685" s="19"/>
      <c r="AS1685" s="27"/>
      <c r="AT1685" s="27"/>
      <c r="AU1685" s="27"/>
      <c r="AV1685" s="12"/>
      <c r="AW1685" s="28"/>
    </row>
    <row r="1686" spans="5:49">
      <c r="E1686" s="12"/>
      <c r="F1686" s="12"/>
      <c r="G1686" s="12"/>
      <c r="H1686" s="12"/>
      <c r="I1686" s="36"/>
      <c r="L1686" s="19"/>
      <c r="M1686" s="19"/>
      <c r="AS1686" s="27"/>
      <c r="AT1686" s="27"/>
      <c r="AU1686" s="27"/>
      <c r="AV1686" s="12"/>
      <c r="AW1686" s="28"/>
    </row>
    <row r="1687" spans="5:49">
      <c r="E1687" s="12"/>
      <c r="F1687" s="12"/>
      <c r="G1687" s="12"/>
      <c r="H1687" s="12"/>
      <c r="I1687" s="36"/>
      <c r="L1687" s="19"/>
      <c r="M1687" s="19"/>
      <c r="AS1687" s="27"/>
      <c r="AT1687" s="27"/>
      <c r="AU1687" s="27"/>
      <c r="AV1687" s="12"/>
      <c r="AW1687" s="28"/>
    </row>
    <row r="1688" spans="5:49">
      <c r="E1688" s="12"/>
      <c r="F1688" s="12"/>
      <c r="G1688" s="12"/>
      <c r="H1688" s="12"/>
      <c r="I1688" s="36"/>
      <c r="L1688" s="19"/>
      <c r="M1688" s="19"/>
      <c r="AS1688" s="27"/>
      <c r="AT1688" s="27"/>
      <c r="AU1688" s="27"/>
      <c r="AV1688" s="12"/>
      <c r="AW1688" s="28"/>
    </row>
    <row r="1689" spans="5:49">
      <c r="E1689" s="12"/>
      <c r="F1689" s="12"/>
      <c r="G1689" s="12"/>
      <c r="H1689" s="12"/>
      <c r="I1689" s="36"/>
      <c r="L1689" s="19"/>
      <c r="M1689" s="19"/>
      <c r="AS1689" s="27"/>
      <c r="AT1689" s="27"/>
      <c r="AU1689" s="27"/>
      <c r="AV1689" s="12"/>
      <c r="AW1689" s="28"/>
    </row>
    <row r="1690" spans="5:49">
      <c r="E1690" s="12"/>
      <c r="F1690" s="12"/>
      <c r="G1690" s="12"/>
      <c r="H1690" s="12"/>
      <c r="I1690" s="36"/>
      <c r="L1690" s="19"/>
      <c r="M1690" s="19"/>
      <c r="AS1690" s="27"/>
      <c r="AT1690" s="27"/>
      <c r="AU1690" s="27"/>
      <c r="AV1690" s="12"/>
      <c r="AW1690" s="28"/>
    </row>
    <row r="1691" spans="5:49">
      <c r="E1691" s="12"/>
      <c r="F1691" s="12"/>
      <c r="G1691" s="12"/>
      <c r="H1691" s="12"/>
      <c r="I1691" s="36"/>
      <c r="L1691" s="19"/>
      <c r="M1691" s="19"/>
      <c r="AS1691" s="27"/>
      <c r="AT1691" s="27"/>
      <c r="AU1691" s="27"/>
      <c r="AV1691" s="12"/>
      <c r="AW1691" s="28"/>
    </row>
    <row r="1692" spans="5:49">
      <c r="E1692" s="12"/>
      <c r="F1692" s="12"/>
      <c r="G1692" s="12"/>
      <c r="H1692" s="12"/>
      <c r="I1692" s="36"/>
      <c r="L1692" s="19"/>
      <c r="M1692" s="19"/>
      <c r="AS1692" s="27"/>
      <c r="AT1692" s="27"/>
      <c r="AU1692" s="27"/>
      <c r="AV1692" s="12"/>
      <c r="AW1692" s="28"/>
    </row>
    <row r="1693" spans="5:49">
      <c r="E1693" s="12"/>
      <c r="F1693" s="12"/>
      <c r="G1693" s="12"/>
      <c r="H1693" s="12"/>
      <c r="I1693" s="36"/>
      <c r="L1693" s="19"/>
      <c r="M1693" s="19"/>
      <c r="AS1693" s="27"/>
      <c r="AT1693" s="27"/>
      <c r="AU1693" s="27"/>
      <c r="AV1693" s="12"/>
      <c r="AW1693" s="28"/>
    </row>
    <row r="1694" spans="5:49">
      <c r="E1694" s="12"/>
      <c r="F1694" s="12"/>
      <c r="G1694" s="12"/>
      <c r="H1694" s="12"/>
      <c r="I1694" s="36"/>
      <c r="L1694" s="19"/>
      <c r="M1694" s="19"/>
      <c r="AS1694" s="27"/>
      <c r="AT1694" s="27"/>
      <c r="AU1694" s="27"/>
      <c r="AV1694" s="12"/>
      <c r="AW1694" s="28"/>
    </row>
    <row r="1695" spans="5:49">
      <c r="E1695" s="12"/>
      <c r="F1695" s="12"/>
      <c r="G1695" s="12"/>
      <c r="H1695" s="12"/>
      <c r="I1695" s="36"/>
      <c r="L1695" s="19"/>
      <c r="M1695" s="19"/>
      <c r="AS1695" s="27"/>
      <c r="AT1695" s="27"/>
      <c r="AU1695" s="27"/>
      <c r="AV1695" s="12"/>
      <c r="AW1695" s="28"/>
    </row>
    <row r="1696" spans="5:49">
      <c r="E1696" s="12"/>
      <c r="F1696" s="12"/>
      <c r="G1696" s="12"/>
      <c r="H1696" s="12"/>
      <c r="I1696" s="36"/>
      <c r="L1696" s="19"/>
      <c r="M1696" s="19"/>
      <c r="AS1696" s="27"/>
      <c r="AT1696" s="27"/>
      <c r="AU1696" s="27"/>
      <c r="AV1696" s="12"/>
      <c r="AW1696" s="28"/>
    </row>
    <row r="1697" spans="5:49">
      <c r="E1697" s="12"/>
      <c r="F1697" s="12"/>
      <c r="G1697" s="12"/>
      <c r="H1697" s="12"/>
      <c r="I1697" s="36"/>
      <c r="L1697" s="19"/>
      <c r="M1697" s="19"/>
      <c r="AS1697" s="27"/>
      <c r="AT1697" s="27"/>
      <c r="AU1697" s="27"/>
      <c r="AV1697" s="12"/>
      <c r="AW1697" s="28"/>
    </row>
    <row r="1698" spans="5:49">
      <c r="E1698" s="12"/>
      <c r="F1698" s="12"/>
      <c r="G1698" s="12"/>
      <c r="H1698" s="12"/>
      <c r="I1698" s="36"/>
      <c r="L1698" s="19"/>
      <c r="M1698" s="19"/>
      <c r="AS1698" s="27"/>
      <c r="AT1698" s="27"/>
      <c r="AU1698" s="27"/>
      <c r="AV1698" s="12"/>
      <c r="AW1698" s="28"/>
    </row>
    <row r="1699" spans="5:49">
      <c r="E1699" s="12"/>
      <c r="F1699" s="12"/>
      <c r="G1699" s="12"/>
      <c r="H1699" s="12"/>
      <c r="I1699" s="36"/>
      <c r="L1699" s="19"/>
      <c r="M1699" s="19"/>
      <c r="AS1699" s="27"/>
      <c r="AT1699" s="27"/>
      <c r="AU1699" s="27"/>
      <c r="AV1699" s="12"/>
      <c r="AW1699" s="28"/>
    </row>
    <row r="1700" spans="5:49">
      <c r="E1700" s="12"/>
      <c r="F1700" s="12"/>
      <c r="G1700" s="12"/>
      <c r="H1700" s="12"/>
      <c r="I1700" s="36"/>
      <c r="L1700" s="19"/>
      <c r="M1700" s="19"/>
      <c r="AS1700" s="27"/>
      <c r="AT1700" s="27"/>
      <c r="AU1700" s="27"/>
      <c r="AV1700" s="12"/>
      <c r="AW1700" s="28"/>
    </row>
    <row r="1701" spans="5:49">
      <c r="E1701" s="12"/>
      <c r="F1701" s="12"/>
      <c r="G1701" s="12"/>
      <c r="H1701" s="12"/>
      <c r="I1701" s="36"/>
      <c r="L1701" s="19"/>
      <c r="M1701" s="19"/>
      <c r="AS1701" s="27"/>
      <c r="AT1701" s="27"/>
      <c r="AU1701" s="27"/>
      <c r="AV1701" s="12"/>
      <c r="AW1701" s="28"/>
    </row>
    <row r="1702" spans="5:49">
      <c r="E1702" s="12"/>
      <c r="F1702" s="12"/>
      <c r="G1702" s="12"/>
      <c r="H1702" s="12"/>
      <c r="I1702" s="36"/>
      <c r="L1702" s="19"/>
      <c r="M1702" s="19"/>
      <c r="AS1702" s="27"/>
      <c r="AT1702" s="27"/>
      <c r="AU1702" s="27"/>
      <c r="AV1702" s="12"/>
      <c r="AW1702" s="28"/>
    </row>
    <row r="1703" spans="5:49">
      <c r="E1703" s="12"/>
      <c r="F1703" s="12"/>
      <c r="G1703" s="12"/>
      <c r="H1703" s="12"/>
      <c r="I1703" s="36"/>
      <c r="L1703" s="19"/>
      <c r="M1703" s="19"/>
      <c r="AS1703" s="27"/>
      <c r="AT1703" s="27"/>
      <c r="AU1703" s="27"/>
      <c r="AV1703" s="12"/>
      <c r="AW1703" s="28"/>
    </row>
    <row r="1704" spans="5:49">
      <c r="E1704" s="12"/>
      <c r="F1704" s="12"/>
      <c r="G1704" s="12"/>
      <c r="H1704" s="12"/>
      <c r="I1704" s="36"/>
      <c r="L1704" s="19"/>
      <c r="M1704" s="19"/>
      <c r="AS1704" s="27"/>
      <c r="AT1704" s="27"/>
      <c r="AU1704" s="27"/>
      <c r="AV1704" s="12"/>
      <c r="AW1704" s="28"/>
    </row>
    <row r="1705" spans="5:49">
      <c r="E1705" s="12"/>
      <c r="F1705" s="12"/>
      <c r="G1705" s="12"/>
      <c r="H1705" s="12"/>
      <c r="I1705" s="36"/>
      <c r="L1705" s="19"/>
      <c r="M1705" s="19"/>
      <c r="AS1705" s="27"/>
      <c r="AT1705" s="27"/>
      <c r="AU1705" s="27"/>
      <c r="AV1705" s="12"/>
      <c r="AW1705" s="28"/>
    </row>
    <row r="1706" spans="5:49">
      <c r="E1706" s="12"/>
      <c r="F1706" s="12"/>
      <c r="G1706" s="12"/>
      <c r="H1706" s="12"/>
      <c r="I1706" s="36"/>
      <c r="L1706" s="19"/>
      <c r="M1706" s="19"/>
      <c r="AS1706" s="27"/>
      <c r="AT1706" s="27"/>
      <c r="AU1706" s="27"/>
      <c r="AV1706" s="12"/>
      <c r="AW1706" s="28"/>
    </row>
    <row r="1707" spans="5:49">
      <c r="E1707" s="12"/>
      <c r="F1707" s="12"/>
      <c r="G1707" s="12"/>
      <c r="H1707" s="12"/>
      <c r="I1707" s="36"/>
      <c r="L1707" s="19"/>
      <c r="M1707" s="19"/>
      <c r="AS1707" s="27"/>
      <c r="AT1707" s="27"/>
      <c r="AU1707" s="27"/>
      <c r="AV1707" s="12"/>
      <c r="AW1707" s="28"/>
    </row>
    <row r="1708" spans="5:49">
      <c r="E1708" s="12"/>
      <c r="F1708" s="12"/>
      <c r="G1708" s="12"/>
      <c r="H1708" s="12"/>
      <c r="I1708" s="36"/>
      <c r="L1708" s="19"/>
      <c r="M1708" s="19"/>
      <c r="AS1708" s="27"/>
      <c r="AT1708" s="27"/>
      <c r="AU1708" s="27"/>
      <c r="AV1708" s="12"/>
      <c r="AW1708" s="28"/>
    </row>
    <row r="1709" spans="5:49">
      <c r="E1709" s="12"/>
      <c r="F1709" s="12"/>
      <c r="G1709" s="12"/>
      <c r="H1709" s="12"/>
      <c r="I1709" s="36"/>
      <c r="L1709" s="19"/>
      <c r="M1709" s="19"/>
      <c r="AS1709" s="27"/>
      <c r="AT1709" s="27"/>
      <c r="AU1709" s="27"/>
      <c r="AV1709" s="12"/>
      <c r="AW1709" s="28"/>
    </row>
    <row r="1710" spans="5:49">
      <c r="E1710" s="12"/>
      <c r="F1710" s="12"/>
      <c r="G1710" s="12"/>
      <c r="H1710" s="12"/>
      <c r="I1710" s="36"/>
      <c r="L1710" s="19"/>
      <c r="M1710" s="19"/>
      <c r="AS1710" s="27"/>
      <c r="AT1710" s="27"/>
      <c r="AU1710" s="27"/>
      <c r="AV1710" s="12"/>
      <c r="AW1710" s="28"/>
    </row>
    <row r="1711" spans="5:49">
      <c r="E1711" s="12"/>
      <c r="F1711" s="12"/>
      <c r="G1711" s="12"/>
      <c r="H1711" s="12"/>
      <c r="I1711" s="36"/>
      <c r="L1711" s="19"/>
      <c r="M1711" s="19"/>
      <c r="AS1711" s="27"/>
      <c r="AT1711" s="27"/>
      <c r="AU1711" s="27"/>
      <c r="AV1711" s="12"/>
      <c r="AW1711" s="28"/>
    </row>
    <row r="1712" spans="5:49">
      <c r="E1712" s="12"/>
      <c r="F1712" s="12"/>
      <c r="G1712" s="12"/>
      <c r="H1712" s="12"/>
      <c r="I1712" s="36"/>
      <c r="L1712" s="19"/>
      <c r="M1712" s="19"/>
      <c r="AS1712" s="27"/>
      <c r="AT1712" s="27"/>
      <c r="AU1712" s="27"/>
      <c r="AV1712" s="12"/>
      <c r="AW1712" s="28"/>
    </row>
    <row r="1713" spans="5:49">
      <c r="E1713" s="12"/>
      <c r="F1713" s="12"/>
      <c r="G1713" s="12"/>
      <c r="H1713" s="12"/>
      <c r="I1713" s="36"/>
      <c r="L1713" s="19"/>
      <c r="M1713" s="19"/>
      <c r="AS1713" s="27"/>
      <c r="AT1713" s="27"/>
      <c r="AU1713" s="27"/>
      <c r="AV1713" s="12"/>
      <c r="AW1713" s="28"/>
    </row>
    <row r="1714" spans="5:49">
      <c r="E1714" s="12"/>
      <c r="F1714" s="12"/>
      <c r="G1714" s="12"/>
      <c r="H1714" s="12"/>
      <c r="I1714" s="36"/>
      <c r="L1714" s="19"/>
      <c r="M1714" s="19"/>
      <c r="AS1714" s="27"/>
      <c r="AT1714" s="27"/>
      <c r="AU1714" s="27"/>
      <c r="AV1714" s="12"/>
      <c r="AW1714" s="28"/>
    </row>
    <row r="1715" spans="5:49">
      <c r="E1715" s="12"/>
      <c r="F1715" s="12"/>
      <c r="G1715" s="12"/>
      <c r="H1715" s="12"/>
      <c r="I1715" s="36"/>
      <c r="L1715" s="19"/>
      <c r="M1715" s="19"/>
      <c r="AS1715" s="27"/>
      <c r="AT1715" s="27"/>
      <c r="AU1715" s="27"/>
      <c r="AV1715" s="12"/>
      <c r="AW1715" s="28"/>
    </row>
    <row r="1716" spans="5:49">
      <c r="E1716" s="12"/>
      <c r="F1716" s="12"/>
      <c r="G1716" s="12"/>
      <c r="H1716" s="12"/>
      <c r="I1716" s="36"/>
      <c r="L1716" s="19"/>
      <c r="M1716" s="19"/>
      <c r="AS1716" s="27"/>
      <c r="AT1716" s="27"/>
      <c r="AU1716" s="27"/>
      <c r="AV1716" s="12"/>
      <c r="AW1716" s="28"/>
    </row>
    <row r="1717" spans="5:49">
      <c r="E1717" s="12"/>
      <c r="F1717" s="12"/>
      <c r="G1717" s="12"/>
      <c r="H1717" s="12"/>
      <c r="I1717" s="36"/>
      <c r="L1717" s="19"/>
      <c r="M1717" s="19"/>
      <c r="AS1717" s="27"/>
      <c r="AT1717" s="27"/>
      <c r="AU1717" s="27"/>
      <c r="AV1717" s="12"/>
      <c r="AW1717" s="28"/>
    </row>
    <row r="1718" spans="5:49">
      <c r="E1718" s="12"/>
      <c r="F1718" s="12"/>
      <c r="G1718" s="12"/>
      <c r="H1718" s="12"/>
      <c r="I1718" s="36"/>
      <c r="L1718" s="19"/>
      <c r="M1718" s="19"/>
      <c r="AS1718" s="27"/>
      <c r="AT1718" s="27"/>
      <c r="AU1718" s="27"/>
      <c r="AV1718" s="12"/>
      <c r="AW1718" s="28"/>
    </row>
    <row r="1719" spans="5:49">
      <c r="E1719" s="12"/>
      <c r="F1719" s="12"/>
      <c r="G1719" s="12"/>
      <c r="H1719" s="12"/>
      <c r="I1719" s="36"/>
      <c r="L1719" s="19"/>
      <c r="M1719" s="19"/>
      <c r="AS1719" s="27"/>
      <c r="AT1719" s="27"/>
      <c r="AU1719" s="27"/>
      <c r="AV1719" s="12"/>
      <c r="AW1719" s="28"/>
    </row>
    <row r="1720" spans="5:49">
      <c r="E1720" s="12"/>
      <c r="F1720" s="12"/>
      <c r="G1720" s="12"/>
      <c r="H1720" s="12"/>
      <c r="I1720" s="36"/>
      <c r="L1720" s="19"/>
      <c r="M1720" s="19"/>
      <c r="AS1720" s="27"/>
      <c r="AT1720" s="27"/>
      <c r="AU1720" s="27"/>
      <c r="AV1720" s="12"/>
      <c r="AW1720" s="28"/>
    </row>
    <row r="1721" spans="5:49">
      <c r="E1721" s="12"/>
      <c r="F1721" s="12"/>
      <c r="G1721" s="12"/>
      <c r="H1721" s="12"/>
      <c r="I1721" s="36"/>
      <c r="L1721" s="19"/>
      <c r="M1721" s="19"/>
      <c r="AS1721" s="27"/>
      <c r="AT1721" s="27"/>
      <c r="AU1721" s="27"/>
      <c r="AV1721" s="12"/>
      <c r="AW1721" s="28"/>
    </row>
    <row r="1722" spans="5:49">
      <c r="E1722" s="12"/>
      <c r="F1722" s="12"/>
      <c r="G1722" s="12"/>
      <c r="H1722" s="12"/>
      <c r="I1722" s="36"/>
      <c r="L1722" s="19"/>
      <c r="M1722" s="19"/>
      <c r="AS1722" s="27"/>
      <c r="AT1722" s="27"/>
      <c r="AU1722" s="27"/>
      <c r="AV1722" s="12"/>
      <c r="AW1722" s="28"/>
    </row>
    <row r="1723" spans="5:49">
      <c r="E1723" s="12"/>
      <c r="F1723" s="12"/>
      <c r="G1723" s="12"/>
      <c r="H1723" s="12"/>
      <c r="I1723" s="36"/>
      <c r="L1723" s="19"/>
      <c r="M1723" s="19"/>
      <c r="AS1723" s="27"/>
      <c r="AT1723" s="27"/>
      <c r="AU1723" s="27"/>
      <c r="AV1723" s="12"/>
      <c r="AW1723" s="28"/>
    </row>
    <row r="1724" spans="5:49">
      <c r="E1724" s="12"/>
      <c r="F1724" s="12"/>
      <c r="G1724" s="12"/>
      <c r="H1724" s="12"/>
      <c r="I1724" s="36"/>
      <c r="L1724" s="19"/>
      <c r="M1724" s="19"/>
      <c r="AS1724" s="27"/>
      <c r="AT1724" s="27"/>
      <c r="AU1724" s="27"/>
      <c r="AV1724" s="12"/>
      <c r="AW1724" s="28"/>
    </row>
    <row r="1725" spans="5:49">
      <c r="E1725" s="12"/>
      <c r="F1725" s="12"/>
      <c r="G1725" s="12"/>
      <c r="H1725" s="12"/>
      <c r="I1725" s="36"/>
      <c r="L1725" s="19"/>
      <c r="M1725" s="19"/>
      <c r="AS1725" s="27"/>
      <c r="AT1725" s="27"/>
      <c r="AU1725" s="27"/>
      <c r="AV1725" s="12"/>
      <c r="AW1725" s="28"/>
    </row>
    <row r="1726" spans="5:49">
      <c r="E1726" s="12"/>
      <c r="F1726" s="12"/>
      <c r="G1726" s="12"/>
      <c r="H1726" s="12"/>
      <c r="I1726" s="36"/>
      <c r="L1726" s="19"/>
      <c r="M1726" s="19"/>
      <c r="AS1726" s="27"/>
      <c r="AT1726" s="27"/>
      <c r="AU1726" s="27"/>
      <c r="AV1726" s="12"/>
      <c r="AW1726" s="28"/>
    </row>
    <row r="1727" spans="5:49">
      <c r="E1727" s="12"/>
      <c r="F1727" s="12"/>
      <c r="G1727" s="12"/>
      <c r="H1727" s="12"/>
      <c r="I1727" s="36"/>
      <c r="L1727" s="19"/>
      <c r="M1727" s="19"/>
      <c r="AS1727" s="27"/>
      <c r="AT1727" s="27"/>
      <c r="AU1727" s="27"/>
      <c r="AV1727" s="12"/>
      <c r="AW1727" s="28"/>
    </row>
    <row r="1728" spans="5:49">
      <c r="E1728" s="12"/>
      <c r="F1728" s="12"/>
      <c r="G1728" s="12"/>
      <c r="H1728" s="12"/>
      <c r="I1728" s="36"/>
      <c r="L1728" s="19"/>
      <c r="M1728" s="19"/>
      <c r="AS1728" s="27"/>
      <c r="AT1728" s="27"/>
      <c r="AU1728" s="27"/>
      <c r="AV1728" s="12"/>
      <c r="AW1728" s="28"/>
    </row>
    <row r="1729" spans="5:49">
      <c r="E1729" s="12"/>
      <c r="F1729" s="12"/>
      <c r="G1729" s="12"/>
      <c r="H1729" s="12"/>
      <c r="I1729" s="36"/>
      <c r="L1729" s="19"/>
      <c r="M1729" s="19"/>
      <c r="AS1729" s="27"/>
      <c r="AT1729" s="27"/>
      <c r="AU1729" s="27"/>
      <c r="AV1729" s="12"/>
      <c r="AW1729" s="28"/>
    </row>
    <row r="1730" spans="5:49">
      <c r="E1730" s="12"/>
      <c r="F1730" s="12"/>
      <c r="G1730" s="12"/>
      <c r="H1730" s="12"/>
      <c r="I1730" s="36"/>
      <c r="L1730" s="19"/>
      <c r="M1730" s="19"/>
      <c r="AS1730" s="27"/>
      <c r="AT1730" s="27"/>
      <c r="AU1730" s="27"/>
      <c r="AV1730" s="12"/>
      <c r="AW1730" s="28"/>
    </row>
    <row r="1731" spans="5:49">
      <c r="E1731" s="12"/>
      <c r="F1731" s="12"/>
      <c r="G1731" s="12"/>
      <c r="H1731" s="12"/>
      <c r="I1731" s="36"/>
      <c r="L1731" s="19"/>
      <c r="M1731" s="19"/>
      <c r="AS1731" s="27"/>
      <c r="AT1731" s="27"/>
      <c r="AU1731" s="27"/>
      <c r="AV1731" s="12"/>
      <c r="AW1731" s="28"/>
    </row>
    <row r="1732" spans="5:49">
      <c r="E1732" s="12"/>
      <c r="F1732" s="12"/>
      <c r="G1732" s="12"/>
      <c r="H1732" s="12"/>
      <c r="I1732" s="36"/>
      <c r="L1732" s="19"/>
      <c r="M1732" s="19"/>
      <c r="AS1732" s="27"/>
      <c r="AT1732" s="27"/>
      <c r="AU1732" s="27"/>
      <c r="AV1732" s="12"/>
      <c r="AW1732" s="28"/>
    </row>
    <row r="1733" spans="5:49">
      <c r="E1733" s="12"/>
      <c r="F1733" s="12"/>
      <c r="G1733" s="12"/>
      <c r="H1733" s="12"/>
      <c r="I1733" s="36"/>
      <c r="L1733" s="19"/>
      <c r="M1733" s="19"/>
      <c r="AS1733" s="27"/>
      <c r="AT1733" s="27"/>
      <c r="AU1733" s="27"/>
      <c r="AV1733" s="12"/>
      <c r="AW1733" s="28"/>
    </row>
    <row r="1734" spans="5:49">
      <c r="E1734" s="12"/>
      <c r="F1734" s="12"/>
      <c r="G1734" s="12"/>
      <c r="H1734" s="12"/>
      <c r="I1734" s="36"/>
      <c r="L1734" s="19"/>
      <c r="M1734" s="19"/>
      <c r="AS1734" s="27"/>
      <c r="AT1734" s="27"/>
      <c r="AU1734" s="27"/>
      <c r="AV1734" s="12"/>
      <c r="AW1734" s="28"/>
    </row>
    <row r="1735" spans="5:49">
      <c r="E1735" s="12"/>
      <c r="F1735" s="12"/>
      <c r="G1735" s="12"/>
      <c r="H1735" s="12"/>
      <c r="I1735" s="36"/>
      <c r="L1735" s="19"/>
      <c r="M1735" s="19"/>
      <c r="AS1735" s="27"/>
      <c r="AT1735" s="27"/>
      <c r="AU1735" s="27"/>
      <c r="AV1735" s="12"/>
      <c r="AW1735" s="28"/>
    </row>
    <row r="1736" spans="5:49">
      <c r="E1736" s="12"/>
      <c r="F1736" s="12"/>
      <c r="G1736" s="12"/>
      <c r="H1736" s="12"/>
      <c r="I1736" s="36"/>
      <c r="L1736" s="19"/>
      <c r="M1736" s="19"/>
      <c r="AS1736" s="27"/>
      <c r="AT1736" s="27"/>
      <c r="AU1736" s="27"/>
      <c r="AV1736" s="12"/>
      <c r="AW1736" s="28"/>
    </row>
    <row r="1737" spans="5:49">
      <c r="E1737" s="12"/>
      <c r="F1737" s="12"/>
      <c r="G1737" s="12"/>
      <c r="H1737" s="12"/>
      <c r="I1737" s="36"/>
      <c r="L1737" s="19"/>
      <c r="M1737" s="19"/>
      <c r="AS1737" s="27"/>
      <c r="AT1737" s="27"/>
      <c r="AU1737" s="27"/>
      <c r="AV1737" s="12"/>
      <c r="AW1737" s="28"/>
    </row>
    <row r="1738" spans="5:49">
      <c r="E1738" s="12"/>
      <c r="F1738" s="12"/>
      <c r="G1738" s="12"/>
      <c r="H1738" s="12"/>
      <c r="I1738" s="36"/>
      <c r="L1738" s="19"/>
      <c r="M1738" s="19"/>
      <c r="AS1738" s="27"/>
      <c r="AT1738" s="27"/>
      <c r="AU1738" s="27"/>
      <c r="AV1738" s="12"/>
      <c r="AW1738" s="28"/>
    </row>
    <row r="1739" spans="5:49">
      <c r="E1739" s="12"/>
      <c r="F1739" s="12"/>
      <c r="G1739" s="12"/>
      <c r="H1739" s="12"/>
      <c r="I1739" s="36"/>
      <c r="L1739" s="19"/>
      <c r="M1739" s="19"/>
      <c r="AS1739" s="27"/>
      <c r="AT1739" s="27"/>
      <c r="AU1739" s="27"/>
      <c r="AV1739" s="12"/>
      <c r="AW1739" s="28"/>
    </row>
    <row r="1740" spans="5:49">
      <c r="E1740" s="12"/>
      <c r="F1740" s="12"/>
      <c r="G1740" s="12"/>
      <c r="H1740" s="12"/>
      <c r="I1740" s="36"/>
      <c r="L1740" s="19"/>
      <c r="M1740" s="19"/>
      <c r="AS1740" s="27"/>
      <c r="AT1740" s="27"/>
      <c r="AU1740" s="27"/>
      <c r="AV1740" s="12"/>
      <c r="AW1740" s="28"/>
    </row>
    <row r="1741" spans="5:49">
      <c r="E1741" s="12"/>
      <c r="F1741" s="12"/>
      <c r="G1741" s="12"/>
      <c r="H1741" s="12"/>
      <c r="I1741" s="36"/>
      <c r="L1741" s="19"/>
      <c r="M1741" s="19"/>
      <c r="AS1741" s="27"/>
      <c r="AT1741" s="27"/>
      <c r="AU1741" s="27"/>
      <c r="AV1741" s="12"/>
      <c r="AW1741" s="28"/>
    </row>
    <row r="1742" spans="5:49">
      <c r="E1742" s="12"/>
      <c r="F1742" s="12"/>
      <c r="G1742" s="12"/>
      <c r="H1742" s="12"/>
      <c r="I1742" s="36"/>
      <c r="L1742" s="19"/>
      <c r="M1742" s="19"/>
      <c r="AS1742" s="27"/>
      <c r="AT1742" s="27"/>
      <c r="AU1742" s="27"/>
      <c r="AV1742" s="12"/>
      <c r="AW1742" s="28"/>
    </row>
    <row r="1743" spans="5:49">
      <c r="E1743" s="12"/>
      <c r="F1743" s="12"/>
      <c r="G1743" s="12"/>
      <c r="H1743" s="12"/>
      <c r="I1743" s="36"/>
      <c r="L1743" s="19"/>
      <c r="M1743" s="19"/>
      <c r="AS1743" s="27"/>
      <c r="AT1743" s="27"/>
      <c r="AU1743" s="27"/>
      <c r="AV1743" s="12"/>
      <c r="AW1743" s="28"/>
    </row>
    <row r="1744" spans="5:49">
      <c r="E1744" s="12"/>
      <c r="F1744" s="12"/>
      <c r="G1744" s="12"/>
      <c r="H1744" s="12"/>
      <c r="I1744" s="36"/>
      <c r="L1744" s="19"/>
      <c r="M1744" s="19"/>
      <c r="AS1744" s="27"/>
      <c r="AT1744" s="27"/>
      <c r="AU1744" s="27"/>
      <c r="AV1744" s="12"/>
      <c r="AW1744" s="28"/>
    </row>
    <row r="1745" spans="5:49">
      <c r="E1745" s="12"/>
      <c r="F1745" s="12"/>
      <c r="G1745" s="12"/>
      <c r="H1745" s="12"/>
      <c r="I1745" s="36"/>
      <c r="L1745" s="19"/>
      <c r="M1745" s="19"/>
      <c r="AS1745" s="27"/>
      <c r="AT1745" s="27"/>
      <c r="AU1745" s="27"/>
      <c r="AV1745" s="12"/>
      <c r="AW1745" s="28"/>
    </row>
    <row r="1746" spans="5:49">
      <c r="E1746" s="12"/>
      <c r="F1746" s="12"/>
      <c r="G1746" s="12"/>
      <c r="H1746" s="12"/>
      <c r="I1746" s="36"/>
      <c r="L1746" s="19"/>
      <c r="M1746" s="19"/>
      <c r="AS1746" s="27"/>
      <c r="AT1746" s="27"/>
      <c r="AU1746" s="27"/>
      <c r="AV1746" s="12"/>
      <c r="AW1746" s="28"/>
    </row>
    <row r="1747" spans="5:49">
      <c r="E1747" s="12"/>
      <c r="F1747" s="12"/>
      <c r="G1747" s="12"/>
      <c r="H1747" s="12"/>
      <c r="I1747" s="36"/>
      <c r="L1747" s="19"/>
      <c r="M1747" s="19"/>
      <c r="AS1747" s="27"/>
      <c r="AT1747" s="27"/>
      <c r="AU1747" s="27"/>
      <c r="AV1747" s="12"/>
      <c r="AW1747" s="28"/>
    </row>
    <row r="1748" spans="5:49">
      <c r="E1748" s="12"/>
      <c r="F1748" s="12"/>
      <c r="G1748" s="12"/>
      <c r="H1748" s="12"/>
      <c r="I1748" s="36"/>
      <c r="L1748" s="19"/>
      <c r="M1748" s="19"/>
      <c r="AS1748" s="27"/>
      <c r="AT1748" s="27"/>
      <c r="AU1748" s="27"/>
      <c r="AV1748" s="12"/>
      <c r="AW1748" s="28"/>
    </row>
    <row r="1749" spans="5:49">
      <c r="E1749" s="12"/>
      <c r="F1749" s="12"/>
      <c r="G1749" s="12"/>
      <c r="H1749" s="12"/>
      <c r="I1749" s="36"/>
      <c r="L1749" s="19"/>
      <c r="M1749" s="19"/>
      <c r="AS1749" s="27"/>
      <c r="AT1749" s="27"/>
      <c r="AU1749" s="27"/>
      <c r="AV1749" s="12"/>
      <c r="AW1749" s="28"/>
    </row>
    <row r="1750" spans="5:49">
      <c r="E1750" s="12"/>
      <c r="F1750" s="12"/>
      <c r="G1750" s="12"/>
      <c r="H1750" s="12"/>
      <c r="I1750" s="36"/>
      <c r="L1750" s="19"/>
      <c r="M1750" s="19"/>
      <c r="AS1750" s="27"/>
      <c r="AT1750" s="27"/>
      <c r="AU1750" s="27"/>
      <c r="AV1750" s="12"/>
      <c r="AW1750" s="28"/>
    </row>
    <row r="1751" spans="5:49">
      <c r="E1751" s="12"/>
      <c r="F1751" s="12"/>
      <c r="G1751" s="12"/>
      <c r="H1751" s="12"/>
      <c r="I1751" s="36"/>
      <c r="L1751" s="19"/>
      <c r="M1751" s="19"/>
      <c r="AS1751" s="27"/>
      <c r="AT1751" s="27"/>
      <c r="AU1751" s="27"/>
      <c r="AV1751" s="12"/>
      <c r="AW1751" s="28"/>
    </row>
    <row r="1752" spans="5:49">
      <c r="E1752" s="12"/>
      <c r="F1752" s="12"/>
      <c r="G1752" s="12"/>
      <c r="H1752" s="12"/>
      <c r="I1752" s="36"/>
      <c r="L1752" s="19"/>
      <c r="M1752" s="19"/>
      <c r="AS1752" s="27"/>
      <c r="AT1752" s="27"/>
      <c r="AU1752" s="27"/>
      <c r="AV1752" s="12"/>
      <c r="AW1752" s="28"/>
    </row>
    <row r="1753" spans="5:49">
      <c r="E1753" s="12"/>
      <c r="F1753" s="12"/>
      <c r="G1753" s="12"/>
      <c r="H1753" s="12"/>
      <c r="I1753" s="36"/>
      <c r="L1753" s="19"/>
      <c r="M1753" s="19"/>
      <c r="AS1753" s="27"/>
      <c r="AT1753" s="27"/>
      <c r="AU1753" s="27"/>
      <c r="AV1753" s="12"/>
      <c r="AW1753" s="28"/>
    </row>
    <row r="1754" spans="5:49">
      <c r="E1754" s="12"/>
      <c r="F1754" s="12"/>
      <c r="G1754" s="12"/>
      <c r="H1754" s="12"/>
      <c r="I1754" s="36"/>
      <c r="L1754" s="19"/>
      <c r="M1754" s="19"/>
      <c r="AS1754" s="27"/>
      <c r="AT1754" s="27"/>
      <c r="AU1754" s="27"/>
      <c r="AV1754" s="12"/>
      <c r="AW1754" s="28"/>
    </row>
    <row r="1755" spans="5:49">
      <c r="E1755" s="12"/>
      <c r="F1755" s="12"/>
      <c r="G1755" s="12"/>
      <c r="H1755" s="12"/>
      <c r="I1755" s="36"/>
      <c r="L1755" s="19"/>
      <c r="M1755" s="19"/>
      <c r="AS1755" s="27"/>
      <c r="AT1755" s="27"/>
      <c r="AU1755" s="27"/>
      <c r="AV1755" s="12"/>
      <c r="AW1755" s="28"/>
    </row>
    <row r="1756" spans="5:49">
      <c r="E1756" s="12"/>
      <c r="F1756" s="12"/>
      <c r="G1756" s="12"/>
      <c r="H1756" s="12"/>
      <c r="I1756" s="36"/>
      <c r="L1756" s="19"/>
      <c r="M1756" s="19"/>
      <c r="AS1756" s="27"/>
      <c r="AT1756" s="27"/>
      <c r="AU1756" s="27"/>
      <c r="AV1756" s="12"/>
      <c r="AW1756" s="28"/>
    </row>
    <row r="1757" spans="5:49">
      <c r="E1757" s="12"/>
      <c r="F1757" s="12"/>
      <c r="G1757" s="12"/>
      <c r="H1757" s="12"/>
      <c r="I1757" s="36"/>
      <c r="L1757" s="19"/>
      <c r="M1757" s="19"/>
      <c r="AS1757" s="27"/>
      <c r="AT1757" s="27"/>
      <c r="AU1757" s="27"/>
      <c r="AV1757" s="12"/>
      <c r="AW1757" s="28"/>
    </row>
    <row r="1758" spans="5:49">
      <c r="E1758" s="12"/>
      <c r="F1758" s="12"/>
      <c r="G1758" s="12"/>
      <c r="H1758" s="12"/>
      <c r="I1758" s="36"/>
      <c r="L1758" s="19"/>
      <c r="M1758" s="19"/>
      <c r="AS1758" s="27"/>
      <c r="AT1758" s="27"/>
      <c r="AU1758" s="27"/>
      <c r="AV1758" s="12"/>
      <c r="AW1758" s="28"/>
    </row>
    <row r="1759" spans="5:49">
      <c r="E1759" s="12"/>
      <c r="F1759" s="12"/>
      <c r="G1759" s="12"/>
      <c r="H1759" s="12"/>
      <c r="I1759" s="36"/>
      <c r="L1759" s="19"/>
      <c r="M1759" s="19"/>
      <c r="AS1759" s="27"/>
      <c r="AT1759" s="27"/>
      <c r="AU1759" s="27"/>
      <c r="AV1759" s="12"/>
      <c r="AW1759" s="28"/>
    </row>
    <row r="1760" spans="5:49">
      <c r="E1760" s="12"/>
      <c r="F1760" s="12"/>
      <c r="G1760" s="12"/>
      <c r="H1760" s="12"/>
      <c r="I1760" s="36"/>
      <c r="L1760" s="19"/>
      <c r="M1760" s="19"/>
      <c r="AS1760" s="27"/>
      <c r="AT1760" s="27"/>
      <c r="AU1760" s="27"/>
      <c r="AV1760" s="12"/>
      <c r="AW1760" s="28"/>
    </row>
    <row r="1761" spans="5:49">
      <c r="E1761" s="12"/>
      <c r="F1761" s="12"/>
      <c r="G1761" s="12"/>
      <c r="H1761" s="12"/>
      <c r="I1761" s="36"/>
      <c r="L1761" s="19"/>
      <c r="M1761" s="19"/>
      <c r="AS1761" s="27"/>
      <c r="AT1761" s="27"/>
      <c r="AU1761" s="27"/>
      <c r="AV1761" s="12"/>
      <c r="AW1761" s="28"/>
    </row>
    <row r="1762" spans="5:49">
      <c r="E1762" s="12"/>
      <c r="F1762" s="12"/>
      <c r="G1762" s="12"/>
      <c r="H1762" s="12"/>
      <c r="I1762" s="36"/>
      <c r="L1762" s="19"/>
      <c r="M1762" s="19"/>
      <c r="AS1762" s="27"/>
      <c r="AT1762" s="27"/>
      <c r="AU1762" s="27"/>
      <c r="AV1762" s="12"/>
      <c r="AW1762" s="28"/>
    </row>
    <row r="1763" spans="5:49">
      <c r="E1763" s="12"/>
      <c r="F1763" s="12"/>
      <c r="G1763" s="12"/>
      <c r="H1763" s="12"/>
      <c r="I1763" s="36"/>
      <c r="L1763" s="19"/>
      <c r="M1763" s="19"/>
      <c r="AS1763" s="27"/>
      <c r="AT1763" s="27"/>
      <c r="AU1763" s="27"/>
      <c r="AV1763" s="12"/>
      <c r="AW1763" s="28"/>
    </row>
    <row r="1764" spans="5:49">
      <c r="E1764" s="12"/>
      <c r="F1764" s="12"/>
      <c r="G1764" s="12"/>
      <c r="H1764" s="12"/>
      <c r="I1764" s="36"/>
      <c r="L1764" s="19"/>
      <c r="M1764" s="19"/>
      <c r="AS1764" s="27"/>
      <c r="AT1764" s="27"/>
      <c r="AU1764" s="27"/>
      <c r="AV1764" s="12"/>
      <c r="AW1764" s="28"/>
    </row>
    <row r="1765" spans="5:49">
      <c r="E1765" s="12"/>
      <c r="F1765" s="12"/>
      <c r="G1765" s="12"/>
      <c r="H1765" s="12"/>
      <c r="I1765" s="36"/>
      <c r="L1765" s="19"/>
      <c r="M1765" s="19"/>
      <c r="AS1765" s="27"/>
      <c r="AT1765" s="27"/>
      <c r="AU1765" s="27"/>
      <c r="AV1765" s="12"/>
      <c r="AW1765" s="28"/>
    </row>
    <row r="1766" spans="5:49">
      <c r="E1766" s="12"/>
      <c r="F1766" s="12"/>
      <c r="G1766" s="12"/>
      <c r="H1766" s="12"/>
      <c r="I1766" s="36"/>
      <c r="L1766" s="19"/>
      <c r="M1766" s="19"/>
      <c r="AS1766" s="27"/>
      <c r="AT1766" s="27"/>
      <c r="AU1766" s="27"/>
      <c r="AV1766" s="12"/>
      <c r="AW1766" s="28"/>
    </row>
    <row r="1767" spans="5:49">
      <c r="E1767" s="12"/>
      <c r="F1767" s="12"/>
      <c r="G1767" s="12"/>
      <c r="H1767" s="12"/>
      <c r="I1767" s="36"/>
      <c r="L1767" s="19"/>
      <c r="M1767" s="19"/>
      <c r="AS1767" s="27"/>
      <c r="AT1767" s="27"/>
      <c r="AU1767" s="27"/>
      <c r="AV1767" s="12"/>
      <c r="AW1767" s="28"/>
    </row>
    <row r="1768" spans="5:49">
      <c r="E1768" s="12"/>
      <c r="F1768" s="12"/>
      <c r="G1768" s="12"/>
      <c r="H1768" s="12"/>
      <c r="I1768" s="36"/>
      <c r="L1768" s="19"/>
      <c r="M1768" s="19"/>
      <c r="AS1768" s="27"/>
      <c r="AT1768" s="27"/>
      <c r="AU1768" s="27"/>
      <c r="AV1768" s="12"/>
      <c r="AW1768" s="28"/>
    </row>
    <row r="1769" spans="5:49">
      <c r="E1769" s="12"/>
      <c r="F1769" s="12"/>
      <c r="G1769" s="12"/>
      <c r="H1769" s="12"/>
      <c r="I1769" s="36"/>
      <c r="L1769" s="19"/>
      <c r="M1769" s="19"/>
      <c r="AS1769" s="27"/>
      <c r="AT1769" s="27"/>
      <c r="AU1769" s="27"/>
      <c r="AV1769" s="12"/>
      <c r="AW1769" s="28"/>
    </row>
    <row r="1770" spans="5:49">
      <c r="E1770" s="12"/>
      <c r="F1770" s="12"/>
      <c r="G1770" s="12"/>
      <c r="H1770" s="12"/>
      <c r="I1770" s="36"/>
      <c r="L1770" s="19"/>
      <c r="M1770" s="19"/>
      <c r="AS1770" s="27"/>
      <c r="AT1770" s="27"/>
      <c r="AU1770" s="27"/>
      <c r="AV1770" s="12"/>
      <c r="AW1770" s="28"/>
    </row>
    <row r="1771" spans="5:49">
      <c r="E1771" s="12"/>
      <c r="F1771" s="12"/>
      <c r="G1771" s="12"/>
      <c r="H1771" s="12"/>
      <c r="I1771" s="36"/>
      <c r="L1771" s="19"/>
      <c r="M1771" s="19"/>
      <c r="AS1771" s="27"/>
      <c r="AT1771" s="27"/>
      <c r="AU1771" s="27"/>
      <c r="AV1771" s="12"/>
      <c r="AW1771" s="28"/>
    </row>
    <row r="1772" spans="5:49">
      <c r="E1772" s="12"/>
      <c r="F1772" s="12"/>
      <c r="G1772" s="12"/>
      <c r="H1772" s="12"/>
      <c r="I1772" s="36"/>
      <c r="L1772" s="19"/>
      <c r="M1772" s="19"/>
      <c r="AS1772" s="27"/>
      <c r="AT1772" s="27"/>
      <c r="AU1772" s="27"/>
      <c r="AV1772" s="12"/>
      <c r="AW1772" s="28"/>
    </row>
    <row r="1773" spans="5:49">
      <c r="E1773" s="12"/>
      <c r="F1773" s="12"/>
      <c r="G1773" s="12"/>
      <c r="H1773" s="12"/>
      <c r="I1773" s="36"/>
      <c r="L1773" s="19"/>
      <c r="M1773" s="19"/>
      <c r="AS1773" s="27"/>
      <c r="AT1773" s="27"/>
      <c r="AU1773" s="27"/>
      <c r="AV1773" s="12"/>
      <c r="AW1773" s="28"/>
    </row>
    <row r="1774" spans="5:49">
      <c r="E1774" s="12"/>
      <c r="F1774" s="12"/>
      <c r="G1774" s="12"/>
      <c r="H1774" s="12"/>
      <c r="I1774" s="36"/>
      <c r="L1774" s="19"/>
      <c r="M1774" s="19"/>
      <c r="AS1774" s="27"/>
      <c r="AT1774" s="27"/>
      <c r="AU1774" s="27"/>
      <c r="AV1774" s="12"/>
      <c r="AW1774" s="28"/>
    </row>
    <row r="1775" spans="5:49">
      <c r="E1775" s="12"/>
      <c r="F1775" s="12"/>
      <c r="G1775" s="12"/>
      <c r="H1775" s="12"/>
      <c r="I1775" s="36"/>
      <c r="L1775" s="19"/>
      <c r="M1775" s="19"/>
      <c r="AS1775" s="27"/>
      <c r="AT1775" s="27"/>
      <c r="AU1775" s="27"/>
      <c r="AV1775" s="12"/>
      <c r="AW1775" s="28"/>
    </row>
    <row r="1776" spans="5:49">
      <c r="E1776" s="12"/>
      <c r="F1776" s="12"/>
      <c r="G1776" s="12"/>
      <c r="H1776" s="12"/>
      <c r="I1776" s="36"/>
      <c r="L1776" s="19"/>
      <c r="M1776" s="19"/>
      <c r="AS1776" s="27"/>
      <c r="AT1776" s="27"/>
      <c r="AU1776" s="27"/>
      <c r="AV1776" s="12"/>
      <c r="AW1776" s="28"/>
    </row>
    <row r="1777" spans="5:49">
      <c r="E1777" s="12"/>
      <c r="F1777" s="12"/>
      <c r="G1777" s="12"/>
      <c r="H1777" s="12"/>
      <c r="I1777" s="36"/>
      <c r="L1777" s="19"/>
      <c r="M1777" s="19"/>
      <c r="AS1777" s="27"/>
      <c r="AT1777" s="27"/>
      <c r="AU1777" s="27"/>
      <c r="AV1777" s="12"/>
      <c r="AW1777" s="28"/>
    </row>
    <row r="1778" spans="5:49">
      <c r="E1778" s="12"/>
      <c r="F1778" s="12"/>
      <c r="G1778" s="12"/>
      <c r="H1778" s="12"/>
      <c r="I1778" s="36"/>
      <c r="L1778" s="19"/>
      <c r="M1778" s="19"/>
      <c r="AS1778" s="27"/>
      <c r="AT1778" s="27"/>
      <c r="AU1778" s="27"/>
      <c r="AV1778" s="12"/>
      <c r="AW1778" s="28"/>
    </row>
    <row r="1779" spans="5:49">
      <c r="E1779" s="12"/>
      <c r="F1779" s="12"/>
      <c r="G1779" s="12"/>
      <c r="H1779" s="12"/>
      <c r="I1779" s="36"/>
      <c r="L1779" s="19"/>
      <c r="M1779" s="19"/>
      <c r="AS1779" s="27"/>
      <c r="AT1779" s="27"/>
      <c r="AU1779" s="27"/>
      <c r="AV1779" s="12"/>
      <c r="AW1779" s="28"/>
    </row>
    <row r="1780" spans="5:49">
      <c r="E1780" s="12"/>
      <c r="F1780" s="12"/>
      <c r="G1780" s="12"/>
      <c r="H1780" s="12"/>
      <c r="I1780" s="36"/>
      <c r="L1780" s="19"/>
      <c r="M1780" s="19"/>
      <c r="AS1780" s="27"/>
      <c r="AT1780" s="27"/>
      <c r="AU1780" s="27"/>
      <c r="AV1780" s="12"/>
      <c r="AW1780" s="28"/>
    </row>
    <row r="1781" spans="5:49">
      <c r="E1781" s="12"/>
      <c r="F1781" s="12"/>
      <c r="G1781" s="12"/>
      <c r="H1781" s="12"/>
      <c r="I1781" s="36"/>
      <c r="L1781" s="19"/>
      <c r="M1781" s="19"/>
      <c r="AS1781" s="27"/>
      <c r="AT1781" s="27"/>
      <c r="AU1781" s="27"/>
      <c r="AV1781" s="12"/>
      <c r="AW1781" s="28"/>
    </row>
    <row r="1782" spans="5:49">
      <c r="E1782" s="12"/>
      <c r="F1782" s="12"/>
      <c r="G1782" s="12"/>
      <c r="H1782" s="12"/>
      <c r="I1782" s="36"/>
      <c r="L1782" s="19"/>
      <c r="M1782" s="19"/>
      <c r="AS1782" s="27"/>
      <c r="AT1782" s="27"/>
      <c r="AU1782" s="27"/>
      <c r="AV1782" s="12"/>
      <c r="AW1782" s="28"/>
    </row>
    <row r="1783" spans="5:49">
      <c r="E1783" s="12"/>
      <c r="F1783" s="12"/>
      <c r="G1783" s="12"/>
      <c r="H1783" s="12"/>
      <c r="I1783" s="36"/>
      <c r="L1783" s="19"/>
      <c r="M1783" s="19"/>
      <c r="AS1783" s="27"/>
      <c r="AT1783" s="27"/>
      <c r="AU1783" s="27"/>
      <c r="AV1783" s="12"/>
      <c r="AW1783" s="28"/>
    </row>
    <row r="1784" spans="5:49">
      <c r="E1784" s="12"/>
      <c r="F1784" s="12"/>
      <c r="G1784" s="12"/>
      <c r="H1784" s="12"/>
      <c r="I1784" s="36"/>
      <c r="L1784" s="19"/>
      <c r="M1784" s="19"/>
      <c r="AS1784" s="27"/>
      <c r="AT1784" s="27"/>
      <c r="AU1784" s="27"/>
      <c r="AV1784" s="12"/>
      <c r="AW1784" s="28"/>
    </row>
    <row r="1785" spans="5:49">
      <c r="E1785" s="12"/>
      <c r="F1785" s="12"/>
      <c r="G1785" s="12"/>
      <c r="H1785" s="12"/>
      <c r="I1785" s="36"/>
      <c r="L1785" s="19"/>
      <c r="M1785" s="19"/>
      <c r="AS1785" s="27"/>
      <c r="AT1785" s="27"/>
      <c r="AU1785" s="27"/>
      <c r="AV1785" s="12"/>
      <c r="AW1785" s="28"/>
    </row>
    <row r="1786" spans="5:49">
      <c r="E1786" s="12"/>
      <c r="F1786" s="12"/>
      <c r="G1786" s="12"/>
      <c r="H1786" s="12"/>
      <c r="I1786" s="36"/>
      <c r="L1786" s="19"/>
      <c r="M1786" s="19"/>
      <c r="AS1786" s="27"/>
      <c r="AT1786" s="27"/>
      <c r="AU1786" s="27"/>
      <c r="AV1786" s="12"/>
      <c r="AW1786" s="28"/>
    </row>
    <row r="1787" spans="5:49">
      <c r="E1787" s="12"/>
      <c r="F1787" s="12"/>
      <c r="G1787" s="12"/>
      <c r="H1787" s="12"/>
      <c r="I1787" s="36"/>
      <c r="L1787" s="19"/>
      <c r="M1787" s="19"/>
      <c r="AS1787" s="27"/>
      <c r="AT1787" s="27"/>
      <c r="AU1787" s="27"/>
      <c r="AV1787" s="12"/>
      <c r="AW1787" s="28"/>
    </row>
    <row r="1788" spans="5:49">
      <c r="E1788" s="12"/>
      <c r="F1788" s="12"/>
      <c r="G1788" s="12"/>
      <c r="H1788" s="12"/>
      <c r="I1788" s="36"/>
      <c r="L1788" s="19"/>
      <c r="M1788" s="19"/>
      <c r="AS1788" s="27"/>
      <c r="AT1788" s="27"/>
      <c r="AU1788" s="27"/>
      <c r="AV1788" s="12"/>
      <c r="AW1788" s="28"/>
    </row>
    <row r="1789" spans="5:49">
      <c r="E1789" s="12"/>
      <c r="F1789" s="12"/>
      <c r="G1789" s="12"/>
      <c r="H1789" s="12"/>
      <c r="I1789" s="36"/>
      <c r="L1789" s="19"/>
      <c r="M1789" s="19"/>
      <c r="AS1789" s="27"/>
      <c r="AT1789" s="27"/>
      <c r="AU1789" s="27"/>
      <c r="AV1789" s="12"/>
      <c r="AW1789" s="28"/>
    </row>
    <row r="1790" spans="5:49">
      <c r="E1790" s="12"/>
      <c r="F1790" s="12"/>
      <c r="G1790" s="12"/>
      <c r="H1790" s="12"/>
      <c r="I1790" s="36"/>
      <c r="L1790" s="19"/>
      <c r="M1790" s="19"/>
      <c r="AS1790" s="27"/>
      <c r="AT1790" s="27"/>
      <c r="AU1790" s="27"/>
      <c r="AV1790" s="12"/>
      <c r="AW1790" s="28"/>
    </row>
    <row r="1791" spans="5:49">
      <c r="E1791" s="12"/>
      <c r="F1791" s="12"/>
      <c r="G1791" s="12"/>
      <c r="H1791" s="12"/>
      <c r="I1791" s="36"/>
      <c r="L1791" s="19"/>
      <c r="M1791" s="19"/>
      <c r="AS1791" s="27"/>
      <c r="AT1791" s="27"/>
      <c r="AU1791" s="27"/>
      <c r="AV1791" s="12"/>
      <c r="AW1791" s="28"/>
    </row>
    <row r="1792" spans="5:49">
      <c r="E1792" s="12"/>
      <c r="F1792" s="12"/>
      <c r="G1792" s="12"/>
      <c r="H1792" s="12"/>
      <c r="I1792" s="36"/>
      <c r="L1792" s="19"/>
      <c r="M1792" s="19"/>
      <c r="AS1792" s="27"/>
      <c r="AT1792" s="27"/>
      <c r="AU1792" s="27"/>
      <c r="AV1792" s="12"/>
      <c r="AW1792" s="28"/>
    </row>
    <row r="1793" spans="5:49">
      <c r="E1793" s="12"/>
      <c r="F1793" s="12"/>
      <c r="G1793" s="12"/>
      <c r="H1793" s="12"/>
      <c r="I1793" s="36"/>
      <c r="L1793" s="19"/>
      <c r="M1793" s="19"/>
      <c r="AS1793" s="27"/>
      <c r="AT1793" s="27"/>
      <c r="AU1793" s="27"/>
      <c r="AV1793" s="12"/>
      <c r="AW1793" s="28"/>
    </row>
    <row r="1794" spans="5:49">
      <c r="E1794" s="12"/>
      <c r="F1794" s="12"/>
      <c r="G1794" s="12"/>
      <c r="H1794" s="12"/>
      <c r="I1794" s="36"/>
      <c r="L1794" s="19"/>
      <c r="M1794" s="19"/>
      <c r="AS1794" s="27"/>
      <c r="AT1794" s="27"/>
      <c r="AU1794" s="27"/>
      <c r="AV1794" s="12"/>
      <c r="AW1794" s="28"/>
    </row>
    <row r="1795" spans="5:49">
      <c r="E1795" s="12"/>
      <c r="F1795" s="12"/>
      <c r="G1795" s="12"/>
      <c r="H1795" s="12"/>
      <c r="I1795" s="36"/>
      <c r="L1795" s="19"/>
      <c r="M1795" s="19"/>
      <c r="AS1795" s="27"/>
      <c r="AT1795" s="27"/>
      <c r="AU1795" s="27"/>
      <c r="AV1795" s="12"/>
      <c r="AW1795" s="28"/>
    </row>
    <row r="1796" spans="5:49">
      <c r="E1796" s="12"/>
      <c r="F1796" s="12"/>
      <c r="G1796" s="12"/>
      <c r="H1796" s="12"/>
      <c r="I1796" s="36"/>
      <c r="L1796" s="19"/>
      <c r="M1796" s="19"/>
      <c r="AS1796" s="27"/>
      <c r="AT1796" s="27"/>
      <c r="AU1796" s="27"/>
      <c r="AV1796" s="12"/>
      <c r="AW1796" s="28"/>
    </row>
    <row r="1797" spans="5:49">
      <c r="E1797" s="12"/>
      <c r="F1797" s="12"/>
      <c r="G1797" s="12"/>
      <c r="H1797" s="12"/>
      <c r="I1797" s="36"/>
      <c r="L1797" s="19"/>
      <c r="M1797" s="19"/>
      <c r="AS1797" s="27"/>
      <c r="AT1797" s="27"/>
      <c r="AU1797" s="27"/>
      <c r="AV1797" s="12"/>
      <c r="AW1797" s="28"/>
    </row>
    <row r="1798" spans="5:49">
      <c r="E1798" s="12"/>
      <c r="F1798" s="12"/>
      <c r="G1798" s="12"/>
      <c r="H1798" s="12"/>
      <c r="I1798" s="36"/>
      <c r="L1798" s="19"/>
      <c r="M1798" s="19"/>
      <c r="AS1798" s="27"/>
      <c r="AT1798" s="27"/>
      <c r="AU1798" s="27"/>
      <c r="AV1798" s="12"/>
      <c r="AW1798" s="28"/>
    </row>
    <row r="1799" spans="5:49">
      <c r="E1799" s="12"/>
      <c r="F1799" s="12"/>
      <c r="G1799" s="12"/>
      <c r="H1799" s="12"/>
      <c r="I1799" s="36"/>
      <c r="L1799" s="19"/>
      <c r="M1799" s="19"/>
      <c r="AS1799" s="27"/>
      <c r="AT1799" s="27"/>
      <c r="AU1799" s="27"/>
      <c r="AV1799" s="12"/>
      <c r="AW1799" s="28"/>
    </row>
    <row r="1800" spans="5:49">
      <c r="E1800" s="12"/>
      <c r="F1800" s="12"/>
      <c r="G1800" s="12"/>
      <c r="H1800" s="12"/>
      <c r="I1800" s="36"/>
      <c r="L1800" s="19"/>
      <c r="M1800" s="19"/>
      <c r="AS1800" s="27"/>
      <c r="AT1800" s="27"/>
      <c r="AU1800" s="27"/>
      <c r="AV1800" s="12"/>
      <c r="AW1800" s="28"/>
    </row>
    <row r="1801" spans="5:49">
      <c r="E1801" s="12"/>
      <c r="F1801" s="12"/>
      <c r="G1801" s="12"/>
      <c r="H1801" s="12"/>
      <c r="I1801" s="36"/>
      <c r="L1801" s="19"/>
      <c r="M1801" s="19"/>
      <c r="AS1801" s="27"/>
      <c r="AT1801" s="27"/>
      <c r="AU1801" s="27"/>
      <c r="AV1801" s="12"/>
      <c r="AW1801" s="28"/>
    </row>
    <row r="1802" spans="5:49">
      <c r="E1802" s="12"/>
      <c r="F1802" s="12"/>
      <c r="G1802" s="12"/>
      <c r="H1802" s="12"/>
      <c r="I1802" s="36"/>
      <c r="L1802" s="19"/>
      <c r="M1802" s="19"/>
      <c r="AS1802" s="27"/>
      <c r="AT1802" s="27"/>
      <c r="AU1802" s="27"/>
      <c r="AV1802" s="12"/>
      <c r="AW1802" s="28"/>
    </row>
    <row r="1803" spans="5:49">
      <c r="E1803" s="12"/>
      <c r="F1803" s="12"/>
      <c r="G1803" s="12"/>
      <c r="H1803" s="12"/>
      <c r="I1803" s="36"/>
      <c r="L1803" s="19"/>
      <c r="M1803" s="19"/>
      <c r="AS1803" s="27"/>
      <c r="AT1803" s="27"/>
      <c r="AU1803" s="27"/>
      <c r="AV1803" s="12"/>
      <c r="AW1803" s="28"/>
    </row>
    <row r="1804" spans="5:49">
      <c r="E1804" s="12"/>
      <c r="F1804" s="12"/>
      <c r="G1804" s="12"/>
      <c r="H1804" s="12"/>
      <c r="I1804" s="36"/>
      <c r="L1804" s="19"/>
      <c r="M1804" s="19"/>
      <c r="AS1804" s="27"/>
      <c r="AT1804" s="27"/>
      <c r="AU1804" s="27"/>
      <c r="AV1804" s="12"/>
      <c r="AW1804" s="28"/>
    </row>
    <row r="1805" spans="5:49">
      <c r="E1805" s="12"/>
      <c r="F1805" s="12"/>
      <c r="G1805" s="12"/>
      <c r="H1805" s="12"/>
      <c r="I1805" s="36"/>
      <c r="L1805" s="19"/>
      <c r="M1805" s="19"/>
      <c r="AS1805" s="27"/>
      <c r="AT1805" s="27"/>
      <c r="AU1805" s="27"/>
      <c r="AV1805" s="12"/>
      <c r="AW1805" s="28"/>
    </row>
    <row r="1806" spans="5:49">
      <c r="E1806" s="12"/>
      <c r="F1806" s="12"/>
      <c r="G1806" s="12"/>
      <c r="H1806" s="12"/>
      <c r="I1806" s="36"/>
      <c r="L1806" s="19"/>
      <c r="M1806" s="19"/>
      <c r="AS1806" s="27"/>
      <c r="AT1806" s="27"/>
      <c r="AU1806" s="27"/>
      <c r="AV1806" s="12"/>
      <c r="AW1806" s="28"/>
    </row>
    <row r="1807" spans="5:49">
      <c r="E1807" s="12"/>
      <c r="F1807" s="12"/>
      <c r="G1807" s="12"/>
      <c r="H1807" s="12"/>
      <c r="I1807" s="36"/>
      <c r="L1807" s="19"/>
      <c r="M1807" s="19"/>
      <c r="AS1807" s="27"/>
      <c r="AT1807" s="27"/>
      <c r="AU1807" s="27"/>
      <c r="AV1807" s="12"/>
      <c r="AW1807" s="28"/>
    </row>
    <row r="1808" spans="5:49">
      <c r="E1808" s="12"/>
      <c r="F1808" s="12"/>
      <c r="G1808" s="12"/>
      <c r="H1808" s="12"/>
      <c r="I1808" s="36"/>
      <c r="L1808" s="19"/>
      <c r="M1808" s="19"/>
      <c r="AS1808" s="27"/>
      <c r="AT1808" s="27"/>
      <c r="AU1808" s="27"/>
      <c r="AV1808" s="12"/>
      <c r="AW1808" s="28"/>
    </row>
    <row r="1809" spans="5:49">
      <c r="E1809" s="12"/>
      <c r="F1809" s="12"/>
      <c r="G1809" s="12"/>
      <c r="H1809" s="12"/>
      <c r="I1809" s="36"/>
      <c r="L1809" s="19"/>
      <c r="M1809" s="19"/>
      <c r="AS1809" s="27"/>
      <c r="AT1809" s="27"/>
      <c r="AU1809" s="27"/>
      <c r="AV1809" s="12"/>
      <c r="AW1809" s="28"/>
    </row>
    <row r="1810" spans="5:49">
      <c r="E1810" s="12"/>
      <c r="F1810" s="12"/>
      <c r="G1810" s="12"/>
      <c r="H1810" s="12"/>
      <c r="I1810" s="36"/>
      <c r="L1810" s="19"/>
      <c r="M1810" s="19"/>
      <c r="AS1810" s="27"/>
      <c r="AT1810" s="27"/>
      <c r="AU1810" s="27"/>
      <c r="AV1810" s="12"/>
      <c r="AW1810" s="28"/>
    </row>
    <row r="1811" spans="5:49">
      <c r="E1811" s="12"/>
      <c r="F1811" s="12"/>
      <c r="G1811" s="12"/>
      <c r="H1811" s="12"/>
      <c r="I1811" s="36"/>
      <c r="L1811" s="19"/>
      <c r="M1811" s="19"/>
      <c r="AS1811" s="27"/>
      <c r="AT1811" s="27"/>
      <c r="AU1811" s="27"/>
      <c r="AV1811" s="12"/>
      <c r="AW1811" s="28"/>
    </row>
    <row r="1812" spans="5:49">
      <c r="E1812" s="12"/>
      <c r="F1812" s="12"/>
      <c r="G1812" s="12"/>
      <c r="H1812" s="12"/>
      <c r="I1812" s="36"/>
      <c r="L1812" s="19"/>
      <c r="M1812" s="19"/>
      <c r="AS1812" s="27"/>
      <c r="AT1812" s="27"/>
      <c r="AU1812" s="27"/>
      <c r="AV1812" s="12"/>
      <c r="AW1812" s="28"/>
    </row>
    <row r="1813" spans="5:49">
      <c r="E1813" s="12"/>
      <c r="F1813" s="12"/>
      <c r="G1813" s="12"/>
      <c r="H1813" s="12"/>
      <c r="I1813" s="36"/>
      <c r="L1813" s="19"/>
      <c r="M1813" s="19"/>
      <c r="AS1813" s="27"/>
      <c r="AT1813" s="27"/>
      <c r="AU1813" s="27"/>
      <c r="AV1813" s="12"/>
      <c r="AW1813" s="28"/>
    </row>
    <row r="1814" spans="5:49">
      <c r="E1814" s="12"/>
      <c r="F1814" s="12"/>
      <c r="G1814" s="12"/>
      <c r="H1814" s="12"/>
      <c r="I1814" s="36"/>
      <c r="L1814" s="19"/>
      <c r="M1814" s="19"/>
      <c r="AS1814" s="27"/>
      <c r="AT1814" s="27"/>
      <c r="AU1814" s="27"/>
      <c r="AV1814" s="12"/>
      <c r="AW1814" s="28"/>
    </row>
    <row r="1815" spans="5:49">
      <c r="E1815" s="12"/>
      <c r="F1815" s="12"/>
      <c r="G1815" s="12"/>
      <c r="H1815" s="12"/>
      <c r="I1815" s="36"/>
      <c r="L1815" s="19"/>
      <c r="M1815" s="19"/>
      <c r="AS1815" s="27"/>
      <c r="AT1815" s="27"/>
      <c r="AU1815" s="27"/>
      <c r="AV1815" s="12"/>
      <c r="AW1815" s="28"/>
    </row>
    <row r="1816" spans="5:49">
      <c r="E1816" s="12"/>
      <c r="F1816" s="12"/>
      <c r="G1816" s="12"/>
      <c r="H1816" s="12"/>
      <c r="I1816" s="36"/>
      <c r="L1816" s="19"/>
      <c r="M1816" s="19"/>
      <c r="AS1816" s="27"/>
      <c r="AT1816" s="27"/>
      <c r="AU1816" s="27"/>
      <c r="AV1816" s="12"/>
      <c r="AW1816" s="28"/>
    </row>
    <row r="1817" spans="5:49">
      <c r="E1817" s="12"/>
      <c r="F1817" s="12"/>
      <c r="G1817" s="12"/>
      <c r="H1817" s="12"/>
      <c r="I1817" s="36"/>
      <c r="L1817" s="19"/>
      <c r="M1817" s="19"/>
      <c r="AS1817" s="27"/>
      <c r="AT1817" s="27"/>
      <c r="AU1817" s="27"/>
      <c r="AV1817" s="12"/>
      <c r="AW1817" s="28"/>
    </row>
    <row r="1818" spans="5:49">
      <c r="E1818" s="12"/>
      <c r="F1818" s="12"/>
      <c r="G1818" s="12"/>
      <c r="H1818" s="12"/>
      <c r="I1818" s="36"/>
      <c r="L1818" s="19"/>
      <c r="M1818" s="19"/>
      <c r="AS1818" s="27"/>
      <c r="AT1818" s="27"/>
      <c r="AU1818" s="27"/>
      <c r="AV1818" s="12"/>
      <c r="AW1818" s="28"/>
    </row>
    <row r="1819" spans="5:49">
      <c r="E1819" s="12"/>
      <c r="F1819" s="12"/>
      <c r="G1819" s="12"/>
      <c r="H1819" s="12"/>
      <c r="I1819" s="36"/>
      <c r="L1819" s="19"/>
      <c r="M1819" s="19"/>
      <c r="AS1819" s="27"/>
      <c r="AT1819" s="27"/>
      <c r="AU1819" s="27"/>
      <c r="AV1819" s="12"/>
      <c r="AW1819" s="28"/>
    </row>
    <row r="1820" spans="5:49">
      <c r="E1820" s="12"/>
      <c r="F1820" s="12"/>
      <c r="G1820" s="12"/>
      <c r="H1820" s="12"/>
      <c r="I1820" s="36"/>
      <c r="L1820" s="19"/>
      <c r="M1820" s="19"/>
      <c r="AS1820" s="27"/>
      <c r="AT1820" s="27"/>
      <c r="AU1820" s="27"/>
      <c r="AV1820" s="12"/>
      <c r="AW1820" s="28"/>
    </row>
    <row r="1821" spans="5:49">
      <c r="E1821" s="12"/>
      <c r="F1821" s="12"/>
      <c r="G1821" s="12"/>
      <c r="H1821" s="12"/>
      <c r="I1821" s="36"/>
      <c r="L1821" s="19"/>
      <c r="M1821" s="19"/>
      <c r="AS1821" s="27"/>
      <c r="AT1821" s="27"/>
      <c r="AU1821" s="27"/>
      <c r="AV1821" s="12"/>
      <c r="AW1821" s="28"/>
    </row>
    <row r="1822" spans="5:49">
      <c r="E1822" s="12"/>
      <c r="F1822" s="12"/>
      <c r="G1822" s="12"/>
      <c r="H1822" s="12"/>
      <c r="I1822" s="36"/>
      <c r="L1822" s="19"/>
      <c r="M1822" s="19"/>
      <c r="AS1822" s="27"/>
      <c r="AT1822" s="27"/>
      <c r="AU1822" s="27"/>
      <c r="AV1822" s="12"/>
      <c r="AW1822" s="28"/>
    </row>
    <row r="1823" spans="5:49">
      <c r="E1823" s="12"/>
      <c r="F1823" s="12"/>
      <c r="G1823" s="12"/>
      <c r="H1823" s="12"/>
      <c r="I1823" s="36"/>
      <c r="L1823" s="19"/>
      <c r="M1823" s="19"/>
      <c r="AS1823" s="27"/>
      <c r="AT1823" s="27"/>
      <c r="AU1823" s="27"/>
      <c r="AV1823" s="12"/>
      <c r="AW1823" s="28"/>
    </row>
    <row r="1824" spans="5:49">
      <c r="E1824" s="12"/>
      <c r="F1824" s="12"/>
      <c r="G1824" s="12"/>
      <c r="H1824" s="12"/>
      <c r="I1824" s="36"/>
      <c r="L1824" s="19"/>
      <c r="M1824" s="19"/>
      <c r="AS1824" s="27"/>
      <c r="AT1824" s="27"/>
      <c r="AU1824" s="27"/>
      <c r="AV1824" s="12"/>
      <c r="AW1824" s="28"/>
    </row>
    <row r="1825" spans="5:49">
      <c r="E1825" s="12"/>
      <c r="F1825" s="12"/>
      <c r="G1825" s="12"/>
      <c r="H1825" s="12"/>
      <c r="I1825" s="36"/>
      <c r="L1825" s="19"/>
      <c r="M1825" s="19"/>
      <c r="AS1825" s="27"/>
      <c r="AT1825" s="27"/>
      <c r="AU1825" s="27"/>
      <c r="AV1825" s="12"/>
      <c r="AW1825" s="28"/>
    </row>
    <row r="1826" spans="5:49">
      <c r="E1826" s="12"/>
      <c r="F1826" s="12"/>
      <c r="G1826" s="12"/>
      <c r="H1826" s="12"/>
      <c r="I1826" s="36"/>
      <c r="L1826" s="19"/>
      <c r="M1826" s="19"/>
      <c r="AS1826" s="27"/>
      <c r="AT1826" s="27"/>
      <c r="AU1826" s="27"/>
      <c r="AV1826" s="12"/>
      <c r="AW1826" s="28"/>
    </row>
    <row r="1827" spans="5:49">
      <c r="E1827" s="12"/>
      <c r="F1827" s="12"/>
      <c r="G1827" s="12"/>
      <c r="H1827" s="12"/>
      <c r="I1827" s="36"/>
      <c r="L1827" s="19"/>
      <c r="M1827" s="19"/>
      <c r="AS1827" s="27"/>
      <c r="AT1827" s="27"/>
      <c r="AU1827" s="27"/>
      <c r="AV1827" s="12"/>
      <c r="AW1827" s="28"/>
    </row>
    <row r="1828" spans="5:49">
      <c r="E1828" s="12"/>
      <c r="F1828" s="12"/>
      <c r="G1828" s="12"/>
      <c r="H1828" s="12"/>
      <c r="I1828" s="36"/>
      <c r="L1828" s="19"/>
      <c r="M1828" s="19"/>
      <c r="AS1828" s="27"/>
      <c r="AT1828" s="27"/>
      <c r="AU1828" s="27"/>
      <c r="AV1828" s="12"/>
      <c r="AW1828" s="28"/>
    </row>
    <row r="1829" spans="5:49">
      <c r="E1829" s="12"/>
      <c r="F1829" s="12"/>
      <c r="G1829" s="12"/>
      <c r="H1829" s="12"/>
      <c r="I1829" s="36"/>
      <c r="L1829" s="19"/>
      <c r="M1829" s="19"/>
      <c r="AS1829" s="27"/>
      <c r="AT1829" s="27"/>
      <c r="AU1829" s="27"/>
      <c r="AV1829" s="12"/>
      <c r="AW1829" s="28"/>
    </row>
    <row r="1830" spans="5:49">
      <c r="E1830" s="12"/>
      <c r="F1830" s="12"/>
      <c r="G1830" s="12"/>
      <c r="H1830" s="12"/>
      <c r="I1830" s="36"/>
      <c r="L1830" s="19"/>
      <c r="M1830" s="19"/>
      <c r="AS1830" s="27"/>
      <c r="AT1830" s="27"/>
      <c r="AU1830" s="27"/>
      <c r="AV1830" s="12"/>
      <c r="AW1830" s="28"/>
    </row>
    <row r="1831" spans="5:49">
      <c r="E1831" s="12"/>
      <c r="F1831" s="12"/>
      <c r="G1831" s="12"/>
      <c r="H1831" s="12"/>
      <c r="I1831" s="36"/>
      <c r="L1831" s="19"/>
      <c r="M1831" s="19"/>
      <c r="AS1831" s="27"/>
      <c r="AT1831" s="27"/>
      <c r="AU1831" s="27"/>
      <c r="AV1831" s="12"/>
      <c r="AW1831" s="28"/>
    </row>
    <row r="1832" spans="5:49">
      <c r="E1832" s="12"/>
      <c r="F1832" s="12"/>
      <c r="G1832" s="12"/>
      <c r="H1832" s="12"/>
      <c r="I1832" s="36"/>
      <c r="L1832" s="19"/>
      <c r="M1832" s="19"/>
      <c r="AS1832" s="27"/>
      <c r="AT1832" s="27"/>
      <c r="AU1832" s="27"/>
      <c r="AV1832" s="12"/>
      <c r="AW1832" s="28"/>
    </row>
    <row r="1833" spans="5:49">
      <c r="E1833" s="12"/>
      <c r="F1833" s="12"/>
      <c r="G1833" s="12"/>
      <c r="H1833" s="12"/>
      <c r="I1833" s="36"/>
      <c r="L1833" s="19"/>
      <c r="M1833" s="19"/>
      <c r="AS1833" s="27"/>
      <c r="AT1833" s="27"/>
      <c r="AU1833" s="27"/>
      <c r="AV1833" s="12"/>
      <c r="AW1833" s="28"/>
    </row>
    <row r="1834" spans="5:49">
      <c r="E1834" s="12"/>
      <c r="F1834" s="12"/>
      <c r="G1834" s="12"/>
      <c r="H1834" s="12"/>
      <c r="I1834" s="36"/>
      <c r="L1834" s="19"/>
      <c r="M1834" s="19"/>
      <c r="AS1834" s="27"/>
      <c r="AT1834" s="27"/>
      <c r="AU1834" s="27"/>
      <c r="AV1834" s="12"/>
      <c r="AW1834" s="28"/>
    </row>
    <row r="1835" spans="5:49">
      <c r="E1835" s="12"/>
      <c r="F1835" s="12"/>
      <c r="G1835" s="12"/>
      <c r="H1835" s="12"/>
      <c r="I1835" s="36"/>
      <c r="L1835" s="19"/>
      <c r="M1835" s="19"/>
      <c r="AS1835" s="27"/>
      <c r="AT1835" s="27"/>
      <c r="AU1835" s="27"/>
      <c r="AV1835" s="12"/>
      <c r="AW1835" s="28"/>
    </row>
    <row r="1836" spans="5:49">
      <c r="E1836" s="12"/>
      <c r="F1836" s="12"/>
      <c r="G1836" s="12"/>
      <c r="H1836" s="12"/>
      <c r="I1836" s="36"/>
      <c r="L1836" s="19"/>
      <c r="M1836" s="19"/>
      <c r="AS1836" s="27"/>
      <c r="AT1836" s="27"/>
      <c r="AU1836" s="27"/>
      <c r="AV1836" s="12"/>
      <c r="AW1836" s="28"/>
    </row>
    <row r="1837" spans="5:49">
      <c r="E1837" s="12"/>
      <c r="F1837" s="12"/>
      <c r="G1837" s="12"/>
      <c r="H1837" s="12"/>
      <c r="I1837" s="36"/>
      <c r="L1837" s="19"/>
      <c r="M1837" s="19"/>
      <c r="AS1837" s="27"/>
      <c r="AT1837" s="27"/>
      <c r="AU1837" s="27"/>
      <c r="AV1837" s="12"/>
      <c r="AW1837" s="28"/>
    </row>
    <row r="1838" spans="5:49">
      <c r="E1838" s="12"/>
      <c r="F1838" s="12"/>
      <c r="G1838" s="12"/>
      <c r="H1838" s="12"/>
      <c r="I1838" s="36"/>
      <c r="L1838" s="19"/>
      <c r="M1838" s="19"/>
      <c r="AS1838" s="27"/>
      <c r="AT1838" s="27"/>
      <c r="AU1838" s="27"/>
      <c r="AV1838" s="12"/>
      <c r="AW1838" s="28"/>
    </row>
    <row r="1839" spans="5:49">
      <c r="E1839" s="12"/>
      <c r="F1839" s="12"/>
      <c r="G1839" s="12"/>
      <c r="H1839" s="12"/>
      <c r="I1839" s="36"/>
      <c r="L1839" s="19"/>
      <c r="M1839" s="19"/>
      <c r="AS1839" s="27"/>
      <c r="AT1839" s="27"/>
      <c r="AU1839" s="27"/>
      <c r="AV1839" s="12"/>
      <c r="AW1839" s="28"/>
    </row>
    <row r="1840" spans="5:49">
      <c r="E1840" s="12"/>
      <c r="F1840" s="12"/>
      <c r="G1840" s="12"/>
      <c r="H1840" s="12"/>
      <c r="I1840" s="36"/>
      <c r="L1840" s="19"/>
      <c r="M1840" s="19"/>
      <c r="AS1840" s="27"/>
      <c r="AT1840" s="27"/>
      <c r="AU1840" s="27"/>
      <c r="AV1840" s="12"/>
      <c r="AW1840" s="28"/>
    </row>
    <row r="1841" spans="5:49">
      <c r="E1841" s="12"/>
      <c r="F1841" s="12"/>
      <c r="G1841" s="12"/>
      <c r="H1841" s="12"/>
      <c r="I1841" s="36"/>
      <c r="L1841" s="19"/>
      <c r="M1841" s="19"/>
      <c r="AS1841" s="27"/>
      <c r="AT1841" s="27"/>
      <c r="AU1841" s="27"/>
      <c r="AV1841" s="12"/>
      <c r="AW1841" s="28"/>
    </row>
    <row r="1842" spans="5:49">
      <c r="E1842" s="12"/>
      <c r="F1842" s="12"/>
      <c r="G1842" s="12"/>
      <c r="H1842" s="12"/>
      <c r="I1842" s="36"/>
      <c r="L1842" s="19"/>
      <c r="M1842" s="19"/>
      <c r="AS1842" s="27"/>
      <c r="AT1842" s="27"/>
      <c r="AU1842" s="27"/>
      <c r="AV1842" s="12"/>
      <c r="AW1842" s="28"/>
    </row>
    <row r="1843" spans="5:49">
      <c r="E1843" s="12"/>
      <c r="F1843" s="12"/>
      <c r="G1843" s="12"/>
      <c r="H1843" s="12"/>
      <c r="I1843" s="36"/>
      <c r="L1843" s="19"/>
      <c r="M1843" s="19"/>
      <c r="AS1843" s="27"/>
      <c r="AT1843" s="27"/>
      <c r="AU1843" s="27"/>
      <c r="AV1843" s="12"/>
      <c r="AW1843" s="28"/>
    </row>
    <row r="1844" spans="5:49">
      <c r="E1844" s="12"/>
      <c r="F1844" s="12"/>
      <c r="G1844" s="12"/>
      <c r="H1844" s="12"/>
      <c r="I1844" s="36"/>
      <c r="L1844" s="19"/>
      <c r="M1844" s="19"/>
      <c r="AS1844" s="27"/>
      <c r="AT1844" s="27"/>
      <c r="AU1844" s="27"/>
      <c r="AV1844" s="12"/>
      <c r="AW1844" s="28"/>
    </row>
    <row r="1845" spans="5:49">
      <c r="E1845" s="12"/>
      <c r="F1845" s="12"/>
      <c r="G1845" s="12"/>
      <c r="H1845" s="12"/>
      <c r="I1845" s="36"/>
      <c r="L1845" s="19"/>
      <c r="M1845" s="19"/>
      <c r="AS1845" s="27"/>
      <c r="AT1845" s="27"/>
      <c r="AU1845" s="27"/>
      <c r="AV1845" s="12"/>
      <c r="AW1845" s="28"/>
    </row>
    <row r="1846" spans="5:49">
      <c r="E1846" s="12"/>
      <c r="F1846" s="12"/>
      <c r="G1846" s="12"/>
      <c r="H1846" s="12"/>
      <c r="I1846" s="36"/>
      <c r="L1846" s="19"/>
      <c r="M1846" s="19"/>
      <c r="AS1846" s="27"/>
      <c r="AT1846" s="27"/>
      <c r="AU1846" s="27"/>
      <c r="AV1846" s="12"/>
      <c r="AW1846" s="28"/>
    </row>
    <row r="1847" spans="5:49">
      <c r="E1847" s="12"/>
      <c r="F1847" s="12"/>
      <c r="G1847" s="12"/>
      <c r="H1847" s="12"/>
      <c r="I1847" s="36"/>
      <c r="L1847" s="19"/>
      <c r="M1847" s="19"/>
      <c r="AS1847" s="27"/>
      <c r="AT1847" s="27"/>
      <c r="AU1847" s="27"/>
      <c r="AV1847" s="12"/>
      <c r="AW1847" s="28"/>
    </row>
    <row r="1848" spans="5:49">
      <c r="E1848" s="12"/>
      <c r="F1848" s="12"/>
      <c r="G1848" s="12"/>
      <c r="H1848" s="12"/>
      <c r="I1848" s="36"/>
      <c r="L1848" s="19"/>
      <c r="M1848" s="19"/>
      <c r="AS1848" s="27"/>
      <c r="AT1848" s="27"/>
      <c r="AU1848" s="27"/>
      <c r="AV1848" s="12"/>
      <c r="AW1848" s="28"/>
    </row>
    <row r="1849" spans="5:49">
      <c r="E1849" s="12"/>
      <c r="F1849" s="12"/>
      <c r="G1849" s="12"/>
      <c r="H1849" s="12"/>
      <c r="I1849" s="36"/>
      <c r="L1849" s="19"/>
      <c r="M1849" s="19"/>
      <c r="AS1849" s="27"/>
      <c r="AT1849" s="27"/>
      <c r="AU1849" s="27"/>
      <c r="AV1849" s="12"/>
      <c r="AW1849" s="28"/>
    </row>
    <row r="1850" spans="5:49">
      <c r="E1850" s="12"/>
      <c r="F1850" s="12"/>
      <c r="G1850" s="12"/>
      <c r="H1850" s="12"/>
      <c r="I1850" s="36"/>
      <c r="L1850" s="19"/>
      <c r="M1850" s="19"/>
      <c r="AS1850" s="27"/>
      <c r="AT1850" s="27"/>
      <c r="AU1850" s="27"/>
      <c r="AV1850" s="12"/>
      <c r="AW1850" s="28"/>
    </row>
    <row r="1851" spans="5:49">
      <c r="E1851" s="12"/>
      <c r="F1851" s="12"/>
      <c r="G1851" s="12"/>
      <c r="H1851" s="12"/>
      <c r="I1851" s="36"/>
      <c r="L1851" s="19"/>
      <c r="M1851" s="19"/>
      <c r="AS1851" s="27"/>
      <c r="AT1851" s="27"/>
      <c r="AU1851" s="27"/>
      <c r="AV1851" s="12"/>
      <c r="AW1851" s="28"/>
    </row>
    <row r="1852" spans="5:49">
      <c r="E1852" s="12"/>
      <c r="F1852" s="12"/>
      <c r="G1852" s="12"/>
      <c r="H1852" s="12"/>
      <c r="I1852" s="36"/>
      <c r="L1852" s="19"/>
      <c r="M1852" s="19"/>
      <c r="AS1852" s="27"/>
      <c r="AT1852" s="27"/>
      <c r="AU1852" s="27"/>
      <c r="AV1852" s="12"/>
      <c r="AW1852" s="28"/>
    </row>
    <row r="1853" spans="5:49">
      <c r="E1853" s="12"/>
      <c r="F1853" s="12"/>
      <c r="G1853" s="12"/>
      <c r="H1853" s="12"/>
      <c r="I1853" s="36"/>
      <c r="L1853" s="19"/>
      <c r="M1853" s="19"/>
      <c r="AS1853" s="27"/>
      <c r="AT1853" s="27"/>
      <c r="AU1853" s="27"/>
      <c r="AV1853" s="12"/>
      <c r="AW1853" s="28"/>
    </row>
    <row r="1854" spans="5:49">
      <c r="E1854" s="12"/>
      <c r="F1854" s="12"/>
      <c r="G1854" s="12"/>
      <c r="H1854" s="12"/>
      <c r="I1854" s="36"/>
      <c r="L1854" s="19"/>
      <c r="M1854" s="19"/>
      <c r="AS1854" s="27"/>
      <c r="AT1854" s="27"/>
      <c r="AU1854" s="27"/>
      <c r="AV1854" s="12"/>
      <c r="AW1854" s="28"/>
    </row>
    <row r="1855" spans="5:49">
      <c r="E1855" s="12"/>
      <c r="F1855" s="12"/>
      <c r="G1855" s="12"/>
      <c r="H1855" s="12"/>
      <c r="I1855" s="36"/>
      <c r="L1855" s="19"/>
      <c r="M1855" s="19"/>
      <c r="AS1855" s="27"/>
      <c r="AT1855" s="27"/>
      <c r="AU1855" s="27"/>
      <c r="AV1855" s="12"/>
      <c r="AW1855" s="28"/>
    </row>
    <row r="1856" spans="5:49">
      <c r="E1856" s="12"/>
      <c r="F1856" s="12"/>
      <c r="G1856" s="12"/>
      <c r="H1856" s="12"/>
      <c r="I1856" s="36"/>
      <c r="L1856" s="19"/>
      <c r="M1856" s="19"/>
      <c r="AS1856" s="27"/>
      <c r="AT1856" s="27"/>
      <c r="AU1856" s="27"/>
      <c r="AV1856" s="12"/>
      <c r="AW1856" s="28"/>
    </row>
    <row r="1857" spans="5:49">
      <c r="E1857" s="12"/>
      <c r="F1857" s="12"/>
      <c r="G1857" s="12"/>
      <c r="H1857" s="12"/>
      <c r="I1857" s="36"/>
      <c r="L1857" s="19"/>
      <c r="M1857" s="19"/>
      <c r="AS1857" s="27"/>
      <c r="AT1857" s="27"/>
      <c r="AU1857" s="27"/>
      <c r="AV1857" s="12"/>
      <c r="AW1857" s="28"/>
    </row>
    <row r="1858" spans="5:49">
      <c r="E1858" s="12"/>
      <c r="F1858" s="12"/>
      <c r="G1858" s="12"/>
      <c r="H1858" s="12"/>
      <c r="I1858" s="36"/>
      <c r="L1858" s="19"/>
      <c r="M1858" s="19"/>
      <c r="AS1858" s="27"/>
      <c r="AT1858" s="27"/>
      <c r="AU1858" s="27"/>
      <c r="AV1858" s="12"/>
      <c r="AW1858" s="28"/>
    </row>
    <row r="1859" spans="5:49">
      <c r="E1859" s="12"/>
      <c r="F1859" s="12"/>
      <c r="G1859" s="12"/>
      <c r="H1859" s="12"/>
      <c r="I1859" s="36"/>
      <c r="L1859" s="19"/>
      <c r="M1859" s="19"/>
      <c r="AS1859" s="27"/>
      <c r="AT1859" s="27"/>
      <c r="AU1859" s="27"/>
      <c r="AV1859" s="12"/>
      <c r="AW1859" s="28"/>
    </row>
    <row r="1860" spans="5:49">
      <c r="E1860" s="12"/>
      <c r="F1860" s="12"/>
      <c r="G1860" s="12"/>
      <c r="H1860" s="12"/>
      <c r="I1860" s="36"/>
      <c r="L1860" s="19"/>
      <c r="M1860" s="19"/>
      <c r="AS1860" s="27"/>
      <c r="AT1860" s="27"/>
      <c r="AU1860" s="27"/>
      <c r="AV1860" s="12"/>
      <c r="AW1860" s="28"/>
    </row>
    <row r="1861" spans="5:49">
      <c r="E1861" s="12"/>
      <c r="F1861" s="12"/>
      <c r="G1861" s="12"/>
      <c r="H1861" s="12"/>
      <c r="I1861" s="36"/>
      <c r="L1861" s="19"/>
      <c r="M1861" s="19"/>
      <c r="AS1861" s="27"/>
      <c r="AT1861" s="27"/>
      <c r="AU1861" s="27"/>
      <c r="AV1861" s="12"/>
      <c r="AW1861" s="28"/>
    </row>
    <row r="1862" spans="5:49">
      <c r="E1862" s="12"/>
      <c r="F1862" s="12"/>
      <c r="G1862" s="12"/>
      <c r="H1862" s="12"/>
      <c r="I1862" s="36"/>
      <c r="L1862" s="19"/>
      <c r="M1862" s="19"/>
      <c r="AS1862" s="27"/>
      <c r="AT1862" s="27"/>
      <c r="AU1862" s="27"/>
      <c r="AV1862" s="12"/>
      <c r="AW1862" s="28"/>
    </row>
    <row r="1863" spans="5:49">
      <c r="E1863" s="12"/>
      <c r="F1863" s="12"/>
      <c r="G1863" s="12"/>
      <c r="H1863" s="12"/>
      <c r="I1863" s="36"/>
      <c r="L1863" s="19"/>
      <c r="M1863" s="19"/>
      <c r="AS1863" s="27"/>
      <c r="AT1863" s="27"/>
      <c r="AU1863" s="27"/>
      <c r="AV1863" s="12"/>
      <c r="AW1863" s="28"/>
    </row>
    <row r="1864" spans="5:49">
      <c r="E1864" s="12"/>
      <c r="F1864" s="12"/>
      <c r="G1864" s="12"/>
      <c r="H1864" s="12"/>
      <c r="I1864" s="36"/>
      <c r="L1864" s="19"/>
      <c r="M1864" s="19"/>
      <c r="AS1864" s="27"/>
      <c r="AT1864" s="27"/>
      <c r="AU1864" s="27"/>
      <c r="AV1864" s="12"/>
      <c r="AW1864" s="28"/>
    </row>
    <row r="1865" spans="5:49">
      <c r="E1865" s="12"/>
      <c r="F1865" s="12"/>
      <c r="G1865" s="12"/>
      <c r="H1865" s="12"/>
      <c r="I1865" s="36"/>
      <c r="L1865" s="19"/>
      <c r="M1865" s="19"/>
      <c r="AS1865" s="27"/>
      <c r="AT1865" s="27"/>
      <c r="AU1865" s="27"/>
      <c r="AV1865" s="12"/>
      <c r="AW1865" s="28"/>
    </row>
    <row r="1866" spans="5:49">
      <c r="E1866" s="12"/>
      <c r="F1866" s="12"/>
      <c r="G1866" s="12"/>
      <c r="H1866" s="12"/>
      <c r="I1866" s="36"/>
      <c r="L1866" s="19"/>
      <c r="M1866" s="19"/>
      <c r="AS1866" s="27"/>
      <c r="AT1866" s="27"/>
      <c r="AU1866" s="27"/>
      <c r="AV1866" s="12"/>
      <c r="AW1866" s="28"/>
    </row>
    <row r="1867" spans="5:49">
      <c r="E1867" s="12"/>
      <c r="F1867" s="12"/>
      <c r="G1867" s="12"/>
      <c r="H1867" s="12"/>
      <c r="I1867" s="36"/>
      <c r="L1867" s="19"/>
      <c r="M1867" s="19"/>
      <c r="AS1867" s="27"/>
      <c r="AT1867" s="27"/>
      <c r="AU1867" s="27"/>
      <c r="AV1867" s="12"/>
      <c r="AW1867" s="28"/>
    </row>
    <row r="1868" spans="5:49">
      <c r="E1868" s="12"/>
      <c r="F1868" s="12"/>
      <c r="G1868" s="12"/>
      <c r="H1868" s="12"/>
      <c r="I1868" s="36"/>
      <c r="L1868" s="19"/>
      <c r="M1868" s="19"/>
      <c r="AS1868" s="27"/>
      <c r="AT1868" s="27"/>
      <c r="AU1868" s="27"/>
      <c r="AV1868" s="12"/>
      <c r="AW1868" s="28"/>
    </row>
    <row r="1869" spans="5:49">
      <c r="E1869" s="12"/>
      <c r="F1869" s="12"/>
      <c r="G1869" s="12"/>
      <c r="H1869" s="12"/>
      <c r="I1869" s="36"/>
      <c r="L1869" s="19"/>
      <c r="M1869" s="19"/>
      <c r="AS1869" s="27"/>
      <c r="AT1869" s="27"/>
      <c r="AU1869" s="27"/>
      <c r="AV1869" s="12"/>
      <c r="AW1869" s="28"/>
    </row>
    <row r="1870" spans="5:49">
      <c r="E1870" s="12"/>
      <c r="F1870" s="12"/>
      <c r="G1870" s="12"/>
      <c r="H1870" s="12"/>
      <c r="I1870" s="36"/>
      <c r="L1870" s="19"/>
      <c r="M1870" s="19"/>
      <c r="AS1870" s="27"/>
      <c r="AT1870" s="27"/>
      <c r="AU1870" s="27"/>
      <c r="AV1870" s="12"/>
      <c r="AW1870" s="28"/>
    </row>
    <row r="1871" spans="5:49">
      <c r="E1871" s="12"/>
      <c r="F1871" s="12"/>
      <c r="G1871" s="12"/>
      <c r="H1871" s="12"/>
      <c r="I1871" s="36"/>
      <c r="L1871" s="19"/>
      <c r="M1871" s="19"/>
      <c r="AS1871" s="27"/>
      <c r="AT1871" s="27"/>
      <c r="AU1871" s="27"/>
      <c r="AV1871" s="12"/>
      <c r="AW1871" s="28"/>
    </row>
    <row r="1872" spans="5:49">
      <c r="E1872" s="12"/>
      <c r="F1872" s="12"/>
      <c r="G1872" s="12"/>
      <c r="H1872" s="12"/>
      <c r="I1872" s="36"/>
      <c r="L1872" s="19"/>
      <c r="M1872" s="19"/>
      <c r="AS1872" s="27"/>
      <c r="AT1872" s="27"/>
      <c r="AU1872" s="27"/>
      <c r="AV1872" s="12"/>
      <c r="AW1872" s="28"/>
    </row>
    <row r="1873" spans="5:49">
      <c r="E1873" s="12"/>
      <c r="F1873" s="12"/>
      <c r="G1873" s="12"/>
      <c r="H1873" s="12"/>
      <c r="I1873" s="36"/>
      <c r="L1873" s="19"/>
      <c r="M1873" s="19"/>
      <c r="AS1873" s="27"/>
      <c r="AT1873" s="27"/>
      <c r="AU1873" s="27"/>
      <c r="AV1873" s="12"/>
      <c r="AW1873" s="28"/>
    </row>
    <row r="1874" spans="5:49">
      <c r="E1874" s="12"/>
      <c r="F1874" s="12"/>
      <c r="G1874" s="12"/>
      <c r="H1874" s="12"/>
      <c r="I1874" s="36"/>
      <c r="L1874" s="19"/>
      <c r="M1874" s="19"/>
      <c r="AS1874" s="27"/>
      <c r="AT1874" s="27"/>
      <c r="AU1874" s="27"/>
      <c r="AV1874" s="12"/>
      <c r="AW1874" s="28"/>
    </row>
    <row r="1875" spans="5:49">
      <c r="E1875" s="12"/>
      <c r="F1875" s="12"/>
      <c r="G1875" s="12"/>
      <c r="H1875" s="12"/>
      <c r="I1875" s="36"/>
      <c r="L1875" s="19"/>
      <c r="M1875" s="19"/>
      <c r="AS1875" s="27"/>
      <c r="AT1875" s="27"/>
      <c r="AU1875" s="27"/>
      <c r="AV1875" s="12"/>
      <c r="AW1875" s="28"/>
    </row>
    <row r="1876" spans="5:49">
      <c r="E1876" s="12"/>
      <c r="F1876" s="12"/>
      <c r="G1876" s="12"/>
      <c r="H1876" s="12"/>
      <c r="I1876" s="36"/>
      <c r="L1876" s="19"/>
      <c r="M1876" s="19"/>
      <c r="AS1876" s="27"/>
      <c r="AT1876" s="27"/>
      <c r="AU1876" s="27"/>
      <c r="AV1876" s="12"/>
      <c r="AW1876" s="28"/>
    </row>
    <row r="1877" spans="5:49">
      <c r="E1877" s="12"/>
      <c r="F1877" s="12"/>
      <c r="G1877" s="12"/>
      <c r="H1877" s="12"/>
      <c r="I1877" s="36"/>
      <c r="L1877" s="19"/>
      <c r="M1877" s="19"/>
      <c r="AS1877" s="27"/>
      <c r="AT1877" s="27"/>
      <c r="AU1877" s="27"/>
      <c r="AV1877" s="12"/>
      <c r="AW1877" s="28"/>
    </row>
    <row r="1878" spans="5:49">
      <c r="E1878" s="12"/>
      <c r="F1878" s="12"/>
      <c r="G1878" s="12"/>
      <c r="H1878" s="12"/>
      <c r="I1878" s="36"/>
      <c r="L1878" s="19"/>
      <c r="M1878" s="19"/>
      <c r="AS1878" s="27"/>
      <c r="AT1878" s="27"/>
      <c r="AU1878" s="27"/>
      <c r="AV1878" s="12"/>
      <c r="AW1878" s="28"/>
    </row>
    <row r="1879" spans="5:49">
      <c r="E1879" s="12"/>
      <c r="F1879" s="12"/>
      <c r="G1879" s="12"/>
      <c r="H1879" s="12"/>
      <c r="I1879" s="36"/>
      <c r="L1879" s="19"/>
      <c r="M1879" s="19"/>
      <c r="AS1879" s="27"/>
      <c r="AT1879" s="27"/>
      <c r="AU1879" s="27"/>
      <c r="AV1879" s="12"/>
      <c r="AW1879" s="28"/>
    </row>
    <row r="1880" spans="5:49">
      <c r="E1880" s="12"/>
      <c r="F1880" s="12"/>
      <c r="G1880" s="12"/>
      <c r="H1880" s="12"/>
      <c r="I1880" s="36"/>
      <c r="L1880" s="19"/>
      <c r="M1880" s="19"/>
      <c r="AS1880" s="27"/>
      <c r="AT1880" s="27"/>
      <c r="AU1880" s="27"/>
      <c r="AV1880" s="12"/>
      <c r="AW1880" s="28"/>
    </row>
    <row r="1881" spans="5:49">
      <c r="E1881" s="12"/>
      <c r="F1881" s="12"/>
      <c r="G1881" s="12"/>
      <c r="H1881" s="12"/>
      <c r="I1881" s="36"/>
      <c r="L1881" s="19"/>
      <c r="M1881" s="19"/>
      <c r="AS1881" s="27"/>
      <c r="AT1881" s="27"/>
      <c r="AU1881" s="27"/>
      <c r="AV1881" s="12"/>
      <c r="AW1881" s="28"/>
    </row>
    <row r="1882" spans="5:49">
      <c r="E1882" s="12"/>
      <c r="F1882" s="12"/>
      <c r="G1882" s="12"/>
      <c r="H1882" s="12"/>
      <c r="I1882" s="36"/>
      <c r="L1882" s="19"/>
      <c r="M1882" s="19"/>
      <c r="AS1882" s="27"/>
      <c r="AT1882" s="27"/>
      <c r="AU1882" s="27"/>
      <c r="AV1882" s="12"/>
      <c r="AW1882" s="28"/>
    </row>
    <row r="1883" spans="5:49">
      <c r="E1883" s="12"/>
      <c r="F1883" s="12"/>
      <c r="G1883" s="12"/>
      <c r="H1883" s="12"/>
      <c r="I1883" s="36"/>
      <c r="L1883" s="19"/>
      <c r="M1883" s="19"/>
      <c r="AS1883" s="27"/>
      <c r="AT1883" s="27"/>
      <c r="AU1883" s="27"/>
      <c r="AV1883" s="12"/>
      <c r="AW1883" s="28"/>
    </row>
    <row r="1884" spans="5:49">
      <c r="E1884" s="12"/>
      <c r="F1884" s="12"/>
      <c r="G1884" s="12"/>
      <c r="H1884" s="12"/>
      <c r="I1884" s="36"/>
      <c r="L1884" s="19"/>
      <c r="M1884" s="19"/>
      <c r="AS1884" s="27"/>
      <c r="AT1884" s="27"/>
      <c r="AU1884" s="27"/>
      <c r="AV1884" s="12"/>
      <c r="AW1884" s="28"/>
    </row>
    <row r="1885" spans="5:49">
      <c r="E1885" s="12"/>
      <c r="F1885" s="12"/>
      <c r="G1885" s="12"/>
      <c r="H1885" s="12"/>
      <c r="I1885" s="36"/>
      <c r="L1885" s="19"/>
      <c r="M1885" s="19"/>
      <c r="AS1885" s="27"/>
      <c r="AT1885" s="27"/>
      <c r="AU1885" s="27"/>
      <c r="AV1885" s="12"/>
      <c r="AW1885" s="28"/>
    </row>
    <row r="1886" spans="5:49">
      <c r="E1886" s="12"/>
      <c r="F1886" s="12"/>
      <c r="G1886" s="12"/>
      <c r="H1886" s="12"/>
      <c r="I1886" s="36"/>
      <c r="L1886" s="19"/>
      <c r="M1886" s="19"/>
      <c r="AS1886" s="27"/>
      <c r="AT1886" s="27"/>
      <c r="AU1886" s="27"/>
      <c r="AV1886" s="12"/>
      <c r="AW1886" s="28"/>
    </row>
    <row r="1887" spans="5:49">
      <c r="E1887" s="12"/>
      <c r="F1887" s="12"/>
      <c r="G1887" s="12"/>
      <c r="H1887" s="12"/>
      <c r="I1887" s="36"/>
      <c r="L1887" s="19"/>
      <c r="M1887" s="19"/>
      <c r="AS1887" s="27"/>
      <c r="AT1887" s="27"/>
      <c r="AU1887" s="27"/>
      <c r="AV1887" s="12"/>
      <c r="AW1887" s="28"/>
    </row>
    <row r="1888" spans="5:49">
      <c r="E1888" s="12"/>
      <c r="F1888" s="12"/>
      <c r="G1888" s="12"/>
      <c r="H1888" s="12"/>
      <c r="I1888" s="36"/>
      <c r="L1888" s="19"/>
      <c r="M1888" s="19"/>
      <c r="AS1888" s="27"/>
      <c r="AT1888" s="27"/>
      <c r="AU1888" s="27"/>
      <c r="AV1888" s="12"/>
      <c r="AW1888" s="28"/>
    </row>
    <row r="1889" spans="5:49">
      <c r="E1889" s="12"/>
      <c r="F1889" s="12"/>
      <c r="G1889" s="12"/>
      <c r="H1889" s="12"/>
      <c r="I1889" s="36"/>
      <c r="L1889" s="19"/>
      <c r="M1889" s="19"/>
      <c r="AS1889" s="27"/>
      <c r="AT1889" s="27"/>
      <c r="AU1889" s="27"/>
      <c r="AV1889" s="12"/>
      <c r="AW1889" s="28"/>
    </row>
    <row r="1890" spans="5:49">
      <c r="E1890" s="12"/>
      <c r="F1890" s="12"/>
      <c r="G1890" s="12"/>
      <c r="H1890" s="12"/>
      <c r="I1890" s="36"/>
      <c r="L1890" s="19"/>
      <c r="M1890" s="19"/>
      <c r="AS1890" s="27"/>
      <c r="AT1890" s="27"/>
      <c r="AU1890" s="27"/>
      <c r="AV1890" s="12"/>
      <c r="AW1890" s="28"/>
    </row>
    <row r="1891" spans="5:49">
      <c r="E1891" s="12"/>
      <c r="F1891" s="12"/>
      <c r="G1891" s="12"/>
      <c r="H1891" s="12"/>
      <c r="I1891" s="36"/>
      <c r="L1891" s="19"/>
      <c r="M1891" s="19"/>
      <c r="AS1891" s="27"/>
      <c r="AT1891" s="27"/>
      <c r="AU1891" s="27"/>
      <c r="AV1891" s="12"/>
      <c r="AW1891" s="28"/>
    </row>
    <row r="1892" spans="5:49">
      <c r="E1892" s="12"/>
      <c r="F1892" s="12"/>
      <c r="G1892" s="12"/>
      <c r="H1892" s="12"/>
      <c r="I1892" s="36"/>
      <c r="L1892" s="19"/>
      <c r="M1892" s="19"/>
      <c r="AS1892" s="27"/>
      <c r="AT1892" s="27"/>
      <c r="AU1892" s="27"/>
      <c r="AV1892" s="12"/>
      <c r="AW1892" s="28"/>
    </row>
    <row r="1893" spans="5:49">
      <c r="E1893" s="12"/>
      <c r="F1893" s="12"/>
      <c r="G1893" s="12"/>
      <c r="H1893" s="12"/>
      <c r="I1893" s="36"/>
      <c r="L1893" s="19"/>
      <c r="M1893" s="19"/>
      <c r="AS1893" s="27"/>
      <c r="AT1893" s="27"/>
      <c r="AU1893" s="27"/>
      <c r="AV1893" s="12"/>
      <c r="AW1893" s="28"/>
    </row>
    <row r="1894" spans="5:49">
      <c r="E1894" s="12"/>
      <c r="F1894" s="12"/>
      <c r="G1894" s="12"/>
      <c r="H1894" s="12"/>
      <c r="I1894" s="36"/>
      <c r="L1894" s="19"/>
      <c r="M1894" s="19"/>
      <c r="AS1894" s="27"/>
      <c r="AT1894" s="27"/>
      <c r="AU1894" s="27"/>
      <c r="AV1894" s="12"/>
      <c r="AW1894" s="28"/>
    </row>
    <row r="1895" spans="5:49">
      <c r="E1895" s="12"/>
      <c r="F1895" s="12"/>
      <c r="G1895" s="12"/>
      <c r="H1895" s="12"/>
      <c r="I1895" s="36"/>
      <c r="L1895" s="19"/>
      <c r="M1895" s="19"/>
      <c r="AS1895" s="27"/>
      <c r="AT1895" s="27"/>
      <c r="AU1895" s="27"/>
      <c r="AV1895" s="12"/>
      <c r="AW1895" s="28"/>
    </row>
    <row r="1896" spans="5:49">
      <c r="E1896" s="12"/>
      <c r="F1896" s="12"/>
      <c r="G1896" s="12"/>
      <c r="H1896" s="12"/>
      <c r="I1896" s="36"/>
      <c r="L1896" s="19"/>
      <c r="M1896" s="19"/>
      <c r="AS1896" s="27"/>
      <c r="AT1896" s="27"/>
      <c r="AU1896" s="27"/>
      <c r="AV1896" s="12"/>
      <c r="AW1896" s="28"/>
    </row>
    <row r="1897" spans="5:49">
      <c r="E1897" s="12"/>
      <c r="F1897" s="12"/>
      <c r="G1897" s="12"/>
      <c r="H1897" s="12"/>
      <c r="I1897" s="36"/>
      <c r="L1897" s="19"/>
      <c r="M1897" s="19"/>
      <c r="AS1897" s="27"/>
      <c r="AT1897" s="27"/>
      <c r="AU1897" s="27"/>
      <c r="AV1897" s="12"/>
      <c r="AW1897" s="28"/>
    </row>
    <row r="1898" spans="5:49">
      <c r="E1898" s="12"/>
      <c r="F1898" s="12"/>
      <c r="G1898" s="12"/>
      <c r="H1898" s="12"/>
      <c r="I1898" s="36"/>
      <c r="L1898" s="19"/>
      <c r="M1898" s="19"/>
      <c r="AS1898" s="27"/>
      <c r="AT1898" s="27"/>
      <c r="AU1898" s="27"/>
      <c r="AV1898" s="12"/>
      <c r="AW1898" s="28"/>
    </row>
    <row r="1899" spans="5:49">
      <c r="E1899" s="12"/>
      <c r="F1899" s="12"/>
      <c r="G1899" s="12"/>
      <c r="H1899" s="12"/>
      <c r="I1899" s="36"/>
      <c r="L1899" s="19"/>
      <c r="M1899" s="19"/>
      <c r="AS1899" s="27"/>
      <c r="AT1899" s="27"/>
      <c r="AU1899" s="27"/>
      <c r="AV1899" s="12"/>
      <c r="AW1899" s="28"/>
    </row>
    <row r="1900" spans="5:49">
      <c r="E1900" s="12"/>
      <c r="F1900" s="12"/>
      <c r="G1900" s="12"/>
      <c r="H1900" s="12"/>
      <c r="I1900" s="36"/>
      <c r="L1900" s="19"/>
      <c r="M1900" s="19"/>
      <c r="AS1900" s="27"/>
      <c r="AT1900" s="27"/>
      <c r="AU1900" s="27"/>
      <c r="AV1900" s="12"/>
      <c r="AW1900" s="28"/>
    </row>
    <row r="1901" spans="5:49">
      <c r="E1901" s="12"/>
      <c r="F1901" s="12"/>
      <c r="G1901" s="12"/>
      <c r="H1901" s="12"/>
      <c r="I1901" s="36"/>
      <c r="L1901" s="19"/>
      <c r="M1901" s="19"/>
      <c r="AS1901" s="27"/>
      <c r="AT1901" s="27"/>
      <c r="AU1901" s="27"/>
      <c r="AV1901" s="12"/>
      <c r="AW1901" s="28"/>
    </row>
    <row r="1902" spans="5:49">
      <c r="E1902" s="12"/>
      <c r="F1902" s="12"/>
      <c r="G1902" s="12"/>
      <c r="H1902" s="12"/>
      <c r="I1902" s="36"/>
      <c r="L1902" s="19"/>
      <c r="M1902" s="19"/>
      <c r="AS1902" s="27"/>
      <c r="AT1902" s="27"/>
      <c r="AU1902" s="27"/>
      <c r="AV1902" s="12"/>
      <c r="AW1902" s="28"/>
    </row>
    <row r="1903" spans="5:49">
      <c r="E1903" s="12"/>
      <c r="F1903" s="12"/>
      <c r="G1903" s="12"/>
      <c r="H1903" s="12"/>
      <c r="I1903" s="36"/>
      <c r="L1903" s="19"/>
      <c r="M1903" s="19"/>
      <c r="AS1903" s="27"/>
      <c r="AT1903" s="27"/>
      <c r="AU1903" s="27"/>
      <c r="AV1903" s="12"/>
      <c r="AW1903" s="28"/>
    </row>
    <row r="1904" spans="5:49">
      <c r="E1904" s="12"/>
      <c r="F1904" s="12"/>
      <c r="G1904" s="12"/>
      <c r="H1904" s="12"/>
      <c r="I1904" s="36"/>
      <c r="L1904" s="19"/>
      <c r="M1904" s="19"/>
      <c r="AS1904" s="27"/>
      <c r="AT1904" s="27"/>
      <c r="AU1904" s="27"/>
      <c r="AV1904" s="12"/>
      <c r="AW1904" s="28"/>
    </row>
    <row r="1905" spans="5:49">
      <c r="E1905" s="12"/>
      <c r="F1905" s="12"/>
      <c r="G1905" s="12"/>
      <c r="H1905" s="12"/>
      <c r="I1905" s="36"/>
      <c r="L1905" s="19"/>
      <c r="M1905" s="19"/>
      <c r="AS1905" s="27"/>
      <c r="AT1905" s="27"/>
      <c r="AU1905" s="27"/>
      <c r="AV1905" s="12"/>
      <c r="AW1905" s="28"/>
    </row>
    <row r="1906" spans="5:49">
      <c r="E1906" s="12"/>
      <c r="F1906" s="12"/>
      <c r="G1906" s="12"/>
      <c r="H1906" s="12"/>
      <c r="I1906" s="36"/>
      <c r="L1906" s="19"/>
      <c r="M1906" s="19"/>
      <c r="AS1906" s="27"/>
      <c r="AT1906" s="27"/>
      <c r="AU1906" s="27"/>
      <c r="AV1906" s="12"/>
      <c r="AW1906" s="28"/>
    </row>
    <row r="1907" spans="5:49">
      <c r="E1907" s="12"/>
      <c r="F1907" s="12"/>
      <c r="G1907" s="12"/>
      <c r="H1907" s="12"/>
      <c r="I1907" s="36"/>
      <c r="L1907" s="19"/>
      <c r="M1907" s="19"/>
      <c r="AS1907" s="27"/>
      <c r="AT1907" s="27"/>
      <c r="AU1907" s="27"/>
      <c r="AV1907" s="12"/>
      <c r="AW1907" s="28"/>
    </row>
    <row r="1908" spans="5:49">
      <c r="E1908" s="12"/>
      <c r="F1908" s="12"/>
      <c r="G1908" s="12"/>
      <c r="H1908" s="12"/>
      <c r="I1908" s="36"/>
      <c r="L1908" s="19"/>
      <c r="M1908" s="19"/>
      <c r="AS1908" s="27"/>
      <c r="AT1908" s="27"/>
      <c r="AU1908" s="27"/>
      <c r="AV1908" s="12"/>
      <c r="AW1908" s="28"/>
    </row>
    <row r="1909" spans="5:49">
      <c r="E1909" s="12"/>
      <c r="F1909" s="12"/>
      <c r="G1909" s="12"/>
      <c r="H1909" s="12"/>
      <c r="I1909" s="36"/>
      <c r="L1909" s="19"/>
      <c r="M1909" s="19"/>
      <c r="AS1909" s="27"/>
      <c r="AT1909" s="27"/>
      <c r="AU1909" s="27"/>
      <c r="AV1909" s="12"/>
      <c r="AW1909" s="28"/>
    </row>
    <row r="1910" spans="5:49">
      <c r="E1910" s="12"/>
      <c r="F1910" s="12"/>
      <c r="G1910" s="12"/>
      <c r="H1910" s="12"/>
      <c r="I1910" s="36"/>
      <c r="L1910" s="19"/>
      <c r="M1910" s="19"/>
      <c r="AS1910" s="27"/>
      <c r="AT1910" s="27"/>
      <c r="AU1910" s="27"/>
      <c r="AV1910" s="12"/>
      <c r="AW1910" s="28"/>
    </row>
    <row r="1911" spans="5:49">
      <c r="E1911" s="12"/>
      <c r="F1911" s="12"/>
      <c r="G1911" s="12"/>
      <c r="H1911" s="12"/>
      <c r="I1911" s="36"/>
      <c r="L1911" s="19"/>
      <c r="M1911" s="19"/>
      <c r="AS1911" s="27"/>
      <c r="AT1911" s="27"/>
      <c r="AU1911" s="27"/>
      <c r="AV1911" s="12"/>
      <c r="AW1911" s="28"/>
    </row>
    <row r="1912" spans="5:49">
      <c r="E1912" s="12"/>
      <c r="F1912" s="12"/>
      <c r="G1912" s="12"/>
      <c r="H1912" s="12"/>
      <c r="I1912" s="36"/>
      <c r="L1912" s="19"/>
      <c r="M1912" s="19"/>
      <c r="AS1912" s="27"/>
      <c r="AT1912" s="27"/>
      <c r="AU1912" s="27"/>
      <c r="AV1912" s="12"/>
      <c r="AW1912" s="28"/>
    </row>
    <row r="1913" spans="5:49">
      <c r="E1913" s="12"/>
      <c r="F1913" s="12"/>
      <c r="G1913" s="12"/>
      <c r="H1913" s="12"/>
      <c r="I1913" s="36"/>
      <c r="L1913" s="19"/>
      <c r="M1913" s="19"/>
      <c r="AS1913" s="27"/>
      <c r="AT1913" s="27"/>
      <c r="AU1913" s="27"/>
      <c r="AV1913" s="12"/>
      <c r="AW1913" s="28"/>
    </row>
    <row r="1914" spans="5:49">
      <c r="E1914" s="12"/>
      <c r="F1914" s="12"/>
      <c r="G1914" s="12"/>
      <c r="H1914" s="12"/>
      <c r="I1914" s="36"/>
      <c r="L1914" s="19"/>
      <c r="M1914" s="19"/>
      <c r="AS1914" s="27"/>
      <c r="AT1914" s="27"/>
      <c r="AU1914" s="27"/>
      <c r="AV1914" s="12"/>
      <c r="AW1914" s="28"/>
    </row>
    <row r="1915" spans="5:49">
      <c r="E1915" s="12"/>
      <c r="F1915" s="12"/>
      <c r="G1915" s="12"/>
      <c r="H1915" s="12"/>
      <c r="I1915" s="36"/>
      <c r="L1915" s="19"/>
      <c r="M1915" s="19"/>
      <c r="AS1915" s="27"/>
      <c r="AT1915" s="27"/>
      <c r="AU1915" s="27"/>
      <c r="AV1915" s="12"/>
      <c r="AW1915" s="28"/>
    </row>
    <row r="1916" spans="5:49">
      <c r="E1916" s="12"/>
      <c r="F1916" s="12"/>
      <c r="G1916" s="12"/>
      <c r="H1916" s="12"/>
      <c r="I1916" s="36"/>
      <c r="L1916" s="19"/>
      <c r="M1916" s="19"/>
      <c r="AS1916" s="27"/>
      <c r="AT1916" s="27"/>
      <c r="AU1916" s="27"/>
      <c r="AV1916" s="12"/>
      <c r="AW1916" s="28"/>
    </row>
    <row r="1917" spans="5:49">
      <c r="E1917" s="12"/>
      <c r="F1917" s="12"/>
      <c r="G1917" s="12"/>
      <c r="H1917" s="12"/>
      <c r="I1917" s="36"/>
      <c r="L1917" s="19"/>
      <c r="M1917" s="19"/>
      <c r="AS1917" s="27"/>
      <c r="AT1917" s="27"/>
      <c r="AU1917" s="27"/>
      <c r="AV1917" s="12"/>
      <c r="AW1917" s="28"/>
    </row>
    <row r="1918" spans="5:49">
      <c r="E1918" s="12"/>
      <c r="F1918" s="12"/>
      <c r="G1918" s="12"/>
      <c r="H1918" s="12"/>
      <c r="I1918" s="36"/>
      <c r="L1918" s="19"/>
      <c r="M1918" s="19"/>
      <c r="AS1918" s="27"/>
      <c r="AT1918" s="27"/>
      <c r="AU1918" s="27"/>
      <c r="AV1918" s="12"/>
      <c r="AW1918" s="28"/>
    </row>
    <row r="1919" spans="5:49">
      <c r="E1919" s="12"/>
      <c r="F1919" s="12"/>
      <c r="G1919" s="12"/>
      <c r="H1919" s="12"/>
      <c r="I1919" s="36"/>
      <c r="L1919" s="19"/>
      <c r="M1919" s="19"/>
      <c r="AS1919" s="27"/>
      <c r="AT1919" s="27"/>
      <c r="AU1919" s="27"/>
      <c r="AV1919" s="12"/>
      <c r="AW1919" s="28"/>
    </row>
    <row r="1920" spans="5:49">
      <c r="E1920" s="12"/>
      <c r="F1920" s="12"/>
      <c r="G1920" s="12"/>
      <c r="H1920" s="12"/>
      <c r="I1920" s="36"/>
      <c r="L1920" s="19"/>
      <c r="M1920" s="19"/>
      <c r="AS1920" s="27"/>
      <c r="AT1920" s="27"/>
      <c r="AU1920" s="27"/>
      <c r="AV1920" s="12"/>
      <c r="AW1920" s="28"/>
    </row>
    <row r="1921" spans="5:49">
      <c r="E1921" s="12"/>
      <c r="F1921" s="12"/>
      <c r="G1921" s="12"/>
      <c r="H1921" s="12"/>
      <c r="I1921" s="36"/>
      <c r="L1921" s="19"/>
      <c r="M1921" s="19"/>
      <c r="AS1921" s="27"/>
      <c r="AT1921" s="27"/>
      <c r="AU1921" s="27"/>
      <c r="AV1921" s="12"/>
      <c r="AW1921" s="28"/>
    </row>
    <row r="1922" spans="5:49">
      <c r="E1922" s="12"/>
      <c r="F1922" s="12"/>
      <c r="G1922" s="12"/>
      <c r="H1922" s="12"/>
      <c r="I1922" s="36"/>
      <c r="L1922" s="19"/>
      <c r="M1922" s="19"/>
      <c r="AS1922" s="27"/>
      <c r="AT1922" s="27"/>
      <c r="AU1922" s="27"/>
      <c r="AV1922" s="12"/>
      <c r="AW1922" s="28"/>
    </row>
    <row r="1923" spans="5:49">
      <c r="E1923" s="12"/>
      <c r="F1923" s="12"/>
      <c r="G1923" s="12"/>
      <c r="H1923" s="12"/>
      <c r="I1923" s="36"/>
      <c r="L1923" s="19"/>
      <c r="M1923" s="19"/>
      <c r="AS1923" s="27"/>
      <c r="AT1923" s="27"/>
      <c r="AU1923" s="27"/>
      <c r="AV1923" s="12"/>
      <c r="AW1923" s="28"/>
    </row>
    <row r="1924" spans="5:49">
      <c r="E1924" s="12"/>
      <c r="F1924" s="12"/>
      <c r="G1924" s="12"/>
      <c r="H1924" s="12"/>
      <c r="I1924" s="36"/>
      <c r="L1924" s="19"/>
      <c r="M1924" s="19"/>
      <c r="AS1924" s="27"/>
      <c r="AT1924" s="27"/>
      <c r="AU1924" s="27"/>
      <c r="AV1924" s="12"/>
      <c r="AW1924" s="28"/>
    </row>
    <row r="1925" spans="5:49">
      <c r="E1925" s="12"/>
      <c r="F1925" s="12"/>
      <c r="G1925" s="12"/>
      <c r="H1925" s="12"/>
      <c r="I1925" s="36"/>
      <c r="L1925" s="19"/>
      <c r="M1925" s="19"/>
      <c r="AS1925" s="27"/>
      <c r="AT1925" s="27"/>
      <c r="AU1925" s="27"/>
      <c r="AV1925" s="12"/>
      <c r="AW1925" s="28"/>
    </row>
    <row r="1926" spans="5:49">
      <c r="E1926" s="12"/>
      <c r="F1926" s="12"/>
      <c r="G1926" s="12"/>
      <c r="H1926" s="12"/>
      <c r="I1926" s="36"/>
      <c r="L1926" s="19"/>
      <c r="M1926" s="19"/>
      <c r="AS1926" s="27"/>
      <c r="AT1926" s="27"/>
      <c r="AU1926" s="27"/>
      <c r="AV1926" s="12"/>
      <c r="AW1926" s="28"/>
    </row>
    <row r="1927" spans="5:49">
      <c r="E1927" s="12"/>
      <c r="F1927" s="12"/>
      <c r="G1927" s="12"/>
      <c r="H1927" s="12"/>
      <c r="I1927" s="36"/>
      <c r="L1927" s="19"/>
      <c r="M1927" s="19"/>
      <c r="AS1927" s="27"/>
      <c r="AT1927" s="27"/>
      <c r="AU1927" s="27"/>
      <c r="AV1927" s="12"/>
      <c r="AW1927" s="28"/>
    </row>
    <row r="1928" spans="5:49">
      <c r="E1928" s="12"/>
      <c r="F1928" s="12"/>
      <c r="G1928" s="12"/>
      <c r="H1928" s="12"/>
      <c r="I1928" s="36"/>
      <c r="L1928" s="19"/>
      <c r="M1928" s="19"/>
      <c r="AS1928" s="27"/>
      <c r="AT1928" s="27"/>
      <c r="AU1928" s="27"/>
      <c r="AV1928" s="12"/>
      <c r="AW1928" s="28"/>
    </row>
    <row r="1929" spans="5:49">
      <c r="E1929" s="12"/>
      <c r="F1929" s="12"/>
      <c r="G1929" s="12"/>
      <c r="H1929" s="12"/>
      <c r="I1929" s="36"/>
      <c r="L1929" s="19"/>
      <c r="M1929" s="19"/>
      <c r="AS1929" s="27"/>
      <c r="AT1929" s="27"/>
      <c r="AU1929" s="27"/>
      <c r="AV1929" s="12"/>
      <c r="AW1929" s="28"/>
    </row>
    <row r="1930" spans="5:49">
      <c r="E1930" s="12"/>
      <c r="F1930" s="12"/>
      <c r="G1930" s="12"/>
      <c r="H1930" s="12"/>
      <c r="I1930" s="36"/>
      <c r="L1930" s="19"/>
      <c r="M1930" s="19"/>
      <c r="AS1930" s="27"/>
      <c r="AT1930" s="27"/>
      <c r="AU1930" s="27"/>
      <c r="AV1930" s="12"/>
      <c r="AW1930" s="28"/>
    </row>
    <row r="1931" spans="5:49">
      <c r="E1931" s="12"/>
      <c r="F1931" s="12"/>
      <c r="G1931" s="12"/>
      <c r="H1931" s="12"/>
      <c r="I1931" s="36"/>
      <c r="L1931" s="19"/>
      <c r="M1931" s="19"/>
      <c r="AS1931" s="27"/>
      <c r="AT1931" s="27"/>
      <c r="AU1931" s="27"/>
      <c r="AV1931" s="12"/>
      <c r="AW1931" s="28"/>
    </row>
    <row r="1932" spans="5:49">
      <c r="E1932" s="12"/>
      <c r="F1932" s="12"/>
      <c r="G1932" s="12"/>
      <c r="H1932" s="12"/>
      <c r="I1932" s="36"/>
      <c r="L1932" s="19"/>
      <c r="M1932" s="19"/>
      <c r="AS1932" s="27"/>
      <c r="AT1932" s="27"/>
      <c r="AU1932" s="27"/>
      <c r="AV1932" s="12"/>
      <c r="AW1932" s="28"/>
    </row>
    <row r="1933" spans="5:49">
      <c r="E1933" s="12"/>
      <c r="F1933" s="12"/>
      <c r="G1933" s="12"/>
      <c r="H1933" s="12"/>
      <c r="I1933" s="36"/>
      <c r="L1933" s="19"/>
      <c r="M1933" s="19"/>
      <c r="AS1933" s="27"/>
      <c r="AT1933" s="27"/>
      <c r="AU1933" s="27"/>
      <c r="AV1933" s="12"/>
      <c r="AW1933" s="28"/>
    </row>
    <row r="1934" spans="5:49">
      <c r="E1934" s="12"/>
      <c r="F1934" s="12"/>
      <c r="G1934" s="12"/>
      <c r="H1934" s="12"/>
      <c r="I1934" s="36"/>
      <c r="L1934" s="19"/>
      <c r="M1934" s="19"/>
      <c r="AS1934" s="27"/>
      <c r="AT1934" s="27"/>
      <c r="AU1934" s="27"/>
      <c r="AV1934" s="12"/>
      <c r="AW1934" s="28"/>
    </row>
    <row r="1935" spans="5:49">
      <c r="E1935" s="12"/>
      <c r="F1935" s="12"/>
      <c r="G1935" s="12"/>
      <c r="H1935" s="12"/>
      <c r="I1935" s="36"/>
      <c r="L1935" s="19"/>
      <c r="M1935" s="19"/>
      <c r="AS1935" s="27"/>
      <c r="AT1935" s="27"/>
      <c r="AU1935" s="27"/>
      <c r="AV1935" s="12"/>
      <c r="AW1935" s="28"/>
    </row>
    <row r="1936" spans="5:49">
      <c r="E1936" s="12"/>
      <c r="F1936" s="12"/>
      <c r="G1936" s="12"/>
      <c r="H1936" s="12"/>
      <c r="I1936" s="36"/>
      <c r="L1936" s="19"/>
      <c r="M1936" s="19"/>
      <c r="AS1936" s="27"/>
      <c r="AT1936" s="27"/>
      <c r="AU1936" s="27"/>
      <c r="AV1936" s="12"/>
      <c r="AW1936" s="28"/>
    </row>
    <row r="1937" spans="5:49">
      <c r="E1937" s="12"/>
      <c r="F1937" s="12"/>
      <c r="G1937" s="12"/>
      <c r="H1937" s="12"/>
      <c r="I1937" s="36"/>
      <c r="L1937" s="19"/>
      <c r="M1937" s="19"/>
      <c r="AS1937" s="27"/>
      <c r="AT1937" s="27"/>
      <c r="AU1937" s="27"/>
      <c r="AV1937" s="12"/>
      <c r="AW1937" s="28"/>
    </row>
    <row r="1938" spans="5:49">
      <c r="E1938" s="12"/>
      <c r="F1938" s="12"/>
      <c r="G1938" s="12"/>
      <c r="H1938" s="12"/>
      <c r="I1938" s="36"/>
      <c r="L1938" s="19"/>
      <c r="M1938" s="19"/>
      <c r="AS1938" s="27"/>
      <c r="AT1938" s="27"/>
      <c r="AU1938" s="27"/>
      <c r="AV1938" s="12"/>
      <c r="AW1938" s="28"/>
    </row>
    <row r="1939" spans="5:49">
      <c r="E1939" s="12"/>
      <c r="F1939" s="12"/>
      <c r="G1939" s="12"/>
      <c r="H1939" s="12"/>
      <c r="I1939" s="36"/>
      <c r="L1939" s="19"/>
      <c r="M1939" s="19"/>
      <c r="AS1939" s="27"/>
      <c r="AT1939" s="27"/>
      <c r="AU1939" s="27"/>
      <c r="AV1939" s="12"/>
      <c r="AW1939" s="28"/>
    </row>
    <row r="1940" spans="5:49">
      <c r="E1940" s="12"/>
      <c r="F1940" s="12"/>
      <c r="G1940" s="12"/>
      <c r="H1940" s="12"/>
      <c r="I1940" s="36"/>
      <c r="L1940" s="19"/>
      <c r="M1940" s="19"/>
      <c r="AS1940" s="27"/>
      <c r="AT1940" s="27"/>
      <c r="AU1940" s="27"/>
      <c r="AV1940" s="12"/>
      <c r="AW1940" s="28"/>
    </row>
    <row r="1941" spans="5:49">
      <c r="E1941" s="12"/>
      <c r="F1941" s="12"/>
      <c r="G1941" s="12"/>
      <c r="H1941" s="12"/>
      <c r="I1941" s="36"/>
      <c r="L1941" s="19"/>
      <c r="M1941" s="19"/>
      <c r="AS1941" s="27"/>
      <c r="AT1941" s="27"/>
      <c r="AU1941" s="27"/>
      <c r="AV1941" s="12"/>
      <c r="AW1941" s="28"/>
    </row>
    <row r="1942" spans="5:49">
      <c r="E1942" s="12"/>
      <c r="F1942" s="12"/>
      <c r="G1942" s="12"/>
      <c r="H1942" s="12"/>
      <c r="I1942" s="36"/>
      <c r="L1942" s="19"/>
      <c r="M1942" s="19"/>
      <c r="AS1942" s="27"/>
      <c r="AT1942" s="27"/>
      <c r="AU1942" s="27"/>
      <c r="AV1942" s="12"/>
      <c r="AW1942" s="28"/>
    </row>
    <row r="1943" spans="5:49">
      <c r="E1943" s="12"/>
      <c r="F1943" s="12"/>
      <c r="G1943" s="12"/>
      <c r="H1943" s="12"/>
      <c r="I1943" s="36"/>
      <c r="L1943" s="19"/>
      <c r="M1943" s="19"/>
      <c r="AS1943" s="27"/>
      <c r="AT1943" s="27"/>
      <c r="AU1943" s="27"/>
      <c r="AV1943" s="12"/>
      <c r="AW1943" s="28"/>
    </row>
    <row r="1944" spans="5:49">
      <c r="E1944" s="12"/>
      <c r="F1944" s="12"/>
      <c r="G1944" s="12"/>
      <c r="H1944" s="12"/>
      <c r="I1944" s="36"/>
      <c r="L1944" s="19"/>
      <c r="M1944" s="19"/>
      <c r="AS1944" s="27"/>
      <c r="AT1944" s="27"/>
      <c r="AU1944" s="27"/>
      <c r="AV1944" s="12"/>
      <c r="AW1944" s="28"/>
    </row>
    <row r="1945" spans="5:49">
      <c r="E1945" s="12"/>
      <c r="F1945" s="12"/>
      <c r="G1945" s="12"/>
      <c r="H1945" s="12"/>
      <c r="I1945" s="36"/>
      <c r="L1945" s="19"/>
      <c r="M1945" s="19"/>
      <c r="AS1945" s="27"/>
      <c r="AT1945" s="27"/>
      <c r="AU1945" s="27"/>
      <c r="AV1945" s="12"/>
      <c r="AW1945" s="28"/>
    </row>
    <row r="1946" spans="5:49">
      <c r="E1946" s="12"/>
      <c r="F1946" s="12"/>
      <c r="G1946" s="12"/>
      <c r="H1946" s="12"/>
      <c r="I1946" s="36"/>
      <c r="L1946" s="19"/>
      <c r="M1946" s="19"/>
      <c r="AS1946" s="27"/>
      <c r="AT1946" s="27"/>
      <c r="AU1946" s="27"/>
      <c r="AV1946" s="12"/>
      <c r="AW1946" s="28"/>
    </row>
    <row r="1947" spans="5:49">
      <c r="E1947" s="12"/>
      <c r="F1947" s="12"/>
      <c r="G1947" s="12"/>
      <c r="H1947" s="12"/>
      <c r="I1947" s="36"/>
      <c r="L1947" s="19"/>
      <c r="M1947" s="19"/>
      <c r="AS1947" s="27"/>
      <c r="AT1947" s="27"/>
      <c r="AU1947" s="27"/>
      <c r="AV1947" s="12"/>
      <c r="AW1947" s="28"/>
    </row>
    <row r="1948" spans="5:49">
      <c r="E1948" s="12"/>
      <c r="F1948" s="12"/>
      <c r="G1948" s="12"/>
      <c r="H1948" s="12"/>
      <c r="I1948" s="36"/>
      <c r="L1948" s="19"/>
      <c r="M1948" s="19"/>
      <c r="AS1948" s="27"/>
      <c r="AT1948" s="27"/>
      <c r="AU1948" s="27"/>
      <c r="AV1948" s="12"/>
      <c r="AW1948" s="28"/>
    </row>
    <row r="1949" spans="5:49">
      <c r="E1949" s="12"/>
      <c r="F1949" s="12"/>
      <c r="G1949" s="12"/>
      <c r="H1949" s="12"/>
      <c r="I1949" s="36"/>
      <c r="L1949" s="19"/>
      <c r="M1949" s="19"/>
      <c r="AS1949" s="27"/>
      <c r="AT1949" s="27"/>
      <c r="AU1949" s="27"/>
      <c r="AV1949" s="12"/>
      <c r="AW1949" s="28"/>
    </row>
    <row r="1950" spans="5:49">
      <c r="E1950" s="12"/>
      <c r="F1950" s="12"/>
      <c r="G1950" s="12"/>
      <c r="H1950" s="12"/>
      <c r="I1950" s="36"/>
      <c r="L1950" s="19"/>
      <c r="M1950" s="19"/>
      <c r="AS1950" s="27"/>
      <c r="AT1950" s="27"/>
      <c r="AU1950" s="27"/>
      <c r="AV1950" s="12"/>
      <c r="AW1950" s="28"/>
    </row>
    <row r="1951" spans="5:49">
      <c r="E1951" s="12"/>
      <c r="F1951" s="12"/>
      <c r="G1951" s="12"/>
      <c r="H1951" s="12"/>
      <c r="I1951" s="36"/>
      <c r="L1951" s="19"/>
      <c r="M1951" s="19"/>
      <c r="AS1951" s="27"/>
      <c r="AT1951" s="27"/>
      <c r="AU1951" s="27"/>
      <c r="AV1951" s="12"/>
      <c r="AW1951" s="28"/>
    </row>
    <row r="1952" spans="5:49">
      <c r="E1952" s="12"/>
      <c r="F1952" s="12"/>
      <c r="G1952" s="12"/>
      <c r="H1952" s="12"/>
      <c r="I1952" s="36"/>
      <c r="L1952" s="19"/>
      <c r="M1952" s="19"/>
      <c r="AS1952" s="27"/>
      <c r="AT1952" s="27"/>
      <c r="AU1952" s="27"/>
      <c r="AV1952" s="12"/>
      <c r="AW1952" s="28"/>
    </row>
    <row r="1953" spans="5:49">
      <c r="E1953" s="12"/>
      <c r="F1953" s="12"/>
      <c r="G1953" s="12"/>
      <c r="H1953" s="12"/>
      <c r="I1953" s="36"/>
      <c r="L1953" s="19"/>
      <c r="M1953" s="19"/>
      <c r="AS1953" s="27"/>
      <c r="AT1953" s="27"/>
      <c r="AU1953" s="27"/>
      <c r="AV1953" s="12"/>
      <c r="AW1953" s="28"/>
    </row>
    <row r="1954" spans="5:49">
      <c r="E1954" s="12"/>
      <c r="F1954" s="12"/>
      <c r="G1954" s="12"/>
      <c r="H1954" s="12"/>
      <c r="I1954" s="36"/>
      <c r="L1954" s="19"/>
      <c r="M1954" s="19"/>
      <c r="AS1954" s="27"/>
      <c r="AT1954" s="27"/>
      <c r="AU1954" s="27"/>
      <c r="AV1954" s="12"/>
      <c r="AW1954" s="28"/>
    </row>
    <row r="1955" spans="5:49">
      <c r="E1955" s="12"/>
      <c r="F1955" s="12"/>
      <c r="G1955" s="12"/>
      <c r="H1955" s="12"/>
      <c r="I1955" s="36"/>
      <c r="L1955" s="19"/>
      <c r="M1955" s="19"/>
      <c r="AS1955" s="27"/>
      <c r="AT1955" s="27"/>
      <c r="AU1955" s="27"/>
      <c r="AV1955" s="12"/>
      <c r="AW1955" s="28"/>
    </row>
    <row r="1956" spans="5:49">
      <c r="E1956" s="12"/>
      <c r="F1956" s="12"/>
      <c r="G1956" s="12"/>
      <c r="H1956" s="12"/>
      <c r="I1956" s="36"/>
      <c r="L1956" s="19"/>
      <c r="M1956" s="19"/>
      <c r="AS1956" s="27"/>
      <c r="AT1956" s="27"/>
      <c r="AU1956" s="27"/>
      <c r="AV1956" s="12"/>
      <c r="AW1956" s="28"/>
    </row>
    <row r="1957" spans="5:49">
      <c r="E1957" s="12"/>
      <c r="F1957" s="12"/>
      <c r="G1957" s="12"/>
      <c r="H1957" s="12"/>
      <c r="I1957" s="36"/>
      <c r="L1957" s="19"/>
      <c r="M1957" s="19"/>
      <c r="AS1957" s="27"/>
      <c r="AT1957" s="27"/>
      <c r="AU1957" s="27"/>
      <c r="AV1957" s="12"/>
      <c r="AW1957" s="28"/>
    </row>
    <row r="1958" spans="5:49">
      <c r="E1958" s="12"/>
      <c r="F1958" s="12"/>
      <c r="G1958" s="12"/>
      <c r="H1958" s="12"/>
      <c r="I1958" s="36"/>
      <c r="L1958" s="19"/>
      <c r="M1958" s="19"/>
      <c r="AS1958" s="27"/>
      <c r="AT1958" s="27"/>
      <c r="AU1958" s="27"/>
      <c r="AV1958" s="12"/>
      <c r="AW1958" s="28"/>
    </row>
    <row r="1959" spans="5:49">
      <c r="E1959" s="12"/>
      <c r="F1959" s="12"/>
      <c r="G1959" s="12"/>
      <c r="H1959" s="12"/>
      <c r="I1959" s="36"/>
      <c r="L1959" s="19"/>
      <c r="M1959" s="19"/>
      <c r="AS1959" s="27"/>
      <c r="AT1959" s="27"/>
      <c r="AU1959" s="27"/>
      <c r="AV1959" s="12"/>
      <c r="AW1959" s="28"/>
    </row>
    <row r="1960" spans="5:49">
      <c r="E1960" s="12"/>
      <c r="F1960" s="12"/>
      <c r="G1960" s="12"/>
      <c r="H1960" s="12"/>
      <c r="I1960" s="36"/>
      <c r="L1960" s="19"/>
      <c r="M1960" s="19"/>
      <c r="AS1960" s="27"/>
      <c r="AT1960" s="27"/>
      <c r="AU1960" s="27"/>
      <c r="AV1960" s="12"/>
      <c r="AW1960" s="28"/>
    </row>
    <row r="1961" spans="5:49">
      <c r="E1961" s="12"/>
      <c r="F1961" s="12"/>
      <c r="G1961" s="12"/>
      <c r="H1961" s="12"/>
      <c r="I1961" s="36"/>
      <c r="L1961" s="19"/>
      <c r="M1961" s="19"/>
      <c r="AS1961" s="27"/>
      <c r="AT1961" s="27"/>
      <c r="AU1961" s="27"/>
      <c r="AV1961" s="12"/>
      <c r="AW1961" s="28"/>
    </row>
    <row r="1962" spans="5:49">
      <c r="E1962" s="12"/>
      <c r="F1962" s="12"/>
      <c r="G1962" s="12"/>
      <c r="H1962" s="12"/>
      <c r="I1962" s="36"/>
      <c r="L1962" s="19"/>
      <c r="M1962" s="19"/>
      <c r="AS1962" s="27"/>
      <c r="AT1962" s="27"/>
      <c r="AU1962" s="27"/>
      <c r="AV1962" s="12"/>
      <c r="AW1962" s="28"/>
    </row>
    <row r="1963" spans="5:49">
      <c r="E1963" s="12"/>
      <c r="F1963" s="12"/>
      <c r="G1963" s="12"/>
      <c r="H1963" s="12"/>
      <c r="I1963" s="36"/>
      <c r="L1963" s="19"/>
      <c r="M1963" s="19"/>
      <c r="AS1963" s="27"/>
      <c r="AT1963" s="27"/>
      <c r="AU1963" s="27"/>
      <c r="AV1963" s="12"/>
      <c r="AW1963" s="28"/>
    </row>
    <row r="1964" spans="5:49">
      <c r="E1964" s="12"/>
      <c r="F1964" s="12"/>
      <c r="G1964" s="12"/>
      <c r="H1964" s="12"/>
      <c r="I1964" s="36"/>
      <c r="L1964" s="19"/>
      <c r="M1964" s="19"/>
      <c r="AS1964" s="27"/>
      <c r="AT1964" s="27"/>
      <c r="AU1964" s="27"/>
      <c r="AV1964" s="12"/>
      <c r="AW1964" s="28"/>
    </row>
    <row r="1965" spans="5:49">
      <c r="E1965" s="12"/>
      <c r="F1965" s="12"/>
      <c r="G1965" s="12"/>
      <c r="H1965" s="12"/>
      <c r="I1965" s="36"/>
      <c r="L1965" s="19"/>
      <c r="M1965" s="19"/>
      <c r="AS1965" s="27"/>
      <c r="AT1965" s="27"/>
      <c r="AU1965" s="27"/>
      <c r="AV1965" s="12"/>
      <c r="AW1965" s="28"/>
    </row>
    <row r="1966" spans="5:49">
      <c r="E1966" s="12"/>
      <c r="F1966" s="12"/>
      <c r="G1966" s="12"/>
      <c r="H1966" s="12"/>
      <c r="I1966" s="36"/>
      <c r="L1966" s="19"/>
      <c r="M1966" s="19"/>
      <c r="AS1966" s="27"/>
      <c r="AT1966" s="27"/>
      <c r="AU1966" s="27"/>
      <c r="AV1966" s="12"/>
      <c r="AW1966" s="28"/>
    </row>
    <row r="1967" spans="5:49">
      <c r="E1967" s="12"/>
      <c r="F1967" s="12"/>
      <c r="G1967" s="12"/>
      <c r="H1967" s="12"/>
      <c r="I1967" s="36"/>
      <c r="L1967" s="19"/>
      <c r="M1967" s="19"/>
      <c r="AS1967" s="27"/>
      <c r="AT1967" s="27"/>
      <c r="AU1967" s="27"/>
      <c r="AV1967" s="12"/>
      <c r="AW1967" s="28"/>
    </row>
    <row r="1968" spans="5:49">
      <c r="E1968" s="12"/>
      <c r="F1968" s="12"/>
      <c r="G1968" s="12"/>
      <c r="H1968" s="12"/>
      <c r="I1968" s="36"/>
      <c r="L1968" s="19"/>
      <c r="M1968" s="19"/>
      <c r="AS1968" s="27"/>
      <c r="AT1968" s="27"/>
      <c r="AU1968" s="27"/>
      <c r="AV1968" s="12"/>
      <c r="AW1968" s="28"/>
    </row>
    <row r="1969" spans="5:49">
      <c r="E1969" s="12"/>
      <c r="F1969" s="12"/>
      <c r="G1969" s="12"/>
      <c r="H1969" s="12"/>
      <c r="I1969" s="36"/>
      <c r="L1969" s="19"/>
      <c r="M1969" s="19"/>
      <c r="AS1969" s="27"/>
      <c r="AT1969" s="27"/>
      <c r="AU1969" s="27"/>
      <c r="AV1969" s="12"/>
      <c r="AW1969" s="28"/>
    </row>
    <row r="1970" spans="5:49">
      <c r="E1970" s="12"/>
      <c r="F1970" s="12"/>
      <c r="G1970" s="12"/>
      <c r="H1970" s="12"/>
      <c r="I1970" s="36"/>
      <c r="L1970" s="19"/>
      <c r="M1970" s="19"/>
      <c r="AS1970" s="27"/>
      <c r="AT1970" s="27"/>
      <c r="AU1970" s="27"/>
      <c r="AV1970" s="12"/>
      <c r="AW1970" s="28"/>
    </row>
    <row r="1971" spans="5:49">
      <c r="E1971" s="12"/>
      <c r="F1971" s="12"/>
      <c r="G1971" s="12"/>
      <c r="H1971" s="12"/>
      <c r="I1971" s="36"/>
      <c r="L1971" s="19"/>
      <c r="M1971" s="19"/>
      <c r="AS1971" s="27"/>
      <c r="AT1971" s="27"/>
      <c r="AU1971" s="27"/>
      <c r="AV1971" s="12"/>
      <c r="AW1971" s="28"/>
    </row>
    <row r="1972" spans="5:49">
      <c r="E1972" s="12"/>
      <c r="F1972" s="12"/>
      <c r="G1972" s="12"/>
      <c r="H1972" s="12"/>
      <c r="I1972" s="36"/>
      <c r="L1972" s="19"/>
      <c r="M1972" s="19"/>
      <c r="AS1972" s="27"/>
      <c r="AT1972" s="27"/>
      <c r="AU1972" s="27"/>
      <c r="AV1972" s="12"/>
      <c r="AW1972" s="28"/>
    </row>
    <row r="1973" spans="5:49">
      <c r="E1973" s="12"/>
      <c r="F1973" s="12"/>
      <c r="G1973" s="12"/>
      <c r="H1973" s="12"/>
      <c r="I1973" s="36"/>
      <c r="L1973" s="19"/>
      <c r="M1973" s="19"/>
      <c r="AS1973" s="27"/>
      <c r="AT1973" s="27"/>
      <c r="AU1973" s="27"/>
      <c r="AV1973" s="12"/>
      <c r="AW1973" s="28"/>
    </row>
    <row r="1974" spans="5:49">
      <c r="E1974" s="12"/>
      <c r="F1974" s="12"/>
      <c r="G1974" s="12"/>
      <c r="H1974" s="12"/>
      <c r="I1974" s="36"/>
      <c r="L1974" s="19"/>
      <c r="M1974" s="19"/>
      <c r="AS1974" s="27"/>
      <c r="AT1974" s="27"/>
      <c r="AU1974" s="27"/>
      <c r="AV1974" s="12"/>
      <c r="AW1974" s="28"/>
    </row>
    <row r="1975" spans="5:49">
      <c r="E1975" s="12"/>
      <c r="F1975" s="12"/>
      <c r="G1975" s="12"/>
      <c r="H1975" s="12"/>
      <c r="I1975" s="36"/>
      <c r="L1975" s="19"/>
      <c r="M1975" s="19"/>
      <c r="AS1975" s="27"/>
      <c r="AT1975" s="27"/>
      <c r="AU1975" s="27"/>
      <c r="AV1975" s="12"/>
      <c r="AW1975" s="28"/>
    </row>
    <row r="1976" spans="5:49">
      <c r="E1976" s="12"/>
      <c r="F1976" s="12"/>
      <c r="G1976" s="12"/>
      <c r="H1976" s="12"/>
      <c r="I1976" s="36"/>
      <c r="L1976" s="19"/>
      <c r="M1976" s="19"/>
      <c r="AS1976" s="27"/>
      <c r="AT1976" s="27"/>
      <c r="AU1976" s="27"/>
      <c r="AV1976" s="12"/>
      <c r="AW1976" s="28"/>
    </row>
    <row r="1977" spans="5:49">
      <c r="E1977" s="12"/>
      <c r="F1977" s="12"/>
      <c r="G1977" s="12"/>
      <c r="H1977" s="12"/>
      <c r="I1977" s="36"/>
      <c r="L1977" s="19"/>
      <c r="M1977" s="19"/>
      <c r="AS1977" s="27"/>
      <c r="AT1977" s="27"/>
      <c r="AU1977" s="27"/>
      <c r="AV1977" s="12"/>
      <c r="AW1977" s="28"/>
    </row>
    <row r="1978" spans="5:49">
      <c r="E1978" s="12"/>
      <c r="F1978" s="12"/>
      <c r="G1978" s="12"/>
      <c r="H1978" s="12"/>
      <c r="I1978" s="36"/>
      <c r="L1978" s="19"/>
      <c r="M1978" s="19"/>
      <c r="AS1978" s="27"/>
      <c r="AT1978" s="27"/>
      <c r="AU1978" s="27"/>
      <c r="AV1978" s="12"/>
      <c r="AW1978" s="28"/>
    </row>
    <row r="1979" spans="5:49">
      <c r="E1979" s="12"/>
      <c r="F1979" s="12"/>
      <c r="G1979" s="12"/>
      <c r="H1979" s="12"/>
      <c r="I1979" s="36"/>
      <c r="L1979" s="19"/>
      <c r="M1979" s="19"/>
      <c r="AS1979" s="27"/>
      <c r="AT1979" s="27"/>
      <c r="AU1979" s="27"/>
      <c r="AV1979" s="12"/>
      <c r="AW1979" s="28"/>
    </row>
    <row r="1980" spans="5:49">
      <c r="E1980" s="12"/>
      <c r="F1980" s="12"/>
      <c r="G1980" s="12"/>
      <c r="H1980" s="12"/>
      <c r="I1980" s="36"/>
      <c r="L1980" s="19"/>
      <c r="M1980" s="19"/>
      <c r="AS1980" s="27"/>
      <c r="AT1980" s="27"/>
      <c r="AU1980" s="27"/>
      <c r="AV1980" s="12"/>
      <c r="AW1980" s="28"/>
    </row>
    <row r="1981" spans="5:49">
      <c r="E1981" s="12"/>
      <c r="F1981" s="12"/>
      <c r="G1981" s="12"/>
      <c r="H1981" s="12"/>
      <c r="I1981" s="36"/>
      <c r="L1981" s="19"/>
      <c r="M1981" s="19"/>
      <c r="AS1981" s="27"/>
      <c r="AT1981" s="27"/>
      <c r="AU1981" s="27"/>
      <c r="AV1981" s="12"/>
      <c r="AW1981" s="28"/>
    </row>
    <row r="1982" spans="5:49">
      <c r="E1982" s="12"/>
      <c r="F1982" s="12"/>
      <c r="G1982" s="12"/>
      <c r="H1982" s="12"/>
      <c r="I1982" s="36"/>
      <c r="L1982" s="19"/>
      <c r="M1982" s="19"/>
      <c r="AS1982" s="27"/>
      <c r="AT1982" s="27"/>
      <c r="AU1982" s="27"/>
      <c r="AV1982" s="12"/>
      <c r="AW1982" s="28"/>
    </row>
    <row r="1983" spans="5:49">
      <c r="E1983" s="12"/>
      <c r="F1983" s="12"/>
      <c r="G1983" s="12"/>
      <c r="H1983" s="12"/>
      <c r="I1983" s="36"/>
      <c r="L1983" s="19"/>
      <c r="M1983" s="19"/>
      <c r="AS1983" s="27"/>
      <c r="AT1983" s="27"/>
      <c r="AU1983" s="27"/>
      <c r="AV1983" s="12"/>
      <c r="AW1983" s="28"/>
    </row>
    <row r="1984" spans="5:49">
      <c r="E1984" s="12"/>
      <c r="F1984" s="12"/>
      <c r="G1984" s="12"/>
      <c r="H1984" s="12"/>
      <c r="I1984" s="36"/>
      <c r="L1984" s="19"/>
      <c r="M1984" s="19"/>
      <c r="AS1984" s="27"/>
      <c r="AT1984" s="27"/>
      <c r="AU1984" s="27"/>
      <c r="AV1984" s="12"/>
      <c r="AW1984" s="28"/>
    </row>
    <row r="1985" spans="5:49">
      <c r="E1985" s="12"/>
      <c r="F1985" s="12"/>
      <c r="G1985" s="12"/>
      <c r="H1985" s="12"/>
      <c r="I1985" s="36"/>
      <c r="L1985" s="19"/>
      <c r="M1985" s="19"/>
      <c r="AS1985" s="27"/>
      <c r="AT1985" s="27"/>
      <c r="AU1985" s="27"/>
      <c r="AV1985" s="12"/>
      <c r="AW1985" s="28"/>
    </row>
    <row r="1986" spans="5:49">
      <c r="E1986" s="12"/>
      <c r="F1986" s="12"/>
      <c r="G1986" s="12"/>
      <c r="H1986" s="12"/>
      <c r="I1986" s="36"/>
      <c r="L1986" s="19"/>
      <c r="M1986" s="19"/>
      <c r="AS1986" s="27"/>
      <c r="AT1986" s="27"/>
      <c r="AU1986" s="27"/>
      <c r="AV1986" s="12"/>
      <c r="AW1986" s="28"/>
    </row>
    <row r="1987" spans="5:49">
      <c r="E1987" s="12"/>
      <c r="F1987" s="12"/>
      <c r="G1987" s="12"/>
      <c r="H1987" s="12"/>
      <c r="I1987" s="36"/>
      <c r="L1987" s="19"/>
      <c r="M1987" s="19"/>
      <c r="AS1987" s="27"/>
      <c r="AT1987" s="27"/>
      <c r="AU1987" s="27"/>
      <c r="AV1987" s="12"/>
      <c r="AW1987" s="28"/>
    </row>
    <row r="1988" spans="5:49">
      <c r="E1988" s="12"/>
      <c r="F1988" s="12"/>
      <c r="G1988" s="12"/>
      <c r="H1988" s="12"/>
      <c r="I1988" s="36"/>
      <c r="L1988" s="19"/>
      <c r="M1988" s="19"/>
      <c r="AS1988" s="27"/>
      <c r="AT1988" s="27"/>
      <c r="AU1988" s="27"/>
      <c r="AV1988" s="12"/>
      <c r="AW1988" s="28"/>
    </row>
    <row r="1989" spans="5:49">
      <c r="E1989" s="12"/>
      <c r="F1989" s="12"/>
      <c r="G1989" s="12"/>
      <c r="H1989" s="12"/>
      <c r="I1989" s="36"/>
      <c r="L1989" s="19"/>
      <c r="M1989" s="19"/>
      <c r="AS1989" s="27"/>
      <c r="AT1989" s="27"/>
      <c r="AU1989" s="27"/>
      <c r="AV1989" s="12"/>
      <c r="AW1989" s="28"/>
    </row>
    <row r="1990" spans="5:49">
      <c r="E1990" s="12"/>
      <c r="F1990" s="12"/>
      <c r="G1990" s="12"/>
      <c r="H1990" s="12"/>
      <c r="I1990" s="36"/>
      <c r="L1990" s="19"/>
      <c r="M1990" s="19"/>
      <c r="AS1990" s="27"/>
      <c r="AT1990" s="27"/>
      <c r="AU1990" s="27"/>
      <c r="AV1990" s="12"/>
      <c r="AW1990" s="28"/>
    </row>
    <row r="1991" spans="5:49">
      <c r="E1991" s="12"/>
      <c r="F1991" s="12"/>
      <c r="G1991" s="12"/>
      <c r="H1991" s="12"/>
      <c r="I1991" s="36"/>
      <c r="L1991" s="19"/>
      <c r="M1991" s="19"/>
      <c r="AS1991" s="27"/>
      <c r="AT1991" s="27"/>
      <c r="AU1991" s="27"/>
      <c r="AV1991" s="12"/>
      <c r="AW1991" s="28"/>
    </row>
    <row r="1992" spans="5:49">
      <c r="E1992" s="12"/>
      <c r="F1992" s="12"/>
      <c r="G1992" s="12"/>
      <c r="H1992" s="12"/>
      <c r="I1992" s="36"/>
      <c r="L1992" s="19"/>
      <c r="M1992" s="19"/>
      <c r="AS1992" s="27"/>
      <c r="AT1992" s="27"/>
      <c r="AU1992" s="27"/>
      <c r="AV1992" s="12"/>
      <c r="AW1992" s="28"/>
    </row>
    <row r="1993" spans="5:49">
      <c r="E1993" s="12"/>
      <c r="F1993" s="12"/>
      <c r="G1993" s="12"/>
      <c r="H1993" s="12"/>
      <c r="I1993" s="36"/>
      <c r="L1993" s="19"/>
      <c r="M1993" s="19"/>
      <c r="AS1993" s="27"/>
      <c r="AT1993" s="27"/>
      <c r="AU1993" s="27"/>
      <c r="AV1993" s="12"/>
      <c r="AW1993" s="28"/>
    </row>
    <row r="1994" spans="5:49">
      <c r="E1994" s="12"/>
      <c r="F1994" s="12"/>
      <c r="G1994" s="12"/>
      <c r="H1994" s="12"/>
      <c r="I1994" s="36"/>
      <c r="L1994" s="19"/>
      <c r="M1994" s="19"/>
      <c r="AS1994" s="27"/>
      <c r="AT1994" s="27"/>
      <c r="AU1994" s="27"/>
      <c r="AV1994" s="12"/>
      <c r="AW1994" s="28"/>
    </row>
    <row r="1995" spans="5:49">
      <c r="E1995" s="12"/>
      <c r="F1995" s="12"/>
      <c r="G1995" s="12"/>
      <c r="H1995" s="12"/>
      <c r="I1995" s="36"/>
      <c r="L1995" s="19"/>
      <c r="M1995" s="19"/>
      <c r="AS1995" s="27"/>
      <c r="AT1995" s="27"/>
      <c r="AU1995" s="27"/>
      <c r="AV1995" s="12"/>
      <c r="AW1995" s="28"/>
    </row>
    <row r="1996" spans="5:49">
      <c r="E1996" s="12"/>
      <c r="F1996" s="12"/>
      <c r="G1996" s="12"/>
      <c r="H1996" s="12"/>
      <c r="I1996" s="36"/>
      <c r="L1996" s="19"/>
      <c r="M1996" s="19"/>
      <c r="AS1996" s="27"/>
      <c r="AT1996" s="27"/>
      <c r="AU1996" s="27"/>
      <c r="AV1996" s="12"/>
      <c r="AW1996" s="28"/>
    </row>
    <row r="1997" spans="5:49">
      <c r="E1997" s="12"/>
      <c r="F1997" s="12"/>
      <c r="G1997" s="12"/>
      <c r="H1997" s="12"/>
      <c r="I1997" s="36"/>
      <c r="L1997" s="19"/>
      <c r="M1997" s="19"/>
      <c r="AS1997" s="27"/>
      <c r="AT1997" s="27"/>
      <c r="AU1997" s="27"/>
      <c r="AV1997" s="12"/>
      <c r="AW1997" s="28"/>
    </row>
    <row r="1998" spans="5:49">
      <c r="E1998" s="12"/>
      <c r="F1998" s="12"/>
      <c r="G1998" s="12"/>
      <c r="H1998" s="12"/>
      <c r="I1998" s="36"/>
      <c r="L1998" s="19"/>
      <c r="M1998" s="19"/>
      <c r="AS1998" s="27"/>
      <c r="AT1998" s="27"/>
      <c r="AU1998" s="27"/>
      <c r="AV1998" s="12"/>
      <c r="AW1998" s="28"/>
    </row>
    <row r="1999" spans="5:49">
      <c r="E1999" s="12"/>
      <c r="F1999" s="12"/>
      <c r="G1999" s="12"/>
      <c r="H1999" s="12"/>
      <c r="I1999" s="36"/>
      <c r="L1999" s="19"/>
      <c r="M1999" s="19"/>
      <c r="AS1999" s="27"/>
      <c r="AT1999" s="27"/>
      <c r="AU1999" s="27"/>
      <c r="AV1999" s="12"/>
      <c r="AW1999" s="28"/>
    </row>
    <row r="2000" spans="5:49">
      <c r="E2000" s="12"/>
      <c r="F2000" s="12"/>
      <c r="G2000" s="12"/>
      <c r="H2000" s="12"/>
      <c r="I2000" s="36"/>
      <c r="L2000" s="19"/>
      <c r="M2000" s="19"/>
      <c r="AS2000" s="27"/>
      <c r="AT2000" s="27"/>
      <c r="AU2000" s="27"/>
      <c r="AV2000" s="12"/>
      <c r="AW2000" s="28"/>
    </row>
    <row r="2001" spans="5:49">
      <c r="E2001" s="12"/>
      <c r="F2001" s="12"/>
      <c r="G2001" s="12"/>
      <c r="H2001" s="12"/>
      <c r="I2001" s="36"/>
      <c r="L2001" s="19"/>
      <c r="M2001" s="19"/>
      <c r="AS2001" s="27"/>
      <c r="AT2001" s="27"/>
      <c r="AU2001" s="27"/>
      <c r="AV2001" s="12"/>
      <c r="AW2001" s="28"/>
    </row>
    <row r="2002" spans="5:49">
      <c r="E2002" s="12"/>
      <c r="F2002" s="12"/>
      <c r="G2002" s="12"/>
      <c r="H2002" s="12"/>
      <c r="I2002" s="36"/>
      <c r="L2002" s="19"/>
      <c r="M2002" s="19"/>
      <c r="AS2002" s="27"/>
      <c r="AT2002" s="27"/>
      <c r="AU2002" s="27"/>
      <c r="AV2002" s="12"/>
      <c r="AW2002" s="28"/>
    </row>
    <row r="2003" spans="5:49">
      <c r="E2003" s="12"/>
      <c r="F2003" s="12"/>
      <c r="G2003" s="12"/>
      <c r="H2003" s="12"/>
      <c r="I2003" s="36"/>
      <c r="L2003" s="19"/>
      <c r="M2003" s="19"/>
      <c r="AS2003" s="27"/>
      <c r="AT2003" s="27"/>
      <c r="AU2003" s="27"/>
      <c r="AV2003" s="12"/>
      <c r="AW2003" s="28"/>
    </row>
    <row r="2004" spans="5:49">
      <c r="E2004" s="12"/>
      <c r="F2004" s="12"/>
      <c r="G2004" s="12"/>
      <c r="H2004" s="12"/>
      <c r="I2004" s="36"/>
      <c r="L2004" s="19"/>
      <c r="M2004" s="19"/>
      <c r="AS2004" s="27"/>
      <c r="AT2004" s="27"/>
      <c r="AU2004" s="27"/>
      <c r="AV2004" s="12"/>
      <c r="AW2004" s="28"/>
    </row>
    <row r="2005" spans="5:49">
      <c r="E2005" s="12"/>
      <c r="F2005" s="12"/>
      <c r="G2005" s="12"/>
      <c r="H2005" s="12"/>
      <c r="I2005" s="36"/>
      <c r="L2005" s="19"/>
      <c r="M2005" s="19"/>
      <c r="AS2005" s="27"/>
      <c r="AT2005" s="27"/>
      <c r="AU2005" s="27"/>
      <c r="AV2005" s="12"/>
      <c r="AW2005" s="28"/>
    </row>
    <row r="2006" spans="5:49">
      <c r="E2006" s="12"/>
      <c r="F2006" s="12"/>
      <c r="G2006" s="12"/>
      <c r="H2006" s="12"/>
      <c r="I2006" s="36"/>
      <c r="L2006" s="19"/>
      <c r="M2006" s="19"/>
      <c r="AS2006" s="27"/>
      <c r="AT2006" s="27"/>
      <c r="AU2006" s="27"/>
      <c r="AV2006" s="12"/>
      <c r="AW2006" s="28"/>
    </row>
    <row r="2007" spans="5:49">
      <c r="E2007" s="12"/>
      <c r="F2007" s="12"/>
      <c r="G2007" s="12"/>
      <c r="H2007" s="12"/>
      <c r="I2007" s="36"/>
      <c r="L2007" s="19"/>
      <c r="M2007" s="19"/>
      <c r="AS2007" s="27"/>
      <c r="AT2007" s="27"/>
      <c r="AU2007" s="27"/>
      <c r="AV2007" s="12"/>
      <c r="AW2007" s="28"/>
    </row>
    <row r="2008" spans="5:49">
      <c r="E2008" s="12"/>
      <c r="F2008" s="12"/>
      <c r="G2008" s="12"/>
      <c r="H2008" s="12"/>
      <c r="I2008" s="36"/>
      <c r="L2008" s="19"/>
      <c r="M2008" s="19"/>
      <c r="AS2008" s="27"/>
      <c r="AT2008" s="27"/>
      <c r="AU2008" s="27"/>
      <c r="AV2008" s="12"/>
      <c r="AW2008" s="28"/>
    </row>
    <row r="2009" spans="5:49">
      <c r="E2009" s="12"/>
      <c r="F2009" s="12"/>
      <c r="G2009" s="12"/>
      <c r="H2009" s="12"/>
      <c r="I2009" s="36"/>
      <c r="L2009" s="19"/>
      <c r="M2009" s="19"/>
      <c r="AS2009" s="27"/>
      <c r="AT2009" s="27"/>
      <c r="AU2009" s="27"/>
      <c r="AV2009" s="12"/>
      <c r="AW2009" s="28"/>
    </row>
    <row r="2010" spans="5:49">
      <c r="E2010" s="12"/>
      <c r="F2010" s="12"/>
      <c r="G2010" s="12"/>
      <c r="H2010" s="12"/>
      <c r="I2010" s="36"/>
      <c r="L2010" s="19"/>
      <c r="M2010" s="19"/>
      <c r="AS2010" s="27"/>
      <c r="AT2010" s="27"/>
      <c r="AU2010" s="27"/>
      <c r="AV2010" s="12"/>
      <c r="AW2010" s="28"/>
    </row>
    <row r="2011" spans="5:49">
      <c r="E2011" s="12"/>
      <c r="F2011" s="12"/>
      <c r="G2011" s="12"/>
      <c r="H2011" s="12"/>
      <c r="I2011" s="36"/>
      <c r="L2011" s="19"/>
      <c r="M2011" s="19"/>
      <c r="AS2011" s="27"/>
      <c r="AT2011" s="27"/>
      <c r="AU2011" s="27"/>
      <c r="AV2011" s="12"/>
      <c r="AW2011" s="28"/>
    </row>
    <row r="2012" spans="5:49">
      <c r="E2012" s="12"/>
      <c r="F2012" s="12"/>
      <c r="G2012" s="12"/>
      <c r="H2012" s="12"/>
      <c r="I2012" s="36"/>
      <c r="L2012" s="19"/>
      <c r="M2012" s="19"/>
      <c r="AS2012" s="27"/>
      <c r="AT2012" s="27"/>
      <c r="AU2012" s="27"/>
      <c r="AV2012" s="12"/>
      <c r="AW2012" s="28"/>
    </row>
    <row r="2013" spans="5:49">
      <c r="E2013" s="12"/>
      <c r="F2013" s="12"/>
      <c r="G2013" s="12"/>
      <c r="H2013" s="12"/>
      <c r="I2013" s="36"/>
      <c r="L2013" s="19"/>
      <c r="M2013" s="19"/>
      <c r="AS2013" s="27"/>
      <c r="AT2013" s="27"/>
      <c r="AU2013" s="27"/>
      <c r="AV2013" s="12"/>
      <c r="AW2013" s="28"/>
    </row>
    <row r="2014" spans="5:49">
      <c r="E2014" s="12"/>
      <c r="F2014" s="12"/>
      <c r="G2014" s="12"/>
      <c r="H2014" s="12"/>
      <c r="I2014" s="36"/>
      <c r="L2014" s="19"/>
      <c r="M2014" s="19"/>
      <c r="AS2014" s="27"/>
      <c r="AT2014" s="27"/>
      <c r="AU2014" s="27"/>
      <c r="AV2014" s="12"/>
      <c r="AW2014" s="28"/>
    </row>
    <row r="2015" spans="5:49">
      <c r="E2015" s="12"/>
      <c r="F2015" s="12"/>
      <c r="G2015" s="12"/>
      <c r="H2015" s="12"/>
      <c r="I2015" s="36"/>
      <c r="L2015" s="19"/>
      <c r="M2015" s="19"/>
      <c r="AS2015" s="27"/>
      <c r="AT2015" s="27"/>
      <c r="AU2015" s="27"/>
      <c r="AV2015" s="12"/>
      <c r="AW2015" s="28"/>
    </row>
    <row r="2016" spans="5:49">
      <c r="E2016" s="12"/>
      <c r="F2016" s="12"/>
      <c r="G2016" s="12"/>
      <c r="H2016" s="12"/>
      <c r="I2016" s="36"/>
      <c r="L2016" s="19"/>
      <c r="M2016" s="19"/>
      <c r="AS2016" s="27"/>
      <c r="AT2016" s="27"/>
      <c r="AU2016" s="27"/>
      <c r="AV2016" s="12"/>
      <c r="AW2016" s="28"/>
    </row>
    <row r="2017" spans="5:49">
      <c r="E2017" s="12"/>
      <c r="F2017" s="12"/>
      <c r="G2017" s="12"/>
      <c r="H2017" s="12"/>
      <c r="I2017" s="36"/>
      <c r="L2017" s="19"/>
      <c r="M2017" s="19"/>
      <c r="AS2017" s="27"/>
      <c r="AT2017" s="27"/>
      <c r="AU2017" s="27"/>
      <c r="AV2017" s="12"/>
      <c r="AW2017" s="28"/>
    </row>
    <row r="2018" spans="5:49">
      <c r="E2018" s="12"/>
      <c r="F2018" s="12"/>
      <c r="G2018" s="12"/>
      <c r="H2018" s="12"/>
      <c r="I2018" s="36"/>
      <c r="L2018" s="19"/>
      <c r="M2018" s="19"/>
      <c r="AS2018" s="27"/>
      <c r="AT2018" s="27"/>
      <c r="AU2018" s="27"/>
      <c r="AV2018" s="12"/>
      <c r="AW2018" s="28"/>
    </row>
    <row r="2019" spans="5:49">
      <c r="E2019" s="12"/>
      <c r="F2019" s="12"/>
      <c r="G2019" s="12"/>
      <c r="H2019" s="12"/>
      <c r="I2019" s="36"/>
      <c r="L2019" s="19"/>
      <c r="M2019" s="19"/>
      <c r="AS2019" s="27"/>
      <c r="AT2019" s="27"/>
      <c r="AU2019" s="27"/>
      <c r="AV2019" s="12"/>
      <c r="AW2019" s="28"/>
    </row>
    <row r="2020" spans="5:49">
      <c r="E2020" s="12"/>
      <c r="F2020" s="12"/>
      <c r="G2020" s="12"/>
      <c r="H2020" s="12"/>
      <c r="I2020" s="36"/>
      <c r="L2020" s="19"/>
      <c r="M2020" s="19"/>
      <c r="AS2020" s="27"/>
      <c r="AT2020" s="27"/>
      <c r="AU2020" s="27"/>
      <c r="AV2020" s="12"/>
      <c r="AW2020" s="28"/>
    </row>
    <row r="2021" spans="5:49">
      <c r="E2021" s="12"/>
      <c r="F2021" s="12"/>
      <c r="G2021" s="12"/>
      <c r="H2021" s="12"/>
      <c r="I2021" s="36"/>
      <c r="L2021" s="19"/>
      <c r="M2021" s="19"/>
      <c r="AS2021" s="27"/>
      <c r="AT2021" s="27"/>
      <c r="AU2021" s="27"/>
      <c r="AV2021" s="12"/>
      <c r="AW2021" s="28"/>
    </row>
    <row r="2022" spans="5:49">
      <c r="E2022" s="12"/>
      <c r="F2022" s="12"/>
      <c r="G2022" s="12"/>
      <c r="H2022" s="12"/>
      <c r="I2022" s="36"/>
      <c r="L2022" s="19"/>
      <c r="M2022" s="19"/>
      <c r="AS2022" s="27"/>
      <c r="AT2022" s="27"/>
      <c r="AU2022" s="27"/>
      <c r="AV2022" s="12"/>
      <c r="AW2022" s="28"/>
    </row>
    <row r="2023" spans="5:49">
      <c r="E2023" s="12"/>
      <c r="F2023" s="12"/>
      <c r="G2023" s="12"/>
      <c r="H2023" s="12"/>
      <c r="I2023" s="36"/>
      <c r="L2023" s="19"/>
      <c r="M2023" s="19"/>
      <c r="AS2023" s="27"/>
      <c r="AT2023" s="27"/>
      <c r="AU2023" s="27"/>
      <c r="AV2023" s="12"/>
      <c r="AW2023" s="28"/>
    </row>
    <row r="2024" spans="5:49">
      <c r="E2024" s="12"/>
      <c r="F2024" s="12"/>
      <c r="G2024" s="12"/>
      <c r="H2024" s="12"/>
      <c r="I2024" s="36"/>
      <c r="L2024" s="19"/>
      <c r="M2024" s="19"/>
      <c r="AS2024" s="27"/>
      <c r="AT2024" s="27"/>
      <c r="AU2024" s="27"/>
      <c r="AV2024" s="12"/>
      <c r="AW2024" s="28"/>
    </row>
    <row r="2025" spans="5:49">
      <c r="E2025" s="12"/>
      <c r="F2025" s="12"/>
      <c r="G2025" s="12"/>
      <c r="H2025" s="12"/>
      <c r="I2025" s="36"/>
      <c r="L2025" s="19"/>
      <c r="M2025" s="19"/>
      <c r="AS2025" s="27"/>
      <c r="AT2025" s="27"/>
      <c r="AU2025" s="27"/>
      <c r="AV2025" s="12"/>
      <c r="AW2025" s="28"/>
    </row>
    <row r="2026" spans="5:49">
      <c r="E2026" s="12"/>
      <c r="F2026" s="12"/>
      <c r="G2026" s="12"/>
      <c r="H2026" s="12"/>
      <c r="I2026" s="36"/>
      <c r="L2026" s="19"/>
      <c r="M2026" s="19"/>
      <c r="AS2026" s="27"/>
      <c r="AT2026" s="27"/>
      <c r="AU2026" s="27"/>
      <c r="AV2026" s="12"/>
      <c r="AW2026" s="28"/>
    </row>
    <row r="2027" spans="5:49">
      <c r="E2027" s="12"/>
      <c r="F2027" s="12"/>
      <c r="G2027" s="12"/>
      <c r="H2027" s="12"/>
      <c r="I2027" s="36"/>
      <c r="L2027" s="19"/>
      <c r="M2027" s="19"/>
      <c r="AS2027" s="27"/>
      <c r="AT2027" s="27"/>
      <c r="AU2027" s="27"/>
      <c r="AV2027" s="12"/>
      <c r="AW2027" s="28"/>
    </row>
    <row r="2028" spans="5:49">
      <c r="E2028" s="12"/>
      <c r="F2028" s="12"/>
      <c r="G2028" s="12"/>
      <c r="H2028" s="12"/>
      <c r="I2028" s="36"/>
      <c r="L2028" s="19"/>
      <c r="M2028" s="19"/>
      <c r="AS2028" s="27"/>
      <c r="AT2028" s="27"/>
      <c r="AU2028" s="27"/>
      <c r="AV2028" s="12"/>
      <c r="AW2028" s="28"/>
    </row>
    <row r="2029" spans="5:49">
      <c r="E2029" s="12"/>
      <c r="F2029" s="12"/>
      <c r="G2029" s="12"/>
      <c r="H2029" s="12"/>
      <c r="I2029" s="36"/>
      <c r="L2029" s="19"/>
      <c r="M2029" s="19"/>
      <c r="AS2029" s="27"/>
      <c r="AT2029" s="27"/>
      <c r="AU2029" s="27"/>
      <c r="AV2029" s="12"/>
      <c r="AW2029" s="28"/>
    </row>
    <row r="2030" spans="5:49">
      <c r="E2030" s="12"/>
      <c r="F2030" s="12"/>
      <c r="G2030" s="12"/>
      <c r="H2030" s="12"/>
      <c r="I2030" s="36"/>
      <c r="L2030" s="19"/>
      <c r="M2030" s="19"/>
      <c r="AS2030" s="27"/>
      <c r="AT2030" s="27"/>
      <c r="AU2030" s="27"/>
      <c r="AV2030" s="12"/>
      <c r="AW2030" s="28"/>
    </row>
    <row r="2031" spans="5:49">
      <c r="E2031" s="12"/>
      <c r="F2031" s="12"/>
      <c r="G2031" s="12"/>
      <c r="H2031" s="12"/>
      <c r="I2031" s="36"/>
      <c r="L2031" s="19"/>
      <c r="M2031" s="19"/>
      <c r="AS2031" s="27"/>
      <c r="AT2031" s="27"/>
      <c r="AU2031" s="27"/>
      <c r="AV2031" s="12"/>
      <c r="AW2031" s="28"/>
    </row>
    <row r="2032" spans="5:49">
      <c r="E2032" s="12"/>
      <c r="F2032" s="12"/>
      <c r="G2032" s="12"/>
      <c r="H2032" s="12"/>
      <c r="I2032" s="36"/>
      <c r="L2032" s="19"/>
      <c r="M2032" s="19"/>
      <c r="AS2032" s="27"/>
      <c r="AT2032" s="27"/>
      <c r="AU2032" s="27"/>
      <c r="AV2032" s="12"/>
      <c r="AW2032" s="28"/>
    </row>
    <row r="2033" spans="5:49">
      <c r="E2033" s="12"/>
      <c r="F2033" s="12"/>
      <c r="G2033" s="12"/>
      <c r="H2033" s="12"/>
      <c r="I2033" s="36"/>
      <c r="L2033" s="19"/>
      <c r="M2033" s="19"/>
      <c r="AS2033" s="27"/>
      <c r="AT2033" s="27"/>
      <c r="AU2033" s="27"/>
      <c r="AV2033" s="12"/>
      <c r="AW2033" s="28"/>
    </row>
    <row r="2034" spans="5:49">
      <c r="E2034" s="12"/>
      <c r="F2034" s="12"/>
      <c r="G2034" s="12"/>
      <c r="H2034" s="12"/>
      <c r="I2034" s="36"/>
      <c r="L2034" s="19"/>
      <c r="M2034" s="19"/>
      <c r="AS2034" s="27"/>
      <c r="AT2034" s="27"/>
      <c r="AU2034" s="27"/>
      <c r="AV2034" s="12"/>
      <c r="AW2034" s="28"/>
    </row>
    <row r="2035" spans="5:49">
      <c r="E2035" s="12"/>
      <c r="F2035" s="12"/>
      <c r="G2035" s="12"/>
      <c r="H2035" s="12"/>
      <c r="I2035" s="36"/>
      <c r="L2035" s="19"/>
      <c r="M2035" s="19"/>
      <c r="AS2035" s="27"/>
      <c r="AT2035" s="27"/>
      <c r="AU2035" s="27"/>
      <c r="AV2035" s="12"/>
      <c r="AW2035" s="28"/>
    </row>
    <row r="2036" spans="5:49">
      <c r="E2036" s="12"/>
      <c r="F2036" s="12"/>
      <c r="G2036" s="12"/>
      <c r="H2036" s="12"/>
      <c r="I2036" s="36"/>
      <c r="L2036" s="19"/>
      <c r="M2036" s="19"/>
      <c r="AS2036" s="27"/>
      <c r="AT2036" s="27"/>
      <c r="AU2036" s="27"/>
      <c r="AV2036" s="12"/>
      <c r="AW2036" s="28"/>
    </row>
    <row r="2037" spans="5:49">
      <c r="E2037" s="12"/>
      <c r="F2037" s="12"/>
      <c r="G2037" s="12"/>
      <c r="H2037" s="12"/>
      <c r="I2037" s="36"/>
      <c r="L2037" s="19"/>
      <c r="M2037" s="19"/>
      <c r="AS2037" s="27"/>
      <c r="AT2037" s="27"/>
      <c r="AU2037" s="27"/>
      <c r="AV2037" s="12"/>
      <c r="AW2037" s="28"/>
    </row>
    <row r="2038" spans="5:49">
      <c r="E2038" s="12"/>
      <c r="F2038" s="12"/>
      <c r="G2038" s="12"/>
      <c r="H2038" s="12"/>
      <c r="I2038" s="36"/>
      <c r="L2038" s="19"/>
      <c r="M2038" s="19"/>
      <c r="AS2038" s="27"/>
      <c r="AT2038" s="27"/>
      <c r="AU2038" s="27"/>
      <c r="AV2038" s="12"/>
      <c r="AW2038" s="28"/>
    </row>
    <row r="2039" spans="5:49">
      <c r="E2039" s="12"/>
      <c r="F2039" s="12"/>
      <c r="G2039" s="12"/>
      <c r="H2039" s="12"/>
      <c r="I2039" s="36"/>
      <c r="L2039" s="19"/>
      <c r="M2039" s="19"/>
      <c r="AS2039" s="27"/>
      <c r="AT2039" s="27"/>
      <c r="AU2039" s="27"/>
      <c r="AV2039" s="12"/>
      <c r="AW2039" s="28"/>
    </row>
    <row r="2040" spans="5:49">
      <c r="E2040" s="12"/>
      <c r="F2040" s="12"/>
      <c r="G2040" s="12"/>
      <c r="H2040" s="12"/>
      <c r="I2040" s="36"/>
      <c r="L2040" s="19"/>
      <c r="M2040" s="19"/>
      <c r="AS2040" s="27"/>
      <c r="AT2040" s="27"/>
      <c r="AU2040" s="27"/>
      <c r="AV2040" s="12"/>
      <c r="AW2040" s="28"/>
    </row>
    <row r="2041" spans="5:49">
      <c r="E2041" s="12"/>
      <c r="F2041" s="12"/>
      <c r="G2041" s="12"/>
      <c r="H2041" s="12"/>
      <c r="I2041" s="36"/>
      <c r="L2041" s="19"/>
      <c r="M2041" s="19"/>
      <c r="AS2041" s="27"/>
      <c r="AT2041" s="27"/>
      <c r="AU2041" s="27"/>
      <c r="AV2041" s="12"/>
      <c r="AW2041" s="28"/>
    </row>
    <row r="2042" spans="5:49">
      <c r="E2042" s="12"/>
      <c r="F2042" s="12"/>
      <c r="G2042" s="12"/>
      <c r="H2042" s="12"/>
      <c r="I2042" s="36"/>
      <c r="L2042" s="19"/>
      <c r="M2042" s="19"/>
      <c r="AS2042" s="27"/>
      <c r="AT2042" s="27"/>
      <c r="AU2042" s="27"/>
      <c r="AV2042" s="12"/>
      <c r="AW2042" s="28"/>
    </row>
    <row r="2043" spans="5:49">
      <c r="E2043" s="12"/>
      <c r="F2043" s="12"/>
      <c r="G2043" s="12"/>
      <c r="H2043" s="12"/>
      <c r="I2043" s="36"/>
      <c r="L2043" s="19"/>
      <c r="M2043" s="19"/>
      <c r="AS2043" s="27"/>
      <c r="AT2043" s="27"/>
      <c r="AU2043" s="27"/>
      <c r="AV2043" s="12"/>
      <c r="AW2043" s="28"/>
    </row>
    <row r="2044" spans="5:49">
      <c r="E2044" s="12"/>
      <c r="F2044" s="12"/>
      <c r="G2044" s="12"/>
      <c r="H2044" s="12"/>
      <c r="I2044" s="36"/>
      <c r="L2044" s="19"/>
      <c r="M2044" s="19"/>
      <c r="AS2044" s="27"/>
      <c r="AT2044" s="27"/>
      <c r="AU2044" s="27"/>
      <c r="AV2044" s="12"/>
      <c r="AW2044" s="28"/>
    </row>
    <row r="2045" spans="5:49">
      <c r="E2045" s="12"/>
      <c r="F2045" s="12"/>
      <c r="G2045" s="12"/>
      <c r="H2045" s="12"/>
      <c r="I2045" s="36"/>
      <c r="L2045" s="19"/>
      <c r="M2045" s="19"/>
      <c r="AS2045" s="27"/>
      <c r="AT2045" s="27"/>
      <c r="AU2045" s="27"/>
      <c r="AV2045" s="12"/>
      <c r="AW2045" s="28"/>
    </row>
    <row r="2046" spans="5:49">
      <c r="E2046" s="12"/>
      <c r="F2046" s="12"/>
      <c r="G2046" s="12"/>
      <c r="H2046" s="12"/>
      <c r="I2046" s="36"/>
      <c r="L2046" s="19"/>
      <c r="M2046" s="19"/>
      <c r="AS2046" s="27"/>
      <c r="AT2046" s="27"/>
      <c r="AU2046" s="27"/>
      <c r="AV2046" s="12"/>
      <c r="AW2046" s="28"/>
    </row>
    <row r="2047" spans="5:49">
      <c r="E2047" s="12"/>
      <c r="F2047" s="12"/>
      <c r="G2047" s="12"/>
      <c r="H2047" s="12"/>
      <c r="I2047" s="36"/>
      <c r="L2047" s="19"/>
      <c r="M2047" s="19"/>
      <c r="AS2047" s="27"/>
      <c r="AT2047" s="27"/>
      <c r="AU2047" s="27"/>
      <c r="AV2047" s="12"/>
      <c r="AW2047" s="28"/>
    </row>
    <row r="2048" spans="5:49">
      <c r="E2048" s="12"/>
      <c r="F2048" s="12"/>
      <c r="G2048" s="12"/>
      <c r="H2048" s="12"/>
      <c r="I2048" s="36"/>
      <c r="L2048" s="19"/>
      <c r="M2048" s="19"/>
      <c r="AS2048" s="27"/>
      <c r="AT2048" s="27"/>
      <c r="AU2048" s="27"/>
      <c r="AV2048" s="12"/>
      <c r="AW2048" s="28"/>
    </row>
    <row r="2049" spans="5:49">
      <c r="E2049" s="12"/>
      <c r="F2049" s="12"/>
      <c r="G2049" s="12"/>
      <c r="H2049" s="12"/>
      <c r="I2049" s="36"/>
      <c r="L2049" s="19"/>
      <c r="M2049" s="19"/>
      <c r="AS2049" s="27"/>
      <c r="AT2049" s="27"/>
      <c r="AU2049" s="27"/>
      <c r="AV2049" s="12"/>
      <c r="AW2049" s="28"/>
    </row>
    <row r="2050" spans="5:49">
      <c r="E2050" s="12"/>
      <c r="F2050" s="12"/>
      <c r="G2050" s="12"/>
      <c r="H2050" s="12"/>
      <c r="I2050" s="36"/>
      <c r="L2050" s="19"/>
      <c r="M2050" s="19"/>
      <c r="AS2050" s="27"/>
      <c r="AT2050" s="27"/>
      <c r="AU2050" s="27"/>
      <c r="AV2050" s="12"/>
      <c r="AW2050" s="28"/>
    </row>
    <row r="2051" spans="5:49">
      <c r="E2051" s="12"/>
      <c r="F2051" s="12"/>
      <c r="G2051" s="12"/>
      <c r="H2051" s="12"/>
      <c r="I2051" s="36"/>
      <c r="L2051" s="19"/>
      <c r="M2051" s="19"/>
      <c r="AS2051" s="27"/>
      <c r="AT2051" s="27"/>
      <c r="AU2051" s="27"/>
      <c r="AV2051" s="12"/>
      <c r="AW2051" s="28"/>
    </row>
    <row r="2052" spans="5:49">
      <c r="E2052" s="12"/>
      <c r="F2052" s="12"/>
      <c r="G2052" s="12"/>
      <c r="H2052" s="12"/>
      <c r="I2052" s="36"/>
      <c r="L2052" s="19"/>
      <c r="M2052" s="19"/>
      <c r="AS2052" s="27"/>
      <c r="AT2052" s="27"/>
      <c r="AU2052" s="27"/>
      <c r="AV2052" s="12"/>
      <c r="AW2052" s="28"/>
    </row>
    <row r="2053" spans="5:49">
      <c r="E2053" s="12"/>
      <c r="F2053" s="12"/>
      <c r="G2053" s="12"/>
      <c r="H2053" s="12"/>
      <c r="I2053" s="36"/>
      <c r="L2053" s="19"/>
      <c r="M2053" s="19"/>
      <c r="AS2053" s="27"/>
      <c r="AT2053" s="27"/>
      <c r="AU2053" s="27"/>
      <c r="AV2053" s="12"/>
      <c r="AW2053" s="28"/>
    </row>
    <row r="2054" spans="5:49">
      <c r="E2054" s="12"/>
      <c r="F2054" s="12"/>
      <c r="G2054" s="12"/>
      <c r="H2054" s="12"/>
      <c r="I2054" s="36"/>
      <c r="L2054" s="19"/>
      <c r="M2054" s="19"/>
      <c r="AS2054" s="27"/>
      <c r="AT2054" s="27"/>
      <c r="AU2054" s="27"/>
      <c r="AV2054" s="12"/>
      <c r="AW2054" s="28"/>
    </row>
    <row r="2055" spans="5:49">
      <c r="E2055" s="12"/>
      <c r="F2055" s="12"/>
      <c r="G2055" s="12"/>
      <c r="H2055" s="12"/>
      <c r="I2055" s="36"/>
      <c r="L2055" s="19"/>
      <c r="M2055" s="19"/>
      <c r="AS2055" s="27"/>
      <c r="AT2055" s="27"/>
      <c r="AU2055" s="27"/>
      <c r="AV2055" s="12"/>
      <c r="AW2055" s="28"/>
    </row>
    <row r="2056" spans="5:49">
      <c r="E2056" s="12"/>
      <c r="F2056" s="12"/>
      <c r="G2056" s="12"/>
      <c r="H2056" s="12"/>
      <c r="I2056" s="36"/>
      <c r="L2056" s="19"/>
      <c r="M2056" s="19"/>
      <c r="AS2056" s="27"/>
      <c r="AT2056" s="27"/>
      <c r="AU2056" s="27"/>
      <c r="AV2056" s="12"/>
      <c r="AW2056" s="28"/>
    </row>
    <row r="2057" spans="5:49">
      <c r="E2057" s="12"/>
      <c r="F2057" s="12"/>
      <c r="G2057" s="12"/>
      <c r="H2057" s="12"/>
      <c r="I2057" s="36"/>
      <c r="L2057" s="19"/>
      <c r="M2057" s="19"/>
      <c r="AS2057" s="27"/>
      <c r="AT2057" s="27"/>
      <c r="AU2057" s="27"/>
      <c r="AV2057" s="12"/>
      <c r="AW2057" s="28"/>
    </row>
    <row r="2058" spans="5:49">
      <c r="E2058" s="12"/>
      <c r="F2058" s="12"/>
      <c r="G2058" s="12"/>
      <c r="H2058" s="12"/>
      <c r="I2058" s="36"/>
      <c r="L2058" s="19"/>
      <c r="M2058" s="19"/>
      <c r="AS2058" s="27"/>
      <c r="AT2058" s="27"/>
      <c r="AU2058" s="27"/>
      <c r="AV2058" s="12"/>
      <c r="AW2058" s="28"/>
    </row>
    <row r="2059" spans="5:49">
      <c r="E2059" s="12"/>
      <c r="F2059" s="12"/>
      <c r="G2059" s="12"/>
      <c r="H2059" s="12"/>
      <c r="I2059" s="36"/>
      <c r="L2059" s="19"/>
      <c r="M2059" s="19"/>
      <c r="AS2059" s="27"/>
      <c r="AT2059" s="27"/>
      <c r="AU2059" s="27"/>
      <c r="AV2059" s="12"/>
      <c r="AW2059" s="28"/>
    </row>
    <row r="2060" spans="5:49">
      <c r="E2060" s="12"/>
      <c r="F2060" s="12"/>
      <c r="G2060" s="12"/>
      <c r="H2060" s="12"/>
      <c r="I2060" s="36"/>
      <c r="L2060" s="19"/>
      <c r="M2060" s="19"/>
      <c r="AS2060" s="27"/>
      <c r="AT2060" s="27"/>
      <c r="AU2060" s="27"/>
      <c r="AV2060" s="12"/>
      <c r="AW2060" s="28"/>
    </row>
    <row r="2061" spans="5:49">
      <c r="E2061" s="12"/>
      <c r="F2061" s="12"/>
      <c r="G2061" s="12"/>
      <c r="H2061" s="12"/>
      <c r="I2061" s="36"/>
      <c r="L2061" s="19"/>
      <c r="M2061" s="19"/>
      <c r="AS2061" s="27"/>
      <c r="AT2061" s="27"/>
      <c r="AU2061" s="27"/>
      <c r="AV2061" s="12"/>
      <c r="AW2061" s="28"/>
    </row>
    <row r="2062" spans="5:49">
      <c r="E2062" s="12"/>
      <c r="F2062" s="12"/>
      <c r="G2062" s="12"/>
      <c r="H2062" s="12"/>
      <c r="I2062" s="36"/>
      <c r="L2062" s="19"/>
      <c r="M2062" s="19"/>
      <c r="AS2062" s="27"/>
      <c r="AT2062" s="27"/>
      <c r="AU2062" s="27"/>
      <c r="AV2062" s="12"/>
      <c r="AW2062" s="28"/>
    </row>
    <row r="2063" spans="5:49">
      <c r="E2063" s="12"/>
      <c r="F2063" s="12"/>
      <c r="G2063" s="12"/>
      <c r="H2063" s="12"/>
      <c r="I2063" s="36"/>
      <c r="L2063" s="19"/>
      <c r="M2063" s="19"/>
      <c r="AS2063" s="27"/>
      <c r="AT2063" s="27"/>
      <c r="AU2063" s="27"/>
      <c r="AV2063" s="12"/>
      <c r="AW2063" s="28"/>
    </row>
    <row r="2064" spans="5:49">
      <c r="E2064" s="12"/>
      <c r="F2064" s="12"/>
      <c r="G2064" s="12"/>
      <c r="H2064" s="12"/>
      <c r="I2064" s="36"/>
      <c r="L2064" s="19"/>
      <c r="M2064" s="19"/>
      <c r="AS2064" s="27"/>
      <c r="AT2064" s="27"/>
      <c r="AU2064" s="27"/>
      <c r="AV2064" s="12"/>
      <c r="AW2064" s="28"/>
    </row>
    <row r="2065" spans="5:49">
      <c r="E2065" s="12"/>
      <c r="F2065" s="12"/>
      <c r="G2065" s="12"/>
      <c r="H2065" s="12"/>
      <c r="I2065" s="36"/>
      <c r="L2065" s="19"/>
      <c r="M2065" s="19"/>
      <c r="AS2065" s="27"/>
      <c r="AT2065" s="27"/>
      <c r="AU2065" s="27"/>
      <c r="AV2065" s="12"/>
      <c r="AW2065" s="28"/>
    </row>
    <row r="2066" spans="5:49">
      <c r="E2066" s="12"/>
      <c r="F2066" s="12"/>
      <c r="G2066" s="12"/>
      <c r="H2066" s="12"/>
      <c r="I2066" s="36"/>
      <c r="L2066" s="19"/>
      <c r="M2066" s="19"/>
      <c r="AS2066" s="27"/>
      <c r="AT2066" s="27"/>
      <c r="AU2066" s="27"/>
      <c r="AV2066" s="12"/>
      <c r="AW2066" s="28"/>
    </row>
    <row r="2067" spans="5:49">
      <c r="E2067" s="12"/>
      <c r="F2067" s="12"/>
      <c r="G2067" s="12"/>
      <c r="H2067" s="12"/>
      <c r="I2067" s="36"/>
      <c r="L2067" s="19"/>
      <c r="M2067" s="19"/>
      <c r="AS2067" s="27"/>
      <c r="AT2067" s="27"/>
      <c r="AU2067" s="27"/>
      <c r="AV2067" s="12"/>
      <c r="AW2067" s="28"/>
    </row>
    <row r="2068" spans="5:49">
      <c r="E2068" s="12"/>
      <c r="F2068" s="12"/>
      <c r="G2068" s="12"/>
      <c r="H2068" s="12"/>
      <c r="I2068" s="36"/>
      <c r="L2068" s="19"/>
      <c r="M2068" s="19"/>
      <c r="AS2068" s="27"/>
      <c r="AT2068" s="27"/>
      <c r="AU2068" s="27"/>
      <c r="AV2068" s="12"/>
      <c r="AW2068" s="28"/>
    </row>
    <row r="2069" spans="5:49">
      <c r="E2069" s="12"/>
      <c r="F2069" s="12"/>
      <c r="G2069" s="12"/>
      <c r="H2069" s="12"/>
      <c r="I2069" s="36"/>
      <c r="L2069" s="19"/>
      <c r="M2069" s="19"/>
      <c r="AS2069" s="27"/>
      <c r="AT2069" s="27"/>
      <c r="AU2069" s="27"/>
      <c r="AV2069" s="12"/>
      <c r="AW2069" s="28"/>
    </row>
    <row r="2070" spans="5:49">
      <c r="E2070" s="12"/>
      <c r="F2070" s="12"/>
      <c r="G2070" s="12"/>
      <c r="H2070" s="12"/>
      <c r="I2070" s="36"/>
      <c r="L2070" s="19"/>
      <c r="M2070" s="19"/>
      <c r="AS2070" s="27"/>
      <c r="AT2070" s="27"/>
      <c r="AU2070" s="27"/>
      <c r="AV2070" s="12"/>
      <c r="AW2070" s="28"/>
    </row>
    <row r="2071" spans="5:49">
      <c r="E2071" s="12"/>
      <c r="F2071" s="12"/>
      <c r="G2071" s="12"/>
      <c r="H2071" s="12"/>
      <c r="I2071" s="36"/>
      <c r="L2071" s="19"/>
      <c r="M2071" s="19"/>
      <c r="AS2071" s="27"/>
      <c r="AT2071" s="27"/>
      <c r="AU2071" s="27"/>
      <c r="AV2071" s="12"/>
      <c r="AW2071" s="28"/>
    </row>
    <row r="2072" spans="5:49">
      <c r="E2072" s="12"/>
      <c r="F2072" s="12"/>
      <c r="G2072" s="12"/>
      <c r="H2072" s="12"/>
      <c r="I2072" s="36"/>
      <c r="L2072" s="19"/>
      <c r="M2072" s="19"/>
      <c r="AS2072" s="27"/>
      <c r="AT2072" s="27"/>
      <c r="AU2072" s="27"/>
      <c r="AV2072" s="12"/>
      <c r="AW2072" s="28"/>
    </row>
    <row r="2073" spans="5:49">
      <c r="E2073" s="12"/>
      <c r="F2073" s="12"/>
      <c r="G2073" s="12"/>
      <c r="H2073" s="12"/>
      <c r="I2073" s="36"/>
      <c r="L2073" s="19"/>
      <c r="M2073" s="19"/>
      <c r="AS2073" s="27"/>
      <c r="AT2073" s="27"/>
      <c r="AU2073" s="27"/>
      <c r="AV2073" s="12"/>
      <c r="AW2073" s="28"/>
    </row>
    <row r="2074" spans="5:49">
      <c r="E2074" s="12"/>
      <c r="F2074" s="12"/>
      <c r="G2074" s="12"/>
      <c r="H2074" s="12"/>
      <c r="I2074" s="36"/>
      <c r="L2074" s="19"/>
      <c r="M2074" s="19"/>
      <c r="AS2074" s="27"/>
      <c r="AT2074" s="27"/>
      <c r="AU2074" s="27"/>
      <c r="AV2074" s="12"/>
      <c r="AW2074" s="28"/>
    </row>
    <row r="2075" spans="5:49">
      <c r="E2075" s="12"/>
      <c r="F2075" s="12"/>
      <c r="G2075" s="12"/>
      <c r="H2075" s="12"/>
      <c r="I2075" s="36"/>
      <c r="L2075" s="19"/>
      <c r="M2075" s="19"/>
      <c r="AS2075" s="27"/>
      <c r="AT2075" s="27"/>
      <c r="AU2075" s="27"/>
      <c r="AV2075" s="12"/>
      <c r="AW2075" s="28"/>
    </row>
    <row r="2076" spans="5:49">
      <c r="E2076" s="12"/>
      <c r="F2076" s="12"/>
      <c r="G2076" s="12"/>
      <c r="H2076" s="12"/>
      <c r="I2076" s="36"/>
      <c r="L2076" s="19"/>
      <c r="M2076" s="19"/>
      <c r="AS2076" s="27"/>
      <c r="AT2076" s="27"/>
      <c r="AU2076" s="27"/>
      <c r="AV2076" s="12"/>
      <c r="AW2076" s="28"/>
    </row>
    <row r="2077" spans="5:49">
      <c r="E2077" s="12"/>
      <c r="F2077" s="12"/>
      <c r="G2077" s="12"/>
      <c r="H2077" s="12"/>
      <c r="I2077" s="36"/>
      <c r="L2077" s="19"/>
      <c r="M2077" s="19"/>
      <c r="AS2077" s="27"/>
      <c r="AT2077" s="27"/>
      <c r="AU2077" s="27"/>
      <c r="AV2077" s="12"/>
      <c r="AW2077" s="28"/>
    </row>
    <row r="2078" spans="5:49">
      <c r="E2078" s="12"/>
      <c r="F2078" s="12"/>
      <c r="G2078" s="12"/>
      <c r="H2078" s="12"/>
      <c r="I2078" s="36"/>
      <c r="L2078" s="19"/>
      <c r="M2078" s="19"/>
      <c r="AS2078" s="27"/>
      <c r="AT2078" s="27"/>
      <c r="AU2078" s="27"/>
      <c r="AV2078" s="12"/>
      <c r="AW2078" s="28"/>
    </row>
    <row r="2079" spans="5:49">
      <c r="E2079" s="12"/>
      <c r="F2079" s="12"/>
      <c r="G2079" s="12"/>
      <c r="H2079" s="12"/>
      <c r="I2079" s="36"/>
      <c r="L2079" s="19"/>
      <c r="M2079" s="19"/>
      <c r="AS2079" s="27"/>
      <c r="AT2079" s="27"/>
      <c r="AU2079" s="27"/>
      <c r="AV2079" s="12"/>
      <c r="AW2079" s="28"/>
    </row>
    <row r="2080" spans="5:49">
      <c r="E2080" s="12"/>
      <c r="F2080" s="12"/>
      <c r="G2080" s="12"/>
      <c r="H2080" s="12"/>
      <c r="I2080" s="36"/>
      <c r="L2080" s="19"/>
      <c r="M2080" s="19"/>
      <c r="AS2080" s="27"/>
      <c r="AT2080" s="27"/>
      <c r="AU2080" s="27"/>
      <c r="AV2080" s="12"/>
      <c r="AW2080" s="28"/>
    </row>
    <row r="2081" spans="5:49">
      <c r="E2081" s="12"/>
      <c r="F2081" s="12"/>
      <c r="G2081" s="12"/>
      <c r="H2081" s="12"/>
      <c r="I2081" s="36"/>
      <c r="L2081" s="19"/>
      <c r="M2081" s="19"/>
      <c r="AS2081" s="27"/>
      <c r="AT2081" s="27"/>
      <c r="AU2081" s="27"/>
      <c r="AV2081" s="12"/>
      <c r="AW2081" s="28"/>
    </row>
    <row r="2082" spans="5:49">
      <c r="E2082" s="12"/>
      <c r="F2082" s="12"/>
      <c r="G2082" s="12"/>
      <c r="H2082" s="12"/>
      <c r="I2082" s="36"/>
      <c r="L2082" s="19"/>
      <c r="M2082" s="19"/>
      <c r="AS2082" s="27"/>
      <c r="AT2082" s="27"/>
      <c r="AU2082" s="27"/>
      <c r="AV2082" s="12"/>
      <c r="AW2082" s="28"/>
    </row>
    <row r="2083" spans="5:49">
      <c r="E2083" s="12"/>
      <c r="F2083" s="12"/>
      <c r="G2083" s="12"/>
      <c r="H2083" s="12"/>
      <c r="I2083" s="36"/>
      <c r="L2083" s="19"/>
      <c r="M2083" s="19"/>
      <c r="AS2083" s="27"/>
      <c r="AT2083" s="27"/>
      <c r="AU2083" s="27"/>
      <c r="AV2083" s="12"/>
      <c r="AW2083" s="28"/>
    </row>
    <row r="2084" spans="5:49">
      <c r="E2084" s="12"/>
      <c r="F2084" s="12"/>
      <c r="G2084" s="12"/>
      <c r="H2084" s="12"/>
      <c r="I2084" s="36"/>
      <c r="L2084" s="19"/>
      <c r="M2084" s="19"/>
      <c r="AS2084" s="27"/>
      <c r="AT2084" s="27"/>
      <c r="AU2084" s="27"/>
      <c r="AV2084" s="12"/>
      <c r="AW2084" s="28"/>
    </row>
    <row r="2085" spans="5:49">
      <c r="E2085" s="12"/>
      <c r="F2085" s="12"/>
      <c r="G2085" s="12"/>
      <c r="H2085" s="12"/>
      <c r="I2085" s="36"/>
      <c r="L2085" s="19"/>
      <c r="M2085" s="19"/>
      <c r="AS2085" s="27"/>
      <c r="AT2085" s="27"/>
      <c r="AU2085" s="27"/>
      <c r="AV2085" s="12"/>
      <c r="AW2085" s="28"/>
    </row>
    <row r="2086" spans="5:49">
      <c r="E2086" s="12"/>
      <c r="F2086" s="12"/>
      <c r="G2086" s="12"/>
      <c r="H2086" s="12"/>
      <c r="I2086" s="36"/>
      <c r="L2086" s="19"/>
      <c r="M2086" s="19"/>
      <c r="AS2086" s="27"/>
      <c r="AT2086" s="27"/>
      <c r="AU2086" s="27"/>
      <c r="AV2086" s="12"/>
      <c r="AW2086" s="28"/>
    </row>
    <row r="2087" spans="5:49">
      <c r="E2087" s="12"/>
      <c r="F2087" s="12"/>
      <c r="G2087" s="12"/>
      <c r="H2087" s="12"/>
      <c r="I2087" s="36"/>
      <c r="L2087" s="19"/>
      <c r="M2087" s="19"/>
      <c r="AS2087" s="27"/>
      <c r="AT2087" s="27"/>
      <c r="AU2087" s="27"/>
      <c r="AV2087" s="12"/>
      <c r="AW2087" s="28"/>
    </row>
    <row r="2088" spans="5:49">
      <c r="E2088" s="12"/>
      <c r="F2088" s="12"/>
      <c r="G2088" s="12"/>
      <c r="H2088" s="12"/>
      <c r="I2088" s="36"/>
      <c r="L2088" s="19"/>
      <c r="M2088" s="19"/>
      <c r="AS2088" s="27"/>
      <c r="AT2088" s="27"/>
      <c r="AU2088" s="27"/>
      <c r="AV2088" s="12"/>
      <c r="AW2088" s="28"/>
    </row>
    <row r="2089" spans="5:49">
      <c r="E2089" s="12"/>
      <c r="F2089" s="12"/>
      <c r="G2089" s="12"/>
      <c r="H2089" s="12"/>
      <c r="I2089" s="36"/>
      <c r="L2089" s="19"/>
      <c r="M2089" s="19"/>
      <c r="AS2089" s="27"/>
      <c r="AT2089" s="27"/>
      <c r="AU2089" s="27"/>
      <c r="AV2089" s="12"/>
      <c r="AW2089" s="28"/>
    </row>
    <row r="2090" spans="5:49">
      <c r="E2090" s="12"/>
      <c r="F2090" s="12"/>
      <c r="G2090" s="12"/>
      <c r="H2090" s="12"/>
      <c r="I2090" s="36"/>
      <c r="L2090" s="19"/>
      <c r="M2090" s="19"/>
      <c r="AS2090" s="27"/>
      <c r="AT2090" s="27"/>
      <c r="AU2090" s="27"/>
      <c r="AV2090" s="12"/>
      <c r="AW2090" s="28"/>
    </row>
    <row r="2091" spans="5:49">
      <c r="E2091" s="12"/>
      <c r="F2091" s="12"/>
      <c r="G2091" s="12"/>
      <c r="H2091" s="12"/>
      <c r="I2091" s="36"/>
      <c r="L2091" s="19"/>
      <c r="M2091" s="19"/>
      <c r="AS2091" s="27"/>
      <c r="AT2091" s="27"/>
      <c r="AU2091" s="27"/>
      <c r="AV2091" s="12"/>
      <c r="AW2091" s="28"/>
    </row>
    <row r="2092" spans="5:49">
      <c r="E2092" s="12"/>
      <c r="F2092" s="12"/>
      <c r="G2092" s="12"/>
      <c r="H2092" s="12"/>
      <c r="I2092" s="36"/>
      <c r="L2092" s="19"/>
      <c r="M2092" s="19"/>
      <c r="AS2092" s="27"/>
      <c r="AT2092" s="27"/>
      <c r="AU2092" s="27"/>
      <c r="AV2092" s="12"/>
      <c r="AW2092" s="28"/>
    </row>
    <row r="2093" spans="5:49">
      <c r="E2093" s="12"/>
      <c r="F2093" s="12"/>
      <c r="G2093" s="12"/>
      <c r="H2093" s="12"/>
      <c r="I2093" s="36"/>
      <c r="L2093" s="19"/>
      <c r="M2093" s="19"/>
      <c r="AS2093" s="27"/>
      <c r="AT2093" s="27"/>
      <c r="AU2093" s="27"/>
      <c r="AV2093" s="12"/>
      <c r="AW2093" s="28"/>
    </row>
    <row r="2094" spans="5:49">
      <c r="E2094" s="12"/>
      <c r="F2094" s="12"/>
      <c r="G2094" s="12"/>
      <c r="H2094" s="12"/>
      <c r="I2094" s="36"/>
      <c r="L2094" s="19"/>
      <c r="M2094" s="19"/>
      <c r="AS2094" s="27"/>
      <c r="AT2094" s="27"/>
      <c r="AU2094" s="27"/>
      <c r="AV2094" s="12"/>
      <c r="AW2094" s="28"/>
    </row>
    <row r="2095" spans="5:49">
      <c r="E2095" s="12"/>
      <c r="F2095" s="12"/>
      <c r="G2095" s="12"/>
      <c r="H2095" s="12"/>
      <c r="I2095" s="36"/>
      <c r="L2095" s="19"/>
      <c r="M2095" s="19"/>
      <c r="AS2095" s="27"/>
      <c r="AT2095" s="27"/>
      <c r="AU2095" s="27"/>
      <c r="AV2095" s="12"/>
      <c r="AW2095" s="28"/>
    </row>
    <row r="2096" spans="5:49">
      <c r="E2096" s="12"/>
      <c r="F2096" s="12"/>
      <c r="G2096" s="12"/>
      <c r="H2096" s="12"/>
      <c r="I2096" s="36"/>
      <c r="L2096" s="19"/>
      <c r="M2096" s="19"/>
      <c r="AS2096" s="27"/>
      <c r="AT2096" s="27"/>
      <c r="AU2096" s="27"/>
      <c r="AV2096" s="12"/>
      <c r="AW2096" s="28"/>
    </row>
    <row r="2097" spans="5:49">
      <c r="E2097" s="12"/>
      <c r="F2097" s="12"/>
      <c r="G2097" s="12"/>
      <c r="H2097" s="12"/>
      <c r="I2097" s="36"/>
      <c r="L2097" s="19"/>
      <c r="M2097" s="19"/>
      <c r="AS2097" s="27"/>
      <c r="AT2097" s="27"/>
      <c r="AU2097" s="27"/>
      <c r="AV2097" s="12"/>
      <c r="AW2097" s="28"/>
    </row>
    <row r="2098" spans="5:49">
      <c r="E2098" s="12"/>
      <c r="F2098" s="12"/>
      <c r="G2098" s="12"/>
      <c r="H2098" s="12"/>
      <c r="I2098" s="36"/>
      <c r="L2098" s="19"/>
      <c r="M2098" s="19"/>
      <c r="AS2098" s="27"/>
      <c r="AT2098" s="27"/>
      <c r="AU2098" s="27"/>
      <c r="AV2098" s="12"/>
      <c r="AW2098" s="28"/>
    </row>
  </sheetData>
  <autoFilter ref="A4:AW2098">
    <sortState ref="A4:AW2098">
      <sortCondition ref="M4" descending="1"/>
    </sortState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6" operator="lessThan">
      <formula>20</formula>
    </cfRule>
    <cfRule type="cellIs" dxfId="1" priority="5" operator="greaterThan">
      <formula>120</formula>
    </cfRule>
    <cfRule type="containsText" dxfId="2" priority="4" operator="between" text="库存为">
      <formula>NOT(ISERROR(SEARCH("库存为",AU2)))</formula>
    </cfRule>
  </conditionalFormatting>
  <conditionalFormatting sqref="AU5">
    <cfRule type="containsText" dxfId="2" priority="1" operator="between" text="库存为">
      <formula>NOT(ISERROR(SEARCH("库存为",AU5)))</formula>
    </cfRule>
    <cfRule type="cellIs" dxfId="1" priority="2" operator="greaterThan">
      <formula>120</formula>
    </cfRule>
    <cfRule type="cellIs" dxfId="0" priority="3" operator="lessThan">
      <formula>20</formula>
    </cfRule>
  </conditionalFormatting>
  <conditionalFormatting sqref="AV1660:AV2098 AU170:AU1659">
    <cfRule type="containsText" dxfId="2" priority="10" operator="between" text="库存为">
      <formula>NOT(ISERROR(SEARCH("库存为",AU170)))</formula>
    </cfRule>
    <cfRule type="cellIs" dxfId="1" priority="11" operator="greaterThan">
      <formula>120</formula>
    </cfRule>
    <cfRule type="cellIs" dxfId="0" priority="12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B12"/>
  <sheetViews>
    <sheetView workbookViewId="0">
      <selection activeCell="D10" sqref="D10"/>
    </sheetView>
  </sheetViews>
  <sheetFormatPr defaultColWidth="9" defaultRowHeight="14.25" outlineLevelCol="1"/>
  <cols>
    <col min="1" max="1" width="16.875" customWidth="1"/>
    <col min="2" max="2" width="17.5" customWidth="1"/>
  </cols>
  <sheetData>
    <row r="1" spans="1:2">
      <c r="A1" t="s">
        <v>419</v>
      </c>
      <c r="B1" s="1">
        <f>B12</f>
        <v>43311</v>
      </c>
    </row>
    <row r="2" spans="1:2">
      <c r="A2" t="s">
        <v>420</v>
      </c>
      <c r="B2" s="1">
        <v>43338</v>
      </c>
    </row>
    <row r="4" spans="1:2">
      <c r="A4" t="s">
        <v>421</v>
      </c>
      <c r="B4" s="2">
        <f>B2+1</f>
        <v>43339</v>
      </c>
    </row>
    <row r="5" spans="1:2">
      <c r="A5" t="s">
        <v>422</v>
      </c>
      <c r="B5" s="3">
        <f>B2</f>
        <v>43338</v>
      </c>
    </row>
    <row r="6" spans="1:2">
      <c r="A6" t="s">
        <v>423</v>
      </c>
      <c r="B6" s="2">
        <f>B5-6</f>
        <v>43332</v>
      </c>
    </row>
    <row r="7" spans="1:2">
      <c r="A7" t="s">
        <v>424</v>
      </c>
      <c r="B7" s="2">
        <f>B5-7</f>
        <v>43331</v>
      </c>
    </row>
    <row r="8" spans="1:2">
      <c r="A8" t="s">
        <v>425</v>
      </c>
      <c r="B8" s="2">
        <f>B5-13</f>
        <v>43325</v>
      </c>
    </row>
    <row r="9" spans="1:2">
      <c r="A9" t="s">
        <v>426</v>
      </c>
      <c r="B9" s="2">
        <f>B5-14</f>
        <v>43324</v>
      </c>
    </row>
    <row r="10" spans="1:2">
      <c r="A10" t="s">
        <v>427</v>
      </c>
      <c r="B10" s="2">
        <f>B5-20</f>
        <v>43318</v>
      </c>
    </row>
    <row r="11" spans="1:2">
      <c r="A11" t="s">
        <v>428</v>
      </c>
      <c r="B11" s="2">
        <f>B5-21</f>
        <v>43317</v>
      </c>
    </row>
    <row r="12" spans="1:2">
      <c r="A12" t="s">
        <v>429</v>
      </c>
      <c r="B12" s="2">
        <f>B5-27</f>
        <v>43311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666750</xdr:colOff>
                <xdr:row>2</xdr:row>
                <xdr:rowOff>28575</xdr:rowOff>
              </from>
              <to>
                <xdr:col>4</xdr:col>
                <xdr:colOff>666750</xdr:colOff>
                <xdr:row>4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库存（子SKU）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2018-08-28T05:44:39Z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