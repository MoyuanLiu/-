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数据处理!$A$1:$N$2882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<sst xmlns="http://schemas.openxmlformats.org/spreadsheetml/2006/main" count="499">
  <si>
    <t>Merchant SKU</t>
  </si>
  <si>
    <t>Fulfillment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</si>
  <si>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</si>
  <si>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</si>
  <si>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</si>
  <si>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</si>
  <si>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</si>
  <si>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</si>
  <si>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54-2HQR-70OB</t>
  </si>
  <si>
    <t>X001FPB0BN</t>
  </si>
  <si>
    <t>B00115TXRE</t>
  </si>
  <si>
    <t>Dead Sea Premier Eye Serum.</t>
  </si>
  <si>
    <t>HF-I2e-AABS</t>
  </si>
  <si>
    <t>X001QEZ2HB</t>
  </si>
  <si>
    <t>B000VER1RU</t>
  </si>
  <si>
    <t>Premier Dead Sea Biox Intensive Age Cream/Anti-age Complex, 2.0400-Fluid Ounce</t>
  </si>
  <si>
    <t>HF-T9QA-X3JZ</t>
  </si>
  <si>
    <t>X001FD46M5</t>
  </si>
  <si>
    <t>B001561M00</t>
  </si>
  <si>
    <t>Premier Dead Sea Intensive Biox Thermal Beauty Mask**NEW IN BOX**SAME IN MALL**</t>
  </si>
  <si>
    <t>3S-1QX9-6RRP</t>
  </si>
  <si>
    <t>X001MU9L2B</t>
  </si>
  <si>
    <t>B001DXOWA2</t>
  </si>
  <si>
    <t>Premier Dead Sea Ageless Future Cell Renewal Cream</t>
  </si>
  <si>
    <t>6T-8V8W-3S67</t>
  </si>
  <si>
    <t>X0015FXF93</t>
  </si>
  <si>
    <t>B000VF5WVG</t>
  </si>
  <si>
    <t>Premier by Dead Sea Premier Luxury Collection Milk Cleanser, 8.5 fl oz</t>
  </si>
  <si>
    <t>0Z-KJNM-D56T</t>
  </si>
  <si>
    <t>X001HAAVTN</t>
  </si>
  <si>
    <t>B00157ZFC0</t>
  </si>
  <si>
    <t>Premier Dead Sea Body Butter Herbal Scent</t>
  </si>
  <si>
    <t>3E-OBBY-DIEZ</t>
  </si>
  <si>
    <t>X001BZ317N</t>
  </si>
  <si>
    <t>B00157XFNQ</t>
  </si>
  <si>
    <t>Premier Dead Sea Active Moisture Complex - Normal to Dry Skin</t>
  </si>
  <si>
    <t>CF-7C1X-596L</t>
  </si>
  <si>
    <t>X001MPQ9NZ</t>
  </si>
  <si>
    <t>B003Y7EU16</t>
  </si>
  <si>
    <t>Premier Dead Sea Day Cream Complex (for normal to dry skin)</t>
  </si>
  <si>
    <t>HF-l3e-TEYG</t>
  </si>
  <si>
    <t>X001PZ8VNN</t>
  </si>
  <si>
    <t>B00383XLTS</t>
  </si>
  <si>
    <t>Premier Dead Sea Biox Intensive Age Treatment Eye Cream Gel</t>
  </si>
  <si>
    <t>HF-b3e-PWCC</t>
  </si>
  <si>
    <t>X001Q09JSN</t>
  </si>
  <si>
    <t>B003Y7D0HQ</t>
  </si>
  <si>
    <t>Premier Dead Sea Pearl White Cream Complex, 2.04-Fluid Ounce</t>
  </si>
  <si>
    <t>HF-a69e-PEFG</t>
  </si>
  <si>
    <t>X001PZ8VND</t>
  </si>
  <si>
    <t>B00BD3OU72</t>
  </si>
  <si>
    <t>Premier Dead Sea Para-pharmaceutical Exfoliating Facial Gel, Brown, 4.3958-Fluid Ounce</t>
  </si>
  <si>
    <t>JQ-N6LK-OQ03</t>
  </si>
  <si>
    <t>X001B547J9</t>
  </si>
  <si>
    <t>B01JSONMH6</t>
  </si>
  <si>
    <t>Gratiae Organic Beauty Renewing Peeling Gel</t>
  </si>
  <si>
    <t>HF-c7e-LANC</t>
  </si>
  <si>
    <t>X001S9JTKZ</t>
  </si>
  <si>
    <t>B002DL9M2G</t>
  </si>
  <si>
    <t>Premier Dead Sea Luxurious Anti-aging Neck Cream, 2.04 oz</t>
  </si>
  <si>
    <t>L1-BT23-OVPU</t>
  </si>
  <si>
    <t>X001HQV4JX</t>
  </si>
  <si>
    <t>B002DV0KDQ</t>
  </si>
  <si>
    <t>Premier Dead Sea Luxury Moisture Cream for Multi-Use</t>
  </si>
  <si>
    <t>MY-16055ZQ-XXL</t>
  </si>
  <si>
    <t>B0761NGYTK</t>
  </si>
  <si>
    <t>Womens Hooded Warm Coats Parkas With Fax Fur Jackets Navy XXL</t>
  </si>
  <si>
    <t>HF-a80e-BTBM</t>
  </si>
  <si>
    <t>X001S9JE3R</t>
  </si>
  <si>
    <t>HF-a1e-LCMC</t>
  </si>
  <si>
    <t>X001Q1E9CX</t>
  </si>
  <si>
    <t>R0-9P3N-MM7G</t>
  </si>
  <si>
    <t>X001B57XHH</t>
  </si>
  <si>
    <t>B0016VW618</t>
  </si>
  <si>
    <t>Premier Usa Dead Sea shaving Cream for Men All Skin</t>
  </si>
  <si>
    <t>SM-LSLQ-C3QE</t>
  </si>
  <si>
    <t>X001B6AOMR</t>
  </si>
  <si>
    <t>B004X9BSG4</t>
  </si>
  <si>
    <t>Gratiae Organics Lifting Facial Mask, 1.7 Ounce</t>
  </si>
  <si>
    <t>PP-7C5M-OKFZ</t>
  </si>
  <si>
    <t>X001K6E0FZ</t>
  </si>
  <si>
    <t>B00GU2QXVC</t>
  </si>
  <si>
    <t>Premier Dead Sea Refining Moisture Cream</t>
  </si>
  <si>
    <t>QW-6H25-PV48</t>
  </si>
  <si>
    <t>X001HQHY2T</t>
  </si>
  <si>
    <t>B003NJKS48</t>
  </si>
  <si>
    <t>Dead Sea Premier Luxury Milk Cleanser</t>
  </si>
  <si>
    <t>MY16055ZQXXL</t>
  </si>
  <si>
    <t>PV-OG2H-VHEI</t>
  </si>
  <si>
    <t>X0017633GF</t>
  </si>
  <si>
    <t>B004X9BTGI</t>
  </si>
  <si>
    <t>Gratiae Organicss Hand and Nail Care Treatment, 4.08 Ounce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</si>
  <si>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</si>
  <si>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</si>
  <si>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</si>
  <si>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</si>
  <si>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</si>
  <si>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</si>
  <si>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</si>
  <si>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</si>
  <si>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</si>
  <si>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</si>
  <si>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</si>
  <si>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</si>
  <si>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</si>
  <si>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</si>
  <si>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</si>
  <si>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</si>
  <si>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</si>
  <si>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</si>
  <si>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</si>
  <si>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</si>
  <si>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</si>
  <si>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</si>
  <si>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</si>
  <si>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</si>
  <si>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</si>
  <si>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</si>
  <si>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</si>
  <si>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</si>
  <si>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</si>
  <si>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</si>
  <si>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</si>
  <si>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</si>
  <si>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</si>
  <si>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</si>
  <si>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</si>
  <si>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New</t>
  </si>
  <si>
    <t>USD</t>
  </si>
  <si>
    <t>Low traffic</t>
  </si>
  <si>
    <t>Advertise listing</t>
  </si>
  <si>
    <t>Standard</t>
  </si>
  <si>
    <t>Edit listing</t>
  </si>
  <si>
    <t>Update inventory settings for:</t>
  </si>
  <si>
    <t>97-6SJH-1LTA</t>
  </si>
  <si>
    <t>X001FB4RML</t>
  </si>
  <si>
    <t>MY71107MSS</t>
  </si>
  <si>
    <t>B0761NM3SZ</t>
  </si>
  <si>
    <t>ZAIAI Women's Parka Winter Coat Overcoat Long Down Jacket Outwear Beige S</t>
  </si>
  <si>
    <t>Low conversion</t>
  </si>
  <si>
    <t>Create Sale</t>
  </si>
  <si>
    <t>Apparel</t>
  </si>
  <si>
    <t>MY16055K0M</t>
  </si>
  <si>
    <t>B0761QBHM9</t>
  </si>
  <si>
    <t>ZAIAI Womens Hooded Warm Winter Faux Fur Lined Parkas Anoraks Long Coats Black M</t>
  </si>
  <si>
    <t>Lower price</t>
  </si>
  <si>
    <t>MY71115K0L</t>
  </si>
  <si>
    <t>B0761NMRB4</t>
  </si>
  <si>
    <t>ZAIAI Women's Coat With Fur Hood With 90% Down Parka Puffer Jacket Black M</t>
  </si>
  <si>
    <t>Oversize</t>
  </si>
  <si>
    <t>PJ-CPH7-5MXE</t>
  </si>
  <si>
    <t>X001K0YGJ1</t>
  </si>
  <si>
    <t>B01G3AIYJO</t>
  </si>
  <si>
    <t>Gratiae Organic Beauty By Nature Exfoliating Body Scrub, Apple/Green Tea and Ginger by Gratiae Organic Beauty By Nature</t>
  </si>
  <si>
    <t>HF-a85e-RFPM</t>
  </si>
  <si>
    <t>X001PZ8VYR</t>
  </si>
  <si>
    <t>B00G71LV3Q</t>
  </si>
  <si>
    <t>Premier By Dead Sea Premier Refining Facial Peeling Mask 2.04oz, 60ml</t>
  </si>
  <si>
    <t>MY16055K0XL</t>
  </si>
  <si>
    <t>B0761N3HJ3</t>
  </si>
  <si>
    <t>Womens Hooded Warm Winter Faux Fur Lined Parkas Anoraks Long Coats Black XL</t>
  </si>
  <si>
    <t>MY71107ZQM</t>
  </si>
  <si>
    <t>B0761P4LK2</t>
  </si>
  <si>
    <t>ZAIAI Women's Parka Winter Coat Overcoat Long Down Jacket Outwear Navy M</t>
  </si>
  <si>
    <t>HF-a33e-LUHC</t>
  </si>
  <si>
    <t>X001Q1F5U3</t>
  </si>
  <si>
    <t>B004HTXUNE</t>
  </si>
  <si>
    <t>Premier Dead Sea Luxury Hand Cream 125ml/4.25fl.oz</t>
  </si>
  <si>
    <t>MY71107K0XL</t>
  </si>
  <si>
    <t>B0761PVQYZ</t>
  </si>
  <si>
    <t>ZAIAI Women's Parkas Anoraks Long Coats with Removable Faux Fur Trim Hood Black XL</t>
  </si>
  <si>
    <t>MY71107MSXL</t>
  </si>
  <si>
    <t>B0761NNM84</t>
  </si>
  <si>
    <t>ZAIAI Women's Parka Winter Coat Overcoat Long Down Jacket Outwear Beige XL</t>
  </si>
  <si>
    <t>MY16055ZQM</t>
  </si>
  <si>
    <t>B0761Q4YF6</t>
  </si>
  <si>
    <t>Womens Hooded Warm Coats Parkas With Fax Fur Jackets Navy M</t>
  </si>
  <si>
    <t>MY-71107ZQ-M</t>
  </si>
  <si>
    <t>2N-C2ZT-YSNI</t>
  </si>
  <si>
    <t>X001CPXTFL</t>
  </si>
  <si>
    <t>MY71107MSXXL</t>
  </si>
  <si>
    <t>B0761PTZY2</t>
  </si>
  <si>
    <t>ZAIAI Women's Parka Winter Coat Overcoat Long Down Jacket Outwear Beige XXL</t>
  </si>
  <si>
    <t>MY71107ZQL</t>
  </si>
  <si>
    <t>B0761NJH9L</t>
  </si>
  <si>
    <t>ZAIAI Women's Parka Winter Coat Overcoat Long Down Jacket Outwear Navy L</t>
  </si>
  <si>
    <t>MY-71115ZQ-L</t>
  </si>
  <si>
    <t>B0761S2M63</t>
  </si>
  <si>
    <t>ZAIAI Women's Quilted Puffer Jacket Coat with Faux Fur Trimmed Hood Navy M</t>
  </si>
  <si>
    <t>MY-16055K0-M</t>
  </si>
  <si>
    <t>MY71115K0XXL</t>
  </si>
  <si>
    <t>B0761SKR3P</t>
  </si>
  <si>
    <t>ZAIAI Women's Coat with Fur Hood with 90% Down Parka Puffer Jacket Black XL</t>
  </si>
  <si>
    <t>MY-16055K0-L</t>
  </si>
  <si>
    <t>B0761V7L2R</t>
  </si>
  <si>
    <t>ZAIAI Womens Hooded Warm Winter Faux Fur Lined Parkas Anoraks Long Coats Black L</t>
  </si>
  <si>
    <t>MY-71107MS-S</t>
  </si>
  <si>
    <t>MY71115ZQXL</t>
  </si>
  <si>
    <t>B0761PBXCV</t>
  </si>
  <si>
    <t>ZAIAI Women's Quilted Puffer Jacket Coat with Faux Fur Trimmed Hood Navy L</t>
  </si>
  <si>
    <t>PW-89MW-RR8Y</t>
  </si>
  <si>
    <t>X001K6FG17</t>
  </si>
  <si>
    <t>B004H07KKC</t>
  </si>
  <si>
    <t>Premier Dead Sea Skin Toner for Normal/Oily Skin, Pink, 8.4535-Fluid Ounce</t>
  </si>
  <si>
    <t>HF-c1e-MCND</t>
  </si>
  <si>
    <t>X001Q1E1BR</t>
  </si>
  <si>
    <t>B00384AO7O</t>
  </si>
  <si>
    <t>Dead Sea Premier Moisture Cream (for very dry &amp; sensitive skin)</t>
  </si>
  <si>
    <t>MY71107ZQXL</t>
  </si>
  <si>
    <t>B0761NG4W8</t>
  </si>
  <si>
    <t>ZAIAI Women's Parka Winter Coat Overcoat Long Down Jacket Outwear Navy XL</t>
  </si>
  <si>
    <t>MY-71115K0-XXL</t>
  </si>
  <si>
    <t>MY16055K0L</t>
  </si>
  <si>
    <t>MY71115K0M</t>
  </si>
  <si>
    <t>B0761NNDWM</t>
  </si>
  <si>
    <t>ZAIAI Women's Coat with Fur Hood with 90% Down Parka Puffer Jacket Black S</t>
  </si>
  <si>
    <t>MY71107K0M</t>
  </si>
  <si>
    <t>B0761PWSG1</t>
  </si>
  <si>
    <t>ZAIAI Women's Parkas Anoraks Long Coats with Removable Faux Fur Trim Hood Black M</t>
  </si>
  <si>
    <t>06-LI7A-IZ44</t>
  </si>
  <si>
    <t>X001HAG5XJ</t>
  </si>
  <si>
    <t>B0052K03KA</t>
  </si>
  <si>
    <t>Premier Dead Sea Essential Face Cleanser for Men</t>
  </si>
  <si>
    <t>MY-16055ZQ-XL</t>
  </si>
  <si>
    <t>B0761RRL7M</t>
  </si>
  <si>
    <t>ZAIAI Womens Hooded Warm Coats Parkas With Fax Fur Jackets Navy XL</t>
  </si>
  <si>
    <t>MY-71107MS-XL</t>
  </si>
  <si>
    <t>MY16055ZQXL</t>
  </si>
  <si>
    <t>MY71115ZQL</t>
  </si>
  <si>
    <t>MY-71115K0-L</t>
  </si>
  <si>
    <t>MY-16055K0-XL</t>
  </si>
  <si>
    <t>MY-16055MS-M</t>
  </si>
  <si>
    <t>B0761NM1NH</t>
  </si>
  <si>
    <t>ZAIAI Womens Wool Jacket Coat Outwear Parka Overcoat Beige M</t>
  </si>
  <si>
    <t>MY-71107K0-M</t>
  </si>
  <si>
    <t>MY-16055K0-XXL</t>
  </si>
  <si>
    <t>B0761R93J2</t>
  </si>
  <si>
    <t>ZAIAI Womens Hooded Warm Winter Faux Fur Lined Parkas Anoraks Long Coats Black XXL</t>
  </si>
  <si>
    <t>58-6A0P-DRT9</t>
  </si>
  <si>
    <t>X001K6GUYT</t>
  </si>
  <si>
    <t>B001278VEW</t>
  </si>
  <si>
    <t>Premier Dead Sea Professional Peeling Mask</t>
  </si>
  <si>
    <t>HF-a6e-LASS</t>
  </si>
  <si>
    <t>X001Q0JMV7</t>
  </si>
  <si>
    <t>B002DYY35Y</t>
  </si>
  <si>
    <t>Premier Dead Sea Mineral Body Treatment - Salt Scrub - Lemon Aroma</t>
  </si>
  <si>
    <t>MY16055MSM</t>
  </si>
  <si>
    <t>HF-a10e-MINM</t>
  </si>
  <si>
    <t>X001REQDTV</t>
  </si>
  <si>
    <t>B0010BBCFK</t>
  </si>
  <si>
    <t>Premier Dead Sea Classic Miracle Noir Mask</t>
  </si>
  <si>
    <t>MY16055K0XXL</t>
  </si>
  <si>
    <t>HF-a21e-SCFM</t>
  </si>
  <si>
    <t>X001PZ5OB5</t>
  </si>
  <si>
    <t>B0010OMN4G</t>
  </si>
  <si>
    <t>Premier Dead Sea Shaving Cream for Men, Tube, 4.2268-Fluid Ounce</t>
  </si>
  <si>
    <t>MY-71115K0-M</t>
  </si>
  <si>
    <t>HF-g2e-ACRC</t>
  </si>
  <si>
    <t>X001TJW5HD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</si>
  <si>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</si>
  <si>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</si>
  <si>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</si>
  <si>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</si>
  <si>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</si>
  <si>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</si>
  <si>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</si>
  <si>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</si>
  <si>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</si>
  <si>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</si>
  <si>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</si>
  <si>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</si>
  <si>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</si>
  <si>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</si>
  <si>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No</t>
  </si>
  <si>
    <t>Yes</t>
  </si>
  <si>
    <t>1M-3M12-58YS</t>
  </si>
  <si>
    <t>X001BK07GL</t>
  </si>
  <si>
    <t>Unknown</t>
  </si>
  <si>
    <t>5D-ZS9Q-CYOL</t>
  </si>
  <si>
    <t>X001A8Y035</t>
  </si>
  <si>
    <t>5S-TEQM-ZWF1</t>
  </si>
  <si>
    <t>B000VEWF2Q</t>
  </si>
  <si>
    <t>5X-E8TX-UKIW</t>
  </si>
  <si>
    <t>X00171A4VR</t>
  </si>
  <si>
    <t>7K-XLQF-24PG</t>
  </si>
  <si>
    <t>8V-1JSS-5D7M</t>
  </si>
  <si>
    <t>X001GR4BZ7</t>
  </si>
  <si>
    <t>B004H02GDI</t>
  </si>
  <si>
    <t>Dead Sea Premier Beautifying Nail Kit Milk and Honey - Body Lotion,Cuticle Oil,Nail File,Buffing Block</t>
  </si>
  <si>
    <t>A5-X9GB-M912</t>
  </si>
  <si>
    <t>X001K0ZSB1</t>
  </si>
  <si>
    <t>BM-6KQ2-02X2</t>
  </si>
  <si>
    <t>X001FBQ32N</t>
  </si>
  <si>
    <t>B004HFNFU6</t>
  </si>
  <si>
    <t>C3-311K-550X</t>
  </si>
  <si>
    <t>X001BKSZX3</t>
  </si>
  <si>
    <t>DA-BINR-0UIS</t>
  </si>
  <si>
    <t>X001FKUA5Z</t>
  </si>
  <si>
    <t>B002KFR628</t>
  </si>
  <si>
    <t>DM-LSF9-NGGG</t>
  </si>
  <si>
    <t>X001C13LRB</t>
  </si>
  <si>
    <t>B002QSD1YQ</t>
  </si>
  <si>
    <t>Dead Sea Premier Moisture Cream for Normal to Dry Skin</t>
  </si>
  <si>
    <t>DW-MG8E-BMQG</t>
  </si>
  <si>
    <t>X0014UY1GP</t>
  </si>
  <si>
    <t>E8-GWV1-AJMB</t>
  </si>
  <si>
    <t>X001HQT6B1</t>
  </si>
  <si>
    <t>B008YFY9TQ</t>
  </si>
  <si>
    <t>Premier Dead Sea Aromatic Body Butter- Milk and Honey, 175ml</t>
  </si>
  <si>
    <t>EW-ERSE-5U59</t>
  </si>
  <si>
    <t>X001FZUCWV</t>
  </si>
  <si>
    <t>B0012IVH2O</t>
  </si>
  <si>
    <t>premier dead sea body butter milk &amp; honey scent Plastic Jar</t>
  </si>
  <si>
    <t>GE-EMV6-4E4J</t>
  </si>
  <si>
    <t>X001K2PX4L</t>
  </si>
  <si>
    <t>B003CEA88U</t>
  </si>
  <si>
    <t>Gratiae Organics Facial Cleansing Lotion, 6.8 Ounce</t>
  </si>
  <si>
    <t>HF-a136e-MHBB</t>
  </si>
  <si>
    <t>X001S7U39D</t>
  </si>
  <si>
    <t>HF-a14e-NICC</t>
  </si>
  <si>
    <t>X001Q1F5TT</t>
  </si>
  <si>
    <t>B00117D9MW</t>
  </si>
  <si>
    <t>Premier Dead Sea Night Cream Complex, 2.04 Fluid Ounce</t>
  </si>
  <si>
    <t>HF-a18e-IADC</t>
  </si>
  <si>
    <t>X001TVCAFN</t>
  </si>
  <si>
    <t>B00022AUVA</t>
  </si>
  <si>
    <t>Premier Dead Sea Age Defying/Anti Age Cream</t>
  </si>
  <si>
    <t>HF-a37e-FCMG</t>
  </si>
  <si>
    <t>X001PZ8W3H</t>
  </si>
  <si>
    <t>B004H09KEQ</t>
  </si>
  <si>
    <t>Premier Dead Sea Luxury Facial Cleanser with Micro Grains, 4.25-Fluid Ounce</t>
  </si>
  <si>
    <t>HF-a56e-EYES</t>
  </si>
  <si>
    <t>X001QBJD9R</t>
  </si>
  <si>
    <t>HF-a5e-NCFM</t>
  </si>
  <si>
    <t>X001RDEZG5</t>
  </si>
  <si>
    <t>B003NQ7P0Q</t>
  </si>
  <si>
    <t>Premier Dead Sea Nourishing Cream for Men (tube)</t>
  </si>
  <si>
    <t>HF-a69e-PEFGX</t>
  </si>
  <si>
    <t>X001S7TZTR</t>
  </si>
  <si>
    <t>B0016Q1RI6</t>
  </si>
  <si>
    <t>Premier Dead Sea Para-pharmaceutical Exfoliating Facial Gel, Brown, 4.25-Fluid Ounce</t>
  </si>
  <si>
    <t>HF-a76e-GCSS</t>
  </si>
  <si>
    <t>X001Q1EZ2R</t>
  </si>
  <si>
    <t>B004H02HA0</t>
  </si>
  <si>
    <t>Premier Dead Sea Aromatherapy Mineral Body Treatment, Gold Cap, Salt Scrub, 425-Grams</t>
  </si>
  <si>
    <t>HF-a77e-TSSS</t>
  </si>
  <si>
    <t>X001REPG53</t>
  </si>
  <si>
    <t>B004H07J80</t>
  </si>
  <si>
    <t>Premier Dead Sea Aromatherapy Mineral Body Treatment, Silver, Salt Scrub, 425-Grams</t>
  </si>
  <si>
    <t>HF-a81e-MHBB</t>
  </si>
  <si>
    <t>B07F1BV5CC</t>
  </si>
  <si>
    <t>HF-a82e-RPBB</t>
  </si>
  <si>
    <t>X001TJPHH3</t>
  </si>
  <si>
    <t>B00158196K</t>
  </si>
  <si>
    <t>Premier Dead Sea Body Butter Passion Fruit Scent</t>
  </si>
  <si>
    <t>HF-f12-FACL</t>
  </si>
  <si>
    <t>X001Q0JYFL</t>
  </si>
  <si>
    <t>HF-f24-ACPF</t>
  </si>
  <si>
    <t>X001TJVS53</t>
  </si>
  <si>
    <t>B004X9BRU6</t>
  </si>
  <si>
    <t>Gratiae Organics Aha Cleansing and Peeling Foam, 5.1 Ounce</t>
  </si>
  <si>
    <t>HF-f9a-GSBB</t>
  </si>
  <si>
    <t>X001RDSOA3</t>
  </si>
  <si>
    <t>B004OF47N8</t>
  </si>
  <si>
    <t>Silky Body Butter (Apple, Green Tea, and Ginger)5.95 ounces</t>
  </si>
  <si>
    <t>HF-g104e-PCFS</t>
  </si>
  <si>
    <t>X001S7TVY1</t>
  </si>
  <si>
    <t>B00117F5PG</t>
  </si>
  <si>
    <t>Premier Dead Sea Vitamin Concentrated Facial Serum, Vitamin E and C, 1.7-Fluid Ounce</t>
  </si>
  <si>
    <t>HF-n2ae-NBNK</t>
  </si>
  <si>
    <t>X001R7T2N7</t>
  </si>
  <si>
    <t>IM-YEIX-VVX8</t>
  </si>
  <si>
    <t>X001HAFDZ5</t>
  </si>
  <si>
    <t>KN-2B5X-YB0L</t>
  </si>
  <si>
    <t>X001EXCH95</t>
  </si>
  <si>
    <t>KN-QWP1-D5XB</t>
  </si>
  <si>
    <t>X001HBSA3V</t>
  </si>
  <si>
    <t>B004OF9EPO</t>
  </si>
  <si>
    <t>Gratiae AHA Cleansing and Peeling Foam</t>
  </si>
  <si>
    <t>KP-1178-XPKV</t>
  </si>
  <si>
    <t>X001K6ASLP</t>
  </si>
  <si>
    <t>L7-N9M4-0P6X</t>
  </si>
  <si>
    <t>X001B6DY5L</t>
  </si>
  <si>
    <t>LH-V26Y-FVKV</t>
  </si>
  <si>
    <t>LY-0LSI-94LS</t>
  </si>
  <si>
    <t>X001FOKKQ5</t>
  </si>
  <si>
    <t>M5-BNRC-2A6O</t>
  </si>
  <si>
    <t>X001DQGBGD</t>
  </si>
  <si>
    <t>B004X9BRRO</t>
  </si>
  <si>
    <t>MY-16055K0-S</t>
  </si>
  <si>
    <t>B0761S8TXR</t>
  </si>
  <si>
    <t>ZAIAI Womens Hooded Warm Winter Faux Fur Lined Parkas Anoraks Long Coats Black S</t>
  </si>
  <si>
    <t>MY-16055MS-L</t>
  </si>
  <si>
    <t>B0761S59N6</t>
  </si>
  <si>
    <t>ZAIAI Womens Wool Jacket Coat Outwear Parka Overcoat Beige L</t>
  </si>
  <si>
    <t>MY-16055MS-S</t>
  </si>
  <si>
    <t>B0761Q9VPH</t>
  </si>
  <si>
    <t>ZAIAI Womens Wool Jacket Coat Outwear Parka Overcoat Beige S</t>
  </si>
  <si>
    <t>MY-16055MS-XL</t>
  </si>
  <si>
    <t>B0761Q7KPX</t>
  </si>
  <si>
    <t>ZAIAI Womens Wool Jacket Coat Outwear Parka Overcoat Beige XL</t>
  </si>
  <si>
    <t>MY-16055MS-XXL</t>
  </si>
  <si>
    <t>B0761QW2JK</t>
  </si>
  <si>
    <t>ZAIAI Womens Wool Jacket Coat Outwear Parka Overcoat Beige XXL</t>
  </si>
  <si>
    <t>MY-16055ZQ-S</t>
  </si>
  <si>
    <t>B0761PL2N2</t>
  </si>
  <si>
    <t>Womens Hooded Warm Coats Parkas With Fax Fur Jackets Navy S</t>
  </si>
  <si>
    <t>MY-71107K0-L</t>
  </si>
  <si>
    <t>B0761PSPTJ</t>
  </si>
  <si>
    <t>ZAIAI Women's Parkas Anoraks Long Coats with Removable Faux Fur Trim Hood Black L</t>
  </si>
  <si>
    <t>MY-71107K0-S</t>
  </si>
  <si>
    <t>B0761PDMGN</t>
  </si>
  <si>
    <t>ZAIAI Women's Parkas Anoraks Long Coats with Removable Faux Fur Trim Hood Black S</t>
  </si>
  <si>
    <t>MY-71107MS-L</t>
  </si>
  <si>
    <t>B0761P4LKC</t>
  </si>
  <si>
    <t>ZAIAI Women's Parka Winter Coat Overcoat Long Down Jacket Outwear Beige L</t>
  </si>
  <si>
    <t>MY-71107MS-M</t>
  </si>
  <si>
    <t>B0761NJPNM</t>
  </si>
  <si>
    <t>ZAIAI Women's Parka Winter Coat Overcoat Long Down Jacket Outwear Beige M</t>
  </si>
  <si>
    <t>MY-71107ZQ-S</t>
  </si>
  <si>
    <t>B0761N286T</t>
  </si>
  <si>
    <t>ZAIAI Women's Parka Winter Coat Overcoat Long Down Jacket Outwear Navy S</t>
  </si>
  <si>
    <t>MY-71115K0-S</t>
  </si>
  <si>
    <t>B0761PDHV5</t>
  </si>
  <si>
    <t>ZAIAI Women's Coat with Fur Hood with 90% Down Parka Puffer Jacket Black XS</t>
  </si>
  <si>
    <t>MY-71115K0-XL</t>
  </si>
  <si>
    <t>B0761NGWJD</t>
  </si>
  <si>
    <t>ZAIAI Women's Coat with Fur Hood with 90% Down Parka Puffer Jacket Black L</t>
  </si>
  <si>
    <t>MY-71115MS-L</t>
  </si>
  <si>
    <t>B0761NFTQC</t>
  </si>
  <si>
    <t>ZAIAI Women's Coat with Fur Hood with 90% Down Parka Puffer Jacket Beige M</t>
  </si>
  <si>
    <t>MY-71115MS-M</t>
  </si>
  <si>
    <t>B0761PV952</t>
  </si>
  <si>
    <t>ZAIAI Women's Coat With Fur Hood With 90% Down Parka Puffer Jacket Beige M</t>
  </si>
  <si>
    <t>MY-71115MS-S</t>
  </si>
  <si>
    <t>B0761NHB1Y</t>
  </si>
  <si>
    <t>ZAIAI Women's Coat with Fur Hood with 90% Down Parka Puffer Jacket Beige XS</t>
  </si>
  <si>
    <t>MY-71115MS-XL</t>
  </si>
  <si>
    <t>B0761PWB12</t>
  </si>
  <si>
    <t>ZAIAI Women's Coat with Fur Hood with 90% Down Parka Puffer Jacket Beige L</t>
  </si>
  <si>
    <t>MY-71115MS-XXL</t>
  </si>
  <si>
    <t>B0761N46BN</t>
  </si>
  <si>
    <t>ZAIAI Women's Coat with Fur Hood with 90% Down Parka Puffer Jacket Beige XL</t>
  </si>
  <si>
    <t>MY-71115ZQ-M</t>
  </si>
  <si>
    <t>B0761MXCJB</t>
  </si>
  <si>
    <t>ZAIAI Women's Quilted Puffer Jacket Coat with Faux Fur Trimmed Hood Navy S</t>
  </si>
  <si>
    <t>MY-71115ZQ-S</t>
  </si>
  <si>
    <t>B0761R6ZG2</t>
  </si>
  <si>
    <t>ZAIAI Women's Quilted Puffer Jacket Coat with Faux Fur Trimmed Hood Navy XS</t>
  </si>
  <si>
    <t>MY16055K0S</t>
  </si>
  <si>
    <t>MY16055MSL</t>
  </si>
  <si>
    <t>MY16055MSS</t>
  </si>
  <si>
    <t>MY16055MSXL</t>
  </si>
  <si>
    <t>MY16055MSXXL</t>
  </si>
  <si>
    <t>MY16055ZQL</t>
  </si>
  <si>
    <t>B0761PXTK8</t>
  </si>
  <si>
    <t>ZAIAI Womens Hooded Warm Coats Parkas With Fax Fur Jackets Navy L</t>
  </si>
  <si>
    <t>MY16055ZQS</t>
  </si>
  <si>
    <t>MY71107K0L</t>
  </si>
  <si>
    <t>MY71107K0S</t>
  </si>
  <si>
    <t>MY71107K0XXL</t>
  </si>
  <si>
    <t>B0761NLN4R</t>
  </si>
  <si>
    <t>ZAIAI Women's Parkas Anoraks Long Coats with Removable Faux Fur Trim Hood Black XXL</t>
  </si>
  <si>
    <t>MY71107MSL</t>
  </si>
  <si>
    <t>MY71107MSM</t>
  </si>
  <si>
    <t>MY71107ZQS</t>
  </si>
  <si>
    <t>MY71107ZQXXL</t>
  </si>
  <si>
    <t>B0761PV7ZS</t>
  </si>
  <si>
    <t>ZAIAI Women's Parka Winter Coat Overcoat Long Down Jacket Outwear Navy XXL</t>
  </si>
  <si>
    <t>MY71115K0S</t>
  </si>
  <si>
    <t>MY71115K0XL</t>
  </si>
  <si>
    <t>MY71115MSL</t>
  </si>
  <si>
    <t>MY71115MSM</t>
  </si>
  <si>
    <t>MY71115MSS</t>
  </si>
  <si>
    <t>MY71115MSXL</t>
  </si>
  <si>
    <t>MY71115MSXXL</t>
  </si>
  <si>
    <t>MY71115ZQM</t>
  </si>
  <si>
    <t>MY71115ZQS</t>
  </si>
  <si>
    <t>NL-JZZU-6KCF</t>
  </si>
  <si>
    <t>PG-UDJF-U1WZ</t>
  </si>
  <si>
    <t>U9-B86F-U3BU</t>
  </si>
  <si>
    <t>UH-SMM5-RLVI</t>
  </si>
  <si>
    <t>X001DH914L</t>
  </si>
  <si>
    <t>YI-LW70-5D1O</t>
  </si>
  <si>
    <t>X001BZTC67</t>
  </si>
  <si>
    <t>B003Y7CMF2</t>
  </si>
  <si>
    <t>Premier Dead Sea Instant Stretching and Revitalizing Lifting Mask - 2.04 oz Ounce</t>
  </si>
  <si>
    <t>ZW-A85T-DGVQ</t>
  </si>
  <si>
    <t>X001HQLM2R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</si>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</sst>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4" fillId="1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2" borderId="6" applyNumberFormat="0" applyFont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0" fillId="9" borderId="8" applyNumberFormat="0" applyAlignment="0" applyProtection="0">
      <alignment vertical="center"/>
    </xf>
    <xf numFmtId="0" fontId="6" fillId="9" borderId="2" applyNumberFormat="0" applyAlignment="0" applyProtection="0">
      <alignment vertical="center"/>
    </xf>
    <xf numFmtId="0" fontId="5" fillId="6" borderId="1" applyNumberFormat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635</xdr:rowOff>
        </xdr:from>
        <xdr:to>
          <xdr:col>8</xdr:col>
          <xdr:colOff>1504950</xdr:colOff>
          <xdr:row>1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55045" y="635"/>
              <a:ext cx="1485900" cy="3517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0</xdr:rowOff>
        </xdr:from>
        <xdr:to>
          <xdr:col>15</xdr:col>
          <xdr:colOff>676275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180975"/>
              <a:ext cx="6858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24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9</v>
      </c>
      <c r="F2" s="3">
        <v>0</v>
      </c>
      <c r="G2" s="3">
        <v>0</v>
      </c>
      <c r="H2" s="3">
        <v>9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10</v>
      </c>
      <c r="F3" s="3">
        <v>3</v>
      </c>
      <c r="G3" s="3">
        <v>2</v>
      </c>
      <c r="H3" s="3">
        <v>5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3</v>
      </c>
      <c r="F4" s="3">
        <v>1</v>
      </c>
      <c r="G4" s="3">
        <v>0</v>
      </c>
      <c r="H4" s="3">
        <v>2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0</v>
      </c>
      <c r="G5" s="3">
        <v>0</v>
      </c>
      <c r="H5" s="3">
        <v>1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2</v>
      </c>
      <c r="F6" s="3">
        <v>0</v>
      </c>
      <c r="G6" s="3">
        <v>0</v>
      </c>
      <c r="H6" s="3">
        <v>2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</v>
      </c>
      <c r="F7" s="3">
        <v>0</v>
      </c>
      <c r="G7" s="3">
        <v>0</v>
      </c>
      <c r="H7" s="3">
        <v>1</v>
      </c>
      <c r="I7" s="7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3</v>
      </c>
      <c r="F8" s="3">
        <v>0</v>
      </c>
      <c r="G8" s="3">
        <v>1</v>
      </c>
      <c r="H8" s="3">
        <v>2</v>
      </c>
      <c r="I8" s="7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2</v>
      </c>
      <c r="F9" s="3">
        <v>1</v>
      </c>
      <c r="G9" s="3">
        <v>1</v>
      </c>
      <c r="H9" s="3">
        <v>0</v>
      </c>
      <c r="I9" s="7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1</v>
      </c>
      <c r="F10" s="3">
        <v>0</v>
      </c>
      <c r="G10" s="3">
        <v>0</v>
      </c>
      <c r="H10" s="3">
        <v>1</v>
      </c>
      <c r="I10" s="7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9</v>
      </c>
      <c r="F11" s="3">
        <v>0</v>
      </c>
      <c r="G11" s="3">
        <v>7</v>
      </c>
      <c r="H11" s="3">
        <v>2</v>
      </c>
      <c r="I11" s="7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5</v>
      </c>
      <c r="F12" s="3">
        <v>0</v>
      </c>
      <c r="G12" s="3">
        <v>0</v>
      </c>
      <c r="H12" s="3">
        <v>5</v>
      </c>
      <c r="I12" s="7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2</v>
      </c>
      <c r="F13" s="3">
        <v>1</v>
      </c>
      <c r="G13" s="3">
        <v>1</v>
      </c>
      <c r="H13" s="3">
        <v>0</v>
      </c>
      <c r="I13" s="7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4</v>
      </c>
      <c r="F14" s="3">
        <v>2</v>
      </c>
      <c r="G14" s="3">
        <v>2</v>
      </c>
      <c r="H14" s="3">
        <v>0</v>
      </c>
      <c r="I14" s="7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2</v>
      </c>
      <c r="F15" s="3">
        <v>1</v>
      </c>
      <c r="G15" s="3">
        <v>0</v>
      </c>
      <c r="H15" s="3">
        <v>1</v>
      </c>
      <c r="I15" s="7"/>
    </row>
    <row r="16" spans="1:9">
      <c r="A16" s="3" t="s">
        <v>64</v>
      </c>
      <c r="B16" s="3" t="s">
        <v>65</v>
      </c>
      <c r="C16" s="3" t="s">
        <v>65</v>
      </c>
      <c r="D16" s="3" t="s">
        <v>66</v>
      </c>
      <c r="E16" s="3">
        <v>1</v>
      </c>
      <c r="F16" s="3">
        <v>0</v>
      </c>
      <c r="G16" s="3">
        <v>0</v>
      </c>
      <c r="H16" s="3">
        <v>1</v>
      </c>
      <c r="I16" s="7"/>
    </row>
    <row r="17" spans="1:9">
      <c r="A17" s="3" t="s">
        <v>67</v>
      </c>
      <c r="B17" s="3" t="s">
        <v>68</v>
      </c>
      <c r="C17" s="3" t="s">
        <v>18</v>
      </c>
      <c r="D17" s="3" t="s">
        <v>19</v>
      </c>
      <c r="E17" s="3">
        <v>2</v>
      </c>
      <c r="F17" s="3">
        <v>0</v>
      </c>
      <c r="G17" s="3">
        <v>0</v>
      </c>
      <c r="H17" s="3">
        <v>2</v>
      </c>
      <c r="I17" s="7"/>
    </row>
    <row r="18" spans="1:9">
      <c r="A18" s="3" t="s">
        <v>69</v>
      </c>
      <c r="B18" s="3" t="s">
        <v>70</v>
      </c>
      <c r="C18" s="3" t="s">
        <v>26</v>
      </c>
      <c r="D18" s="3" t="s">
        <v>27</v>
      </c>
      <c r="E18" s="3">
        <v>11</v>
      </c>
      <c r="F18" s="3">
        <v>6</v>
      </c>
      <c r="G18" s="3">
        <v>2</v>
      </c>
      <c r="H18" s="3">
        <v>3</v>
      </c>
      <c r="I18" s="7"/>
    </row>
    <row r="19" spans="1:9">
      <c r="A19" s="3" t="s">
        <v>71</v>
      </c>
      <c r="B19" s="3" t="s">
        <v>72</v>
      </c>
      <c r="C19" s="3" t="s">
        <v>73</v>
      </c>
      <c r="D19" s="3" t="s">
        <v>74</v>
      </c>
      <c r="E19" s="3">
        <v>3</v>
      </c>
      <c r="F19" s="3">
        <v>0</v>
      </c>
      <c r="G19" s="3">
        <v>3</v>
      </c>
      <c r="H19" s="3">
        <v>0</v>
      </c>
      <c r="I19" s="7"/>
    </row>
    <row r="20" spans="1:9">
      <c r="A20" s="3" t="s">
        <v>75</v>
      </c>
      <c r="B20" s="3" t="s">
        <v>76</v>
      </c>
      <c r="C20" s="3" t="s">
        <v>77</v>
      </c>
      <c r="D20" s="3" t="s">
        <v>78</v>
      </c>
      <c r="E20" s="3">
        <v>2</v>
      </c>
      <c r="F20" s="3">
        <v>0</v>
      </c>
      <c r="G20" s="3">
        <v>0</v>
      </c>
      <c r="H20" s="3">
        <v>2</v>
      </c>
      <c r="I20" s="7"/>
    </row>
    <row r="21" spans="1:9">
      <c r="A21" s="3" t="s">
        <v>79</v>
      </c>
      <c r="B21" s="3" t="s">
        <v>80</v>
      </c>
      <c r="C21" s="3" t="s">
        <v>81</v>
      </c>
      <c r="D21" s="3" t="s">
        <v>82</v>
      </c>
      <c r="E21" s="3">
        <v>59</v>
      </c>
      <c r="F21" s="3">
        <v>0</v>
      </c>
      <c r="G21" s="3">
        <v>0</v>
      </c>
      <c r="H21" s="3">
        <v>59</v>
      </c>
      <c r="I21" s="7"/>
    </row>
    <row r="22" spans="1:9">
      <c r="A22" s="3" t="s">
        <v>83</v>
      </c>
      <c r="B22" s="3" t="s">
        <v>84</v>
      </c>
      <c r="C22" s="3" t="s">
        <v>85</v>
      </c>
      <c r="D22" s="3" t="s">
        <v>86</v>
      </c>
      <c r="E22" s="3">
        <v>2</v>
      </c>
      <c r="F22" s="3">
        <v>2</v>
      </c>
      <c r="G22" s="3">
        <v>0</v>
      </c>
      <c r="H22" s="3">
        <v>0</v>
      </c>
      <c r="I22" s="7"/>
    </row>
    <row r="23" spans="1:9">
      <c r="A23" s="3" t="s">
        <v>87</v>
      </c>
      <c r="B23" s="3" t="s">
        <v>65</v>
      </c>
      <c r="C23" s="3" t="s">
        <v>65</v>
      </c>
      <c r="D23" s="3" t="s">
        <v>66</v>
      </c>
      <c r="E23" s="3">
        <v>1</v>
      </c>
      <c r="F23" s="3">
        <v>0</v>
      </c>
      <c r="G23" s="3">
        <v>0</v>
      </c>
      <c r="H23" s="3">
        <v>1</v>
      </c>
      <c r="I23" s="7"/>
    </row>
    <row r="24" spans="1:9">
      <c r="A24" s="3" t="s">
        <v>88</v>
      </c>
      <c r="B24" s="3" t="s">
        <v>89</v>
      </c>
      <c r="C24" s="3" t="s">
        <v>90</v>
      </c>
      <c r="D24" s="3" t="s">
        <v>91</v>
      </c>
      <c r="E24" s="3">
        <v>1</v>
      </c>
      <c r="F24" s="3">
        <v>0</v>
      </c>
      <c r="G24" s="3">
        <v>0</v>
      </c>
      <c r="H24" s="3">
        <v>1</v>
      </c>
      <c r="I24" s="7"/>
    </row>
    <row r="25" spans="1:9">
      <c r="A25" s="4"/>
      <c r="B25" s="4"/>
      <c r="C25" s="4"/>
      <c r="D25" s="4"/>
      <c r="E25" s="4"/>
      <c r="F25" s="4"/>
      <c r="G25" s="4"/>
      <c r="H25" s="4"/>
      <c r="I25" s="7"/>
    </row>
    <row r="26" spans="1:9">
      <c r="A26" s="4"/>
      <c r="B26" s="4"/>
      <c r="C26" s="4"/>
      <c r="D26" s="4"/>
      <c r="E26" s="4"/>
      <c r="F26" s="4"/>
      <c r="G26" s="4"/>
      <c r="H26" s="4"/>
      <c r="I26" s="7"/>
    </row>
    <row r="27" spans="1:9">
      <c r="A27" s="4"/>
      <c r="B27" s="4"/>
      <c r="C27" s="4"/>
      <c r="D27" s="4"/>
      <c r="E27" s="4"/>
      <c r="F27" s="4"/>
      <c r="G27" s="4"/>
      <c r="H27" s="4"/>
      <c r="I27" s="7"/>
    </row>
    <row r="28" spans="1:9">
      <c r="A28" s="4"/>
      <c r="B28" s="4"/>
      <c r="C28" s="4"/>
      <c r="D28" s="4"/>
      <c r="E28" s="4"/>
      <c r="F28" s="4"/>
      <c r="G28" s="4"/>
      <c r="H28" s="4"/>
      <c r="I28" s="7"/>
    </row>
    <row r="29" spans="1:9">
      <c r="A29" s="4"/>
      <c r="B29" s="4"/>
      <c r="C29" s="4"/>
      <c r="D29" s="4"/>
      <c r="E29" s="4"/>
      <c r="F29" s="4"/>
      <c r="G29" s="4"/>
      <c r="H29" s="4"/>
      <c r="I29" s="7"/>
    </row>
    <row r="30" spans="1:9">
      <c r="A30" s="4"/>
      <c r="B30" s="4"/>
      <c r="C30" s="4"/>
      <c r="D30" s="4"/>
      <c r="E30" s="4"/>
      <c r="F30" s="4"/>
      <c r="G30" s="4"/>
      <c r="H30" s="4"/>
      <c r="I30" s="7"/>
    </row>
    <row r="31" spans="1:9">
      <c r="A31" s="4"/>
      <c r="B31" s="4"/>
      <c r="C31" s="4"/>
      <c r="D31" s="4"/>
      <c r="E31" s="4"/>
      <c r="F31" s="4"/>
      <c r="G31" s="4"/>
      <c r="H31" s="4"/>
      <c r="I31" s="7"/>
    </row>
    <row r="32" spans="1:9">
      <c r="A32" s="4"/>
      <c r="B32" s="4"/>
      <c r="C32" s="4"/>
      <c r="D32" s="4"/>
      <c r="E32" s="4"/>
      <c r="F32" s="4"/>
      <c r="G32" s="4"/>
      <c r="H32" s="4"/>
      <c r="I32" s="7"/>
    </row>
    <row r="33" spans="1:9">
      <c r="A33" s="4"/>
      <c r="B33" s="4"/>
      <c r="C33" s="4"/>
      <c r="D33" s="4"/>
      <c r="E33" s="4"/>
      <c r="F33" s="4"/>
      <c r="G33" s="4"/>
      <c r="H33" s="4"/>
      <c r="I33" s="7"/>
    </row>
    <row r="34" spans="1:9">
      <c r="A34" s="4"/>
      <c r="B34" s="4"/>
      <c r="C34" s="4"/>
      <c r="D34" s="4"/>
      <c r="E34" s="4"/>
      <c r="F34" s="4"/>
      <c r="G34" s="4"/>
      <c r="H34" s="4"/>
      <c r="I34" s="7"/>
    </row>
    <row r="35" spans="1:9">
      <c r="A35" s="4"/>
      <c r="B35" s="4"/>
      <c r="C35" s="4"/>
      <c r="D35" s="4"/>
      <c r="E35" s="4"/>
      <c r="F35" s="4"/>
      <c r="G35" s="4"/>
      <c r="H35" s="4"/>
      <c r="I35" s="7"/>
    </row>
    <row r="36" spans="1:9">
      <c r="A36" s="4"/>
      <c r="B36" s="4"/>
      <c r="C36" s="4"/>
      <c r="D36" s="4"/>
      <c r="E36" s="4"/>
      <c r="F36" s="4"/>
      <c r="G36" s="4"/>
      <c r="H36" s="4"/>
      <c r="I36" s="7"/>
    </row>
    <row r="37" spans="1:9">
      <c r="A37" s="8"/>
      <c r="B37" s="8"/>
      <c r="C37" s="8"/>
      <c r="D37" s="8"/>
      <c r="E37" s="8"/>
      <c r="F37" s="8"/>
      <c r="G37" s="8"/>
      <c r="H37" s="8"/>
      <c r="I37" s="7"/>
    </row>
    <row r="38" spans="1:9">
      <c r="A38" s="8"/>
      <c r="B38" s="8"/>
      <c r="C38" s="8"/>
      <c r="D38" s="8"/>
      <c r="E38" s="8"/>
      <c r="F38" s="8"/>
      <c r="G38" s="8"/>
      <c r="H38" s="8"/>
      <c r="I38" s="7"/>
    </row>
    <row r="39" spans="1:9">
      <c r="A39" s="8"/>
      <c r="B39" s="8"/>
      <c r="C39" s="8"/>
      <c r="D39" s="8"/>
      <c r="E39" s="8"/>
      <c r="F39" s="8"/>
      <c r="G39" s="8"/>
      <c r="H39" s="8"/>
      <c r="I39" s="7"/>
    </row>
    <row r="40" spans="1:9">
      <c r="A40" s="8"/>
      <c r="B40" s="8"/>
      <c r="C40" s="8"/>
      <c r="D40" s="8"/>
      <c r="E40" s="8"/>
      <c r="F40" s="8"/>
      <c r="G40" s="8"/>
      <c r="H40" s="8"/>
      <c r="I40" s="7"/>
    </row>
    <row r="41" spans="1:9">
      <c r="A41" s="8"/>
      <c r="B41" s="8"/>
      <c r="C41" s="8"/>
      <c r="D41" s="8"/>
      <c r="E41" s="8"/>
      <c r="F41" s="8"/>
      <c r="G41" s="8"/>
      <c r="H41" s="8"/>
      <c r="I41" s="7"/>
    </row>
    <row r="42" spans="1:9">
      <c r="A42" s="8"/>
      <c r="B42" s="8"/>
      <c r="C42" s="8"/>
      <c r="D42" s="8"/>
      <c r="E42" s="8"/>
      <c r="F42" s="8"/>
      <c r="G42" s="8"/>
      <c r="H42" s="8"/>
      <c r="I42" s="7"/>
    </row>
    <row r="43" spans="1:9">
      <c r="A43" s="8"/>
      <c r="B43" s="8"/>
      <c r="C43" s="8"/>
      <c r="D43" s="8"/>
      <c r="E43" s="8"/>
      <c r="F43" s="8"/>
      <c r="G43" s="8"/>
      <c r="H43" s="8"/>
      <c r="I43" s="7"/>
    </row>
    <row r="44" spans="1:9">
      <c r="A44" s="8"/>
      <c r="B44" s="8"/>
      <c r="C44" s="8"/>
      <c r="D44" s="8"/>
      <c r="E44" s="8"/>
      <c r="F44" s="8"/>
      <c r="G44" s="8"/>
      <c r="H44" s="8"/>
      <c r="I44" s="7"/>
    </row>
    <row r="45" spans="1:9">
      <c r="A45" s="8"/>
      <c r="B45" s="8"/>
      <c r="C45" s="8"/>
      <c r="D45" s="8"/>
      <c r="E45" s="8"/>
      <c r="F45" s="8"/>
      <c r="G45" s="8"/>
      <c r="H45" s="8"/>
      <c r="I45" s="7"/>
    </row>
    <row r="46" spans="1:9">
      <c r="A46" s="8"/>
      <c r="B46" s="8"/>
      <c r="C46" s="8"/>
      <c r="D46" s="8"/>
      <c r="E46" s="8"/>
      <c r="F46" s="8"/>
      <c r="G46" s="8"/>
      <c r="H46" s="8"/>
      <c r="I46" s="7"/>
    </row>
    <row r="47" spans="1:9">
      <c r="A47" s="8"/>
      <c r="B47" s="8"/>
      <c r="C47" s="8"/>
      <c r="D47" s="8"/>
      <c r="E47" s="8"/>
      <c r="F47" s="8"/>
      <c r="G47" s="8"/>
      <c r="H47" s="8"/>
      <c r="I47" s="7"/>
    </row>
    <row r="48" spans="1:9">
      <c r="A48" s="8"/>
      <c r="B48" s="8"/>
      <c r="C48" s="8"/>
      <c r="D48" s="8"/>
      <c r="E48" s="8"/>
      <c r="F48" s="8"/>
      <c r="G48" s="8"/>
      <c r="H48" s="8"/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19050</xdr:colOff>
                <xdr:row>0</xdr:row>
                <xdr:rowOff>635</xdr:rowOff>
              </from>
              <to>
                <xdr:col>8</xdr:col>
                <xdr:colOff>1504950</xdr:colOff>
                <xdr:row>1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66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6" width="12.625"/>
  </cols>
  <sheetData>
    <row r="1" spans="1:36">
      <c r="A1" s="3" t="s">
        <v>92</v>
      </c>
      <c r="B1" s="3" t="s">
        <v>93</v>
      </c>
      <c r="C1" s="3" t="s">
        <v>94</v>
      </c>
      <c r="D1" s="3" t="s">
        <v>2</v>
      </c>
      <c r="E1" s="3" t="s">
        <v>95</v>
      </c>
      <c r="F1" s="3" t="s">
        <v>96</v>
      </c>
      <c r="G1" s="3" t="s">
        <v>97</v>
      </c>
      <c r="H1" s="3" t="s">
        <v>98</v>
      </c>
      <c r="I1" s="3" t="s">
        <v>99</v>
      </c>
      <c r="J1" s="3" t="s">
        <v>100</v>
      </c>
      <c r="K1" s="3" t="s">
        <v>101</v>
      </c>
      <c r="L1" s="3" t="s">
        <v>102</v>
      </c>
      <c r="M1" s="3" t="s">
        <v>103</v>
      </c>
      <c r="N1" s="3" t="s">
        <v>104</v>
      </c>
      <c r="O1" s="3" t="s">
        <v>105</v>
      </c>
      <c r="P1" s="3" t="s">
        <v>106</v>
      </c>
      <c r="Q1" s="3" t="s">
        <v>107</v>
      </c>
      <c r="R1" s="3" t="s">
        <v>108</v>
      </c>
      <c r="S1" s="3" t="s">
        <v>109</v>
      </c>
      <c r="T1" s="3" t="s">
        <v>110</v>
      </c>
      <c r="U1" s="3" t="s">
        <v>111</v>
      </c>
      <c r="V1" s="3" t="s">
        <v>112</v>
      </c>
      <c r="W1" s="3" t="s">
        <v>113</v>
      </c>
      <c r="X1" s="3" t="s">
        <v>114</v>
      </c>
      <c r="Y1" s="3" t="s">
        <v>115</v>
      </c>
      <c r="Z1" s="3" t="s">
        <v>116</v>
      </c>
      <c r="AA1" s="3" t="s">
        <v>117</v>
      </c>
      <c r="AB1" s="3" t="s">
        <v>118</v>
      </c>
      <c r="AC1" s="3" t="s">
        <v>119</v>
      </c>
      <c r="AD1" s="3" t="s">
        <v>120</v>
      </c>
      <c r="AE1" s="3" t="s">
        <v>121</v>
      </c>
      <c r="AF1" s="3" t="s">
        <v>122</v>
      </c>
      <c r="AG1" s="3" t="s">
        <v>123</v>
      </c>
      <c r="AH1" s="3" t="s">
        <v>124</v>
      </c>
      <c r="AI1" s="3" t="s">
        <v>125</v>
      </c>
      <c r="AJ1" s="3" t="s">
        <v>126</v>
      </c>
    </row>
    <row r="2" spans="1:36">
      <c r="A2" s="6">
        <v>43336</v>
      </c>
      <c r="B2" s="3" t="s">
        <v>44</v>
      </c>
      <c r="C2" s="3" t="s">
        <v>45</v>
      </c>
      <c r="D2" s="3" t="s">
        <v>46</v>
      </c>
      <c r="E2" s="3" t="s">
        <v>47</v>
      </c>
      <c r="F2" s="3" t="s">
        <v>127</v>
      </c>
      <c r="G2" s="3">
        <v>40</v>
      </c>
      <c r="H2" s="3">
        <v>0</v>
      </c>
      <c r="I2" s="3">
        <v>0</v>
      </c>
      <c r="J2" s="3">
        <v>40</v>
      </c>
      <c r="K2" s="3">
        <v>0</v>
      </c>
      <c r="L2" s="3">
        <v>0</v>
      </c>
      <c r="M2" s="3">
        <v>0</v>
      </c>
      <c r="N2" s="3" t="s">
        <v>128</v>
      </c>
      <c r="O2" s="3">
        <v>0</v>
      </c>
      <c r="P2" s="3">
        <v>0</v>
      </c>
      <c r="Q2" s="3">
        <v>0</v>
      </c>
      <c r="R2" s="3">
        <v>0</v>
      </c>
      <c r="S2" s="3">
        <v>3</v>
      </c>
      <c r="T2" s="3">
        <v>7</v>
      </c>
      <c r="U2" s="3">
        <v>7</v>
      </c>
      <c r="V2" s="3">
        <v>7</v>
      </c>
      <c r="W2" s="3" t="s">
        <v>129</v>
      </c>
      <c r="X2" s="3">
        <v>42.5</v>
      </c>
      <c r="Y2" s="3">
        <v>42.5</v>
      </c>
      <c r="Z2" s="3">
        <v>42.5</v>
      </c>
      <c r="AA2" s="3">
        <v>0</v>
      </c>
      <c r="AB2" s="3" t="s">
        <v>130</v>
      </c>
      <c r="AC2" s="3">
        <v>40</v>
      </c>
      <c r="AD2" s="3">
        <v>42.5</v>
      </c>
      <c r="AE2" s="3">
        <v>0</v>
      </c>
      <c r="AF2" s="3">
        <v>0</v>
      </c>
      <c r="AG2" s="3">
        <v>0</v>
      </c>
      <c r="AH2" s="3">
        <v>0.18848167539267</v>
      </c>
      <c r="AI2" s="3">
        <v>0.82952</v>
      </c>
      <c r="AJ2" s="3" t="s">
        <v>131</v>
      </c>
    </row>
    <row r="3" spans="1:36">
      <c r="A3" s="6">
        <v>43336</v>
      </c>
      <c r="B3" s="3" t="s">
        <v>20</v>
      </c>
      <c r="C3" s="3" t="s">
        <v>21</v>
      </c>
      <c r="D3" s="3" t="s">
        <v>22</v>
      </c>
      <c r="E3" s="3" t="s">
        <v>23</v>
      </c>
      <c r="F3" s="3" t="s">
        <v>127</v>
      </c>
      <c r="G3" s="3">
        <v>23</v>
      </c>
      <c r="H3" s="3">
        <v>0</v>
      </c>
      <c r="I3" s="3">
        <v>1</v>
      </c>
      <c r="J3" s="3">
        <v>2</v>
      </c>
      <c r="K3" s="3">
        <v>2</v>
      </c>
      <c r="L3" s="3">
        <v>18</v>
      </c>
      <c r="M3" s="3">
        <v>0</v>
      </c>
      <c r="N3" s="3" t="s">
        <v>128</v>
      </c>
      <c r="O3" s="3">
        <v>21</v>
      </c>
      <c r="P3" s="3">
        <v>1.83</v>
      </c>
      <c r="Q3" s="3">
        <v>0</v>
      </c>
      <c r="R3" s="3">
        <v>0</v>
      </c>
      <c r="S3" s="3">
        <v>2</v>
      </c>
      <c r="T3" s="3">
        <v>12</v>
      </c>
      <c r="U3" s="3">
        <v>20</v>
      </c>
      <c r="V3" s="3">
        <v>35</v>
      </c>
      <c r="W3" s="3" t="s">
        <v>129</v>
      </c>
      <c r="X3" s="3">
        <v>43</v>
      </c>
      <c r="Y3" s="3">
        <v>43</v>
      </c>
      <c r="Z3" s="3">
        <v>43</v>
      </c>
      <c r="AA3" s="3">
        <v>0</v>
      </c>
      <c r="AB3" s="3" t="s">
        <v>130</v>
      </c>
      <c r="AC3" s="3">
        <v>24</v>
      </c>
      <c r="AD3" s="3">
        <v>43</v>
      </c>
      <c r="AE3" s="3">
        <v>0</v>
      </c>
      <c r="AF3" s="3">
        <v>0</v>
      </c>
      <c r="AG3" s="3">
        <v>0</v>
      </c>
      <c r="AH3" s="3">
        <v>0.953367875647668</v>
      </c>
      <c r="AI3" s="3">
        <v>0.570216</v>
      </c>
      <c r="AJ3" s="3" t="s">
        <v>131</v>
      </c>
    </row>
    <row r="4" spans="1:36">
      <c r="A4" s="6">
        <v>43336</v>
      </c>
      <c r="B4" s="3" t="s">
        <v>79</v>
      </c>
      <c r="C4" s="3" t="s">
        <v>80</v>
      </c>
      <c r="D4" s="3" t="s">
        <v>81</v>
      </c>
      <c r="E4" s="3" t="s">
        <v>82</v>
      </c>
      <c r="F4" s="3" t="s">
        <v>127</v>
      </c>
      <c r="G4" s="3">
        <v>1</v>
      </c>
      <c r="H4" s="3">
        <v>0</v>
      </c>
      <c r="I4" s="3">
        <v>1</v>
      </c>
      <c r="J4" s="3">
        <v>0</v>
      </c>
      <c r="K4" s="3">
        <v>0</v>
      </c>
      <c r="L4" s="3">
        <v>0</v>
      </c>
      <c r="M4" s="3">
        <v>0</v>
      </c>
      <c r="N4" s="3" t="s">
        <v>128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/>
      <c r="X4" s="3"/>
      <c r="Y4" s="3"/>
      <c r="Z4" s="3">
        <v>-1</v>
      </c>
      <c r="AA4" s="3">
        <v>-1</v>
      </c>
      <c r="AB4" s="3" t="s">
        <v>132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0.021976</v>
      </c>
      <c r="AJ4" s="3" t="s">
        <v>131</v>
      </c>
    </row>
    <row r="5" spans="1:36">
      <c r="A5" s="6">
        <v>43336</v>
      </c>
      <c r="B5" s="3" t="s">
        <v>69</v>
      </c>
      <c r="C5" s="3" t="s">
        <v>70</v>
      </c>
      <c r="D5" s="3" t="s">
        <v>26</v>
      </c>
      <c r="E5" s="3" t="s">
        <v>27</v>
      </c>
      <c r="F5" s="3" t="s">
        <v>127</v>
      </c>
      <c r="G5" s="3">
        <v>16</v>
      </c>
      <c r="H5" s="3">
        <v>0</v>
      </c>
      <c r="I5" s="3">
        <v>16</v>
      </c>
      <c r="J5" s="3">
        <v>0</v>
      </c>
      <c r="K5" s="3">
        <v>0</v>
      </c>
      <c r="L5" s="3">
        <v>0</v>
      </c>
      <c r="M5" s="3">
        <v>0</v>
      </c>
      <c r="N5" s="3" t="s">
        <v>128</v>
      </c>
      <c r="O5" s="3">
        <v>0</v>
      </c>
      <c r="P5" s="3">
        <v>0</v>
      </c>
      <c r="Q5" s="3">
        <v>0</v>
      </c>
      <c r="R5" s="3">
        <v>0</v>
      </c>
      <c r="S5" s="3">
        <v>15</v>
      </c>
      <c r="T5" s="3">
        <v>70</v>
      </c>
      <c r="U5" s="3">
        <v>97</v>
      </c>
      <c r="V5" s="3">
        <v>122</v>
      </c>
      <c r="W5" s="3"/>
      <c r="X5" s="3">
        <v>16.3</v>
      </c>
      <c r="Y5" s="3">
        <v>16.3</v>
      </c>
      <c r="Z5" s="3">
        <v>16.3</v>
      </c>
      <c r="AA5" s="3">
        <v>0</v>
      </c>
      <c r="AB5" s="3" t="s">
        <v>133</v>
      </c>
      <c r="AC5" s="3">
        <v>19</v>
      </c>
      <c r="AD5" s="3">
        <v>16.3</v>
      </c>
      <c r="AE5" s="3">
        <v>0</v>
      </c>
      <c r="AF5" s="3">
        <v>0</v>
      </c>
      <c r="AG5" s="3">
        <v>0</v>
      </c>
      <c r="AH5" s="3">
        <v>1.89961389961389</v>
      </c>
      <c r="AI5" s="3">
        <v>0.868976</v>
      </c>
      <c r="AJ5" s="3" t="s">
        <v>131</v>
      </c>
    </row>
    <row r="6" spans="1:36">
      <c r="A6" s="6">
        <v>43336</v>
      </c>
      <c r="B6" s="3" t="s">
        <v>134</v>
      </c>
      <c r="C6" s="3" t="s">
        <v>135</v>
      </c>
      <c r="D6" s="3" t="s">
        <v>18</v>
      </c>
      <c r="E6" s="3" t="s">
        <v>19</v>
      </c>
      <c r="F6" s="3" t="s">
        <v>127</v>
      </c>
      <c r="G6" s="3">
        <v>1</v>
      </c>
      <c r="H6" s="3">
        <v>0</v>
      </c>
      <c r="I6" s="3">
        <v>1</v>
      </c>
      <c r="J6" s="3">
        <v>0</v>
      </c>
      <c r="K6" s="3">
        <v>0</v>
      </c>
      <c r="L6" s="3">
        <v>0</v>
      </c>
      <c r="M6" s="3">
        <v>0</v>
      </c>
      <c r="N6" s="3" t="s">
        <v>128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2</v>
      </c>
      <c r="W6" s="3" t="s">
        <v>129</v>
      </c>
      <c r="X6" s="3">
        <v>53.49</v>
      </c>
      <c r="Y6" s="3">
        <v>53.49</v>
      </c>
      <c r="Z6" s="3">
        <v>49.99</v>
      </c>
      <c r="AA6" s="3">
        <v>0</v>
      </c>
      <c r="AB6" s="3" t="s">
        <v>130</v>
      </c>
      <c r="AC6" s="3">
        <v>1</v>
      </c>
      <c r="AD6" s="3">
        <v>53.49</v>
      </c>
      <c r="AE6" s="3">
        <v>0</v>
      </c>
      <c r="AF6" s="3">
        <v>0</v>
      </c>
      <c r="AG6" s="3">
        <v>0</v>
      </c>
      <c r="AH6" s="3">
        <v>0.571428571428571</v>
      </c>
      <c r="AI6" s="3">
        <v>0.02548</v>
      </c>
      <c r="AJ6" s="3" t="s">
        <v>131</v>
      </c>
    </row>
    <row r="7" spans="1:36">
      <c r="A7" s="6">
        <v>43336</v>
      </c>
      <c r="B7" s="3" t="s">
        <v>136</v>
      </c>
      <c r="C7" s="3" t="s">
        <v>137</v>
      </c>
      <c r="D7" s="3" t="s">
        <v>137</v>
      </c>
      <c r="E7" s="3" t="s">
        <v>138</v>
      </c>
      <c r="F7" s="3" t="s">
        <v>127</v>
      </c>
      <c r="G7" s="3">
        <v>1</v>
      </c>
      <c r="H7" s="3">
        <v>0</v>
      </c>
      <c r="I7" s="3">
        <v>0</v>
      </c>
      <c r="J7" s="3">
        <v>1</v>
      </c>
      <c r="K7" s="3">
        <v>0</v>
      </c>
      <c r="L7" s="3">
        <v>0</v>
      </c>
      <c r="M7" s="3">
        <v>0</v>
      </c>
      <c r="N7" s="3" t="s">
        <v>128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1</v>
      </c>
      <c r="V7" s="3">
        <v>2</v>
      </c>
      <c r="W7" s="3" t="s">
        <v>139</v>
      </c>
      <c r="X7" s="3">
        <v>42.49</v>
      </c>
      <c r="Y7" s="3">
        <v>42.49</v>
      </c>
      <c r="Z7" s="3">
        <v>42.49</v>
      </c>
      <c r="AA7" s="3">
        <v>0</v>
      </c>
      <c r="AB7" s="3" t="s">
        <v>140</v>
      </c>
      <c r="AC7" s="3">
        <v>0</v>
      </c>
      <c r="AD7" s="3">
        <v>33.99</v>
      </c>
      <c r="AE7" s="3">
        <v>63</v>
      </c>
      <c r="AF7" s="3">
        <v>0</v>
      </c>
      <c r="AG7" s="3">
        <v>109.94316</v>
      </c>
      <c r="AH7" s="3">
        <v>0.421052631578947</v>
      </c>
      <c r="AI7" s="3">
        <v>1.109255</v>
      </c>
      <c r="AJ7" s="3" t="s">
        <v>141</v>
      </c>
    </row>
    <row r="8" spans="1:36">
      <c r="A8" s="6">
        <v>43336</v>
      </c>
      <c r="B8" s="3" t="s">
        <v>142</v>
      </c>
      <c r="C8" s="3" t="s">
        <v>143</v>
      </c>
      <c r="D8" s="3" t="s">
        <v>143</v>
      </c>
      <c r="E8" s="3" t="s">
        <v>144</v>
      </c>
      <c r="F8" s="3" t="s">
        <v>127</v>
      </c>
      <c r="G8" s="3">
        <v>1</v>
      </c>
      <c r="H8" s="3">
        <v>0</v>
      </c>
      <c r="I8" s="3">
        <v>0</v>
      </c>
      <c r="J8" s="3">
        <v>1</v>
      </c>
      <c r="K8" s="3">
        <v>0</v>
      </c>
      <c r="L8" s="3">
        <v>0</v>
      </c>
      <c r="M8" s="3">
        <v>0</v>
      </c>
      <c r="N8" s="3" t="s">
        <v>128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 t="s">
        <v>139</v>
      </c>
      <c r="X8" s="3">
        <v>42.99</v>
      </c>
      <c r="Y8" s="3">
        <v>42.99</v>
      </c>
      <c r="Z8" s="3">
        <v>42.99</v>
      </c>
      <c r="AA8" s="3">
        <v>0</v>
      </c>
      <c r="AB8" s="3" t="s">
        <v>140</v>
      </c>
      <c r="AC8" s="3">
        <v>0</v>
      </c>
      <c r="AD8" s="3">
        <v>39.52</v>
      </c>
      <c r="AE8" s="3">
        <v>105</v>
      </c>
      <c r="AF8" s="3">
        <v>0</v>
      </c>
      <c r="AG8" s="3">
        <v>76.832964</v>
      </c>
      <c r="AH8" s="3">
        <v>0</v>
      </c>
      <c r="AI8" s="3">
        <v>0.562708</v>
      </c>
      <c r="AJ8" s="3" t="s">
        <v>141</v>
      </c>
    </row>
    <row r="9" spans="1:36">
      <c r="A9" s="6">
        <v>43336</v>
      </c>
      <c r="B9" s="3" t="s">
        <v>40</v>
      </c>
      <c r="C9" s="3" t="s">
        <v>41</v>
      </c>
      <c r="D9" s="3" t="s">
        <v>42</v>
      </c>
      <c r="E9" s="3" t="s">
        <v>43</v>
      </c>
      <c r="F9" s="3" t="s">
        <v>127</v>
      </c>
      <c r="G9" s="3">
        <v>44</v>
      </c>
      <c r="H9" s="3">
        <v>0</v>
      </c>
      <c r="I9" s="3">
        <v>2</v>
      </c>
      <c r="J9" s="3">
        <v>42</v>
      </c>
      <c r="K9" s="3">
        <v>0</v>
      </c>
      <c r="L9" s="3">
        <v>0</v>
      </c>
      <c r="M9" s="3">
        <v>0</v>
      </c>
      <c r="N9" s="3" t="s">
        <v>128</v>
      </c>
      <c r="O9" s="3">
        <v>0</v>
      </c>
      <c r="P9" s="3">
        <v>0</v>
      </c>
      <c r="Q9" s="3">
        <v>0</v>
      </c>
      <c r="R9" s="3">
        <v>0</v>
      </c>
      <c r="S9" s="3">
        <v>7</v>
      </c>
      <c r="T9" s="3">
        <v>27</v>
      </c>
      <c r="U9" s="3">
        <v>36</v>
      </c>
      <c r="V9" s="3">
        <v>38</v>
      </c>
      <c r="W9" s="3" t="s">
        <v>129</v>
      </c>
      <c r="X9" s="3">
        <v>49</v>
      </c>
      <c r="Y9" s="3">
        <v>49</v>
      </c>
      <c r="Z9" s="3">
        <v>49</v>
      </c>
      <c r="AA9" s="3">
        <v>0</v>
      </c>
      <c r="AB9" s="3" t="s">
        <v>145</v>
      </c>
      <c r="AC9" s="3">
        <v>43</v>
      </c>
      <c r="AD9" s="3">
        <v>49</v>
      </c>
      <c r="AE9" s="3">
        <v>0</v>
      </c>
      <c r="AF9" s="3">
        <v>0</v>
      </c>
      <c r="AG9" s="3">
        <v>0</v>
      </c>
      <c r="AH9" s="3">
        <v>0.548736462093862</v>
      </c>
      <c r="AI9" s="3">
        <v>0.527076</v>
      </c>
      <c r="AJ9" s="3" t="s">
        <v>131</v>
      </c>
    </row>
    <row r="10" spans="1:36">
      <c r="A10" s="6">
        <v>43336</v>
      </c>
      <c r="B10" s="3" t="s">
        <v>146</v>
      </c>
      <c r="C10" s="3" t="s">
        <v>147</v>
      </c>
      <c r="D10" s="3" t="s">
        <v>147</v>
      </c>
      <c r="E10" s="3" t="s">
        <v>148</v>
      </c>
      <c r="F10" s="3" t="s">
        <v>127</v>
      </c>
      <c r="G10" s="3">
        <v>2</v>
      </c>
      <c r="H10" s="3">
        <v>0</v>
      </c>
      <c r="I10" s="3">
        <v>0</v>
      </c>
      <c r="J10" s="3">
        <v>2</v>
      </c>
      <c r="K10" s="3">
        <v>0</v>
      </c>
      <c r="L10" s="3">
        <v>0</v>
      </c>
      <c r="M10" s="3">
        <v>0</v>
      </c>
      <c r="N10" s="3" t="s">
        <v>128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1</v>
      </c>
      <c r="U10" s="3">
        <v>1</v>
      </c>
      <c r="V10" s="3">
        <v>2</v>
      </c>
      <c r="W10" s="3"/>
      <c r="X10" s="3">
        <v>39.99</v>
      </c>
      <c r="Y10" s="3">
        <v>39.99</v>
      </c>
      <c r="Z10" s="3">
        <v>39.99</v>
      </c>
      <c r="AA10" s="3">
        <v>0</v>
      </c>
      <c r="AB10" s="3" t="s">
        <v>133</v>
      </c>
      <c r="AC10" s="3">
        <v>2</v>
      </c>
      <c r="AD10" s="3">
        <v>39.99</v>
      </c>
      <c r="AE10" s="3">
        <v>0</v>
      </c>
      <c r="AF10" s="3">
        <v>0</v>
      </c>
      <c r="AG10" s="3">
        <v>0</v>
      </c>
      <c r="AH10" s="3">
        <v>0.222222222222222</v>
      </c>
      <c r="AI10" s="3">
        <v>1.562132</v>
      </c>
      <c r="AJ10" s="3" t="s">
        <v>149</v>
      </c>
    </row>
    <row r="11" spans="1:36">
      <c r="A11" s="6">
        <v>43336</v>
      </c>
      <c r="B11" s="3" t="s">
        <v>150</v>
      </c>
      <c r="C11" s="3" t="s">
        <v>151</v>
      </c>
      <c r="D11" s="3" t="s">
        <v>152</v>
      </c>
      <c r="E11" s="3" t="s">
        <v>153</v>
      </c>
      <c r="F11" s="3" t="s">
        <v>127</v>
      </c>
      <c r="G11" s="3">
        <v>99</v>
      </c>
      <c r="H11" s="3">
        <v>0</v>
      </c>
      <c r="I11" s="3">
        <v>4</v>
      </c>
      <c r="J11" s="3">
        <v>1</v>
      </c>
      <c r="K11" s="3">
        <v>3</v>
      </c>
      <c r="L11" s="3">
        <v>91</v>
      </c>
      <c r="M11" s="3">
        <v>0</v>
      </c>
      <c r="N11" s="3" t="s">
        <v>128</v>
      </c>
      <c r="O11" s="3">
        <v>4</v>
      </c>
      <c r="P11" s="3">
        <v>0.48</v>
      </c>
      <c r="Q11" s="3">
        <v>91</v>
      </c>
      <c r="R11" s="3">
        <v>45.5</v>
      </c>
      <c r="S11" s="3">
        <v>0</v>
      </c>
      <c r="T11" s="3">
        <v>4</v>
      </c>
      <c r="U11" s="3">
        <v>5</v>
      </c>
      <c r="V11" s="3">
        <v>15</v>
      </c>
      <c r="W11" s="3" t="s">
        <v>129</v>
      </c>
      <c r="X11" s="3">
        <v>50</v>
      </c>
      <c r="Y11" s="3">
        <v>50</v>
      </c>
      <c r="Z11" s="3">
        <v>50</v>
      </c>
      <c r="AA11" s="3">
        <v>0</v>
      </c>
      <c r="AB11" s="3" t="s">
        <v>130</v>
      </c>
      <c r="AC11" s="3">
        <v>8</v>
      </c>
      <c r="AD11" s="3">
        <v>37.65</v>
      </c>
      <c r="AE11" s="3">
        <v>84</v>
      </c>
      <c r="AF11" s="3">
        <v>84</v>
      </c>
      <c r="AG11" s="3">
        <v>664.10656</v>
      </c>
      <c r="AH11" s="3">
        <v>0.136054421768707</v>
      </c>
      <c r="AI11" s="3">
        <v>3.448467</v>
      </c>
      <c r="AJ11" s="3" t="s">
        <v>131</v>
      </c>
    </row>
    <row r="12" spans="1:36">
      <c r="A12" s="6">
        <v>43336</v>
      </c>
      <c r="B12" s="3" t="s">
        <v>154</v>
      </c>
      <c r="C12" s="3" t="s">
        <v>155</v>
      </c>
      <c r="D12" s="3" t="s">
        <v>156</v>
      </c>
      <c r="E12" s="3" t="s">
        <v>157</v>
      </c>
      <c r="F12" s="3" t="s">
        <v>127</v>
      </c>
      <c r="G12" s="3">
        <v>5</v>
      </c>
      <c r="H12" s="3">
        <v>0</v>
      </c>
      <c r="I12" s="3">
        <v>0</v>
      </c>
      <c r="J12" s="3">
        <v>5</v>
      </c>
      <c r="K12" s="3">
        <v>0</v>
      </c>
      <c r="L12" s="3">
        <v>0</v>
      </c>
      <c r="M12" s="3">
        <v>0</v>
      </c>
      <c r="N12" s="3" t="s">
        <v>128</v>
      </c>
      <c r="O12" s="3">
        <v>0</v>
      </c>
      <c r="P12" s="3">
        <v>0</v>
      </c>
      <c r="Q12" s="3">
        <v>0</v>
      </c>
      <c r="R12" s="3">
        <v>0</v>
      </c>
      <c r="S12" s="3">
        <v>18</v>
      </c>
      <c r="T12" s="3">
        <v>62</v>
      </c>
      <c r="U12" s="3">
        <v>68</v>
      </c>
      <c r="V12" s="3">
        <v>71</v>
      </c>
      <c r="W12" s="3"/>
      <c r="X12" s="3">
        <v>27.8</v>
      </c>
      <c r="Y12" s="3">
        <v>27.8</v>
      </c>
      <c r="Z12" s="3">
        <v>27.8</v>
      </c>
      <c r="AA12" s="3">
        <v>0</v>
      </c>
      <c r="AB12" s="3" t="s">
        <v>133</v>
      </c>
      <c r="AC12" s="3">
        <v>13</v>
      </c>
      <c r="AD12" s="3">
        <v>27.8</v>
      </c>
      <c r="AE12" s="3">
        <v>0</v>
      </c>
      <c r="AF12" s="3">
        <v>0</v>
      </c>
      <c r="AG12" s="3">
        <v>0</v>
      </c>
      <c r="AH12" s="3">
        <v>1.20851063829787</v>
      </c>
      <c r="AI12" s="3">
        <v>0.10369</v>
      </c>
      <c r="AJ12" s="3" t="s">
        <v>131</v>
      </c>
    </row>
    <row r="13" spans="1:36">
      <c r="A13" s="6">
        <v>43336</v>
      </c>
      <c r="B13" s="3" t="s">
        <v>158</v>
      </c>
      <c r="C13" s="3" t="s">
        <v>159</v>
      </c>
      <c r="D13" s="3" t="s">
        <v>159</v>
      </c>
      <c r="E13" s="3" t="s">
        <v>160</v>
      </c>
      <c r="F13" s="3" t="s">
        <v>127</v>
      </c>
      <c r="G13" s="3">
        <v>3</v>
      </c>
      <c r="H13" s="3">
        <v>0</v>
      </c>
      <c r="I13" s="3">
        <v>1</v>
      </c>
      <c r="J13" s="3">
        <v>2</v>
      </c>
      <c r="K13" s="3">
        <v>0</v>
      </c>
      <c r="L13" s="3">
        <v>0</v>
      </c>
      <c r="M13" s="3">
        <v>0</v>
      </c>
      <c r="N13" s="3" t="s">
        <v>128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139</v>
      </c>
      <c r="X13" s="3">
        <v>39.99</v>
      </c>
      <c r="Y13" s="3">
        <v>39.99</v>
      </c>
      <c r="Z13" s="3">
        <v>39.99</v>
      </c>
      <c r="AA13" s="3">
        <v>0</v>
      </c>
      <c r="AB13" s="3" t="s">
        <v>140</v>
      </c>
      <c r="AC13" s="3">
        <v>0</v>
      </c>
      <c r="AD13" s="3">
        <v>33.35</v>
      </c>
      <c r="AE13" s="3">
        <v>168</v>
      </c>
      <c r="AF13" s="3">
        <v>0</v>
      </c>
      <c r="AG13" s="3">
        <v>216.932113</v>
      </c>
      <c r="AH13" s="3">
        <v>0</v>
      </c>
      <c r="AI13" s="3">
        <v>1.688124</v>
      </c>
      <c r="AJ13" s="3" t="s">
        <v>141</v>
      </c>
    </row>
    <row r="14" spans="1:36">
      <c r="A14" s="6">
        <v>43336</v>
      </c>
      <c r="B14" s="3" t="s">
        <v>161</v>
      </c>
      <c r="C14" s="3" t="s">
        <v>162</v>
      </c>
      <c r="D14" s="3" t="s">
        <v>162</v>
      </c>
      <c r="E14" s="3" t="s">
        <v>163</v>
      </c>
      <c r="F14" s="3" t="s">
        <v>127</v>
      </c>
      <c r="G14" s="3">
        <v>1</v>
      </c>
      <c r="H14" s="3">
        <v>0</v>
      </c>
      <c r="I14" s="3">
        <v>0</v>
      </c>
      <c r="J14" s="3">
        <v>0</v>
      </c>
      <c r="K14" s="3">
        <v>1</v>
      </c>
      <c r="L14" s="3">
        <v>0</v>
      </c>
      <c r="M14" s="3">
        <v>0</v>
      </c>
      <c r="N14" s="3" t="s">
        <v>128</v>
      </c>
      <c r="O14" s="3">
        <v>1</v>
      </c>
      <c r="P14" s="3">
        <v>3.5</v>
      </c>
      <c r="Q14" s="3">
        <v>0</v>
      </c>
      <c r="R14" s="3">
        <v>0</v>
      </c>
      <c r="S14" s="3">
        <v>0</v>
      </c>
      <c r="T14" s="3">
        <v>1</v>
      </c>
      <c r="U14" s="3">
        <v>1</v>
      </c>
      <c r="V14" s="3">
        <v>2</v>
      </c>
      <c r="W14" s="3"/>
      <c r="X14" s="3">
        <v>42.49</v>
      </c>
      <c r="Y14" s="3">
        <v>42.49</v>
      </c>
      <c r="Z14" s="3">
        <v>42.49</v>
      </c>
      <c r="AA14" s="3">
        <v>0</v>
      </c>
      <c r="AB14" s="3" t="s">
        <v>133</v>
      </c>
      <c r="AC14" s="3">
        <v>1</v>
      </c>
      <c r="AD14" s="3">
        <v>42.49</v>
      </c>
      <c r="AE14" s="3">
        <v>0</v>
      </c>
      <c r="AF14" s="3">
        <v>0</v>
      </c>
      <c r="AG14" s="3">
        <v>0</v>
      </c>
      <c r="AH14" s="3">
        <v>0.470588235294117</v>
      </c>
      <c r="AI14" s="3">
        <v>1.013087</v>
      </c>
      <c r="AJ14" s="3" t="s">
        <v>149</v>
      </c>
    </row>
    <row r="15" spans="1:36">
      <c r="A15" s="6">
        <v>43336</v>
      </c>
      <c r="B15" s="3" t="s">
        <v>164</v>
      </c>
      <c r="C15" s="3" t="s">
        <v>165</v>
      </c>
      <c r="D15" s="3" t="s">
        <v>166</v>
      </c>
      <c r="E15" s="3" t="s">
        <v>167</v>
      </c>
      <c r="F15" s="3" t="s">
        <v>127</v>
      </c>
      <c r="G15" s="3">
        <v>57</v>
      </c>
      <c r="H15" s="3">
        <v>0</v>
      </c>
      <c r="I15" s="3">
        <v>0</v>
      </c>
      <c r="J15" s="3">
        <v>57</v>
      </c>
      <c r="K15" s="3">
        <v>0</v>
      </c>
      <c r="L15" s="3">
        <v>0</v>
      </c>
      <c r="M15" s="3">
        <v>0</v>
      </c>
      <c r="N15" s="3" t="s">
        <v>128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/>
      <c r="X15" s="3"/>
      <c r="Y15" s="3"/>
      <c r="Z15" s="3">
        <v>-1</v>
      </c>
      <c r="AA15" s="3">
        <v>-1</v>
      </c>
      <c r="AB15" s="3" t="s">
        <v>132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0.827355</v>
      </c>
      <c r="AJ15" s="3" t="s">
        <v>131</v>
      </c>
    </row>
    <row r="16" spans="1:36">
      <c r="A16" s="6">
        <v>43336</v>
      </c>
      <c r="B16" s="3" t="s">
        <v>71</v>
      </c>
      <c r="C16" s="3" t="s">
        <v>72</v>
      </c>
      <c r="D16" s="3" t="s">
        <v>73</v>
      </c>
      <c r="E16" s="3" t="s">
        <v>74</v>
      </c>
      <c r="F16" s="3" t="s">
        <v>127</v>
      </c>
      <c r="G16" s="3">
        <v>114</v>
      </c>
      <c r="H16" s="3">
        <v>0</v>
      </c>
      <c r="I16" s="3">
        <v>1</v>
      </c>
      <c r="J16" s="3">
        <v>0</v>
      </c>
      <c r="K16" s="3">
        <v>113</v>
      </c>
      <c r="L16" s="3">
        <v>0</v>
      </c>
      <c r="M16" s="3">
        <v>0</v>
      </c>
      <c r="N16" s="3" t="s">
        <v>128</v>
      </c>
      <c r="O16" s="3">
        <v>113</v>
      </c>
      <c r="P16" s="3">
        <v>0.31</v>
      </c>
      <c r="Q16" s="3">
        <v>0</v>
      </c>
      <c r="R16" s="3">
        <v>0</v>
      </c>
      <c r="S16" s="3">
        <v>3</v>
      </c>
      <c r="T16" s="3">
        <v>17</v>
      </c>
      <c r="U16" s="3">
        <v>45</v>
      </c>
      <c r="V16" s="3">
        <v>50</v>
      </c>
      <c r="W16" s="3" t="s">
        <v>129</v>
      </c>
      <c r="X16" s="3">
        <v>12.9</v>
      </c>
      <c r="Y16" s="3">
        <v>12.9</v>
      </c>
      <c r="Z16" s="3">
        <v>12.9</v>
      </c>
      <c r="AA16" s="3">
        <v>0</v>
      </c>
      <c r="AB16" s="3" t="s">
        <v>145</v>
      </c>
      <c r="AC16" s="3">
        <v>116</v>
      </c>
      <c r="AD16" s="3">
        <v>12.9</v>
      </c>
      <c r="AE16" s="3">
        <v>0</v>
      </c>
      <c r="AF16" s="3">
        <v>0</v>
      </c>
      <c r="AG16" s="3">
        <v>0</v>
      </c>
      <c r="AH16" s="3">
        <v>0.521908471275559</v>
      </c>
      <c r="AI16" s="3">
        <v>0.102258</v>
      </c>
      <c r="AJ16" s="3" t="s">
        <v>131</v>
      </c>
    </row>
    <row r="17" spans="1:36">
      <c r="A17" s="6">
        <v>43336</v>
      </c>
      <c r="B17" s="3" t="s">
        <v>56</v>
      </c>
      <c r="C17" s="3" t="s">
        <v>57</v>
      </c>
      <c r="D17" s="3" t="s">
        <v>58</v>
      </c>
      <c r="E17" s="3" t="s">
        <v>59</v>
      </c>
      <c r="F17" s="3" t="s">
        <v>127</v>
      </c>
      <c r="G17" s="3">
        <v>46</v>
      </c>
      <c r="H17" s="3">
        <v>0</v>
      </c>
      <c r="I17" s="3">
        <v>1</v>
      </c>
      <c r="J17" s="3">
        <v>45</v>
      </c>
      <c r="K17" s="3">
        <v>0</v>
      </c>
      <c r="L17" s="3">
        <v>0</v>
      </c>
      <c r="M17" s="3">
        <v>0</v>
      </c>
      <c r="N17" s="3" t="s">
        <v>128</v>
      </c>
      <c r="O17" s="3">
        <v>0</v>
      </c>
      <c r="P17" s="3">
        <v>0</v>
      </c>
      <c r="Q17" s="3">
        <v>0</v>
      </c>
      <c r="R17" s="3">
        <v>0</v>
      </c>
      <c r="S17" s="3">
        <v>5</v>
      </c>
      <c r="T17" s="3">
        <v>23</v>
      </c>
      <c r="U17" s="3">
        <v>42</v>
      </c>
      <c r="V17" s="3">
        <v>48</v>
      </c>
      <c r="W17" s="3" t="s">
        <v>129</v>
      </c>
      <c r="X17" s="3">
        <v>35</v>
      </c>
      <c r="Y17" s="3">
        <v>35</v>
      </c>
      <c r="Z17" s="3">
        <v>35</v>
      </c>
      <c r="AA17" s="3">
        <v>0</v>
      </c>
      <c r="AB17" s="3" t="s">
        <v>130</v>
      </c>
      <c r="AC17" s="3">
        <v>48</v>
      </c>
      <c r="AD17" s="3">
        <v>35</v>
      </c>
      <c r="AE17" s="3">
        <v>0</v>
      </c>
      <c r="AF17" s="3">
        <v>0</v>
      </c>
      <c r="AG17" s="3">
        <v>0</v>
      </c>
      <c r="AH17" s="3">
        <v>0.830985915492957</v>
      </c>
      <c r="AI17" s="3">
        <v>0.9131</v>
      </c>
      <c r="AJ17" s="3" t="s">
        <v>131</v>
      </c>
    </row>
    <row r="18" spans="1:36">
      <c r="A18" s="6">
        <v>43336</v>
      </c>
      <c r="B18" s="3" t="s">
        <v>168</v>
      </c>
      <c r="C18" s="3" t="s">
        <v>169</v>
      </c>
      <c r="D18" s="3" t="s">
        <v>169</v>
      </c>
      <c r="E18" s="3" t="s">
        <v>170</v>
      </c>
      <c r="F18" s="3" t="s">
        <v>127</v>
      </c>
      <c r="G18" s="3">
        <v>6</v>
      </c>
      <c r="H18" s="3">
        <v>0</v>
      </c>
      <c r="I18" s="3">
        <v>0</v>
      </c>
      <c r="J18" s="3">
        <v>6</v>
      </c>
      <c r="K18" s="3">
        <v>0</v>
      </c>
      <c r="L18" s="3">
        <v>0</v>
      </c>
      <c r="M18" s="3">
        <v>0</v>
      </c>
      <c r="N18" s="3" t="s">
        <v>128</v>
      </c>
      <c r="O18" s="3">
        <v>0</v>
      </c>
      <c r="P18" s="3">
        <v>0</v>
      </c>
      <c r="Q18" s="3">
        <v>0</v>
      </c>
      <c r="R18" s="3">
        <v>0</v>
      </c>
      <c r="S18" s="3">
        <v>1</v>
      </c>
      <c r="T18" s="3">
        <v>1</v>
      </c>
      <c r="U18" s="3">
        <v>1</v>
      </c>
      <c r="V18" s="3">
        <v>2</v>
      </c>
      <c r="W18" s="3"/>
      <c r="X18" s="3">
        <v>42.99</v>
      </c>
      <c r="Y18" s="3">
        <v>42.99</v>
      </c>
      <c r="Z18" s="3">
        <v>42.99</v>
      </c>
      <c r="AA18" s="3">
        <v>0</v>
      </c>
      <c r="AB18" s="3" t="s">
        <v>140</v>
      </c>
      <c r="AC18" s="3">
        <v>0</v>
      </c>
      <c r="AD18" s="3">
        <v>37.87</v>
      </c>
      <c r="AE18" s="3">
        <v>133</v>
      </c>
      <c r="AF18" s="3">
        <v>0</v>
      </c>
      <c r="AG18" s="3">
        <v>810.81203</v>
      </c>
      <c r="AH18" s="3">
        <v>0.25</v>
      </c>
      <c r="AI18" s="3">
        <v>6.65553</v>
      </c>
      <c r="AJ18" s="3" t="s">
        <v>141</v>
      </c>
    </row>
    <row r="19" spans="1:36">
      <c r="A19" s="6">
        <v>43336</v>
      </c>
      <c r="B19" s="3" t="s">
        <v>171</v>
      </c>
      <c r="C19" s="3" t="s">
        <v>172</v>
      </c>
      <c r="D19" s="3" t="s">
        <v>172</v>
      </c>
      <c r="E19" s="3" t="s">
        <v>173</v>
      </c>
      <c r="F19" s="3" t="s">
        <v>127</v>
      </c>
      <c r="G19" s="3">
        <v>1</v>
      </c>
      <c r="H19" s="3">
        <v>0</v>
      </c>
      <c r="I19" s="3">
        <v>0</v>
      </c>
      <c r="J19" s="3">
        <v>1</v>
      </c>
      <c r="K19" s="3">
        <v>0</v>
      </c>
      <c r="L19" s="3">
        <v>0</v>
      </c>
      <c r="M19" s="3">
        <v>0</v>
      </c>
      <c r="N19" s="3" t="s">
        <v>128</v>
      </c>
      <c r="O19" s="3">
        <v>0</v>
      </c>
      <c r="P19" s="3">
        <v>0</v>
      </c>
      <c r="Q19" s="3">
        <v>0</v>
      </c>
      <c r="R19" s="3">
        <v>0</v>
      </c>
      <c r="S19" s="3">
        <v>1</v>
      </c>
      <c r="T19" s="3">
        <v>1</v>
      </c>
      <c r="U19" s="3">
        <v>1</v>
      </c>
      <c r="V19" s="3">
        <v>1</v>
      </c>
      <c r="W19" s="3"/>
      <c r="X19" s="3">
        <v>42.99</v>
      </c>
      <c r="Y19" s="3">
        <v>42.99</v>
      </c>
      <c r="Z19" s="3">
        <v>42.99</v>
      </c>
      <c r="AA19" s="3">
        <v>0</v>
      </c>
      <c r="AB19" s="3" t="s">
        <v>140</v>
      </c>
      <c r="AC19" s="3">
        <v>0</v>
      </c>
      <c r="AD19" s="3">
        <v>37</v>
      </c>
      <c r="AE19" s="3">
        <v>168</v>
      </c>
      <c r="AF19" s="3">
        <v>0</v>
      </c>
      <c r="AG19" s="3">
        <v>262.506278</v>
      </c>
      <c r="AH19" s="3">
        <v>0.307692307692307</v>
      </c>
      <c r="AI19" s="3">
        <v>1.109255</v>
      </c>
      <c r="AJ19" s="3" t="s">
        <v>141</v>
      </c>
    </row>
    <row r="20" spans="1:36">
      <c r="A20" s="6">
        <v>43336</v>
      </c>
      <c r="B20" s="3" t="s">
        <v>52</v>
      </c>
      <c r="C20" s="3" t="s">
        <v>53</v>
      </c>
      <c r="D20" s="3" t="s">
        <v>54</v>
      </c>
      <c r="E20" s="3" t="s">
        <v>55</v>
      </c>
      <c r="F20" s="3" t="s">
        <v>127</v>
      </c>
      <c r="G20" s="3">
        <v>15</v>
      </c>
      <c r="H20" s="3">
        <v>0</v>
      </c>
      <c r="I20" s="3">
        <v>1</v>
      </c>
      <c r="J20" s="3">
        <v>1</v>
      </c>
      <c r="K20" s="3">
        <v>13</v>
      </c>
      <c r="L20" s="3">
        <v>0</v>
      </c>
      <c r="M20" s="3">
        <v>0</v>
      </c>
      <c r="N20" s="3" t="s">
        <v>128</v>
      </c>
      <c r="O20" s="3">
        <v>13</v>
      </c>
      <c r="P20" s="3">
        <v>0.95</v>
      </c>
      <c r="Q20" s="3">
        <v>0</v>
      </c>
      <c r="R20" s="3">
        <v>0</v>
      </c>
      <c r="S20" s="3">
        <v>3</v>
      </c>
      <c r="T20" s="3">
        <v>16</v>
      </c>
      <c r="U20" s="3">
        <v>28</v>
      </c>
      <c r="V20" s="3">
        <v>32</v>
      </c>
      <c r="W20" s="3" t="s">
        <v>129</v>
      </c>
      <c r="X20" s="3">
        <v>37.8</v>
      </c>
      <c r="Y20" s="3">
        <v>37.8</v>
      </c>
      <c r="Z20" s="3">
        <v>37.8</v>
      </c>
      <c r="AA20" s="3">
        <v>0</v>
      </c>
      <c r="AB20" s="3" t="s">
        <v>130</v>
      </c>
      <c r="AC20" s="3">
        <v>17</v>
      </c>
      <c r="AD20" s="3">
        <v>37.8</v>
      </c>
      <c r="AE20" s="3">
        <v>0</v>
      </c>
      <c r="AF20" s="3">
        <v>0</v>
      </c>
      <c r="AG20" s="3">
        <v>0</v>
      </c>
      <c r="AH20" s="3">
        <v>0.927536231884058</v>
      </c>
      <c r="AI20" s="3">
        <v>0.31875</v>
      </c>
      <c r="AJ20" s="3" t="s">
        <v>131</v>
      </c>
    </row>
    <row r="21" spans="1:36">
      <c r="A21" s="6">
        <v>43336</v>
      </c>
      <c r="B21" s="3" t="s">
        <v>174</v>
      </c>
      <c r="C21" s="3" t="s">
        <v>175</v>
      </c>
      <c r="D21" s="3" t="s">
        <v>175</v>
      </c>
      <c r="E21" s="3" t="s">
        <v>176</v>
      </c>
      <c r="F21" s="3" t="s">
        <v>127</v>
      </c>
      <c r="G21" s="3">
        <v>1</v>
      </c>
      <c r="H21" s="3">
        <v>0</v>
      </c>
      <c r="I21" s="3">
        <v>1</v>
      </c>
      <c r="J21" s="3">
        <v>0</v>
      </c>
      <c r="K21" s="3">
        <v>0</v>
      </c>
      <c r="L21" s="3">
        <v>0</v>
      </c>
      <c r="M21" s="3">
        <v>0</v>
      </c>
      <c r="N21" s="3" t="s">
        <v>128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5</v>
      </c>
      <c r="W21" s="3" t="s">
        <v>139</v>
      </c>
      <c r="X21" s="3">
        <v>42.99</v>
      </c>
      <c r="Y21" s="3">
        <v>42.99</v>
      </c>
      <c r="Z21" s="3">
        <v>42.99</v>
      </c>
      <c r="AA21" s="3">
        <v>0</v>
      </c>
      <c r="AB21" s="3" t="s">
        <v>133</v>
      </c>
      <c r="AC21" s="3">
        <v>1</v>
      </c>
      <c r="AD21" s="3">
        <v>42.99</v>
      </c>
      <c r="AE21" s="3">
        <v>0</v>
      </c>
      <c r="AF21" s="3">
        <v>0</v>
      </c>
      <c r="AG21" s="3">
        <v>0</v>
      </c>
      <c r="AH21" s="3">
        <v>2</v>
      </c>
      <c r="AI21" s="3">
        <v>0.563184</v>
      </c>
      <c r="AJ21" s="3" t="s">
        <v>141</v>
      </c>
    </row>
    <row r="22" spans="1:36">
      <c r="A22" s="6">
        <v>43336</v>
      </c>
      <c r="B22" s="3" t="s">
        <v>88</v>
      </c>
      <c r="C22" s="3" t="s">
        <v>89</v>
      </c>
      <c r="D22" s="3" t="s">
        <v>90</v>
      </c>
      <c r="E22" s="3" t="s">
        <v>91</v>
      </c>
      <c r="F22" s="3" t="s">
        <v>127</v>
      </c>
      <c r="G22" s="3">
        <v>6</v>
      </c>
      <c r="H22" s="3">
        <v>0</v>
      </c>
      <c r="I22" s="3">
        <v>0</v>
      </c>
      <c r="J22" s="3">
        <v>3</v>
      </c>
      <c r="K22" s="3">
        <v>0</v>
      </c>
      <c r="L22" s="3">
        <v>3</v>
      </c>
      <c r="M22" s="3">
        <v>0</v>
      </c>
      <c r="N22" s="3" t="s">
        <v>128</v>
      </c>
      <c r="O22" s="3">
        <v>5</v>
      </c>
      <c r="P22" s="3">
        <v>0.05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/>
      <c r="X22" s="3"/>
      <c r="Y22" s="3"/>
      <c r="Z22" s="3">
        <v>-1</v>
      </c>
      <c r="AA22" s="3">
        <v>-1</v>
      </c>
      <c r="AB22" s="3" t="s">
        <v>132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0.016926</v>
      </c>
      <c r="AJ22" s="3" t="s">
        <v>131</v>
      </c>
    </row>
    <row r="23" spans="1:36">
      <c r="A23" s="6">
        <v>43336</v>
      </c>
      <c r="B23" s="3" t="s">
        <v>177</v>
      </c>
      <c r="C23" s="3" t="s">
        <v>162</v>
      </c>
      <c r="D23" s="3" t="s">
        <v>162</v>
      </c>
      <c r="E23" s="3" t="s">
        <v>163</v>
      </c>
      <c r="F23" s="3" t="s">
        <v>127</v>
      </c>
      <c r="G23" s="3">
        <v>1</v>
      </c>
      <c r="H23" s="3">
        <v>0</v>
      </c>
      <c r="I23" s="3">
        <v>0</v>
      </c>
      <c r="J23" s="3">
        <v>0</v>
      </c>
      <c r="K23" s="3">
        <v>1</v>
      </c>
      <c r="L23" s="3">
        <v>0</v>
      </c>
      <c r="M23" s="3">
        <v>0</v>
      </c>
      <c r="N23" s="3" t="s">
        <v>128</v>
      </c>
      <c r="O23" s="3">
        <v>1</v>
      </c>
      <c r="P23" s="3">
        <v>3.5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 t="s">
        <v>139</v>
      </c>
      <c r="X23" s="3">
        <v>42.99</v>
      </c>
      <c r="Y23" s="3">
        <v>42.99</v>
      </c>
      <c r="Z23" s="3">
        <v>42.49</v>
      </c>
      <c r="AA23" s="3">
        <v>0</v>
      </c>
      <c r="AB23" s="3" t="s">
        <v>140</v>
      </c>
      <c r="AC23" s="3">
        <v>1</v>
      </c>
      <c r="AD23" s="3">
        <v>42.49</v>
      </c>
      <c r="AE23" s="3">
        <v>0</v>
      </c>
      <c r="AF23" s="3">
        <v>0</v>
      </c>
      <c r="AG23" s="3">
        <v>0</v>
      </c>
      <c r="AH23" s="3">
        <v>0.470588235294117</v>
      </c>
      <c r="AI23" s="3">
        <v>1.013087</v>
      </c>
      <c r="AJ23" s="3" t="s">
        <v>149</v>
      </c>
    </row>
    <row r="24" spans="1:36">
      <c r="A24" s="6">
        <v>43336</v>
      </c>
      <c r="B24" s="3" t="s">
        <v>178</v>
      </c>
      <c r="C24" s="3" t="s">
        <v>179</v>
      </c>
      <c r="D24" s="3" t="s">
        <v>73</v>
      </c>
      <c r="E24" s="3" t="s">
        <v>74</v>
      </c>
      <c r="F24" s="3" t="s">
        <v>127</v>
      </c>
      <c r="G24" s="3">
        <v>8</v>
      </c>
      <c r="H24" s="3">
        <v>0</v>
      </c>
      <c r="I24" s="3">
        <v>0</v>
      </c>
      <c r="J24" s="3">
        <v>1</v>
      </c>
      <c r="K24" s="3">
        <v>0</v>
      </c>
      <c r="L24" s="3">
        <v>1</v>
      </c>
      <c r="M24" s="3">
        <v>6</v>
      </c>
      <c r="N24" s="3" t="s">
        <v>128</v>
      </c>
      <c r="O24" s="3">
        <v>1</v>
      </c>
      <c r="P24" s="3">
        <v>0</v>
      </c>
      <c r="Q24" s="3">
        <v>7</v>
      </c>
      <c r="R24" s="3">
        <v>3.5</v>
      </c>
      <c r="S24" s="3">
        <v>0</v>
      </c>
      <c r="T24" s="3">
        <v>8</v>
      </c>
      <c r="U24" s="3">
        <v>36</v>
      </c>
      <c r="V24" s="3">
        <v>42</v>
      </c>
      <c r="W24" s="3" t="s">
        <v>129</v>
      </c>
      <c r="X24" s="3">
        <v>13</v>
      </c>
      <c r="Y24" s="3">
        <v>13</v>
      </c>
      <c r="Z24" s="3">
        <v>12.9</v>
      </c>
      <c r="AA24" s="3">
        <v>0</v>
      </c>
      <c r="AB24" s="3" t="s">
        <v>145</v>
      </c>
      <c r="AC24" s="3">
        <v>8</v>
      </c>
      <c r="AD24" s="3">
        <v>13</v>
      </c>
      <c r="AE24" s="3">
        <v>0</v>
      </c>
      <c r="AF24" s="3">
        <v>0</v>
      </c>
      <c r="AG24" s="3">
        <v>0</v>
      </c>
      <c r="AH24" s="3">
        <v>0.521908471275559</v>
      </c>
      <c r="AI24" s="3">
        <v>0.007176</v>
      </c>
      <c r="AJ24" s="3" t="s">
        <v>131</v>
      </c>
    </row>
    <row r="25" spans="1:36">
      <c r="A25" s="6">
        <v>43336</v>
      </c>
      <c r="B25" s="3" t="s">
        <v>180</v>
      </c>
      <c r="C25" s="3" t="s">
        <v>181</v>
      </c>
      <c r="D25" s="3" t="s">
        <v>181</v>
      </c>
      <c r="E25" s="3" t="s">
        <v>182</v>
      </c>
      <c r="F25" s="3" t="s">
        <v>127</v>
      </c>
      <c r="G25" s="3">
        <v>1</v>
      </c>
      <c r="H25" s="3">
        <v>0</v>
      </c>
      <c r="I25" s="3">
        <v>1</v>
      </c>
      <c r="J25" s="3">
        <v>0</v>
      </c>
      <c r="K25" s="3">
        <v>0</v>
      </c>
      <c r="L25" s="3">
        <v>0</v>
      </c>
      <c r="M25" s="3">
        <v>0</v>
      </c>
      <c r="N25" s="3" t="s">
        <v>128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2</v>
      </c>
      <c r="V25" s="3">
        <v>3</v>
      </c>
      <c r="W25" s="3" t="s">
        <v>139</v>
      </c>
      <c r="X25" s="3">
        <v>42.99</v>
      </c>
      <c r="Y25" s="3">
        <v>42.99</v>
      </c>
      <c r="Z25" s="3">
        <v>42.99</v>
      </c>
      <c r="AA25" s="3">
        <v>0</v>
      </c>
      <c r="AB25" s="3" t="s">
        <v>140</v>
      </c>
      <c r="AC25" s="3">
        <v>0</v>
      </c>
      <c r="AD25" s="3">
        <v>39.54</v>
      </c>
      <c r="AE25" s="3">
        <v>70</v>
      </c>
      <c r="AF25" s="3">
        <v>0</v>
      </c>
      <c r="AG25" s="3">
        <v>132.42833</v>
      </c>
      <c r="AH25" s="3">
        <v>1.5</v>
      </c>
      <c r="AI25" s="3">
        <v>1.109255</v>
      </c>
      <c r="AJ25" s="3" t="s">
        <v>141</v>
      </c>
    </row>
    <row r="26" spans="1:36">
      <c r="A26" s="6">
        <v>43336</v>
      </c>
      <c r="B26" s="3" t="s">
        <v>183</v>
      </c>
      <c r="C26" s="3" t="s">
        <v>184</v>
      </c>
      <c r="D26" s="3" t="s">
        <v>184</v>
      </c>
      <c r="E26" s="3" t="s">
        <v>185</v>
      </c>
      <c r="F26" s="3" t="s">
        <v>127</v>
      </c>
      <c r="G26" s="3">
        <v>1</v>
      </c>
      <c r="H26" s="3">
        <v>0</v>
      </c>
      <c r="I26" s="3">
        <v>1</v>
      </c>
      <c r="J26" s="3">
        <v>0</v>
      </c>
      <c r="K26" s="3">
        <v>0</v>
      </c>
      <c r="L26" s="3">
        <v>0</v>
      </c>
      <c r="M26" s="3">
        <v>0</v>
      </c>
      <c r="N26" s="3" t="s">
        <v>128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2</v>
      </c>
      <c r="W26" s="3" t="s">
        <v>139</v>
      </c>
      <c r="X26" s="3">
        <v>42.99</v>
      </c>
      <c r="Y26" s="3">
        <v>42.99</v>
      </c>
      <c r="Z26" s="3">
        <v>42.99</v>
      </c>
      <c r="AA26" s="3">
        <v>0</v>
      </c>
      <c r="AB26" s="3" t="s">
        <v>140</v>
      </c>
      <c r="AC26" s="3">
        <v>0</v>
      </c>
      <c r="AD26" s="3">
        <v>40.48</v>
      </c>
      <c r="AE26" s="3">
        <v>21</v>
      </c>
      <c r="AF26" s="3">
        <v>0</v>
      </c>
      <c r="AG26" s="3">
        <v>138.38511</v>
      </c>
      <c r="AH26" s="3">
        <v>1.6</v>
      </c>
      <c r="AI26" s="3">
        <v>1.109255</v>
      </c>
      <c r="AJ26" s="3" t="s">
        <v>141</v>
      </c>
    </row>
    <row r="27" spans="1:36">
      <c r="A27" s="6">
        <v>43336</v>
      </c>
      <c r="B27" s="3" t="s">
        <v>186</v>
      </c>
      <c r="C27" s="3" t="s">
        <v>187</v>
      </c>
      <c r="D27" s="3" t="s">
        <v>187</v>
      </c>
      <c r="E27" s="3" t="s">
        <v>188</v>
      </c>
      <c r="F27" s="3" t="s">
        <v>127</v>
      </c>
      <c r="G27" s="3">
        <v>2</v>
      </c>
      <c r="H27" s="3">
        <v>0</v>
      </c>
      <c r="I27" s="3">
        <v>0</v>
      </c>
      <c r="J27" s="3">
        <v>1</v>
      </c>
      <c r="K27" s="3">
        <v>1</v>
      </c>
      <c r="L27" s="3">
        <v>0</v>
      </c>
      <c r="M27" s="3">
        <v>0</v>
      </c>
      <c r="N27" s="3" t="s">
        <v>128</v>
      </c>
      <c r="O27" s="3">
        <v>1</v>
      </c>
      <c r="P27" s="3">
        <v>2.69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139</v>
      </c>
      <c r="X27" s="3">
        <v>42.99</v>
      </c>
      <c r="Y27" s="3">
        <v>42.99</v>
      </c>
      <c r="Z27" s="3">
        <v>40.04</v>
      </c>
      <c r="AA27" s="3">
        <v>0</v>
      </c>
      <c r="AB27" s="3" t="s">
        <v>140</v>
      </c>
      <c r="AC27" s="3">
        <v>2</v>
      </c>
      <c r="AD27" s="3">
        <v>40.04</v>
      </c>
      <c r="AE27" s="3">
        <v>0</v>
      </c>
      <c r="AF27" s="3">
        <v>0</v>
      </c>
      <c r="AG27" s="3">
        <v>0</v>
      </c>
      <c r="AH27" s="3">
        <v>0</v>
      </c>
      <c r="AI27" s="3">
        <v>1.562132</v>
      </c>
      <c r="AJ27" s="3" t="s">
        <v>141</v>
      </c>
    </row>
    <row r="28" spans="1:36">
      <c r="A28" s="6">
        <v>43336</v>
      </c>
      <c r="B28" s="3" t="s">
        <v>189</v>
      </c>
      <c r="C28" s="3" t="s">
        <v>143</v>
      </c>
      <c r="D28" s="3" t="s">
        <v>143</v>
      </c>
      <c r="E28" s="3" t="s">
        <v>144</v>
      </c>
      <c r="F28" s="3" t="s">
        <v>127</v>
      </c>
      <c r="G28" s="3">
        <v>1</v>
      </c>
      <c r="H28" s="3">
        <v>0</v>
      </c>
      <c r="I28" s="3">
        <v>0</v>
      </c>
      <c r="J28" s="3">
        <v>1</v>
      </c>
      <c r="K28" s="3">
        <v>0</v>
      </c>
      <c r="L28" s="3">
        <v>0</v>
      </c>
      <c r="M28" s="3">
        <v>0</v>
      </c>
      <c r="N28" s="3" t="s">
        <v>128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139</v>
      </c>
      <c r="X28" s="3">
        <v>42.99</v>
      </c>
      <c r="Y28" s="3">
        <v>42.99</v>
      </c>
      <c r="Z28" s="3">
        <v>42.99</v>
      </c>
      <c r="AA28" s="3">
        <v>0</v>
      </c>
      <c r="AB28" s="3" t="s">
        <v>140</v>
      </c>
      <c r="AC28" s="3">
        <v>0</v>
      </c>
      <c r="AD28" s="3">
        <v>39.52</v>
      </c>
      <c r="AE28" s="3">
        <v>105</v>
      </c>
      <c r="AF28" s="3">
        <v>0</v>
      </c>
      <c r="AG28" s="3">
        <v>76.832964</v>
      </c>
      <c r="AH28" s="3">
        <v>0</v>
      </c>
      <c r="AI28" s="3">
        <v>0.562708</v>
      </c>
      <c r="AJ28" s="3" t="s">
        <v>141</v>
      </c>
    </row>
    <row r="29" spans="1:36">
      <c r="A29" s="6">
        <v>43336</v>
      </c>
      <c r="B29" s="3" t="s">
        <v>190</v>
      </c>
      <c r="C29" s="3" t="s">
        <v>191</v>
      </c>
      <c r="D29" s="3" t="s">
        <v>191</v>
      </c>
      <c r="E29" s="3" t="s">
        <v>192</v>
      </c>
      <c r="F29" s="3" t="s">
        <v>127</v>
      </c>
      <c r="G29" s="3">
        <v>1</v>
      </c>
      <c r="H29" s="3">
        <v>0</v>
      </c>
      <c r="I29" s="3">
        <v>0</v>
      </c>
      <c r="J29" s="3">
        <v>1</v>
      </c>
      <c r="K29" s="3">
        <v>0</v>
      </c>
      <c r="L29" s="3">
        <v>0</v>
      </c>
      <c r="M29" s="3">
        <v>0</v>
      </c>
      <c r="N29" s="3" t="s">
        <v>128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1</v>
      </c>
      <c r="U29" s="3">
        <v>1</v>
      </c>
      <c r="V29" s="3">
        <v>2</v>
      </c>
      <c r="W29" s="3"/>
      <c r="X29" s="3">
        <v>42.99</v>
      </c>
      <c r="Y29" s="3">
        <v>42.99</v>
      </c>
      <c r="Z29" s="3">
        <v>42.99</v>
      </c>
      <c r="AA29" s="3">
        <v>0</v>
      </c>
      <c r="AB29" s="3" t="s">
        <v>140</v>
      </c>
      <c r="AC29" s="3">
        <v>0</v>
      </c>
      <c r="AD29" s="3">
        <v>39.87</v>
      </c>
      <c r="AE29" s="3">
        <v>56</v>
      </c>
      <c r="AF29" s="3">
        <v>0</v>
      </c>
      <c r="AG29" s="3">
        <v>101.55173</v>
      </c>
      <c r="AH29" s="3">
        <v>0.19047619047619</v>
      </c>
      <c r="AI29" s="3">
        <v>0.781066</v>
      </c>
      <c r="AJ29" s="3" t="s">
        <v>141</v>
      </c>
    </row>
    <row r="30" spans="1:36">
      <c r="A30" s="6">
        <v>43336</v>
      </c>
      <c r="B30" s="3" t="s">
        <v>193</v>
      </c>
      <c r="C30" s="3" t="s">
        <v>194</v>
      </c>
      <c r="D30" s="3" t="s">
        <v>194</v>
      </c>
      <c r="E30" s="3" t="s">
        <v>195</v>
      </c>
      <c r="F30" s="3" t="s">
        <v>127</v>
      </c>
      <c r="G30" s="3">
        <v>1</v>
      </c>
      <c r="H30" s="3">
        <v>0</v>
      </c>
      <c r="I30" s="3">
        <v>1</v>
      </c>
      <c r="J30" s="3">
        <v>0</v>
      </c>
      <c r="K30" s="3">
        <v>0</v>
      </c>
      <c r="L30" s="3">
        <v>0</v>
      </c>
      <c r="M30" s="3">
        <v>0</v>
      </c>
      <c r="N30" s="3" t="s">
        <v>128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 t="s">
        <v>139</v>
      </c>
      <c r="X30" s="3">
        <v>42.99</v>
      </c>
      <c r="Y30" s="3">
        <v>42.99</v>
      </c>
      <c r="Z30" s="3">
        <v>34.39</v>
      </c>
      <c r="AA30" s="3">
        <v>0</v>
      </c>
      <c r="AB30" s="3" t="s">
        <v>140</v>
      </c>
      <c r="AC30" s="3">
        <v>1</v>
      </c>
      <c r="AD30" s="3">
        <v>34.39</v>
      </c>
      <c r="AE30" s="3">
        <v>0</v>
      </c>
      <c r="AF30" s="3">
        <v>0</v>
      </c>
      <c r="AG30" s="3">
        <v>0</v>
      </c>
      <c r="AH30" s="3">
        <v>0.205128205128205</v>
      </c>
      <c r="AI30" s="3">
        <v>0.562708</v>
      </c>
      <c r="AJ30" s="3" t="s">
        <v>141</v>
      </c>
    </row>
    <row r="31" spans="1:36">
      <c r="A31" s="6">
        <v>43336</v>
      </c>
      <c r="B31" s="3" t="s">
        <v>196</v>
      </c>
      <c r="C31" s="3" t="s">
        <v>137</v>
      </c>
      <c r="D31" s="3" t="s">
        <v>137</v>
      </c>
      <c r="E31" s="3" t="s">
        <v>138</v>
      </c>
      <c r="F31" s="3" t="s">
        <v>127</v>
      </c>
      <c r="G31" s="3">
        <v>1</v>
      </c>
      <c r="H31" s="3">
        <v>0</v>
      </c>
      <c r="I31" s="3">
        <v>0</v>
      </c>
      <c r="J31" s="3">
        <v>1</v>
      </c>
      <c r="K31" s="3">
        <v>0</v>
      </c>
      <c r="L31" s="3">
        <v>0</v>
      </c>
      <c r="M31" s="3">
        <v>0</v>
      </c>
      <c r="N31" s="3" t="s">
        <v>128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 t="s">
        <v>139</v>
      </c>
      <c r="X31" s="3">
        <v>42.99</v>
      </c>
      <c r="Y31" s="3">
        <v>42.99</v>
      </c>
      <c r="Z31" s="3">
        <v>42.49</v>
      </c>
      <c r="AA31" s="3">
        <v>0</v>
      </c>
      <c r="AB31" s="3" t="s">
        <v>140</v>
      </c>
      <c r="AC31" s="3">
        <v>0</v>
      </c>
      <c r="AD31" s="3">
        <v>33.99</v>
      </c>
      <c r="AE31" s="3">
        <v>63</v>
      </c>
      <c r="AF31" s="3">
        <v>0</v>
      </c>
      <c r="AG31" s="3">
        <v>109.94316</v>
      </c>
      <c r="AH31" s="3">
        <v>0.421052631578947</v>
      </c>
      <c r="AI31" s="3">
        <v>1.109255</v>
      </c>
      <c r="AJ31" s="3" t="s">
        <v>141</v>
      </c>
    </row>
    <row r="32" spans="1:36">
      <c r="A32" s="6">
        <v>43336</v>
      </c>
      <c r="B32" s="3" t="s">
        <v>67</v>
      </c>
      <c r="C32" s="3" t="s">
        <v>68</v>
      </c>
      <c r="D32" s="3" t="s">
        <v>18</v>
      </c>
      <c r="E32" s="3" t="s">
        <v>19</v>
      </c>
      <c r="F32" s="3" t="s">
        <v>127</v>
      </c>
      <c r="G32" s="3">
        <v>32</v>
      </c>
      <c r="H32" s="3">
        <v>0</v>
      </c>
      <c r="I32" s="3">
        <v>1</v>
      </c>
      <c r="J32" s="3">
        <v>31</v>
      </c>
      <c r="K32" s="3">
        <v>0</v>
      </c>
      <c r="L32" s="3">
        <v>0</v>
      </c>
      <c r="M32" s="3">
        <v>0</v>
      </c>
      <c r="N32" s="3" t="s">
        <v>128</v>
      </c>
      <c r="O32" s="3">
        <v>0</v>
      </c>
      <c r="P32" s="3">
        <v>0</v>
      </c>
      <c r="Q32" s="3">
        <v>0</v>
      </c>
      <c r="R32" s="3">
        <v>0</v>
      </c>
      <c r="S32" s="3">
        <v>5</v>
      </c>
      <c r="T32" s="3">
        <v>14</v>
      </c>
      <c r="U32" s="3">
        <v>15</v>
      </c>
      <c r="V32" s="3">
        <v>22</v>
      </c>
      <c r="W32" s="3" t="s">
        <v>129</v>
      </c>
      <c r="X32" s="3">
        <v>49.99</v>
      </c>
      <c r="Y32" s="3">
        <v>49.99</v>
      </c>
      <c r="Z32" s="3">
        <v>49.99</v>
      </c>
      <c r="AA32" s="3">
        <v>0</v>
      </c>
      <c r="AB32" s="3" t="s">
        <v>130</v>
      </c>
      <c r="AC32" s="3">
        <v>40</v>
      </c>
      <c r="AD32" s="3">
        <v>49.99</v>
      </c>
      <c r="AE32" s="3">
        <v>0</v>
      </c>
      <c r="AF32" s="3">
        <v>0</v>
      </c>
      <c r="AG32" s="3">
        <v>0</v>
      </c>
      <c r="AH32" s="3">
        <v>0.571428571428571</v>
      </c>
      <c r="AI32" s="3">
        <v>0.81536</v>
      </c>
      <c r="AJ32" s="3" t="s">
        <v>131</v>
      </c>
    </row>
    <row r="33" spans="1:36">
      <c r="A33" s="6">
        <v>43336</v>
      </c>
      <c r="B33" s="3" t="s">
        <v>197</v>
      </c>
      <c r="C33" s="3" t="s">
        <v>198</v>
      </c>
      <c r="D33" s="3" t="s">
        <v>198</v>
      </c>
      <c r="E33" s="3" t="s">
        <v>199</v>
      </c>
      <c r="F33" s="3" t="s">
        <v>127</v>
      </c>
      <c r="G33" s="3">
        <v>1</v>
      </c>
      <c r="H33" s="3">
        <v>0</v>
      </c>
      <c r="I33" s="3">
        <v>1</v>
      </c>
      <c r="J33" s="3">
        <v>0</v>
      </c>
      <c r="K33" s="3">
        <v>0</v>
      </c>
      <c r="L33" s="3">
        <v>0</v>
      </c>
      <c r="M33" s="3">
        <v>0</v>
      </c>
      <c r="N33" s="3" t="s">
        <v>128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2</v>
      </c>
      <c r="W33" s="3" t="s">
        <v>139</v>
      </c>
      <c r="X33" s="3">
        <v>42.99</v>
      </c>
      <c r="Y33" s="3">
        <v>42.99</v>
      </c>
      <c r="Z33" s="3">
        <v>42.99</v>
      </c>
      <c r="AA33" s="3">
        <v>0</v>
      </c>
      <c r="AB33" s="3" t="s">
        <v>140</v>
      </c>
      <c r="AC33" s="3">
        <v>0</v>
      </c>
      <c r="AD33" s="3">
        <v>39.45</v>
      </c>
      <c r="AE33" s="3">
        <v>91</v>
      </c>
      <c r="AF33" s="3">
        <v>0</v>
      </c>
      <c r="AG33" s="3">
        <v>99.986468</v>
      </c>
      <c r="AH33" s="3">
        <v>1.33333333333333</v>
      </c>
      <c r="AI33" s="3">
        <v>0.781366</v>
      </c>
      <c r="AJ33" s="3" t="s">
        <v>141</v>
      </c>
    </row>
    <row r="34" spans="1:36">
      <c r="A34" s="6">
        <v>43336</v>
      </c>
      <c r="B34" s="3" t="s">
        <v>36</v>
      </c>
      <c r="C34" s="3" t="s">
        <v>37</v>
      </c>
      <c r="D34" s="3" t="s">
        <v>38</v>
      </c>
      <c r="E34" s="3" t="s">
        <v>39</v>
      </c>
      <c r="F34" s="3" t="s">
        <v>127</v>
      </c>
      <c r="G34" s="3">
        <v>81</v>
      </c>
      <c r="H34" s="3">
        <v>0</v>
      </c>
      <c r="I34" s="3">
        <v>0</v>
      </c>
      <c r="J34" s="3">
        <v>0</v>
      </c>
      <c r="K34" s="3">
        <v>0</v>
      </c>
      <c r="L34" s="3">
        <v>81</v>
      </c>
      <c r="M34" s="3">
        <v>0</v>
      </c>
      <c r="N34" s="3" t="s">
        <v>128</v>
      </c>
      <c r="O34" s="3">
        <v>81</v>
      </c>
      <c r="P34" s="3">
        <v>5.79</v>
      </c>
      <c r="Q34" s="3">
        <v>0</v>
      </c>
      <c r="R34" s="3">
        <v>0</v>
      </c>
      <c r="S34" s="3">
        <v>1</v>
      </c>
      <c r="T34" s="3">
        <v>9</v>
      </c>
      <c r="U34" s="3">
        <v>11</v>
      </c>
      <c r="V34" s="3">
        <v>13</v>
      </c>
      <c r="W34" s="3" t="s">
        <v>129</v>
      </c>
      <c r="X34" s="3">
        <v>39.79</v>
      </c>
      <c r="Y34" s="3">
        <v>39.79</v>
      </c>
      <c r="Z34" s="3">
        <v>39.79</v>
      </c>
      <c r="AA34" s="3">
        <v>0</v>
      </c>
      <c r="AB34" s="3" t="s">
        <v>130</v>
      </c>
      <c r="AC34" s="3">
        <v>81</v>
      </c>
      <c r="AD34" s="3">
        <v>39.79</v>
      </c>
      <c r="AE34" s="3">
        <v>0</v>
      </c>
      <c r="AF34" s="3">
        <v>0</v>
      </c>
      <c r="AG34" s="3">
        <v>0</v>
      </c>
      <c r="AH34" s="3">
        <v>0.146067415730337</v>
      </c>
      <c r="AI34" s="3">
        <v>1.679778</v>
      </c>
      <c r="AJ34" s="3" t="s">
        <v>131</v>
      </c>
    </row>
    <row r="35" spans="1:36">
      <c r="A35" s="6">
        <v>43336</v>
      </c>
      <c r="B35" s="3" t="s">
        <v>200</v>
      </c>
      <c r="C35" s="3" t="s">
        <v>201</v>
      </c>
      <c r="D35" s="3" t="s">
        <v>202</v>
      </c>
      <c r="E35" s="3" t="s">
        <v>203</v>
      </c>
      <c r="F35" s="3" t="s">
        <v>127</v>
      </c>
      <c r="G35" s="3">
        <v>108</v>
      </c>
      <c r="H35" s="3">
        <v>0</v>
      </c>
      <c r="I35" s="3">
        <v>0</v>
      </c>
      <c r="J35" s="3">
        <v>0</v>
      </c>
      <c r="K35" s="3">
        <v>0</v>
      </c>
      <c r="L35" s="3">
        <v>108</v>
      </c>
      <c r="M35" s="3">
        <v>0</v>
      </c>
      <c r="N35" s="3" t="s">
        <v>128</v>
      </c>
      <c r="O35" s="3">
        <v>1</v>
      </c>
      <c r="P35" s="3">
        <v>0.03</v>
      </c>
      <c r="Q35" s="3">
        <v>107</v>
      </c>
      <c r="R35" s="3">
        <v>53.5</v>
      </c>
      <c r="S35" s="3">
        <v>3</v>
      </c>
      <c r="T35" s="3">
        <v>14</v>
      </c>
      <c r="U35" s="3">
        <v>20</v>
      </c>
      <c r="V35" s="3">
        <v>20</v>
      </c>
      <c r="W35" s="3" t="s">
        <v>129</v>
      </c>
      <c r="X35" s="3">
        <v>19.99</v>
      </c>
      <c r="Y35" s="3">
        <v>19.99</v>
      </c>
      <c r="Z35" s="3">
        <v>19.99</v>
      </c>
      <c r="AA35" s="3">
        <v>0</v>
      </c>
      <c r="AB35" s="3" t="s">
        <v>130</v>
      </c>
      <c r="AC35" s="3">
        <v>110</v>
      </c>
      <c r="AD35" s="3">
        <v>19.99</v>
      </c>
      <c r="AE35" s="3">
        <v>0</v>
      </c>
      <c r="AF35" s="3">
        <v>0</v>
      </c>
      <c r="AG35" s="3">
        <v>0</v>
      </c>
      <c r="AH35" s="3">
        <v>0.16</v>
      </c>
      <c r="AI35" s="3">
        <v>1.04976</v>
      </c>
      <c r="AJ35" s="3" t="s">
        <v>131</v>
      </c>
    </row>
    <row r="36" spans="1:36">
      <c r="A36" s="6">
        <v>43336</v>
      </c>
      <c r="B36" s="3" t="s">
        <v>204</v>
      </c>
      <c r="C36" s="3" t="s">
        <v>205</v>
      </c>
      <c r="D36" s="3" t="s">
        <v>206</v>
      </c>
      <c r="E36" s="3" t="s">
        <v>207</v>
      </c>
      <c r="F36" s="3" t="s">
        <v>127</v>
      </c>
      <c r="G36" s="3">
        <v>1</v>
      </c>
      <c r="H36" s="3">
        <v>0</v>
      </c>
      <c r="I36" s="3">
        <v>0</v>
      </c>
      <c r="J36" s="3">
        <v>1</v>
      </c>
      <c r="K36" s="3">
        <v>0</v>
      </c>
      <c r="L36" s="3">
        <v>0</v>
      </c>
      <c r="M36" s="3">
        <v>0</v>
      </c>
      <c r="N36" s="3" t="s">
        <v>128</v>
      </c>
      <c r="O36" s="3">
        <v>0</v>
      </c>
      <c r="P36" s="3">
        <v>0</v>
      </c>
      <c r="Q36" s="3">
        <v>0</v>
      </c>
      <c r="R36" s="3">
        <v>0</v>
      </c>
      <c r="S36" s="3">
        <v>3</v>
      </c>
      <c r="T36" s="3">
        <v>29</v>
      </c>
      <c r="U36" s="3">
        <v>36</v>
      </c>
      <c r="V36" s="3">
        <v>38</v>
      </c>
      <c r="W36" s="3"/>
      <c r="X36" s="3"/>
      <c r="Y36" s="3"/>
      <c r="Z36" s="3">
        <v>60</v>
      </c>
      <c r="AA36" s="3">
        <v>-1</v>
      </c>
      <c r="AB36" s="3" t="s">
        <v>132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1.38181818181818</v>
      </c>
      <c r="AI36" s="3">
        <v>0.020069</v>
      </c>
      <c r="AJ36" s="3" t="s">
        <v>131</v>
      </c>
    </row>
    <row r="37" spans="1:36">
      <c r="A37" s="6">
        <v>43336</v>
      </c>
      <c r="B37" s="3" t="s">
        <v>208</v>
      </c>
      <c r="C37" s="3" t="s">
        <v>209</v>
      </c>
      <c r="D37" s="3" t="s">
        <v>209</v>
      </c>
      <c r="E37" s="3" t="s">
        <v>210</v>
      </c>
      <c r="F37" s="3" t="s">
        <v>127</v>
      </c>
      <c r="G37" s="3">
        <v>1</v>
      </c>
      <c r="H37" s="3">
        <v>0</v>
      </c>
      <c r="I37" s="3">
        <v>1</v>
      </c>
      <c r="J37" s="3">
        <v>0</v>
      </c>
      <c r="K37" s="3">
        <v>0</v>
      </c>
      <c r="L37" s="3">
        <v>0</v>
      </c>
      <c r="M37" s="3">
        <v>0</v>
      </c>
      <c r="N37" s="3" t="s">
        <v>128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2</v>
      </c>
      <c r="W37" s="3" t="s">
        <v>139</v>
      </c>
      <c r="X37" s="3">
        <v>42.99</v>
      </c>
      <c r="Y37" s="3">
        <v>42.99</v>
      </c>
      <c r="Z37" s="3">
        <v>42.99</v>
      </c>
      <c r="AA37" s="3">
        <v>0</v>
      </c>
      <c r="AB37" s="3" t="s">
        <v>140</v>
      </c>
      <c r="AC37" s="3">
        <v>0</v>
      </c>
      <c r="AD37" s="3">
        <v>40.8</v>
      </c>
      <c r="AE37" s="3">
        <v>7</v>
      </c>
      <c r="AF37" s="3">
        <v>0</v>
      </c>
      <c r="AG37" s="3">
        <v>139.16831</v>
      </c>
      <c r="AH37" s="3">
        <v>2</v>
      </c>
      <c r="AI37" s="3">
        <v>1.109255</v>
      </c>
      <c r="AJ37" s="3" t="s">
        <v>141</v>
      </c>
    </row>
    <row r="38" spans="1:36">
      <c r="A38" s="6">
        <v>43336</v>
      </c>
      <c r="B38" s="3" t="s">
        <v>12</v>
      </c>
      <c r="C38" s="3" t="s">
        <v>13</v>
      </c>
      <c r="D38" s="3" t="s">
        <v>14</v>
      </c>
      <c r="E38" s="3" t="s">
        <v>15</v>
      </c>
      <c r="F38" s="3" t="s">
        <v>127</v>
      </c>
      <c r="G38" s="3">
        <v>19</v>
      </c>
      <c r="H38" s="3">
        <v>0</v>
      </c>
      <c r="I38" s="3">
        <v>0</v>
      </c>
      <c r="J38" s="3">
        <v>19</v>
      </c>
      <c r="K38" s="3">
        <v>0</v>
      </c>
      <c r="L38" s="3">
        <v>0</v>
      </c>
      <c r="M38" s="3">
        <v>0</v>
      </c>
      <c r="N38" s="3" t="s">
        <v>128</v>
      </c>
      <c r="O38" s="3">
        <v>0</v>
      </c>
      <c r="P38" s="3">
        <v>0</v>
      </c>
      <c r="Q38" s="3">
        <v>0</v>
      </c>
      <c r="R38" s="3">
        <v>0</v>
      </c>
      <c r="S38" s="3">
        <v>30</v>
      </c>
      <c r="T38" s="3">
        <v>48</v>
      </c>
      <c r="U38" s="3">
        <v>61</v>
      </c>
      <c r="V38" s="3">
        <v>61</v>
      </c>
      <c r="W38" s="3"/>
      <c r="X38" s="3">
        <v>35.58</v>
      </c>
      <c r="Y38" s="3">
        <v>35.58</v>
      </c>
      <c r="Z38" s="3">
        <v>35.58</v>
      </c>
      <c r="AA38" s="3">
        <v>0</v>
      </c>
      <c r="AB38" s="3" t="s">
        <v>133</v>
      </c>
      <c r="AC38" s="3">
        <v>31</v>
      </c>
      <c r="AD38" s="3">
        <v>38.36</v>
      </c>
      <c r="AE38" s="3">
        <v>0</v>
      </c>
      <c r="AF38" s="3">
        <v>0</v>
      </c>
      <c r="AG38" s="3">
        <v>0</v>
      </c>
      <c r="AH38" s="3">
        <v>0.984126984126984</v>
      </c>
      <c r="AI38" s="3">
        <v>0.734407</v>
      </c>
      <c r="AJ38" s="3" t="s">
        <v>131</v>
      </c>
    </row>
    <row r="39" spans="1:36">
      <c r="A39" s="6">
        <v>43336</v>
      </c>
      <c r="B39" s="3" t="s">
        <v>211</v>
      </c>
      <c r="C39" s="3" t="s">
        <v>191</v>
      </c>
      <c r="D39" s="3" t="s">
        <v>191</v>
      </c>
      <c r="E39" s="3" t="s">
        <v>192</v>
      </c>
      <c r="F39" s="3" t="s">
        <v>127</v>
      </c>
      <c r="G39" s="3">
        <v>1</v>
      </c>
      <c r="H39" s="3">
        <v>0</v>
      </c>
      <c r="I39" s="3">
        <v>0</v>
      </c>
      <c r="J39" s="3">
        <v>1</v>
      </c>
      <c r="K39" s="3">
        <v>0</v>
      </c>
      <c r="L39" s="3">
        <v>0</v>
      </c>
      <c r="M39" s="3">
        <v>0</v>
      </c>
      <c r="N39" s="3" t="s">
        <v>128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139</v>
      </c>
      <c r="X39" s="3">
        <v>42.99</v>
      </c>
      <c r="Y39" s="3">
        <v>42.99</v>
      </c>
      <c r="Z39" s="3">
        <v>42.99</v>
      </c>
      <c r="AA39" s="3">
        <v>0</v>
      </c>
      <c r="AB39" s="3" t="s">
        <v>140</v>
      </c>
      <c r="AC39" s="3">
        <v>0</v>
      </c>
      <c r="AD39" s="3">
        <v>39.87</v>
      </c>
      <c r="AE39" s="3">
        <v>56</v>
      </c>
      <c r="AF39" s="3">
        <v>0</v>
      </c>
      <c r="AG39" s="3">
        <v>101.55173</v>
      </c>
      <c r="AH39" s="3">
        <v>0.19047619047619</v>
      </c>
      <c r="AI39" s="3">
        <v>0.781066</v>
      </c>
      <c r="AJ39" s="3" t="s">
        <v>141</v>
      </c>
    </row>
    <row r="40" spans="1:36">
      <c r="A40" s="6">
        <v>43336</v>
      </c>
      <c r="B40" s="3" t="s">
        <v>212</v>
      </c>
      <c r="C40" s="3" t="s">
        <v>194</v>
      </c>
      <c r="D40" s="3" t="s">
        <v>194</v>
      </c>
      <c r="E40" s="3" t="s">
        <v>195</v>
      </c>
      <c r="F40" s="3" t="s">
        <v>127</v>
      </c>
      <c r="G40" s="3">
        <v>1</v>
      </c>
      <c r="H40" s="3">
        <v>0</v>
      </c>
      <c r="I40" s="3">
        <v>1</v>
      </c>
      <c r="J40" s="3">
        <v>0</v>
      </c>
      <c r="K40" s="3">
        <v>0</v>
      </c>
      <c r="L40" s="3">
        <v>0</v>
      </c>
      <c r="M40" s="3">
        <v>0</v>
      </c>
      <c r="N40" s="3" t="s">
        <v>128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1</v>
      </c>
      <c r="V40" s="3">
        <v>2</v>
      </c>
      <c r="W40" s="3" t="s">
        <v>139</v>
      </c>
      <c r="X40" s="3">
        <v>34.39</v>
      </c>
      <c r="Y40" s="3">
        <v>34.39</v>
      </c>
      <c r="Z40" s="3">
        <v>34.39</v>
      </c>
      <c r="AA40" s="3">
        <v>0</v>
      </c>
      <c r="AB40" s="3" t="s">
        <v>133</v>
      </c>
      <c r="AC40" s="3">
        <v>1</v>
      </c>
      <c r="AD40" s="3">
        <v>34.39</v>
      </c>
      <c r="AE40" s="3">
        <v>0</v>
      </c>
      <c r="AF40" s="3">
        <v>0</v>
      </c>
      <c r="AG40" s="3">
        <v>0</v>
      </c>
      <c r="AH40" s="3">
        <v>0.205128205128205</v>
      </c>
      <c r="AI40" s="3">
        <v>0.562708</v>
      </c>
      <c r="AJ40" s="3" t="s">
        <v>141</v>
      </c>
    </row>
    <row r="41" spans="1:36">
      <c r="A41" s="6">
        <v>43336</v>
      </c>
      <c r="B41" s="3" t="s">
        <v>213</v>
      </c>
      <c r="C41" s="3" t="s">
        <v>214</v>
      </c>
      <c r="D41" s="3" t="s">
        <v>214</v>
      </c>
      <c r="E41" s="3" t="s">
        <v>215</v>
      </c>
      <c r="F41" s="3" t="s">
        <v>127</v>
      </c>
      <c r="G41" s="3">
        <v>1</v>
      </c>
      <c r="H41" s="3">
        <v>0</v>
      </c>
      <c r="I41" s="3">
        <v>1</v>
      </c>
      <c r="J41" s="3">
        <v>0</v>
      </c>
      <c r="K41" s="3">
        <v>0</v>
      </c>
      <c r="L41" s="3">
        <v>0</v>
      </c>
      <c r="M41" s="3">
        <v>0</v>
      </c>
      <c r="N41" s="3" t="s">
        <v>128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4</v>
      </c>
      <c r="W41" s="3" t="s">
        <v>139</v>
      </c>
      <c r="X41" s="3">
        <v>34.39</v>
      </c>
      <c r="Y41" s="3">
        <v>34.39</v>
      </c>
      <c r="Z41" s="3">
        <v>34.39</v>
      </c>
      <c r="AA41" s="3">
        <v>0</v>
      </c>
      <c r="AB41" s="3" t="s">
        <v>133</v>
      </c>
      <c r="AC41" s="3">
        <v>1</v>
      </c>
      <c r="AD41" s="3">
        <v>34.39</v>
      </c>
      <c r="AE41" s="3">
        <v>0</v>
      </c>
      <c r="AF41" s="3">
        <v>0</v>
      </c>
      <c r="AG41" s="3">
        <v>0</v>
      </c>
      <c r="AH41" s="3">
        <v>0.38095238095238</v>
      </c>
      <c r="AI41" s="3">
        <v>0.781066</v>
      </c>
      <c r="AJ41" s="3" t="s">
        <v>141</v>
      </c>
    </row>
    <row r="42" spans="1:36">
      <c r="A42" s="6">
        <v>43336</v>
      </c>
      <c r="B42" s="3" t="s">
        <v>216</v>
      </c>
      <c r="C42" s="3" t="s">
        <v>217</v>
      </c>
      <c r="D42" s="3" t="s">
        <v>217</v>
      </c>
      <c r="E42" s="3" t="s">
        <v>218</v>
      </c>
      <c r="F42" s="3" t="s">
        <v>127</v>
      </c>
      <c r="G42" s="3">
        <v>2</v>
      </c>
      <c r="H42" s="3">
        <v>0</v>
      </c>
      <c r="I42" s="3">
        <v>0</v>
      </c>
      <c r="J42" s="3">
        <v>2</v>
      </c>
      <c r="K42" s="3">
        <v>0</v>
      </c>
      <c r="L42" s="3">
        <v>0</v>
      </c>
      <c r="M42" s="3">
        <v>0</v>
      </c>
      <c r="N42" s="3" t="s">
        <v>128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1</v>
      </c>
      <c r="V42" s="3">
        <v>2</v>
      </c>
      <c r="W42" s="3" t="s">
        <v>139</v>
      </c>
      <c r="X42" s="3">
        <v>42.99</v>
      </c>
      <c r="Y42" s="3">
        <v>42.99</v>
      </c>
      <c r="Z42" s="3">
        <v>42.99</v>
      </c>
      <c r="AA42" s="3">
        <v>0</v>
      </c>
      <c r="AB42" s="3" t="s">
        <v>140</v>
      </c>
      <c r="AC42" s="3">
        <v>0</v>
      </c>
      <c r="AD42" s="3">
        <v>38.08</v>
      </c>
      <c r="AE42" s="3">
        <v>126</v>
      </c>
      <c r="AF42" s="3">
        <v>0</v>
      </c>
      <c r="AG42" s="3">
        <v>256.176819</v>
      </c>
      <c r="AH42" s="3">
        <v>0.25</v>
      </c>
      <c r="AI42" s="3">
        <v>2.115612</v>
      </c>
      <c r="AJ42" s="3" t="s">
        <v>141</v>
      </c>
    </row>
    <row r="43" spans="1:36">
      <c r="A43" s="6">
        <v>43336</v>
      </c>
      <c r="B43" s="3" t="s">
        <v>60</v>
      </c>
      <c r="C43" s="3" t="s">
        <v>61</v>
      </c>
      <c r="D43" s="3" t="s">
        <v>62</v>
      </c>
      <c r="E43" s="3" t="s">
        <v>63</v>
      </c>
      <c r="F43" s="3" t="s">
        <v>127</v>
      </c>
      <c r="G43" s="3">
        <v>50</v>
      </c>
      <c r="H43" s="3">
        <v>0</v>
      </c>
      <c r="I43" s="3">
        <v>3</v>
      </c>
      <c r="J43" s="3">
        <v>12</v>
      </c>
      <c r="K43" s="3">
        <v>2</v>
      </c>
      <c r="L43" s="3">
        <v>33</v>
      </c>
      <c r="M43" s="3">
        <v>0</v>
      </c>
      <c r="N43" s="3" t="s">
        <v>128</v>
      </c>
      <c r="O43" s="3">
        <v>35</v>
      </c>
      <c r="P43" s="3">
        <v>1.27</v>
      </c>
      <c r="Q43" s="3">
        <v>0</v>
      </c>
      <c r="R43" s="3">
        <v>0</v>
      </c>
      <c r="S43" s="3">
        <v>11</v>
      </c>
      <c r="T43" s="3">
        <v>69</v>
      </c>
      <c r="U43" s="3">
        <v>108</v>
      </c>
      <c r="V43" s="3">
        <v>120</v>
      </c>
      <c r="W43" s="3" t="s">
        <v>129</v>
      </c>
      <c r="X43" s="3">
        <v>13.59</v>
      </c>
      <c r="Y43" s="3">
        <v>13.59</v>
      </c>
      <c r="Z43" s="3">
        <v>13.59</v>
      </c>
      <c r="AA43" s="3">
        <v>0</v>
      </c>
      <c r="AB43" s="3" t="s">
        <v>130</v>
      </c>
      <c r="AC43" s="3">
        <v>55</v>
      </c>
      <c r="AD43" s="3">
        <v>13.59</v>
      </c>
      <c r="AE43" s="3">
        <v>0</v>
      </c>
      <c r="AF43" s="3">
        <v>0</v>
      </c>
      <c r="AG43" s="3">
        <v>0</v>
      </c>
      <c r="AH43" s="3">
        <v>0.92130518234165</v>
      </c>
      <c r="AI43" s="3">
        <v>0.525</v>
      </c>
      <c r="AJ43" s="3" t="s">
        <v>131</v>
      </c>
    </row>
    <row r="44" spans="1:36">
      <c r="A44" s="6">
        <v>43336</v>
      </c>
      <c r="B44" s="3" t="s">
        <v>219</v>
      </c>
      <c r="C44" s="3" t="s">
        <v>220</v>
      </c>
      <c r="D44" s="3" t="s">
        <v>221</v>
      </c>
      <c r="E44" s="3" t="s">
        <v>222</v>
      </c>
      <c r="F44" s="3" t="s">
        <v>127</v>
      </c>
      <c r="G44" s="3">
        <v>131</v>
      </c>
      <c r="H44" s="3">
        <v>0</v>
      </c>
      <c r="I44" s="3">
        <v>1</v>
      </c>
      <c r="J44" s="3">
        <v>1</v>
      </c>
      <c r="K44" s="3">
        <v>1</v>
      </c>
      <c r="L44" s="3">
        <v>128</v>
      </c>
      <c r="M44" s="3">
        <v>0</v>
      </c>
      <c r="N44" s="3" t="s">
        <v>128</v>
      </c>
      <c r="O44" s="3">
        <v>129</v>
      </c>
      <c r="P44" s="3">
        <v>6.52</v>
      </c>
      <c r="Q44" s="3">
        <v>0</v>
      </c>
      <c r="R44" s="3">
        <v>0</v>
      </c>
      <c r="S44" s="3">
        <v>8</v>
      </c>
      <c r="T44" s="3">
        <v>38</v>
      </c>
      <c r="U44" s="3">
        <v>68</v>
      </c>
      <c r="V44" s="3">
        <v>81</v>
      </c>
      <c r="W44" s="3" t="s">
        <v>129</v>
      </c>
      <c r="X44" s="3">
        <v>18.6</v>
      </c>
      <c r="Y44" s="3">
        <v>18.6</v>
      </c>
      <c r="Z44" s="3">
        <v>18.6</v>
      </c>
      <c r="AA44" s="3">
        <v>0</v>
      </c>
      <c r="AB44" s="3" t="s">
        <v>145</v>
      </c>
      <c r="AC44" s="3">
        <v>133</v>
      </c>
      <c r="AD44" s="3">
        <v>18.6</v>
      </c>
      <c r="AE44" s="3">
        <v>0</v>
      </c>
      <c r="AF44" s="3">
        <v>0</v>
      </c>
      <c r="AG44" s="3">
        <v>0</v>
      </c>
      <c r="AH44" s="3">
        <v>0.456981664315937</v>
      </c>
      <c r="AI44" s="3">
        <v>1.918626</v>
      </c>
      <c r="AJ44" s="3" t="s">
        <v>131</v>
      </c>
    </row>
    <row r="45" spans="1:36">
      <c r="A45" s="6">
        <v>43336</v>
      </c>
      <c r="B45" s="3" t="s">
        <v>223</v>
      </c>
      <c r="C45" s="3" t="s">
        <v>224</v>
      </c>
      <c r="D45" s="3" t="s">
        <v>224</v>
      </c>
      <c r="E45" s="3" t="s">
        <v>225</v>
      </c>
      <c r="F45" s="3" t="s">
        <v>127</v>
      </c>
      <c r="G45" s="3">
        <v>2</v>
      </c>
      <c r="H45" s="3">
        <v>0</v>
      </c>
      <c r="I45" s="3">
        <v>1</v>
      </c>
      <c r="J45" s="3">
        <v>1</v>
      </c>
      <c r="K45" s="3">
        <v>0</v>
      </c>
      <c r="L45" s="3">
        <v>0</v>
      </c>
      <c r="M45" s="3">
        <v>0</v>
      </c>
      <c r="N45" s="3" t="s">
        <v>128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139</v>
      </c>
      <c r="X45" s="3">
        <v>42.99</v>
      </c>
      <c r="Y45" s="3">
        <v>42.99</v>
      </c>
      <c r="Z45" s="3">
        <v>34.39</v>
      </c>
      <c r="AA45" s="3">
        <v>0</v>
      </c>
      <c r="AB45" s="3" t="s">
        <v>140</v>
      </c>
      <c r="AC45" s="3">
        <v>0</v>
      </c>
      <c r="AD45" s="3">
        <v>31.28</v>
      </c>
      <c r="AE45" s="3">
        <v>112</v>
      </c>
      <c r="AF45" s="3">
        <v>0</v>
      </c>
      <c r="AG45" s="3">
        <v>144.258756</v>
      </c>
      <c r="AH45" s="3">
        <v>0.5</v>
      </c>
      <c r="AI45" s="3">
        <v>1.125416</v>
      </c>
      <c r="AJ45" s="3" t="s">
        <v>141</v>
      </c>
    </row>
    <row r="46" spans="1:36">
      <c r="A46" s="6">
        <v>43336</v>
      </c>
      <c r="B46" s="3" t="s">
        <v>226</v>
      </c>
      <c r="C46" s="3" t="s">
        <v>172</v>
      </c>
      <c r="D46" s="3" t="s">
        <v>172</v>
      </c>
      <c r="E46" s="3" t="s">
        <v>173</v>
      </c>
      <c r="F46" s="3" t="s">
        <v>127</v>
      </c>
      <c r="G46" s="3">
        <v>1</v>
      </c>
      <c r="H46" s="3">
        <v>0</v>
      </c>
      <c r="I46" s="3">
        <v>0</v>
      </c>
      <c r="J46" s="3">
        <v>1</v>
      </c>
      <c r="K46" s="3">
        <v>0</v>
      </c>
      <c r="L46" s="3">
        <v>0</v>
      </c>
      <c r="M46" s="3">
        <v>0</v>
      </c>
      <c r="N46" s="3" t="s">
        <v>128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 t="s">
        <v>139</v>
      </c>
      <c r="X46" s="3">
        <v>42.99</v>
      </c>
      <c r="Y46" s="3">
        <v>42.99</v>
      </c>
      <c r="Z46" s="3">
        <v>42.99</v>
      </c>
      <c r="AA46" s="3">
        <v>0</v>
      </c>
      <c r="AB46" s="3" t="s">
        <v>140</v>
      </c>
      <c r="AC46" s="3">
        <v>0</v>
      </c>
      <c r="AD46" s="3">
        <v>37</v>
      </c>
      <c r="AE46" s="3">
        <v>168</v>
      </c>
      <c r="AF46" s="3">
        <v>0</v>
      </c>
      <c r="AG46" s="3">
        <v>262.506278</v>
      </c>
      <c r="AH46" s="3">
        <v>0.307692307692307</v>
      </c>
      <c r="AI46" s="3">
        <v>1.109255</v>
      </c>
      <c r="AJ46" s="3" t="s">
        <v>141</v>
      </c>
    </row>
    <row r="47" spans="1:36">
      <c r="A47" s="6">
        <v>43336</v>
      </c>
      <c r="B47" s="3" t="s">
        <v>227</v>
      </c>
      <c r="C47" s="3" t="s">
        <v>224</v>
      </c>
      <c r="D47" s="3" t="s">
        <v>224</v>
      </c>
      <c r="E47" s="3" t="s">
        <v>225</v>
      </c>
      <c r="F47" s="3" t="s">
        <v>127</v>
      </c>
      <c r="G47" s="3">
        <v>2</v>
      </c>
      <c r="H47" s="3">
        <v>0</v>
      </c>
      <c r="I47" s="3">
        <v>1</v>
      </c>
      <c r="J47" s="3">
        <v>1</v>
      </c>
      <c r="K47" s="3">
        <v>0</v>
      </c>
      <c r="L47" s="3">
        <v>0</v>
      </c>
      <c r="M47" s="3">
        <v>0</v>
      </c>
      <c r="N47" s="3" t="s">
        <v>128</v>
      </c>
      <c r="O47" s="3">
        <v>0</v>
      </c>
      <c r="P47" s="3">
        <v>0</v>
      </c>
      <c r="Q47" s="3">
        <v>0</v>
      </c>
      <c r="R47" s="3">
        <v>0</v>
      </c>
      <c r="S47" s="3">
        <v>1</v>
      </c>
      <c r="T47" s="3">
        <v>1</v>
      </c>
      <c r="U47" s="3">
        <v>1</v>
      </c>
      <c r="V47" s="3">
        <v>3</v>
      </c>
      <c r="W47" s="3"/>
      <c r="X47" s="3">
        <v>34.39</v>
      </c>
      <c r="Y47" s="3">
        <v>34.39</v>
      </c>
      <c r="Z47" s="3">
        <v>34.39</v>
      </c>
      <c r="AA47" s="3">
        <v>0</v>
      </c>
      <c r="AB47" s="3" t="s">
        <v>140</v>
      </c>
      <c r="AC47" s="3">
        <v>0</v>
      </c>
      <c r="AD47" s="3">
        <v>31.28</v>
      </c>
      <c r="AE47" s="3">
        <v>112</v>
      </c>
      <c r="AF47" s="3">
        <v>0</v>
      </c>
      <c r="AG47" s="3">
        <v>144.258756</v>
      </c>
      <c r="AH47" s="3">
        <v>0.5</v>
      </c>
      <c r="AI47" s="3">
        <v>1.125416</v>
      </c>
      <c r="AJ47" s="3" t="s">
        <v>141</v>
      </c>
    </row>
    <row r="48" spans="1:36">
      <c r="A48" s="6">
        <v>43336</v>
      </c>
      <c r="B48" s="3" t="s">
        <v>228</v>
      </c>
      <c r="C48" s="3" t="s">
        <v>187</v>
      </c>
      <c r="D48" s="3" t="s">
        <v>187</v>
      </c>
      <c r="E48" s="3" t="s">
        <v>188</v>
      </c>
      <c r="F48" s="3" t="s">
        <v>127</v>
      </c>
      <c r="G48" s="3">
        <v>2</v>
      </c>
      <c r="H48" s="3">
        <v>0</v>
      </c>
      <c r="I48" s="3">
        <v>0</v>
      </c>
      <c r="J48" s="3">
        <v>1</v>
      </c>
      <c r="K48" s="3">
        <v>1</v>
      </c>
      <c r="L48" s="3">
        <v>0</v>
      </c>
      <c r="M48" s="3">
        <v>0</v>
      </c>
      <c r="N48" s="3" t="s">
        <v>128</v>
      </c>
      <c r="O48" s="3">
        <v>1</v>
      </c>
      <c r="P48" s="3">
        <v>2.69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139</v>
      </c>
      <c r="X48" s="3">
        <v>40.04</v>
      </c>
      <c r="Y48" s="3">
        <v>40.04</v>
      </c>
      <c r="Z48" s="3">
        <v>40.04</v>
      </c>
      <c r="AA48" s="3">
        <v>0</v>
      </c>
      <c r="AB48" s="3" t="s">
        <v>133</v>
      </c>
      <c r="AC48" s="3">
        <v>2</v>
      </c>
      <c r="AD48" s="3">
        <v>40.04</v>
      </c>
      <c r="AE48" s="3">
        <v>0</v>
      </c>
      <c r="AF48" s="3">
        <v>0</v>
      </c>
      <c r="AG48" s="3">
        <v>0</v>
      </c>
      <c r="AH48" s="3">
        <v>0</v>
      </c>
      <c r="AI48" s="3">
        <v>1.562132</v>
      </c>
      <c r="AJ48" s="3" t="s">
        <v>141</v>
      </c>
    </row>
    <row r="49" spans="1:36">
      <c r="A49" s="6">
        <v>43336</v>
      </c>
      <c r="B49" s="3" t="s">
        <v>229</v>
      </c>
      <c r="C49" s="3" t="s">
        <v>147</v>
      </c>
      <c r="D49" s="3" t="s">
        <v>147</v>
      </c>
      <c r="E49" s="3" t="s">
        <v>148</v>
      </c>
      <c r="F49" s="3" t="s">
        <v>127</v>
      </c>
      <c r="G49" s="3">
        <v>2</v>
      </c>
      <c r="H49" s="3">
        <v>0</v>
      </c>
      <c r="I49" s="3">
        <v>0</v>
      </c>
      <c r="J49" s="3">
        <v>2</v>
      </c>
      <c r="K49" s="3">
        <v>0</v>
      </c>
      <c r="L49" s="3">
        <v>0</v>
      </c>
      <c r="M49" s="3">
        <v>0</v>
      </c>
      <c r="N49" s="3" t="s">
        <v>128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 t="s">
        <v>139</v>
      </c>
      <c r="X49" s="3">
        <v>42.99</v>
      </c>
      <c r="Y49" s="3">
        <v>42.99</v>
      </c>
      <c r="Z49" s="3">
        <v>39.99</v>
      </c>
      <c r="AA49" s="3">
        <v>0</v>
      </c>
      <c r="AB49" s="3" t="s">
        <v>140</v>
      </c>
      <c r="AC49" s="3">
        <v>2</v>
      </c>
      <c r="AD49" s="3">
        <v>39.99</v>
      </c>
      <c r="AE49" s="3">
        <v>0</v>
      </c>
      <c r="AF49" s="3">
        <v>0</v>
      </c>
      <c r="AG49" s="3">
        <v>0</v>
      </c>
      <c r="AH49" s="3">
        <v>0.222222222222222</v>
      </c>
      <c r="AI49" s="3">
        <v>1.562132</v>
      </c>
      <c r="AJ49" s="3" t="s">
        <v>149</v>
      </c>
    </row>
    <row r="50" spans="1:36">
      <c r="A50" s="6">
        <v>43336</v>
      </c>
      <c r="B50" s="3" t="s">
        <v>32</v>
      </c>
      <c r="C50" s="3" t="s">
        <v>33</v>
      </c>
      <c r="D50" s="3" t="s">
        <v>34</v>
      </c>
      <c r="E50" s="3" t="s">
        <v>35</v>
      </c>
      <c r="F50" s="3" t="s">
        <v>127</v>
      </c>
      <c r="G50" s="3">
        <v>20</v>
      </c>
      <c r="H50" s="3">
        <v>0</v>
      </c>
      <c r="I50" s="3">
        <v>1</v>
      </c>
      <c r="J50" s="3">
        <v>1</v>
      </c>
      <c r="K50" s="3">
        <v>1</v>
      </c>
      <c r="L50" s="3">
        <v>17</v>
      </c>
      <c r="M50" s="3">
        <v>0</v>
      </c>
      <c r="N50" s="3" t="s">
        <v>128</v>
      </c>
      <c r="O50" s="3">
        <v>18</v>
      </c>
      <c r="P50" s="3">
        <v>1.25</v>
      </c>
      <c r="Q50" s="3">
        <v>0</v>
      </c>
      <c r="R50" s="3">
        <v>0</v>
      </c>
      <c r="S50" s="3">
        <v>9</v>
      </c>
      <c r="T50" s="3">
        <v>20</v>
      </c>
      <c r="U50" s="3">
        <v>41</v>
      </c>
      <c r="V50" s="3">
        <v>59</v>
      </c>
      <c r="W50" s="3" t="s">
        <v>129</v>
      </c>
      <c r="X50" s="3">
        <v>36.99</v>
      </c>
      <c r="Y50" s="3">
        <v>36.99</v>
      </c>
      <c r="Z50" s="3">
        <v>36.99</v>
      </c>
      <c r="AA50" s="3">
        <v>0</v>
      </c>
      <c r="AB50" s="3" t="s">
        <v>130</v>
      </c>
      <c r="AC50" s="3">
        <v>23</v>
      </c>
      <c r="AD50" s="3">
        <v>36.99</v>
      </c>
      <c r="AE50" s="3">
        <v>0</v>
      </c>
      <c r="AF50" s="3">
        <v>0</v>
      </c>
      <c r="AG50" s="3">
        <v>0</v>
      </c>
      <c r="AH50" s="3">
        <v>1.15686274509803</v>
      </c>
      <c r="AI50" s="3">
        <v>0.40138</v>
      </c>
      <c r="AJ50" s="3" t="s">
        <v>131</v>
      </c>
    </row>
    <row r="51" spans="1:36">
      <c r="A51" s="6">
        <v>43336</v>
      </c>
      <c r="B51" s="3" t="s">
        <v>230</v>
      </c>
      <c r="C51" s="3" t="s">
        <v>159</v>
      </c>
      <c r="D51" s="3" t="s">
        <v>159</v>
      </c>
      <c r="E51" s="3" t="s">
        <v>160</v>
      </c>
      <c r="F51" s="3" t="s">
        <v>127</v>
      </c>
      <c r="G51" s="3">
        <v>3</v>
      </c>
      <c r="H51" s="3">
        <v>0</v>
      </c>
      <c r="I51" s="3">
        <v>1</v>
      </c>
      <c r="J51" s="3">
        <v>2</v>
      </c>
      <c r="K51" s="3">
        <v>0</v>
      </c>
      <c r="L51" s="3">
        <v>0</v>
      </c>
      <c r="M51" s="3">
        <v>0</v>
      </c>
      <c r="N51" s="3" t="s">
        <v>128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 t="s">
        <v>139</v>
      </c>
      <c r="X51" s="3">
        <v>42.99</v>
      </c>
      <c r="Y51" s="3">
        <v>42.99</v>
      </c>
      <c r="Z51" s="3">
        <v>39.99</v>
      </c>
      <c r="AA51" s="3">
        <v>0</v>
      </c>
      <c r="AB51" s="3" t="s">
        <v>140</v>
      </c>
      <c r="AC51" s="3">
        <v>0</v>
      </c>
      <c r="AD51" s="3">
        <v>33.35</v>
      </c>
      <c r="AE51" s="3">
        <v>168</v>
      </c>
      <c r="AF51" s="3">
        <v>0</v>
      </c>
      <c r="AG51" s="3">
        <v>216.932113</v>
      </c>
      <c r="AH51" s="3">
        <v>0</v>
      </c>
      <c r="AI51" s="3">
        <v>1.688124</v>
      </c>
      <c r="AJ51" s="3" t="s">
        <v>141</v>
      </c>
    </row>
    <row r="52" spans="1:36">
      <c r="A52" s="6">
        <v>43336</v>
      </c>
      <c r="B52" s="3" t="s">
        <v>231</v>
      </c>
      <c r="C52" s="3" t="s">
        <v>232</v>
      </c>
      <c r="D52" s="3" t="s">
        <v>232</v>
      </c>
      <c r="E52" s="3" t="s">
        <v>233</v>
      </c>
      <c r="F52" s="3" t="s">
        <v>127</v>
      </c>
      <c r="G52" s="3">
        <v>1</v>
      </c>
      <c r="H52" s="3">
        <v>0</v>
      </c>
      <c r="I52" s="3">
        <v>1</v>
      </c>
      <c r="J52" s="3">
        <v>0</v>
      </c>
      <c r="K52" s="3">
        <v>0</v>
      </c>
      <c r="L52" s="3">
        <v>0</v>
      </c>
      <c r="M52" s="3">
        <v>0</v>
      </c>
      <c r="N52" s="3" t="s">
        <v>128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139</v>
      </c>
      <c r="X52" s="3">
        <v>42.99</v>
      </c>
      <c r="Y52" s="3">
        <v>42.99</v>
      </c>
      <c r="Z52" s="3">
        <v>38.39</v>
      </c>
      <c r="AA52" s="3">
        <v>0</v>
      </c>
      <c r="AB52" s="3" t="s">
        <v>140</v>
      </c>
      <c r="AC52" s="3">
        <v>1</v>
      </c>
      <c r="AD52" s="3">
        <v>38.39</v>
      </c>
      <c r="AE52" s="3">
        <v>0</v>
      </c>
      <c r="AF52" s="3">
        <v>0</v>
      </c>
      <c r="AG52" s="3">
        <v>0</v>
      </c>
      <c r="AH52" s="3">
        <v>0</v>
      </c>
      <c r="AI52" s="3">
        <v>0.562708</v>
      </c>
      <c r="AJ52" s="3" t="s">
        <v>141</v>
      </c>
    </row>
    <row r="53" spans="1:36">
      <c r="A53" s="6">
        <v>43336</v>
      </c>
      <c r="B53" s="3" t="s">
        <v>234</v>
      </c>
      <c r="C53" s="3" t="s">
        <v>217</v>
      </c>
      <c r="D53" s="3" t="s">
        <v>217</v>
      </c>
      <c r="E53" s="3" t="s">
        <v>218</v>
      </c>
      <c r="F53" s="3" t="s">
        <v>127</v>
      </c>
      <c r="G53" s="3">
        <v>2</v>
      </c>
      <c r="H53" s="3">
        <v>0</v>
      </c>
      <c r="I53" s="3">
        <v>0</v>
      </c>
      <c r="J53" s="3">
        <v>2</v>
      </c>
      <c r="K53" s="3">
        <v>0</v>
      </c>
      <c r="L53" s="3">
        <v>0</v>
      </c>
      <c r="M53" s="3">
        <v>0</v>
      </c>
      <c r="N53" s="3" t="s">
        <v>128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139</v>
      </c>
      <c r="X53" s="3">
        <v>42.99</v>
      </c>
      <c r="Y53" s="3">
        <v>42.99</v>
      </c>
      <c r="Z53" s="3">
        <v>42.99</v>
      </c>
      <c r="AA53" s="3">
        <v>0</v>
      </c>
      <c r="AB53" s="3" t="s">
        <v>140</v>
      </c>
      <c r="AC53" s="3">
        <v>0</v>
      </c>
      <c r="AD53" s="3">
        <v>38.08</v>
      </c>
      <c r="AE53" s="3">
        <v>126</v>
      </c>
      <c r="AF53" s="3">
        <v>0</v>
      </c>
      <c r="AG53" s="3">
        <v>256.176819</v>
      </c>
      <c r="AH53" s="3">
        <v>0.25</v>
      </c>
      <c r="AI53" s="3">
        <v>2.115612</v>
      </c>
      <c r="AJ53" s="3" t="s">
        <v>141</v>
      </c>
    </row>
    <row r="54" spans="1:36">
      <c r="A54" s="6">
        <v>43336</v>
      </c>
      <c r="B54" s="3" t="s">
        <v>235</v>
      </c>
      <c r="C54" s="3" t="s">
        <v>236</v>
      </c>
      <c r="D54" s="3" t="s">
        <v>236</v>
      </c>
      <c r="E54" s="3" t="s">
        <v>237</v>
      </c>
      <c r="F54" s="3" t="s">
        <v>127</v>
      </c>
      <c r="G54" s="3">
        <v>2</v>
      </c>
      <c r="H54" s="3">
        <v>0</v>
      </c>
      <c r="I54" s="3">
        <v>0</v>
      </c>
      <c r="J54" s="3">
        <v>2</v>
      </c>
      <c r="K54" s="3">
        <v>0</v>
      </c>
      <c r="L54" s="3">
        <v>0</v>
      </c>
      <c r="M54" s="3">
        <v>0</v>
      </c>
      <c r="N54" s="3" t="s">
        <v>128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 t="s">
        <v>139</v>
      </c>
      <c r="X54" s="3">
        <v>42.99</v>
      </c>
      <c r="Y54" s="3">
        <v>42.99</v>
      </c>
      <c r="Z54" s="3">
        <v>34.39</v>
      </c>
      <c r="AA54" s="3">
        <v>0</v>
      </c>
      <c r="AB54" s="3" t="s">
        <v>140</v>
      </c>
      <c r="AC54" s="3">
        <v>2</v>
      </c>
      <c r="AD54" s="3">
        <v>34.39</v>
      </c>
      <c r="AE54" s="3">
        <v>0</v>
      </c>
      <c r="AF54" s="3">
        <v>0</v>
      </c>
      <c r="AG54" s="3">
        <v>0</v>
      </c>
      <c r="AH54" s="3">
        <v>0.17391304347826</v>
      </c>
      <c r="AI54" s="3">
        <v>1.125416</v>
      </c>
      <c r="AJ54" s="3" t="s">
        <v>141</v>
      </c>
    </row>
    <row r="55" spans="1:36">
      <c r="A55" s="6">
        <v>43336</v>
      </c>
      <c r="B55" s="3" t="s">
        <v>238</v>
      </c>
      <c r="C55" s="3" t="s">
        <v>239</v>
      </c>
      <c r="D55" s="3" t="s">
        <v>240</v>
      </c>
      <c r="E55" s="3" t="s">
        <v>241</v>
      </c>
      <c r="F55" s="3" t="s">
        <v>127</v>
      </c>
      <c r="G55" s="3">
        <v>53</v>
      </c>
      <c r="H55" s="3">
        <v>0</v>
      </c>
      <c r="I55" s="3">
        <v>0</v>
      </c>
      <c r="J55" s="3">
        <v>0</v>
      </c>
      <c r="K55" s="3">
        <v>0</v>
      </c>
      <c r="L55" s="3">
        <v>53</v>
      </c>
      <c r="M55" s="3">
        <v>0</v>
      </c>
      <c r="N55" s="3" t="s">
        <v>128</v>
      </c>
      <c r="O55" s="3">
        <v>1</v>
      </c>
      <c r="P55" s="3">
        <v>0.07</v>
      </c>
      <c r="Q55" s="3">
        <v>52</v>
      </c>
      <c r="R55" s="3">
        <v>26</v>
      </c>
      <c r="S55" s="3">
        <v>0</v>
      </c>
      <c r="T55" s="3">
        <v>4</v>
      </c>
      <c r="U55" s="3">
        <v>7</v>
      </c>
      <c r="V55" s="3">
        <v>8</v>
      </c>
      <c r="W55" s="3" t="s">
        <v>129</v>
      </c>
      <c r="X55" s="3">
        <v>37.59</v>
      </c>
      <c r="Y55" s="3">
        <v>37.59</v>
      </c>
      <c r="Z55" s="3">
        <v>37.59</v>
      </c>
      <c r="AA55" s="3">
        <v>0</v>
      </c>
      <c r="AB55" s="3" t="s">
        <v>130</v>
      </c>
      <c r="AC55" s="3">
        <v>54</v>
      </c>
      <c r="AD55" s="3">
        <v>37.59</v>
      </c>
      <c r="AE55" s="3">
        <v>0</v>
      </c>
      <c r="AF55" s="3">
        <v>0</v>
      </c>
      <c r="AG55" s="3">
        <v>0</v>
      </c>
      <c r="AH55" s="3">
        <v>0.136752136752136</v>
      </c>
      <c r="AI55" s="3">
        <v>1.09498</v>
      </c>
      <c r="AJ55" s="3" t="s">
        <v>131</v>
      </c>
    </row>
    <row r="56" spans="1:36">
      <c r="A56" s="6">
        <v>43336</v>
      </c>
      <c r="B56" s="3" t="s">
        <v>242</v>
      </c>
      <c r="C56" s="3" t="s">
        <v>243</v>
      </c>
      <c r="D56" s="3" t="s">
        <v>244</v>
      </c>
      <c r="E56" s="3" t="s">
        <v>245</v>
      </c>
      <c r="F56" s="3" t="s">
        <v>127</v>
      </c>
      <c r="G56" s="3">
        <v>76</v>
      </c>
      <c r="H56" s="3">
        <v>0</v>
      </c>
      <c r="I56" s="3">
        <v>0</v>
      </c>
      <c r="J56" s="3">
        <v>76</v>
      </c>
      <c r="K56" s="3">
        <v>0</v>
      </c>
      <c r="L56" s="3">
        <v>0</v>
      </c>
      <c r="M56" s="3">
        <v>0</v>
      </c>
      <c r="N56" s="3" t="s">
        <v>128</v>
      </c>
      <c r="O56" s="3">
        <v>0</v>
      </c>
      <c r="P56" s="3">
        <v>0</v>
      </c>
      <c r="Q56" s="3">
        <v>0</v>
      </c>
      <c r="R56" s="3">
        <v>0</v>
      </c>
      <c r="S56" s="3">
        <v>7</v>
      </c>
      <c r="T56" s="3">
        <v>23</v>
      </c>
      <c r="U56" s="3">
        <v>34</v>
      </c>
      <c r="V56" s="3">
        <v>36</v>
      </c>
      <c r="W56" s="3" t="s">
        <v>129</v>
      </c>
      <c r="X56" s="3">
        <v>17.6</v>
      </c>
      <c r="Y56" s="3">
        <v>17.6</v>
      </c>
      <c r="Z56" s="3">
        <v>17.6</v>
      </c>
      <c r="AA56" s="3">
        <v>0</v>
      </c>
      <c r="AB56" s="3" t="s">
        <v>145</v>
      </c>
      <c r="AC56" s="3">
        <v>81</v>
      </c>
      <c r="AD56" s="3">
        <v>17.6</v>
      </c>
      <c r="AE56" s="3">
        <v>0</v>
      </c>
      <c r="AF56" s="3">
        <v>0</v>
      </c>
      <c r="AG56" s="3">
        <v>0</v>
      </c>
      <c r="AH56" s="3">
        <v>0.557077625570776</v>
      </c>
      <c r="AI56" s="3">
        <v>0.986935999999999</v>
      </c>
      <c r="AJ56" s="3" t="s">
        <v>131</v>
      </c>
    </row>
    <row r="57" spans="1:36">
      <c r="A57" s="6">
        <v>43336</v>
      </c>
      <c r="B57" s="3" t="s">
        <v>246</v>
      </c>
      <c r="C57" s="3" t="s">
        <v>232</v>
      </c>
      <c r="D57" s="3" t="s">
        <v>232</v>
      </c>
      <c r="E57" s="3" t="s">
        <v>233</v>
      </c>
      <c r="F57" s="3" t="s">
        <v>127</v>
      </c>
      <c r="G57" s="3">
        <v>1</v>
      </c>
      <c r="H57" s="3">
        <v>0</v>
      </c>
      <c r="I57" s="3">
        <v>1</v>
      </c>
      <c r="J57" s="3">
        <v>0</v>
      </c>
      <c r="K57" s="3">
        <v>0</v>
      </c>
      <c r="L57" s="3">
        <v>0</v>
      </c>
      <c r="M57" s="3">
        <v>0</v>
      </c>
      <c r="N57" s="3" t="s">
        <v>128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139</v>
      </c>
      <c r="X57" s="3">
        <v>38.39</v>
      </c>
      <c r="Y57" s="3">
        <v>38.39</v>
      </c>
      <c r="Z57" s="3">
        <v>38.39</v>
      </c>
      <c r="AA57" s="3">
        <v>0</v>
      </c>
      <c r="AB57" s="3" t="s">
        <v>133</v>
      </c>
      <c r="AC57" s="3">
        <v>1</v>
      </c>
      <c r="AD57" s="3">
        <v>38.39</v>
      </c>
      <c r="AE57" s="3">
        <v>0</v>
      </c>
      <c r="AF57" s="3">
        <v>0</v>
      </c>
      <c r="AG57" s="3">
        <v>0</v>
      </c>
      <c r="AH57" s="3">
        <v>0</v>
      </c>
      <c r="AI57" s="3">
        <v>0.562708</v>
      </c>
      <c r="AJ57" s="3" t="s">
        <v>141</v>
      </c>
    </row>
    <row r="58" spans="1:36">
      <c r="A58" s="6">
        <v>43336</v>
      </c>
      <c r="B58" s="3" t="s">
        <v>28</v>
      </c>
      <c r="C58" s="3" t="s">
        <v>29</v>
      </c>
      <c r="D58" s="3" t="s">
        <v>30</v>
      </c>
      <c r="E58" s="3" t="s">
        <v>31</v>
      </c>
      <c r="F58" s="3" t="s">
        <v>127</v>
      </c>
      <c r="G58" s="3">
        <v>41</v>
      </c>
      <c r="H58" s="3">
        <v>0</v>
      </c>
      <c r="I58" s="3">
        <v>11</v>
      </c>
      <c r="J58" s="3">
        <v>0</v>
      </c>
      <c r="K58" s="3">
        <v>1</v>
      </c>
      <c r="L58" s="3">
        <v>29</v>
      </c>
      <c r="M58" s="3">
        <v>0</v>
      </c>
      <c r="N58" s="3" t="s">
        <v>128</v>
      </c>
      <c r="O58" s="3">
        <v>30</v>
      </c>
      <c r="P58" s="3">
        <v>9.08</v>
      </c>
      <c r="Q58" s="3">
        <v>0</v>
      </c>
      <c r="R58" s="3">
        <v>0</v>
      </c>
      <c r="S58" s="3">
        <v>5</v>
      </c>
      <c r="T58" s="3">
        <v>26</v>
      </c>
      <c r="U58" s="3">
        <v>40</v>
      </c>
      <c r="V58" s="3">
        <v>55</v>
      </c>
      <c r="W58" s="3" t="s">
        <v>129</v>
      </c>
      <c r="X58" s="3">
        <v>18</v>
      </c>
      <c r="Y58" s="3">
        <v>18</v>
      </c>
      <c r="Z58" s="3">
        <v>18</v>
      </c>
      <c r="AA58" s="3">
        <v>0</v>
      </c>
      <c r="AB58" s="3" t="s">
        <v>130</v>
      </c>
      <c r="AC58" s="3">
        <v>42</v>
      </c>
      <c r="AD58" s="3">
        <v>18</v>
      </c>
      <c r="AE58" s="3">
        <v>0</v>
      </c>
      <c r="AF58" s="3">
        <v>0</v>
      </c>
      <c r="AG58" s="3">
        <v>0</v>
      </c>
      <c r="AH58" s="3">
        <v>0.687058823529411</v>
      </c>
      <c r="AI58" s="3">
        <v>3.60115299999999</v>
      </c>
      <c r="AJ58" s="3" t="s">
        <v>131</v>
      </c>
    </row>
    <row r="59" spans="1:36">
      <c r="A59" s="6">
        <v>43336</v>
      </c>
      <c r="B59" s="3" t="s">
        <v>247</v>
      </c>
      <c r="C59" s="3" t="s">
        <v>248</v>
      </c>
      <c r="D59" s="3" t="s">
        <v>249</v>
      </c>
      <c r="E59" s="3" t="s">
        <v>250</v>
      </c>
      <c r="F59" s="3" t="s">
        <v>127</v>
      </c>
      <c r="G59" s="3">
        <v>1</v>
      </c>
      <c r="H59" s="3">
        <v>0</v>
      </c>
      <c r="I59" s="3">
        <v>1</v>
      </c>
      <c r="J59" s="3">
        <v>0</v>
      </c>
      <c r="K59" s="3">
        <v>0</v>
      </c>
      <c r="L59" s="3">
        <v>0</v>
      </c>
      <c r="M59" s="3">
        <v>0</v>
      </c>
      <c r="N59" s="3" t="s">
        <v>128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24</v>
      </c>
      <c r="U59" s="3">
        <v>88</v>
      </c>
      <c r="V59" s="3">
        <v>110</v>
      </c>
      <c r="W59" s="3"/>
      <c r="X59" s="3">
        <v>44.78</v>
      </c>
      <c r="Y59" s="3">
        <v>44.78</v>
      </c>
      <c r="Z59" s="3">
        <v>44.78</v>
      </c>
      <c r="AA59" s="3">
        <v>0</v>
      </c>
      <c r="AB59" s="3" t="s">
        <v>133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2.89473684210526</v>
      </c>
      <c r="AI59" s="3">
        <v>0.074675</v>
      </c>
      <c r="AJ59" s="3" t="s">
        <v>131</v>
      </c>
    </row>
    <row r="60" spans="1:36">
      <c r="A60" s="6">
        <v>43336</v>
      </c>
      <c r="B60" s="3" t="s">
        <v>48</v>
      </c>
      <c r="C60" s="3" t="s">
        <v>49</v>
      </c>
      <c r="D60" s="3" t="s">
        <v>50</v>
      </c>
      <c r="E60" s="3" t="s">
        <v>51</v>
      </c>
      <c r="F60" s="3" t="s">
        <v>127</v>
      </c>
      <c r="G60" s="3">
        <v>11</v>
      </c>
      <c r="H60" s="3">
        <v>0</v>
      </c>
      <c r="I60" s="3">
        <v>1</v>
      </c>
      <c r="J60" s="3">
        <v>10</v>
      </c>
      <c r="K60" s="3">
        <v>0</v>
      </c>
      <c r="L60" s="3">
        <v>0</v>
      </c>
      <c r="M60" s="3">
        <v>0</v>
      </c>
      <c r="N60" s="3" t="s">
        <v>128</v>
      </c>
      <c r="O60" s="3">
        <v>0</v>
      </c>
      <c r="P60" s="3">
        <v>0</v>
      </c>
      <c r="Q60" s="3">
        <v>0</v>
      </c>
      <c r="R60" s="3">
        <v>0</v>
      </c>
      <c r="S60" s="3">
        <v>1</v>
      </c>
      <c r="T60" s="3">
        <v>38</v>
      </c>
      <c r="U60" s="3">
        <v>72</v>
      </c>
      <c r="V60" s="3">
        <v>83</v>
      </c>
      <c r="W60" s="3" t="s">
        <v>129</v>
      </c>
      <c r="X60" s="3">
        <v>26.85</v>
      </c>
      <c r="Y60" s="3">
        <v>26.85</v>
      </c>
      <c r="Z60" s="3">
        <v>26.85</v>
      </c>
      <c r="AA60" s="3">
        <v>0</v>
      </c>
      <c r="AB60" s="3" t="s">
        <v>130</v>
      </c>
      <c r="AC60" s="3">
        <v>11</v>
      </c>
      <c r="AD60" s="3">
        <v>26.63</v>
      </c>
      <c r="AE60" s="3">
        <v>0</v>
      </c>
      <c r="AF60" s="3">
        <v>0</v>
      </c>
      <c r="AG60" s="3">
        <v>0</v>
      </c>
      <c r="AH60" s="3">
        <v>1.38333333333333</v>
      </c>
      <c r="AI60" s="3">
        <v>0.130581</v>
      </c>
      <c r="AJ60" s="3" t="s">
        <v>131</v>
      </c>
    </row>
    <row r="61" spans="1:36">
      <c r="A61" s="6">
        <v>43336</v>
      </c>
      <c r="B61" s="3" t="s">
        <v>251</v>
      </c>
      <c r="C61" s="3" t="s">
        <v>236</v>
      </c>
      <c r="D61" s="3" t="s">
        <v>236</v>
      </c>
      <c r="E61" s="3" t="s">
        <v>237</v>
      </c>
      <c r="F61" s="3" t="s">
        <v>127</v>
      </c>
      <c r="G61" s="3">
        <v>2</v>
      </c>
      <c r="H61" s="3">
        <v>0</v>
      </c>
      <c r="I61" s="3">
        <v>0</v>
      </c>
      <c r="J61" s="3">
        <v>2</v>
      </c>
      <c r="K61" s="3">
        <v>0</v>
      </c>
      <c r="L61" s="3">
        <v>0</v>
      </c>
      <c r="M61" s="3">
        <v>0</v>
      </c>
      <c r="N61" s="3" t="s">
        <v>128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2</v>
      </c>
      <c r="W61" s="3" t="s">
        <v>139</v>
      </c>
      <c r="X61" s="3">
        <v>34.39</v>
      </c>
      <c r="Y61" s="3">
        <v>34.39</v>
      </c>
      <c r="Z61" s="3">
        <v>34.39</v>
      </c>
      <c r="AA61" s="3">
        <v>0</v>
      </c>
      <c r="AB61" s="3" t="s">
        <v>133</v>
      </c>
      <c r="AC61" s="3">
        <v>2</v>
      </c>
      <c r="AD61" s="3">
        <v>34.39</v>
      </c>
      <c r="AE61" s="3">
        <v>0</v>
      </c>
      <c r="AF61" s="3">
        <v>0</v>
      </c>
      <c r="AG61" s="3">
        <v>0</v>
      </c>
      <c r="AH61" s="3">
        <v>0.17391304347826</v>
      </c>
      <c r="AI61" s="3">
        <v>1.125416</v>
      </c>
      <c r="AJ61" s="3" t="s">
        <v>141</v>
      </c>
    </row>
    <row r="62" spans="1:36">
      <c r="A62" s="6">
        <v>43336</v>
      </c>
      <c r="B62" s="3" t="s">
        <v>252</v>
      </c>
      <c r="C62" s="3" t="s">
        <v>253</v>
      </c>
      <c r="D62" s="3" t="s">
        <v>254</v>
      </c>
      <c r="E62" s="3" t="s">
        <v>255</v>
      </c>
      <c r="F62" s="3" t="s">
        <v>127</v>
      </c>
      <c r="G62" s="3">
        <v>13</v>
      </c>
      <c r="H62" s="3">
        <v>0</v>
      </c>
      <c r="I62" s="3">
        <v>1</v>
      </c>
      <c r="J62" s="3">
        <v>12</v>
      </c>
      <c r="K62" s="3">
        <v>0</v>
      </c>
      <c r="L62" s="3">
        <v>0</v>
      </c>
      <c r="M62" s="3">
        <v>0</v>
      </c>
      <c r="N62" s="3" t="s">
        <v>128</v>
      </c>
      <c r="O62" s="3">
        <v>0</v>
      </c>
      <c r="P62" s="3">
        <v>0</v>
      </c>
      <c r="Q62" s="3">
        <v>0</v>
      </c>
      <c r="R62" s="3">
        <v>0</v>
      </c>
      <c r="S62" s="3">
        <v>2</v>
      </c>
      <c r="T62" s="3">
        <v>17</v>
      </c>
      <c r="U62" s="3">
        <v>26</v>
      </c>
      <c r="V62" s="3">
        <v>26</v>
      </c>
      <c r="W62" s="3" t="s">
        <v>129</v>
      </c>
      <c r="X62" s="3">
        <v>16.2</v>
      </c>
      <c r="Y62" s="3">
        <v>16.2</v>
      </c>
      <c r="Z62" s="3">
        <v>16.2</v>
      </c>
      <c r="AA62" s="3">
        <v>0</v>
      </c>
      <c r="AB62" s="3" t="s">
        <v>130</v>
      </c>
      <c r="AC62" s="3">
        <v>12</v>
      </c>
      <c r="AD62" s="3">
        <v>16.07</v>
      </c>
      <c r="AE62" s="3">
        <v>0</v>
      </c>
      <c r="AF62" s="3">
        <v>0</v>
      </c>
      <c r="AG62" s="3">
        <v>0</v>
      </c>
      <c r="AH62" s="3">
        <v>0.838709677419354</v>
      </c>
      <c r="AI62" s="3">
        <v>0.328367</v>
      </c>
      <c r="AJ62" s="3" t="s">
        <v>131</v>
      </c>
    </row>
    <row r="63" spans="1:36">
      <c r="A63" s="6">
        <v>43336</v>
      </c>
      <c r="B63" s="3" t="s">
        <v>83</v>
      </c>
      <c r="C63" s="3" t="s">
        <v>84</v>
      </c>
      <c r="D63" s="3" t="s">
        <v>85</v>
      </c>
      <c r="E63" s="3" t="s">
        <v>86</v>
      </c>
      <c r="F63" s="3" t="s">
        <v>127</v>
      </c>
      <c r="G63" s="3">
        <v>32</v>
      </c>
      <c r="H63" s="3">
        <v>0</v>
      </c>
      <c r="I63" s="3">
        <v>1</v>
      </c>
      <c r="J63" s="3">
        <v>1</v>
      </c>
      <c r="K63" s="3">
        <v>2</v>
      </c>
      <c r="L63" s="3">
        <v>2</v>
      </c>
      <c r="M63" s="3">
        <v>26</v>
      </c>
      <c r="N63" s="3" t="s">
        <v>128</v>
      </c>
      <c r="O63" s="3">
        <v>3</v>
      </c>
      <c r="P63" s="3">
        <v>0.37</v>
      </c>
      <c r="Q63" s="3">
        <v>27</v>
      </c>
      <c r="R63" s="3">
        <v>13.5</v>
      </c>
      <c r="S63" s="3">
        <v>2</v>
      </c>
      <c r="T63" s="3">
        <v>18</v>
      </c>
      <c r="U63" s="3">
        <v>31</v>
      </c>
      <c r="V63" s="3">
        <v>33</v>
      </c>
      <c r="W63" s="3" t="s">
        <v>129</v>
      </c>
      <c r="X63" s="3">
        <v>19</v>
      </c>
      <c r="Y63" s="3">
        <v>19</v>
      </c>
      <c r="Z63" s="3">
        <v>19</v>
      </c>
      <c r="AA63" s="3">
        <v>0</v>
      </c>
      <c r="AB63" s="3" t="s">
        <v>130</v>
      </c>
      <c r="AC63" s="3">
        <v>33</v>
      </c>
      <c r="AD63" s="3">
        <v>19</v>
      </c>
      <c r="AE63" s="3">
        <v>0</v>
      </c>
      <c r="AF63" s="3">
        <v>0</v>
      </c>
      <c r="AG63" s="3">
        <v>0</v>
      </c>
      <c r="AH63" s="3">
        <v>0.628571428571428</v>
      </c>
      <c r="AI63" s="3">
        <v>1.133344</v>
      </c>
      <c r="AJ63" s="3" t="s">
        <v>131</v>
      </c>
    </row>
    <row r="64" spans="1:36">
      <c r="A64" s="6">
        <v>43336</v>
      </c>
      <c r="B64" s="3" t="s">
        <v>16</v>
      </c>
      <c r="C64" s="3" t="s">
        <v>17</v>
      </c>
      <c r="D64" s="3" t="s">
        <v>18</v>
      </c>
      <c r="E64" s="3" t="s">
        <v>19</v>
      </c>
      <c r="F64" s="3" t="s">
        <v>127</v>
      </c>
      <c r="G64" s="3">
        <v>15</v>
      </c>
      <c r="H64" s="3">
        <v>0</v>
      </c>
      <c r="I64" s="3">
        <v>0</v>
      </c>
      <c r="J64" s="3">
        <v>2</v>
      </c>
      <c r="K64" s="3">
        <v>13</v>
      </c>
      <c r="L64" s="3">
        <v>0</v>
      </c>
      <c r="M64" s="3">
        <v>0</v>
      </c>
      <c r="N64" s="3" t="s">
        <v>128</v>
      </c>
      <c r="O64" s="3">
        <v>13</v>
      </c>
      <c r="P64" s="3">
        <v>1.14</v>
      </c>
      <c r="Q64" s="3">
        <v>0</v>
      </c>
      <c r="R64" s="3">
        <v>0</v>
      </c>
      <c r="S64" s="3">
        <v>7</v>
      </c>
      <c r="T64" s="3">
        <v>10</v>
      </c>
      <c r="U64" s="3">
        <v>13</v>
      </c>
      <c r="V64" s="3">
        <v>15</v>
      </c>
      <c r="W64" s="3" t="s">
        <v>129</v>
      </c>
      <c r="X64" s="3">
        <v>49.99</v>
      </c>
      <c r="Y64" s="3">
        <v>49.99</v>
      </c>
      <c r="Z64" s="3">
        <v>49.99</v>
      </c>
      <c r="AA64" s="3">
        <v>0</v>
      </c>
      <c r="AB64" s="3" t="s">
        <v>130</v>
      </c>
      <c r="AC64" s="3">
        <v>18</v>
      </c>
      <c r="AD64" s="3">
        <v>49.99</v>
      </c>
      <c r="AE64" s="3">
        <v>0</v>
      </c>
      <c r="AF64" s="3">
        <v>0</v>
      </c>
      <c r="AG64" s="3">
        <v>0</v>
      </c>
      <c r="AH64" s="3">
        <v>0.571428571428571</v>
      </c>
      <c r="AI64" s="3">
        <v>0.3822</v>
      </c>
      <c r="AJ64" s="3" t="s">
        <v>131</v>
      </c>
    </row>
    <row r="65" spans="1:36">
      <c r="A65" s="6">
        <v>43336</v>
      </c>
      <c r="B65" s="3" t="s">
        <v>256</v>
      </c>
      <c r="C65" s="3" t="s">
        <v>214</v>
      </c>
      <c r="D65" s="3" t="s">
        <v>214</v>
      </c>
      <c r="E65" s="3" t="s">
        <v>215</v>
      </c>
      <c r="F65" s="3" t="s">
        <v>127</v>
      </c>
      <c r="G65" s="3">
        <v>1</v>
      </c>
      <c r="H65" s="3">
        <v>0</v>
      </c>
      <c r="I65" s="3">
        <v>1</v>
      </c>
      <c r="J65" s="3">
        <v>0</v>
      </c>
      <c r="K65" s="3">
        <v>0</v>
      </c>
      <c r="L65" s="3">
        <v>0</v>
      </c>
      <c r="M65" s="3">
        <v>0</v>
      </c>
      <c r="N65" s="3" t="s">
        <v>128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139</v>
      </c>
      <c r="X65" s="3">
        <v>42.99</v>
      </c>
      <c r="Y65" s="3">
        <v>42.99</v>
      </c>
      <c r="Z65" s="3">
        <v>34.39</v>
      </c>
      <c r="AA65" s="3">
        <v>0</v>
      </c>
      <c r="AB65" s="3" t="s">
        <v>140</v>
      </c>
      <c r="AC65" s="3">
        <v>1</v>
      </c>
      <c r="AD65" s="3">
        <v>34.39</v>
      </c>
      <c r="AE65" s="3">
        <v>0</v>
      </c>
      <c r="AF65" s="3">
        <v>0</v>
      </c>
      <c r="AG65" s="3">
        <v>0</v>
      </c>
      <c r="AH65" s="3">
        <v>0.38095238095238</v>
      </c>
      <c r="AI65" s="3">
        <v>0.781066</v>
      </c>
      <c r="AJ65" s="3" t="s">
        <v>141</v>
      </c>
    </row>
    <row r="66" spans="1:36">
      <c r="A66" s="6">
        <v>43336</v>
      </c>
      <c r="B66" s="3" t="s">
        <v>257</v>
      </c>
      <c r="C66" s="3" t="s">
        <v>258</v>
      </c>
      <c r="D66" s="3" t="s">
        <v>22</v>
      </c>
      <c r="E66" s="3" t="s">
        <v>23</v>
      </c>
      <c r="F66" s="3" t="s">
        <v>127</v>
      </c>
      <c r="G66" s="3">
        <v>10</v>
      </c>
      <c r="H66" s="3">
        <v>0</v>
      </c>
      <c r="I66" s="3">
        <v>10</v>
      </c>
      <c r="J66" s="3">
        <v>0</v>
      </c>
      <c r="K66" s="3">
        <v>0</v>
      </c>
      <c r="L66" s="3">
        <v>0</v>
      </c>
      <c r="M66" s="3">
        <v>0</v>
      </c>
      <c r="N66" s="3" t="s">
        <v>128</v>
      </c>
      <c r="O66" s="3">
        <v>0</v>
      </c>
      <c r="P66" s="3">
        <v>0</v>
      </c>
      <c r="Q66" s="3">
        <v>0</v>
      </c>
      <c r="R66" s="3">
        <v>0</v>
      </c>
      <c r="S66" s="3">
        <v>1</v>
      </c>
      <c r="T66" s="3">
        <v>8</v>
      </c>
      <c r="U66" s="3">
        <v>11</v>
      </c>
      <c r="V66" s="3">
        <v>11</v>
      </c>
      <c r="W66" s="3" t="s">
        <v>129</v>
      </c>
      <c r="X66" s="3">
        <v>43</v>
      </c>
      <c r="Y66" s="3">
        <v>43</v>
      </c>
      <c r="Z66" s="3">
        <v>43</v>
      </c>
      <c r="AA66" s="3">
        <v>0</v>
      </c>
      <c r="AB66" s="3" t="s">
        <v>130</v>
      </c>
      <c r="AC66" s="3">
        <v>11</v>
      </c>
      <c r="AD66" s="3">
        <v>43</v>
      </c>
      <c r="AE66" s="3">
        <v>0</v>
      </c>
      <c r="AF66" s="3">
        <v>0</v>
      </c>
      <c r="AG66" s="3">
        <v>0</v>
      </c>
      <c r="AH66" s="3">
        <v>0.953367875647668</v>
      </c>
      <c r="AI66" s="3">
        <v>0.24792</v>
      </c>
      <c r="AJ66" s="3" t="s">
        <v>131</v>
      </c>
    </row>
    <row r="67" spans="1:36">
      <c r="A67" s="5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</row>
    <row r="68" spans="1:36">
      <c r="A68" s="5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</row>
    <row r="69" spans="1:36">
      <c r="A69" s="5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</row>
    <row r="70" spans="1:36">
      <c r="A70" s="5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</row>
    <row r="71" spans="1:36">
      <c r="A71" s="5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</row>
    <row r="72" spans="1:36">
      <c r="A72" s="5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</row>
    <row r="73" spans="1:36">
      <c r="A73" s="5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</row>
    <row r="74" spans="1:36">
      <c r="A74" s="5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</row>
    <row r="75" spans="1:36">
      <c r="A75" s="5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</row>
    <row r="76" spans="1:36">
      <c r="A76" s="5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</row>
    <row r="77" spans="1:36">
      <c r="A77" s="5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</row>
    <row r="78" spans="1:36">
      <c r="A78" s="5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</row>
    <row r="79" spans="1:36">
      <c r="A79" s="5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</row>
    <row r="80" spans="1:36">
      <c r="A80" s="5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</row>
    <row r="81" spans="1:36">
      <c r="A81" s="5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</row>
    <row r="82" spans="1:36">
      <c r="A82" s="5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</row>
    <row r="83" spans="1:36">
      <c r="A83" s="5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</row>
    <row r="84" spans="1:36">
      <c r="A84" s="5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</row>
    <row r="85" spans="1:36">
      <c r="A85" s="5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</row>
    <row r="86" spans="1:36">
      <c r="A86" s="5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</row>
    <row r="87" spans="1:36">
      <c r="A87" s="5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</row>
    <row r="88" spans="1:33">
      <c r="A88" s="5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>
      <c r="A89" s="5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>
      <c r="A90" s="5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>
      <c r="A91" s="5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>
      <c r="A92" s="5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>
      <c r="A93" s="5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>
      <c r="A94" s="5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>
      <c r="A95" s="5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>
      <c r="A96" s="5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>
      <c r="A97" s="5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>
      <c r="A98" s="5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>
      <c r="A99" s="5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>
      <c r="A100" s="5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>
      <c r="A101" s="5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>
      <c r="A102" s="5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>
      <c r="A103" s="5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>
      <c r="A104" s="5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>
      <c r="A105" s="5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>
      <c r="A106" s="5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>
      <c r="A107" s="5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>
      <c r="A108" s="5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>
      <c r="A109" s="5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>
      <c r="A110" s="5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>
      <c r="A111" s="5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>
      <c r="A112" s="5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>
      <c r="A113" s="5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>
      <c r="A114" s="5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>
      <c r="A115" s="5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>
      <c r="A116" s="5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>
      <c r="A117" s="5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>
      <c r="A118" s="5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>
      <c r="A119" s="5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>
      <c r="A120" s="5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>
      <c r="A121" s="5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>
      <c r="A122" s="5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>
      <c r="A123" s="5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>
      <c r="A124" s="5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>
      <c r="A125" s="5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>
      <c r="A126" s="5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>
      <c r="A127" s="5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>
      <c r="A128" s="5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>
      <c r="A129" s="5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>
      <c r="A130" s="5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>
      <c r="A131" s="5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>
      <c r="A132" s="5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>
      <c r="A133" s="5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>
      <c r="A134" s="5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>
      <c r="A135" s="5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>
      <c r="A136" s="5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>
      <c r="A137" s="5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>
      <c r="A138" s="5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>
      <c r="A139" s="5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>
      <c r="A140" s="5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>
      <c r="A141" s="5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>
      <c r="A142" s="5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>
      <c r="A143" s="5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>
      <c r="A144" s="5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>
      <c r="A145" s="5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>
      <c r="A146" s="5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>
      <c r="A147" s="5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>
      <c r="A148" s="5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>
      <c r="A149" s="5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>
      <c r="A150" s="5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>
      <c r="A151" s="5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>
      <c r="A152" s="5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>
      <c r="A153" s="5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>
      <c r="A154" s="5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>
      <c r="A155" s="5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>
      <c r="A156" s="5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>
      <c r="A157" s="5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>
      <c r="A158" s="5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>
      <c r="A159" s="5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>
      <c r="A160" s="5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topLeftCell="A124" workbookViewId="0">
      <selection activeCell="R160" sqref="R160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259</v>
      </c>
      <c r="F1" s="3" t="s">
        <v>260</v>
      </c>
      <c r="G1" s="3" t="s">
        <v>261</v>
      </c>
      <c r="H1" s="3" t="s">
        <v>262</v>
      </c>
      <c r="I1" s="3" t="s">
        <v>263</v>
      </c>
      <c r="J1" s="3" t="s">
        <v>264</v>
      </c>
      <c r="K1" s="3" t="s">
        <v>265</v>
      </c>
      <c r="L1" s="3" t="s">
        <v>266</v>
      </c>
      <c r="M1" s="3" t="s">
        <v>267</v>
      </c>
      <c r="N1" s="3" t="s">
        <v>268</v>
      </c>
      <c r="O1" s="3" t="s">
        <v>269</v>
      </c>
      <c r="P1" s="3" t="s">
        <v>270</v>
      </c>
      <c r="Q1" s="3" t="s">
        <v>271</v>
      </c>
      <c r="R1" s="3" t="s">
        <v>272</v>
      </c>
    </row>
    <row r="2" spans="1:18">
      <c r="A2" s="3" t="s">
        <v>219</v>
      </c>
      <c r="B2" s="3" t="s">
        <v>220</v>
      </c>
      <c r="C2" s="3" t="s">
        <v>221</v>
      </c>
      <c r="D2" s="3" t="s">
        <v>222</v>
      </c>
      <c r="E2" s="3" t="s">
        <v>127</v>
      </c>
      <c r="F2" s="3">
        <v>18.6</v>
      </c>
      <c r="G2" s="3" t="s">
        <v>273</v>
      </c>
      <c r="H2" s="3"/>
      <c r="I2" s="3" t="s">
        <v>274</v>
      </c>
      <c r="J2" s="3">
        <v>128</v>
      </c>
      <c r="K2" s="3">
        <v>128</v>
      </c>
      <c r="L2" s="3">
        <v>0</v>
      </c>
      <c r="M2" s="3">
        <v>0</v>
      </c>
      <c r="N2" s="3">
        <v>128</v>
      </c>
      <c r="O2" s="3">
        <v>0.01</v>
      </c>
      <c r="P2" s="3">
        <v>0</v>
      </c>
      <c r="Q2" s="3">
        <v>0</v>
      </c>
      <c r="R2" s="3">
        <v>0</v>
      </c>
    </row>
    <row r="3" spans="1:18">
      <c r="A3" s="3" t="s">
        <v>28</v>
      </c>
      <c r="B3" s="3" t="s">
        <v>29</v>
      </c>
      <c r="C3" s="3" t="s">
        <v>30</v>
      </c>
      <c r="D3" s="3" t="s">
        <v>31</v>
      </c>
      <c r="E3" s="3" t="s">
        <v>127</v>
      </c>
      <c r="F3" s="3">
        <v>18</v>
      </c>
      <c r="G3" s="3" t="s">
        <v>273</v>
      </c>
      <c r="H3" s="3"/>
      <c r="I3" s="3" t="s">
        <v>274</v>
      </c>
      <c r="J3" s="3">
        <v>39</v>
      </c>
      <c r="K3" s="3">
        <v>38</v>
      </c>
      <c r="L3" s="3">
        <v>0</v>
      </c>
      <c r="M3" s="3">
        <v>1</v>
      </c>
      <c r="N3" s="3">
        <v>39</v>
      </c>
      <c r="O3" s="3">
        <v>0.09</v>
      </c>
      <c r="P3" s="3">
        <v>0</v>
      </c>
      <c r="Q3" s="3">
        <v>0</v>
      </c>
      <c r="R3" s="3">
        <v>0</v>
      </c>
    </row>
    <row r="4" spans="1:18">
      <c r="A4" s="3" t="s">
        <v>275</v>
      </c>
      <c r="B4" s="3" t="s">
        <v>276</v>
      </c>
      <c r="C4" s="3" t="s">
        <v>244</v>
      </c>
      <c r="D4" s="3" t="s">
        <v>245</v>
      </c>
      <c r="E4" s="3" t="s">
        <v>127</v>
      </c>
      <c r="F4" s="3">
        <v>17.98</v>
      </c>
      <c r="G4" s="3" t="s">
        <v>273</v>
      </c>
      <c r="H4" s="3"/>
      <c r="I4" s="3" t="s">
        <v>274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0.01</v>
      </c>
      <c r="P4" s="3">
        <v>0</v>
      </c>
      <c r="Q4" s="3">
        <v>0</v>
      </c>
      <c r="R4" s="3">
        <v>0</v>
      </c>
    </row>
    <row r="5" spans="1:18">
      <c r="A5" s="3" t="s">
        <v>178</v>
      </c>
      <c r="B5" s="3" t="s">
        <v>179</v>
      </c>
      <c r="C5" s="3" t="s">
        <v>73</v>
      </c>
      <c r="D5" s="3" t="s">
        <v>74</v>
      </c>
      <c r="E5" s="3" t="s">
        <v>127</v>
      </c>
      <c r="F5" s="3">
        <v>13</v>
      </c>
      <c r="G5" s="3" t="s">
        <v>273</v>
      </c>
      <c r="H5" s="3"/>
      <c r="I5" s="3" t="s">
        <v>274</v>
      </c>
      <c r="J5" s="3">
        <v>8</v>
      </c>
      <c r="K5" s="3">
        <v>8</v>
      </c>
      <c r="L5" s="3">
        <v>0</v>
      </c>
      <c r="M5" s="3">
        <v>0</v>
      </c>
      <c r="N5" s="3">
        <v>8</v>
      </c>
      <c r="O5" s="3">
        <v>0</v>
      </c>
      <c r="P5" s="3">
        <v>0</v>
      </c>
      <c r="Q5" s="3">
        <v>0</v>
      </c>
      <c r="R5" s="3">
        <v>0</v>
      </c>
    </row>
    <row r="6" spans="1:18">
      <c r="A6" s="3" t="s">
        <v>32</v>
      </c>
      <c r="B6" s="3" t="s">
        <v>33</v>
      </c>
      <c r="C6" s="3" t="s">
        <v>34</v>
      </c>
      <c r="D6" s="3" t="s">
        <v>35</v>
      </c>
      <c r="E6" s="3" t="s">
        <v>127</v>
      </c>
      <c r="F6" s="3">
        <v>36.99</v>
      </c>
      <c r="G6" s="3" t="s">
        <v>273</v>
      </c>
      <c r="H6" s="3"/>
      <c r="I6" s="3" t="s">
        <v>274</v>
      </c>
      <c r="J6" s="3">
        <v>18</v>
      </c>
      <c r="K6" s="3">
        <v>15</v>
      </c>
      <c r="L6" s="3">
        <v>0</v>
      </c>
      <c r="M6" s="3">
        <v>3</v>
      </c>
      <c r="N6" s="3">
        <v>18</v>
      </c>
      <c r="O6" s="3">
        <v>0.02</v>
      </c>
      <c r="P6" s="3">
        <v>0</v>
      </c>
      <c r="Q6" s="3">
        <v>0</v>
      </c>
      <c r="R6" s="3">
        <v>0</v>
      </c>
    </row>
    <row r="7" spans="1:18">
      <c r="A7" s="3" t="s">
        <v>20</v>
      </c>
      <c r="B7" s="3" t="s">
        <v>21</v>
      </c>
      <c r="C7" s="3" t="s">
        <v>22</v>
      </c>
      <c r="D7" s="3" t="s">
        <v>23</v>
      </c>
      <c r="E7" s="3" t="s">
        <v>127</v>
      </c>
      <c r="F7" s="3">
        <v>43</v>
      </c>
      <c r="G7" s="3" t="s">
        <v>273</v>
      </c>
      <c r="H7" s="3"/>
      <c r="I7" s="3" t="s">
        <v>274</v>
      </c>
      <c r="J7" s="3">
        <v>24</v>
      </c>
      <c r="K7" s="3">
        <v>22</v>
      </c>
      <c r="L7" s="3">
        <v>1</v>
      </c>
      <c r="M7" s="3">
        <v>1</v>
      </c>
      <c r="N7" s="3">
        <v>24</v>
      </c>
      <c r="O7" s="3">
        <v>0.02</v>
      </c>
      <c r="P7" s="3">
        <v>0</v>
      </c>
      <c r="Q7" s="3">
        <v>0</v>
      </c>
      <c r="R7" s="3">
        <v>0</v>
      </c>
    </row>
    <row r="8" spans="1:18">
      <c r="A8" s="3" t="s">
        <v>8</v>
      </c>
      <c r="B8" s="3" t="s">
        <v>9</v>
      </c>
      <c r="C8" s="3" t="s">
        <v>10</v>
      </c>
      <c r="D8" s="3"/>
      <c r="E8" s="3" t="s">
        <v>277</v>
      </c>
      <c r="F8" s="3"/>
      <c r="G8" s="3"/>
      <c r="H8" s="3"/>
      <c r="I8" s="3"/>
      <c r="J8" s="3">
        <v>9</v>
      </c>
      <c r="K8" s="3">
        <v>0</v>
      </c>
      <c r="L8" s="3">
        <v>0</v>
      </c>
      <c r="M8" s="3">
        <v>9</v>
      </c>
      <c r="N8" s="3">
        <v>9</v>
      </c>
      <c r="O8" s="3"/>
      <c r="P8" s="3">
        <v>0</v>
      </c>
      <c r="Q8" s="3">
        <v>0</v>
      </c>
      <c r="R8" s="3">
        <v>0</v>
      </c>
    </row>
    <row r="9" spans="1:18">
      <c r="A9" s="3" t="s">
        <v>238</v>
      </c>
      <c r="B9" s="3" t="s">
        <v>239</v>
      </c>
      <c r="C9" s="3" t="s">
        <v>240</v>
      </c>
      <c r="D9" s="3" t="s">
        <v>241</v>
      </c>
      <c r="E9" s="3" t="s">
        <v>127</v>
      </c>
      <c r="F9" s="3">
        <v>37.59</v>
      </c>
      <c r="G9" s="3" t="s">
        <v>273</v>
      </c>
      <c r="H9" s="3"/>
      <c r="I9" s="3" t="s">
        <v>274</v>
      </c>
      <c r="J9" s="3">
        <v>53</v>
      </c>
      <c r="K9" s="3">
        <v>53</v>
      </c>
      <c r="L9" s="3">
        <v>0</v>
      </c>
      <c r="M9" s="3">
        <v>0</v>
      </c>
      <c r="N9" s="3">
        <v>53</v>
      </c>
      <c r="O9" s="3">
        <v>0.02</v>
      </c>
      <c r="P9" s="3">
        <v>0</v>
      </c>
      <c r="Q9" s="3">
        <v>0</v>
      </c>
      <c r="R9" s="3">
        <v>0</v>
      </c>
    </row>
    <row r="10" spans="1:18">
      <c r="A10" s="3" t="s">
        <v>278</v>
      </c>
      <c r="B10" s="3" t="s">
        <v>279</v>
      </c>
      <c r="C10" s="3" t="s">
        <v>46</v>
      </c>
      <c r="D10" s="3" t="s">
        <v>47</v>
      </c>
      <c r="E10" s="3" t="s">
        <v>127</v>
      </c>
      <c r="F10" s="3">
        <v>42.5</v>
      </c>
      <c r="G10" s="3" t="s">
        <v>273</v>
      </c>
      <c r="H10" s="3"/>
      <c r="I10" s="3" t="s">
        <v>274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0.02</v>
      </c>
      <c r="P10" s="3">
        <v>0</v>
      </c>
      <c r="Q10" s="3">
        <v>0</v>
      </c>
      <c r="R10" s="3">
        <v>0</v>
      </c>
    </row>
    <row r="11" spans="1:18">
      <c r="A11" s="3" t="s">
        <v>280</v>
      </c>
      <c r="B11" s="3" t="s">
        <v>281</v>
      </c>
      <c r="C11" s="3" t="s">
        <v>281</v>
      </c>
      <c r="D11" s="3"/>
      <c r="E11" s="3" t="s">
        <v>277</v>
      </c>
      <c r="F11" s="3"/>
      <c r="G11" s="3"/>
      <c r="H11" s="3"/>
      <c r="I11" s="3"/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/>
      <c r="P11" s="3">
        <v>0</v>
      </c>
      <c r="Q11" s="3">
        <v>0</v>
      </c>
      <c r="R11" s="3">
        <v>0</v>
      </c>
    </row>
    <row r="12" spans="1:18">
      <c r="A12" s="3" t="s">
        <v>282</v>
      </c>
      <c r="B12" s="3" t="s">
        <v>283</v>
      </c>
      <c r="C12" s="3" t="s">
        <v>244</v>
      </c>
      <c r="D12" s="3" t="s">
        <v>245</v>
      </c>
      <c r="E12" s="3" t="s">
        <v>127</v>
      </c>
      <c r="F12" s="3">
        <v>15</v>
      </c>
      <c r="G12" s="3" t="s">
        <v>273</v>
      </c>
      <c r="H12" s="3"/>
      <c r="I12" s="3" t="s">
        <v>274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0.01</v>
      </c>
      <c r="P12" s="3">
        <v>0</v>
      </c>
      <c r="Q12" s="3">
        <v>0</v>
      </c>
      <c r="R12" s="3">
        <v>0</v>
      </c>
    </row>
    <row r="13" spans="1:18">
      <c r="A13" s="3" t="s">
        <v>24</v>
      </c>
      <c r="B13" s="3" t="s">
        <v>25</v>
      </c>
      <c r="C13" s="3" t="s">
        <v>26</v>
      </c>
      <c r="D13" s="3" t="s">
        <v>27</v>
      </c>
      <c r="E13" s="3" t="s">
        <v>127</v>
      </c>
      <c r="F13" s="3">
        <v>24.59</v>
      </c>
      <c r="G13" s="3" t="s">
        <v>273</v>
      </c>
      <c r="H13" s="3"/>
      <c r="I13" s="3" t="s">
        <v>274</v>
      </c>
      <c r="J13" s="3">
        <v>2</v>
      </c>
      <c r="K13" s="3">
        <v>0</v>
      </c>
      <c r="L13" s="3">
        <v>0</v>
      </c>
      <c r="M13" s="3">
        <v>2</v>
      </c>
      <c r="N13" s="3">
        <v>2</v>
      </c>
      <c r="O13" s="3">
        <v>0.05</v>
      </c>
      <c r="P13" s="3">
        <v>0</v>
      </c>
      <c r="Q13" s="3">
        <v>0</v>
      </c>
      <c r="R13" s="3">
        <v>0</v>
      </c>
    </row>
    <row r="14" spans="1:18">
      <c r="A14" s="3" t="s">
        <v>284</v>
      </c>
      <c r="B14" s="3" t="s">
        <v>281</v>
      </c>
      <c r="C14" s="3" t="s">
        <v>281</v>
      </c>
      <c r="D14" s="3"/>
      <c r="E14" s="3" t="s">
        <v>277</v>
      </c>
      <c r="F14" s="3"/>
      <c r="G14" s="3"/>
      <c r="H14" s="3"/>
      <c r="I14" s="3"/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/>
      <c r="P14" s="3">
        <v>0</v>
      </c>
      <c r="Q14" s="3">
        <v>0</v>
      </c>
      <c r="R14" s="3">
        <v>0</v>
      </c>
    </row>
    <row r="15" spans="1:18">
      <c r="A15" s="3" t="s">
        <v>285</v>
      </c>
      <c r="B15" s="3" t="s">
        <v>286</v>
      </c>
      <c r="C15" s="3" t="s">
        <v>287</v>
      </c>
      <c r="D15" s="3" t="s">
        <v>288</v>
      </c>
      <c r="E15" s="3" t="s">
        <v>277</v>
      </c>
      <c r="F15" s="3">
        <v>0</v>
      </c>
      <c r="G15" s="3" t="s">
        <v>273</v>
      </c>
      <c r="H15" s="3"/>
      <c r="I15" s="3" t="s">
        <v>274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0.08</v>
      </c>
      <c r="P15" s="3">
        <v>0</v>
      </c>
      <c r="Q15" s="3">
        <v>0</v>
      </c>
      <c r="R15" s="3">
        <v>0</v>
      </c>
    </row>
    <row r="16" spans="1:18">
      <c r="A16" s="3" t="s">
        <v>134</v>
      </c>
      <c r="B16" s="3" t="s">
        <v>135</v>
      </c>
      <c r="C16" s="3" t="s">
        <v>18</v>
      </c>
      <c r="D16" s="3" t="s">
        <v>19</v>
      </c>
      <c r="E16" s="3" t="s">
        <v>127</v>
      </c>
      <c r="F16" s="3">
        <v>53.49</v>
      </c>
      <c r="G16" s="3" t="s">
        <v>273</v>
      </c>
      <c r="H16" s="3"/>
      <c r="I16" s="3" t="s">
        <v>274</v>
      </c>
      <c r="J16" s="3">
        <v>1</v>
      </c>
      <c r="K16" s="3">
        <v>1</v>
      </c>
      <c r="L16" s="3">
        <v>0</v>
      </c>
      <c r="M16" s="3">
        <v>0</v>
      </c>
      <c r="N16" s="3">
        <v>1</v>
      </c>
      <c r="O16" s="3">
        <v>0.03</v>
      </c>
      <c r="P16" s="3">
        <v>0</v>
      </c>
      <c r="Q16" s="3">
        <v>0</v>
      </c>
      <c r="R16" s="3">
        <v>0</v>
      </c>
    </row>
    <row r="17" spans="1:18">
      <c r="A17" s="3" t="s">
        <v>289</v>
      </c>
      <c r="B17" s="3" t="s">
        <v>290</v>
      </c>
      <c r="C17" s="3" t="s">
        <v>58</v>
      </c>
      <c r="D17" s="3" t="s">
        <v>59</v>
      </c>
      <c r="E17" s="3" t="s">
        <v>127</v>
      </c>
      <c r="F17" s="3">
        <v>35.99</v>
      </c>
      <c r="G17" s="3" t="s">
        <v>273</v>
      </c>
      <c r="H17" s="3"/>
      <c r="I17" s="3" t="s">
        <v>274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0.02</v>
      </c>
      <c r="P17" s="3">
        <v>0</v>
      </c>
      <c r="Q17" s="3">
        <v>0</v>
      </c>
      <c r="R17" s="3">
        <v>0</v>
      </c>
    </row>
    <row r="18" spans="1:18">
      <c r="A18" s="3" t="s">
        <v>281</v>
      </c>
      <c r="B18" s="3" t="s">
        <v>281</v>
      </c>
      <c r="C18" s="3" t="s">
        <v>281</v>
      </c>
      <c r="D18" s="3"/>
      <c r="E18" s="3" t="s">
        <v>277</v>
      </c>
      <c r="F18" s="3"/>
      <c r="G18" s="3"/>
      <c r="H18" s="3"/>
      <c r="I18" s="3"/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/>
      <c r="P18" s="3">
        <v>0</v>
      </c>
      <c r="Q18" s="3">
        <v>0</v>
      </c>
      <c r="R18" s="3">
        <v>0</v>
      </c>
    </row>
    <row r="19" spans="1:18">
      <c r="A19" s="3" t="s">
        <v>291</v>
      </c>
      <c r="B19" s="3" t="s">
        <v>292</v>
      </c>
      <c r="C19" s="3" t="s">
        <v>293</v>
      </c>
      <c r="D19" s="3"/>
      <c r="E19" s="3" t="s">
        <v>277</v>
      </c>
      <c r="F19" s="3"/>
      <c r="G19" s="3"/>
      <c r="H19" s="3"/>
      <c r="I19" s="3"/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/>
      <c r="P19" s="3">
        <v>0</v>
      </c>
      <c r="Q19" s="3">
        <v>0</v>
      </c>
      <c r="R19" s="3">
        <v>0</v>
      </c>
    </row>
    <row r="20" spans="1:18">
      <c r="A20" s="3" t="s">
        <v>294</v>
      </c>
      <c r="B20" s="3" t="s">
        <v>295</v>
      </c>
      <c r="C20" s="3" t="s">
        <v>10</v>
      </c>
      <c r="D20" s="3"/>
      <c r="E20" s="3" t="s">
        <v>277</v>
      </c>
      <c r="F20" s="3"/>
      <c r="G20" s="3"/>
      <c r="H20" s="3"/>
      <c r="I20" s="3"/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/>
      <c r="P20" s="3">
        <v>0</v>
      </c>
      <c r="Q20" s="3">
        <v>0</v>
      </c>
      <c r="R20" s="3">
        <v>0</v>
      </c>
    </row>
    <row r="21" spans="1:18">
      <c r="A21" s="3" t="s">
        <v>36</v>
      </c>
      <c r="B21" s="3" t="s">
        <v>37</v>
      </c>
      <c r="C21" s="3" t="s">
        <v>38</v>
      </c>
      <c r="D21" s="3" t="s">
        <v>39</v>
      </c>
      <c r="E21" s="3" t="s">
        <v>127</v>
      </c>
      <c r="F21" s="3">
        <v>39.79</v>
      </c>
      <c r="G21" s="3" t="s">
        <v>273</v>
      </c>
      <c r="H21" s="3"/>
      <c r="I21" s="3" t="s">
        <v>274</v>
      </c>
      <c r="J21" s="3">
        <v>78</v>
      </c>
      <c r="K21" s="3">
        <v>76</v>
      </c>
      <c r="L21" s="3">
        <v>0</v>
      </c>
      <c r="M21" s="3">
        <v>2</v>
      </c>
      <c r="N21" s="3">
        <v>78</v>
      </c>
      <c r="O21" s="3">
        <v>0.02</v>
      </c>
      <c r="P21" s="3">
        <v>0</v>
      </c>
      <c r="Q21" s="3">
        <v>0</v>
      </c>
      <c r="R21" s="3">
        <v>0</v>
      </c>
    </row>
    <row r="22" spans="1:18">
      <c r="A22" s="3" t="s">
        <v>296</v>
      </c>
      <c r="B22" s="3" t="s">
        <v>297</v>
      </c>
      <c r="C22" s="3" t="s">
        <v>298</v>
      </c>
      <c r="D22" s="3"/>
      <c r="E22" s="3" t="s">
        <v>277</v>
      </c>
      <c r="F22" s="3"/>
      <c r="G22" s="3"/>
      <c r="H22" s="3"/>
      <c r="I22" s="3"/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/>
      <c r="P22" s="3">
        <v>0</v>
      </c>
      <c r="Q22" s="3">
        <v>0</v>
      </c>
      <c r="R22" s="3">
        <v>0</v>
      </c>
    </row>
    <row r="23" spans="1:18">
      <c r="A23" s="3" t="s">
        <v>299</v>
      </c>
      <c r="B23" s="3" t="s">
        <v>300</v>
      </c>
      <c r="C23" s="3" t="s">
        <v>301</v>
      </c>
      <c r="D23" s="3" t="s">
        <v>302</v>
      </c>
      <c r="E23" s="3" t="s">
        <v>127</v>
      </c>
      <c r="F23" s="3">
        <v>55.99</v>
      </c>
      <c r="G23" s="3" t="s">
        <v>273</v>
      </c>
      <c r="H23" s="3"/>
      <c r="I23" s="3" t="s">
        <v>274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0.02</v>
      </c>
      <c r="P23" s="3">
        <v>0</v>
      </c>
      <c r="Q23" s="3">
        <v>0</v>
      </c>
      <c r="R23" s="3">
        <v>0</v>
      </c>
    </row>
    <row r="24" spans="1:18">
      <c r="A24" s="3" t="s">
        <v>303</v>
      </c>
      <c r="B24" s="3" t="s">
        <v>304</v>
      </c>
      <c r="C24" s="3" t="s">
        <v>30</v>
      </c>
      <c r="D24" s="3" t="s">
        <v>31</v>
      </c>
      <c r="E24" s="3" t="s">
        <v>127</v>
      </c>
      <c r="F24" s="3">
        <v>19.99</v>
      </c>
      <c r="G24" s="3" t="s">
        <v>273</v>
      </c>
      <c r="H24" s="3"/>
      <c r="I24" s="3" t="s">
        <v>274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0.09</v>
      </c>
      <c r="P24" s="3">
        <v>0</v>
      </c>
      <c r="Q24" s="3">
        <v>0</v>
      </c>
      <c r="R24" s="3">
        <v>0</v>
      </c>
    </row>
    <row r="25" spans="1:18">
      <c r="A25" s="3" t="s">
        <v>305</v>
      </c>
      <c r="B25" s="3" t="s">
        <v>306</v>
      </c>
      <c r="C25" s="3" t="s">
        <v>307</v>
      </c>
      <c r="D25" s="3" t="s">
        <v>308</v>
      </c>
      <c r="E25" s="3" t="s">
        <v>127</v>
      </c>
      <c r="F25" s="3">
        <v>36</v>
      </c>
      <c r="G25" s="3" t="s">
        <v>273</v>
      </c>
      <c r="H25" s="3"/>
      <c r="I25" s="3" t="s">
        <v>274</v>
      </c>
      <c r="J25" s="3">
        <v>24</v>
      </c>
      <c r="K25" s="3">
        <v>0</v>
      </c>
      <c r="L25" s="3">
        <v>24</v>
      </c>
      <c r="M25" s="3">
        <v>0</v>
      </c>
      <c r="N25" s="3">
        <v>24</v>
      </c>
      <c r="O25" s="3">
        <v>0.04</v>
      </c>
      <c r="P25" s="3">
        <v>0</v>
      </c>
      <c r="Q25" s="3">
        <v>0</v>
      </c>
      <c r="R25" s="3">
        <v>0</v>
      </c>
    </row>
    <row r="26" spans="1:18">
      <c r="A26" s="3" t="s">
        <v>309</v>
      </c>
      <c r="B26" s="3" t="s">
        <v>310</v>
      </c>
      <c r="C26" s="3" t="s">
        <v>311</v>
      </c>
      <c r="D26" s="3" t="s">
        <v>312</v>
      </c>
      <c r="E26" s="3" t="s">
        <v>277</v>
      </c>
      <c r="F26" s="3">
        <v>0</v>
      </c>
      <c r="G26" s="3" t="s">
        <v>273</v>
      </c>
      <c r="H26" s="3"/>
      <c r="I26" s="3" t="s">
        <v>274</v>
      </c>
      <c r="J26" s="3">
        <v>0</v>
      </c>
      <c r="K26" s="3">
        <v>0</v>
      </c>
      <c r="L26" s="3">
        <v>0</v>
      </c>
      <c r="M26" s="3">
        <v>0</v>
      </c>
      <c r="N26" s="3">
        <v>24</v>
      </c>
      <c r="O26" s="3">
        <v>0.01</v>
      </c>
      <c r="P26" s="3">
        <v>24</v>
      </c>
      <c r="Q26" s="3">
        <v>0</v>
      </c>
      <c r="R26" s="3">
        <v>0</v>
      </c>
    </row>
    <row r="27" spans="1:18">
      <c r="A27" s="3" t="s">
        <v>313</v>
      </c>
      <c r="B27" s="3" t="s">
        <v>314</v>
      </c>
      <c r="C27" s="3" t="s">
        <v>315</v>
      </c>
      <c r="D27" s="3" t="s">
        <v>316</v>
      </c>
      <c r="E27" s="3" t="s">
        <v>277</v>
      </c>
      <c r="F27" s="3">
        <v>0</v>
      </c>
      <c r="G27" s="3" t="s">
        <v>273</v>
      </c>
      <c r="H27" s="3"/>
      <c r="I27" s="3" t="s">
        <v>274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0.01</v>
      </c>
      <c r="P27" s="3">
        <v>0</v>
      </c>
      <c r="Q27" s="3">
        <v>0</v>
      </c>
      <c r="R27" s="3">
        <v>0</v>
      </c>
    </row>
    <row r="28" spans="1:18">
      <c r="A28" s="3" t="s">
        <v>12</v>
      </c>
      <c r="B28" s="3" t="s">
        <v>13</v>
      </c>
      <c r="C28" s="3" t="s">
        <v>14</v>
      </c>
      <c r="D28" s="3" t="s">
        <v>15</v>
      </c>
      <c r="E28" s="3" t="s">
        <v>127</v>
      </c>
      <c r="F28" s="3">
        <v>35.49</v>
      </c>
      <c r="G28" s="3" t="s">
        <v>273</v>
      </c>
      <c r="H28" s="3"/>
      <c r="I28" s="3" t="s">
        <v>274</v>
      </c>
      <c r="J28" s="3">
        <v>12</v>
      </c>
      <c r="K28" s="3">
        <v>1</v>
      </c>
      <c r="L28" s="3">
        <v>1</v>
      </c>
      <c r="M28" s="3">
        <v>10</v>
      </c>
      <c r="N28" s="3">
        <v>12</v>
      </c>
      <c r="O28" s="3">
        <v>0.04</v>
      </c>
      <c r="P28" s="3">
        <v>0</v>
      </c>
      <c r="Q28" s="3">
        <v>0</v>
      </c>
      <c r="R28" s="3">
        <v>0</v>
      </c>
    </row>
    <row r="29" spans="1:18">
      <c r="A29" s="3" t="s">
        <v>16</v>
      </c>
      <c r="B29" s="3" t="s">
        <v>17</v>
      </c>
      <c r="C29" s="3" t="s">
        <v>18</v>
      </c>
      <c r="D29" s="3" t="s">
        <v>19</v>
      </c>
      <c r="E29" s="3" t="s">
        <v>127</v>
      </c>
      <c r="F29" s="3">
        <v>49.99</v>
      </c>
      <c r="G29" s="3" t="s">
        <v>273</v>
      </c>
      <c r="H29" s="3"/>
      <c r="I29" s="3" t="s">
        <v>274</v>
      </c>
      <c r="J29" s="3">
        <v>11</v>
      </c>
      <c r="K29" s="3">
        <v>8</v>
      </c>
      <c r="L29" s="3">
        <v>0</v>
      </c>
      <c r="M29" s="3">
        <v>3</v>
      </c>
      <c r="N29" s="3">
        <v>59</v>
      </c>
      <c r="O29" s="3">
        <v>0.03</v>
      </c>
      <c r="P29" s="3">
        <v>48</v>
      </c>
      <c r="Q29" s="3">
        <v>0</v>
      </c>
      <c r="R29" s="3">
        <v>0</v>
      </c>
    </row>
    <row r="30" spans="1:18">
      <c r="A30" s="3" t="s">
        <v>247</v>
      </c>
      <c r="B30" s="3" t="s">
        <v>248</v>
      </c>
      <c r="C30" s="3" t="s">
        <v>249</v>
      </c>
      <c r="D30" s="3" t="s">
        <v>250</v>
      </c>
      <c r="E30" s="3" t="s">
        <v>127</v>
      </c>
      <c r="F30" s="3">
        <v>44.26</v>
      </c>
      <c r="G30" s="3" t="s">
        <v>273</v>
      </c>
      <c r="H30" s="3"/>
      <c r="I30" s="3" t="s">
        <v>274</v>
      </c>
      <c r="J30" s="3">
        <v>1</v>
      </c>
      <c r="K30" s="3">
        <v>0</v>
      </c>
      <c r="L30" s="3">
        <v>1</v>
      </c>
      <c r="M30" s="3">
        <v>0</v>
      </c>
      <c r="N30" s="3">
        <v>3</v>
      </c>
      <c r="O30" s="3">
        <v>0.07</v>
      </c>
      <c r="P30" s="3">
        <v>0</v>
      </c>
      <c r="Q30" s="3">
        <v>0</v>
      </c>
      <c r="R30" s="3">
        <v>2</v>
      </c>
    </row>
    <row r="31" spans="1:18">
      <c r="A31" s="3" t="s">
        <v>317</v>
      </c>
      <c r="B31" s="3" t="s">
        <v>318</v>
      </c>
      <c r="C31" s="3" t="s">
        <v>311</v>
      </c>
      <c r="D31" s="3" t="s">
        <v>312</v>
      </c>
      <c r="E31" s="3" t="s">
        <v>127</v>
      </c>
      <c r="F31" s="3">
        <v>15.98</v>
      </c>
      <c r="G31" s="3" t="s">
        <v>273</v>
      </c>
      <c r="H31" s="3"/>
      <c r="I31" s="3" t="s">
        <v>274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0.01</v>
      </c>
      <c r="P31" s="3">
        <v>0</v>
      </c>
      <c r="Q31" s="3">
        <v>0</v>
      </c>
      <c r="R31" s="3">
        <v>0</v>
      </c>
    </row>
    <row r="32" spans="1:18">
      <c r="A32" s="3" t="s">
        <v>319</v>
      </c>
      <c r="B32" s="3" t="s">
        <v>320</v>
      </c>
      <c r="C32" s="3" t="s">
        <v>321</v>
      </c>
      <c r="D32" s="3" t="s">
        <v>322</v>
      </c>
      <c r="E32" s="3" t="s">
        <v>127</v>
      </c>
      <c r="F32" s="3">
        <v>52.99</v>
      </c>
      <c r="G32" s="3" t="s">
        <v>273</v>
      </c>
      <c r="H32" s="3"/>
      <c r="I32" s="3" t="s">
        <v>274</v>
      </c>
      <c r="J32" s="3">
        <v>0</v>
      </c>
      <c r="K32" s="3">
        <v>0</v>
      </c>
      <c r="L32" s="3">
        <v>0</v>
      </c>
      <c r="M32" s="3">
        <v>0</v>
      </c>
      <c r="N32" s="3">
        <v>48</v>
      </c>
      <c r="O32" s="3">
        <v>0.04</v>
      </c>
      <c r="P32" s="3">
        <v>0</v>
      </c>
      <c r="Q32" s="3">
        <v>0</v>
      </c>
      <c r="R32" s="3">
        <v>48</v>
      </c>
    </row>
    <row r="33" spans="1:18">
      <c r="A33" s="3" t="s">
        <v>323</v>
      </c>
      <c r="B33" s="3" t="s">
        <v>324</v>
      </c>
      <c r="C33" s="3" t="s">
        <v>325</v>
      </c>
      <c r="D33" s="3" t="s">
        <v>326</v>
      </c>
      <c r="E33" s="3" t="s">
        <v>127</v>
      </c>
      <c r="F33" s="3">
        <v>55.99</v>
      </c>
      <c r="G33" s="3" t="s">
        <v>273</v>
      </c>
      <c r="H33" s="3"/>
      <c r="I33" s="3" t="s">
        <v>274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0.02</v>
      </c>
      <c r="P33" s="3">
        <v>0</v>
      </c>
      <c r="Q33" s="3">
        <v>0</v>
      </c>
      <c r="R33" s="3">
        <v>0</v>
      </c>
    </row>
    <row r="34" spans="1:18">
      <c r="A34" s="3" t="s">
        <v>69</v>
      </c>
      <c r="B34" s="3" t="s">
        <v>70</v>
      </c>
      <c r="C34" s="3" t="s">
        <v>26</v>
      </c>
      <c r="D34" s="3" t="s">
        <v>27</v>
      </c>
      <c r="E34" s="3" t="s">
        <v>127</v>
      </c>
      <c r="F34" s="3">
        <v>16.3</v>
      </c>
      <c r="G34" s="3" t="s">
        <v>273</v>
      </c>
      <c r="H34" s="3"/>
      <c r="I34" s="3" t="s">
        <v>274</v>
      </c>
      <c r="J34" s="3">
        <v>11</v>
      </c>
      <c r="K34" s="3">
        <v>0</v>
      </c>
      <c r="L34" s="3">
        <v>0</v>
      </c>
      <c r="M34" s="3">
        <v>11</v>
      </c>
      <c r="N34" s="3">
        <v>11</v>
      </c>
      <c r="O34" s="3">
        <v>0.05</v>
      </c>
      <c r="P34" s="3">
        <v>0</v>
      </c>
      <c r="Q34" s="3">
        <v>0</v>
      </c>
      <c r="R34" s="3">
        <v>0</v>
      </c>
    </row>
    <row r="35" spans="1:18">
      <c r="A35" s="3" t="s">
        <v>252</v>
      </c>
      <c r="B35" s="3" t="s">
        <v>253</v>
      </c>
      <c r="C35" s="3" t="s">
        <v>254</v>
      </c>
      <c r="D35" s="3" t="s">
        <v>255</v>
      </c>
      <c r="E35" s="3" t="s">
        <v>127</v>
      </c>
      <c r="F35" s="3">
        <v>16.19</v>
      </c>
      <c r="G35" s="3" t="s">
        <v>273</v>
      </c>
      <c r="H35" s="3"/>
      <c r="I35" s="3" t="s">
        <v>274</v>
      </c>
      <c r="J35" s="3">
        <v>12</v>
      </c>
      <c r="K35" s="3">
        <v>12</v>
      </c>
      <c r="L35" s="3">
        <v>0</v>
      </c>
      <c r="M35" s="3">
        <v>0</v>
      </c>
      <c r="N35" s="3">
        <v>12</v>
      </c>
      <c r="O35" s="3">
        <v>0.03</v>
      </c>
      <c r="P35" s="3">
        <v>0</v>
      </c>
      <c r="Q35" s="3">
        <v>0</v>
      </c>
      <c r="R35" s="3">
        <v>0</v>
      </c>
    </row>
    <row r="36" spans="1:18">
      <c r="A36" s="3" t="s">
        <v>164</v>
      </c>
      <c r="B36" s="3" t="s">
        <v>165</v>
      </c>
      <c r="C36" s="3" t="s">
        <v>166</v>
      </c>
      <c r="D36" s="3" t="s">
        <v>167</v>
      </c>
      <c r="E36" s="3" t="s">
        <v>127</v>
      </c>
      <c r="F36" s="3">
        <v>15.99</v>
      </c>
      <c r="G36" s="3" t="s">
        <v>273</v>
      </c>
      <c r="H36" s="3"/>
      <c r="I36" s="3" t="s">
        <v>274</v>
      </c>
      <c r="J36" s="3">
        <v>57</v>
      </c>
      <c r="K36" s="3">
        <v>57</v>
      </c>
      <c r="L36" s="3">
        <v>0</v>
      </c>
      <c r="M36" s="3">
        <v>0</v>
      </c>
      <c r="N36" s="3">
        <v>57</v>
      </c>
      <c r="O36" s="3">
        <v>0.01</v>
      </c>
      <c r="P36" s="3">
        <v>0</v>
      </c>
      <c r="Q36" s="3">
        <v>0</v>
      </c>
      <c r="R36" s="3">
        <v>0</v>
      </c>
    </row>
    <row r="37" spans="1:18">
      <c r="A37" s="3" t="s">
        <v>327</v>
      </c>
      <c r="B37" s="3" t="s">
        <v>328</v>
      </c>
      <c r="C37" s="3" t="s">
        <v>329</v>
      </c>
      <c r="D37" s="3" t="s">
        <v>330</v>
      </c>
      <c r="E37" s="3" t="s">
        <v>127</v>
      </c>
      <c r="F37" s="3">
        <v>22.4</v>
      </c>
      <c r="G37" s="3" t="s">
        <v>273</v>
      </c>
      <c r="H37" s="3"/>
      <c r="I37" s="3" t="s">
        <v>274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0.01</v>
      </c>
      <c r="P37" s="3">
        <v>0</v>
      </c>
      <c r="Q37" s="3">
        <v>0</v>
      </c>
      <c r="R37" s="3">
        <v>0</v>
      </c>
    </row>
    <row r="38" spans="1:18">
      <c r="A38" s="3" t="s">
        <v>331</v>
      </c>
      <c r="B38" s="3" t="s">
        <v>332</v>
      </c>
      <c r="C38" s="3" t="s">
        <v>10</v>
      </c>
      <c r="D38" s="3" t="s">
        <v>11</v>
      </c>
      <c r="E38" s="3" t="s">
        <v>127</v>
      </c>
      <c r="F38" s="3">
        <v>9.89</v>
      </c>
      <c r="G38" s="3" t="s">
        <v>273</v>
      </c>
      <c r="H38" s="3"/>
      <c r="I38" s="3" t="s">
        <v>274</v>
      </c>
      <c r="J38" s="3">
        <v>0</v>
      </c>
      <c r="K38" s="3">
        <v>0</v>
      </c>
      <c r="L38" s="3">
        <v>0</v>
      </c>
      <c r="M38" s="3">
        <v>0</v>
      </c>
      <c r="N38" s="3">
        <v>24</v>
      </c>
      <c r="O38" s="3">
        <v>0.02</v>
      </c>
      <c r="P38" s="3">
        <v>24</v>
      </c>
      <c r="Q38" s="3">
        <v>0</v>
      </c>
      <c r="R38" s="3">
        <v>0</v>
      </c>
    </row>
    <row r="39" spans="1:18">
      <c r="A39" s="3" t="s">
        <v>333</v>
      </c>
      <c r="B39" s="3" t="s">
        <v>334</v>
      </c>
      <c r="C39" s="3" t="s">
        <v>335</v>
      </c>
      <c r="D39" s="3" t="s">
        <v>336</v>
      </c>
      <c r="E39" s="3" t="s">
        <v>127</v>
      </c>
      <c r="F39" s="3">
        <v>12.5</v>
      </c>
      <c r="G39" s="3" t="s">
        <v>273</v>
      </c>
      <c r="H39" s="3"/>
      <c r="I39" s="3" t="s">
        <v>274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0.05</v>
      </c>
      <c r="P39" s="3">
        <v>0</v>
      </c>
      <c r="Q39" s="3">
        <v>0</v>
      </c>
      <c r="R39" s="3">
        <v>0</v>
      </c>
    </row>
    <row r="40" spans="1:18">
      <c r="A40" s="3" t="s">
        <v>48</v>
      </c>
      <c r="B40" s="3" t="s">
        <v>49</v>
      </c>
      <c r="C40" s="3" t="s">
        <v>50</v>
      </c>
      <c r="D40" s="3" t="s">
        <v>51</v>
      </c>
      <c r="E40" s="3" t="s">
        <v>127</v>
      </c>
      <c r="F40" s="3">
        <v>26.84</v>
      </c>
      <c r="G40" s="3" t="s">
        <v>273</v>
      </c>
      <c r="H40" s="3"/>
      <c r="I40" s="3" t="s">
        <v>274</v>
      </c>
      <c r="J40" s="3">
        <v>5</v>
      </c>
      <c r="K40" s="3">
        <v>0</v>
      </c>
      <c r="L40" s="3">
        <v>0</v>
      </c>
      <c r="M40" s="3">
        <v>5</v>
      </c>
      <c r="N40" s="3">
        <v>5</v>
      </c>
      <c r="O40" s="3">
        <v>0.01</v>
      </c>
      <c r="P40" s="3">
        <v>0</v>
      </c>
      <c r="Q40" s="3">
        <v>0</v>
      </c>
      <c r="R40" s="3">
        <v>0</v>
      </c>
    </row>
    <row r="41" spans="1:18">
      <c r="A41" s="3" t="s">
        <v>337</v>
      </c>
      <c r="B41" s="3" t="s">
        <v>338</v>
      </c>
      <c r="C41" s="3" t="s">
        <v>339</v>
      </c>
      <c r="D41" s="3" t="s">
        <v>340</v>
      </c>
      <c r="E41" s="3" t="s">
        <v>127</v>
      </c>
      <c r="F41" s="3">
        <v>29.79</v>
      </c>
      <c r="G41" s="3" t="s">
        <v>273</v>
      </c>
      <c r="H41" s="3"/>
      <c r="I41" s="3" t="s">
        <v>274</v>
      </c>
      <c r="J41" s="3">
        <v>0</v>
      </c>
      <c r="K41" s="3">
        <v>0</v>
      </c>
      <c r="L41" s="3">
        <v>0</v>
      </c>
      <c r="M41" s="3">
        <v>0</v>
      </c>
      <c r="N41" s="3">
        <v>48</v>
      </c>
      <c r="O41" s="3">
        <v>0.06</v>
      </c>
      <c r="P41" s="3">
        <v>48</v>
      </c>
      <c r="Q41" s="3">
        <v>0</v>
      </c>
      <c r="R41" s="3">
        <v>0</v>
      </c>
    </row>
    <row r="42" spans="1:18">
      <c r="A42" s="3" t="s">
        <v>242</v>
      </c>
      <c r="B42" s="3" t="s">
        <v>243</v>
      </c>
      <c r="C42" s="3" t="s">
        <v>244</v>
      </c>
      <c r="D42" s="3" t="s">
        <v>245</v>
      </c>
      <c r="E42" s="3" t="s">
        <v>127</v>
      </c>
      <c r="F42" s="3">
        <v>17.6</v>
      </c>
      <c r="G42" s="3" t="s">
        <v>273</v>
      </c>
      <c r="H42" s="3"/>
      <c r="I42" s="3" t="s">
        <v>274</v>
      </c>
      <c r="J42" s="3">
        <v>74</v>
      </c>
      <c r="K42" s="3">
        <v>74</v>
      </c>
      <c r="L42" s="3">
        <v>0</v>
      </c>
      <c r="M42" s="3">
        <v>0</v>
      </c>
      <c r="N42" s="3">
        <v>194</v>
      </c>
      <c r="O42" s="3">
        <v>0.01</v>
      </c>
      <c r="P42" s="3">
        <v>120</v>
      </c>
      <c r="Q42" s="3">
        <v>0</v>
      </c>
      <c r="R42" s="3">
        <v>0</v>
      </c>
    </row>
    <row r="43" spans="1:18">
      <c r="A43" s="3" t="s">
        <v>341</v>
      </c>
      <c r="B43" s="3" t="s">
        <v>342</v>
      </c>
      <c r="C43" s="3" t="s">
        <v>343</v>
      </c>
      <c r="D43" s="3" t="s">
        <v>344</v>
      </c>
      <c r="E43" s="3" t="s">
        <v>127</v>
      </c>
      <c r="F43" s="3">
        <v>16.99</v>
      </c>
      <c r="G43" s="3" t="s">
        <v>273</v>
      </c>
      <c r="H43" s="3"/>
      <c r="I43" s="3" t="s">
        <v>274</v>
      </c>
      <c r="J43" s="3">
        <v>0</v>
      </c>
      <c r="K43" s="3">
        <v>0</v>
      </c>
      <c r="L43" s="3">
        <v>0</v>
      </c>
      <c r="M43" s="3">
        <v>0</v>
      </c>
      <c r="N43" s="3">
        <v>48</v>
      </c>
      <c r="O43" s="3">
        <v>0.01</v>
      </c>
      <c r="P43" s="3">
        <v>48</v>
      </c>
      <c r="Q43" s="3">
        <v>0</v>
      </c>
      <c r="R43" s="3">
        <v>0</v>
      </c>
    </row>
    <row r="44" spans="1:18">
      <c r="A44" s="3" t="s">
        <v>345</v>
      </c>
      <c r="B44" s="3" t="s">
        <v>346</v>
      </c>
      <c r="C44" s="3" t="s">
        <v>347</v>
      </c>
      <c r="D44" s="3" t="s">
        <v>348</v>
      </c>
      <c r="E44" s="3" t="s">
        <v>127</v>
      </c>
      <c r="F44" s="3">
        <v>17.98</v>
      </c>
      <c r="G44" s="3" t="s">
        <v>273</v>
      </c>
      <c r="H44" s="3"/>
      <c r="I44" s="3" t="s">
        <v>274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0.02</v>
      </c>
      <c r="P44" s="3">
        <v>0</v>
      </c>
      <c r="Q44" s="3">
        <v>0</v>
      </c>
      <c r="R44" s="3">
        <v>0</v>
      </c>
    </row>
    <row r="45" spans="1:18">
      <c r="A45" s="3" t="s">
        <v>67</v>
      </c>
      <c r="B45" s="3" t="s">
        <v>68</v>
      </c>
      <c r="C45" s="3" t="s">
        <v>18</v>
      </c>
      <c r="D45" s="3" t="s">
        <v>19</v>
      </c>
      <c r="E45" s="3" t="s">
        <v>127</v>
      </c>
      <c r="F45" s="3">
        <v>49.99</v>
      </c>
      <c r="G45" s="3" t="s">
        <v>273</v>
      </c>
      <c r="H45" s="3"/>
      <c r="I45" s="3" t="s">
        <v>274</v>
      </c>
      <c r="J45" s="3">
        <v>31</v>
      </c>
      <c r="K45" s="3">
        <v>29</v>
      </c>
      <c r="L45" s="3">
        <v>0</v>
      </c>
      <c r="M45" s="3">
        <v>2</v>
      </c>
      <c r="N45" s="3">
        <v>31</v>
      </c>
      <c r="O45" s="3">
        <v>0.03</v>
      </c>
      <c r="P45" s="3">
        <v>0</v>
      </c>
      <c r="Q45" s="3">
        <v>0</v>
      </c>
      <c r="R45" s="3">
        <v>0</v>
      </c>
    </row>
    <row r="46" spans="1:18">
      <c r="A46" s="3" t="s">
        <v>349</v>
      </c>
      <c r="B46" s="3" t="s">
        <v>350</v>
      </c>
      <c r="C46" s="3" t="s">
        <v>350</v>
      </c>
      <c r="D46" s="3" t="s">
        <v>308</v>
      </c>
      <c r="E46" s="3" t="s">
        <v>127</v>
      </c>
      <c r="F46" s="3">
        <v>31.99</v>
      </c>
      <c r="G46" s="3" t="s">
        <v>273</v>
      </c>
      <c r="H46" s="3"/>
      <c r="I46" s="3" t="s">
        <v>274</v>
      </c>
      <c r="J46" s="3">
        <v>0</v>
      </c>
      <c r="K46" s="3">
        <v>0</v>
      </c>
      <c r="L46" s="3">
        <v>0</v>
      </c>
      <c r="M46" s="3">
        <v>0</v>
      </c>
      <c r="N46" s="3">
        <v>24</v>
      </c>
      <c r="O46" s="3">
        <v>0</v>
      </c>
      <c r="P46" s="3">
        <v>0</v>
      </c>
      <c r="Q46" s="3">
        <v>0</v>
      </c>
      <c r="R46" s="3">
        <v>24</v>
      </c>
    </row>
    <row r="47" spans="1:18">
      <c r="A47" s="3" t="s">
        <v>351</v>
      </c>
      <c r="B47" s="3" t="s">
        <v>352</v>
      </c>
      <c r="C47" s="3" t="s">
        <v>353</v>
      </c>
      <c r="D47" s="3" t="s">
        <v>354</v>
      </c>
      <c r="E47" s="3" t="s">
        <v>127</v>
      </c>
      <c r="F47" s="3">
        <v>20.99</v>
      </c>
      <c r="G47" s="3" t="s">
        <v>273</v>
      </c>
      <c r="H47" s="3"/>
      <c r="I47" s="3" t="s">
        <v>274</v>
      </c>
      <c r="J47" s="3">
        <v>0</v>
      </c>
      <c r="K47" s="3">
        <v>0</v>
      </c>
      <c r="L47" s="3">
        <v>0</v>
      </c>
      <c r="M47" s="3">
        <v>0</v>
      </c>
      <c r="N47" s="3">
        <v>72</v>
      </c>
      <c r="O47" s="3">
        <v>0.02</v>
      </c>
      <c r="P47" s="3">
        <v>0</v>
      </c>
      <c r="Q47" s="3">
        <v>0</v>
      </c>
      <c r="R47" s="3">
        <v>72</v>
      </c>
    </row>
    <row r="48" spans="1:18">
      <c r="A48" s="3" t="s">
        <v>154</v>
      </c>
      <c r="B48" s="3" t="s">
        <v>155</v>
      </c>
      <c r="C48" s="3" t="s">
        <v>156</v>
      </c>
      <c r="D48" s="3" t="s">
        <v>157</v>
      </c>
      <c r="E48" s="3" t="s">
        <v>127</v>
      </c>
      <c r="F48" s="3">
        <v>27.8</v>
      </c>
      <c r="G48" s="3" t="s">
        <v>273</v>
      </c>
      <c r="H48" s="3"/>
      <c r="I48" s="3" t="s">
        <v>274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0.02</v>
      </c>
      <c r="P48" s="3">
        <v>0</v>
      </c>
      <c r="Q48" s="3">
        <v>0</v>
      </c>
      <c r="R48" s="3">
        <v>0</v>
      </c>
    </row>
    <row r="49" spans="1:18">
      <c r="A49" s="3" t="s">
        <v>44</v>
      </c>
      <c r="B49" s="3" t="s">
        <v>45</v>
      </c>
      <c r="C49" s="3" t="s">
        <v>46</v>
      </c>
      <c r="D49" s="3" t="s">
        <v>47</v>
      </c>
      <c r="E49" s="3" t="s">
        <v>127</v>
      </c>
      <c r="F49" s="3">
        <v>42.5</v>
      </c>
      <c r="G49" s="3" t="s">
        <v>273</v>
      </c>
      <c r="H49" s="3"/>
      <c r="I49" s="3" t="s">
        <v>274</v>
      </c>
      <c r="J49" s="3">
        <v>40</v>
      </c>
      <c r="K49" s="3">
        <v>31</v>
      </c>
      <c r="L49" s="3">
        <v>0</v>
      </c>
      <c r="M49" s="3">
        <v>9</v>
      </c>
      <c r="N49" s="3">
        <v>40</v>
      </c>
      <c r="O49" s="3">
        <v>0.02</v>
      </c>
      <c r="P49" s="3">
        <v>0</v>
      </c>
      <c r="Q49" s="3">
        <v>0</v>
      </c>
      <c r="R49" s="3">
        <v>0</v>
      </c>
    </row>
    <row r="50" spans="1:18">
      <c r="A50" s="3" t="s">
        <v>204</v>
      </c>
      <c r="B50" s="3" t="s">
        <v>205</v>
      </c>
      <c r="C50" s="3" t="s">
        <v>206</v>
      </c>
      <c r="D50" s="3" t="s">
        <v>207</v>
      </c>
      <c r="E50" s="3" t="s">
        <v>127</v>
      </c>
      <c r="F50" s="3">
        <v>9.89</v>
      </c>
      <c r="G50" s="3" t="s">
        <v>273</v>
      </c>
      <c r="H50" s="3"/>
      <c r="I50" s="3" t="s">
        <v>274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0.02</v>
      </c>
      <c r="P50" s="3">
        <v>0</v>
      </c>
      <c r="Q50" s="3">
        <v>0</v>
      </c>
      <c r="R50" s="3">
        <v>0</v>
      </c>
    </row>
    <row r="51" spans="1:18">
      <c r="A51" s="3" t="s">
        <v>56</v>
      </c>
      <c r="B51" s="3" t="s">
        <v>57</v>
      </c>
      <c r="C51" s="3" t="s">
        <v>58</v>
      </c>
      <c r="D51" s="3" t="s">
        <v>59</v>
      </c>
      <c r="E51" s="3" t="s">
        <v>127</v>
      </c>
      <c r="F51" s="3">
        <v>35</v>
      </c>
      <c r="G51" s="3" t="s">
        <v>273</v>
      </c>
      <c r="H51" s="3"/>
      <c r="I51" s="3" t="s">
        <v>274</v>
      </c>
      <c r="J51" s="3">
        <v>42</v>
      </c>
      <c r="K51" s="3">
        <v>38</v>
      </c>
      <c r="L51" s="3">
        <v>0</v>
      </c>
      <c r="M51" s="3">
        <v>4</v>
      </c>
      <c r="N51" s="3">
        <v>138</v>
      </c>
      <c r="O51" s="3">
        <v>0.02</v>
      </c>
      <c r="P51" s="3">
        <v>96</v>
      </c>
      <c r="Q51" s="3">
        <v>0</v>
      </c>
      <c r="R51" s="3">
        <v>0</v>
      </c>
    </row>
    <row r="52" spans="1:18">
      <c r="A52" s="3" t="s">
        <v>355</v>
      </c>
      <c r="B52" s="3" t="s">
        <v>356</v>
      </c>
      <c r="C52" s="3" t="s">
        <v>315</v>
      </c>
      <c r="D52" s="3" t="s">
        <v>316</v>
      </c>
      <c r="E52" s="3" t="s">
        <v>127</v>
      </c>
      <c r="F52" s="3">
        <v>21.99</v>
      </c>
      <c r="G52" s="3" t="s">
        <v>273</v>
      </c>
      <c r="H52" s="3"/>
      <c r="I52" s="3" t="s">
        <v>274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0.01</v>
      </c>
      <c r="P52" s="3">
        <v>0</v>
      </c>
      <c r="Q52" s="3">
        <v>0</v>
      </c>
      <c r="R52" s="3">
        <v>0</v>
      </c>
    </row>
    <row r="53" spans="1:18">
      <c r="A53" s="3" t="s">
        <v>357</v>
      </c>
      <c r="B53" s="3" t="s">
        <v>358</v>
      </c>
      <c r="C53" s="3" t="s">
        <v>359</v>
      </c>
      <c r="D53" s="3" t="s">
        <v>360</v>
      </c>
      <c r="E53" s="3" t="s">
        <v>127</v>
      </c>
      <c r="F53" s="3">
        <v>24.99</v>
      </c>
      <c r="G53" s="3" t="s">
        <v>273</v>
      </c>
      <c r="H53" s="3"/>
      <c r="I53" s="3" t="s">
        <v>274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0.02</v>
      </c>
      <c r="P53" s="3">
        <v>0</v>
      </c>
      <c r="Q53" s="3">
        <v>0</v>
      </c>
      <c r="R53" s="3">
        <v>0</v>
      </c>
    </row>
    <row r="54" spans="1:18">
      <c r="A54" s="3" t="s">
        <v>361</v>
      </c>
      <c r="B54" s="3" t="s">
        <v>362</v>
      </c>
      <c r="C54" s="3" t="s">
        <v>363</v>
      </c>
      <c r="D54" s="3" t="s">
        <v>364</v>
      </c>
      <c r="E54" s="3" t="s">
        <v>127</v>
      </c>
      <c r="F54" s="3">
        <v>9.5</v>
      </c>
      <c r="G54" s="3" t="s">
        <v>273</v>
      </c>
      <c r="H54" s="3"/>
      <c r="I54" s="3" t="s">
        <v>274</v>
      </c>
      <c r="J54" s="3">
        <v>0</v>
      </c>
      <c r="K54" s="3">
        <v>0</v>
      </c>
      <c r="L54" s="3">
        <v>0</v>
      </c>
      <c r="M54" s="3">
        <v>0</v>
      </c>
      <c r="N54" s="3">
        <v>24</v>
      </c>
      <c r="O54" s="3">
        <v>0.02</v>
      </c>
      <c r="P54" s="3">
        <v>24</v>
      </c>
      <c r="Q54" s="3">
        <v>0</v>
      </c>
      <c r="R54" s="3">
        <v>0</v>
      </c>
    </row>
    <row r="55" spans="1:18">
      <c r="A55" s="3" t="s">
        <v>365</v>
      </c>
      <c r="B55" s="3" t="s">
        <v>366</v>
      </c>
      <c r="C55" s="3" t="s">
        <v>367</v>
      </c>
      <c r="D55" s="3" t="s">
        <v>368</v>
      </c>
      <c r="E55" s="3" t="s">
        <v>127</v>
      </c>
      <c r="F55" s="3">
        <v>49.89</v>
      </c>
      <c r="G55" s="3" t="s">
        <v>273</v>
      </c>
      <c r="H55" s="3"/>
      <c r="I55" s="3" t="s">
        <v>274</v>
      </c>
      <c r="J55" s="3">
        <v>0</v>
      </c>
      <c r="K55" s="3">
        <v>0</v>
      </c>
      <c r="L55" s="3">
        <v>0</v>
      </c>
      <c r="M55" s="3">
        <v>0</v>
      </c>
      <c r="N55" s="3">
        <v>48</v>
      </c>
      <c r="O55" s="3">
        <v>0.05</v>
      </c>
      <c r="P55" s="3">
        <v>48</v>
      </c>
      <c r="Q55" s="3">
        <v>0</v>
      </c>
      <c r="R55" s="3">
        <v>0</v>
      </c>
    </row>
    <row r="56" spans="1:18">
      <c r="A56" s="3" t="s">
        <v>257</v>
      </c>
      <c r="B56" s="3" t="s">
        <v>258</v>
      </c>
      <c r="C56" s="3" t="s">
        <v>22</v>
      </c>
      <c r="D56" s="3" t="s">
        <v>23</v>
      </c>
      <c r="E56" s="3" t="s">
        <v>127</v>
      </c>
      <c r="F56" s="3">
        <v>43</v>
      </c>
      <c r="G56" s="3" t="s">
        <v>273</v>
      </c>
      <c r="H56" s="3"/>
      <c r="I56" s="3" t="s">
        <v>274</v>
      </c>
      <c r="J56" s="3">
        <v>8</v>
      </c>
      <c r="K56" s="3">
        <v>8</v>
      </c>
      <c r="L56" s="3">
        <v>0</v>
      </c>
      <c r="M56" s="3">
        <v>0</v>
      </c>
      <c r="N56" s="3">
        <v>8</v>
      </c>
      <c r="O56" s="3">
        <v>0.02</v>
      </c>
      <c r="P56" s="3">
        <v>0</v>
      </c>
      <c r="Q56" s="3">
        <v>0</v>
      </c>
      <c r="R56" s="3">
        <v>0</v>
      </c>
    </row>
    <row r="57" spans="1:18">
      <c r="A57" s="3" t="s">
        <v>40</v>
      </c>
      <c r="B57" s="3" t="s">
        <v>41</v>
      </c>
      <c r="C57" s="3" t="s">
        <v>42</v>
      </c>
      <c r="D57" s="3" t="s">
        <v>43</v>
      </c>
      <c r="E57" s="3" t="s">
        <v>127</v>
      </c>
      <c r="F57" s="3">
        <v>49</v>
      </c>
      <c r="G57" s="3" t="s">
        <v>273</v>
      </c>
      <c r="H57" s="3"/>
      <c r="I57" s="3" t="s">
        <v>274</v>
      </c>
      <c r="J57" s="3">
        <v>43</v>
      </c>
      <c r="K57" s="3">
        <v>42</v>
      </c>
      <c r="L57" s="3">
        <v>0</v>
      </c>
      <c r="M57" s="3">
        <v>1</v>
      </c>
      <c r="N57" s="3">
        <v>43</v>
      </c>
      <c r="O57" s="3">
        <v>0.01</v>
      </c>
      <c r="P57" s="3">
        <v>0</v>
      </c>
      <c r="Q57" s="3">
        <v>0</v>
      </c>
      <c r="R57" s="3">
        <v>0</v>
      </c>
    </row>
    <row r="58" spans="1:18">
      <c r="A58" s="3" t="s">
        <v>369</v>
      </c>
      <c r="B58" s="3" t="s">
        <v>370</v>
      </c>
      <c r="C58" s="3" t="s">
        <v>287</v>
      </c>
      <c r="D58" s="3" t="s">
        <v>288</v>
      </c>
      <c r="E58" s="3" t="s">
        <v>127</v>
      </c>
      <c r="F58" s="3">
        <v>19.46</v>
      </c>
      <c r="G58" s="3" t="s">
        <v>273</v>
      </c>
      <c r="H58" s="3"/>
      <c r="I58" s="3" t="s">
        <v>274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0.08</v>
      </c>
      <c r="P58" s="3">
        <v>0</v>
      </c>
      <c r="Q58" s="3">
        <v>0</v>
      </c>
      <c r="R58" s="3">
        <v>0</v>
      </c>
    </row>
    <row r="59" spans="1:18">
      <c r="A59" s="3" t="s">
        <v>371</v>
      </c>
      <c r="B59" s="3" t="s">
        <v>372</v>
      </c>
      <c r="C59" s="3" t="s">
        <v>73</v>
      </c>
      <c r="D59" s="3" t="s">
        <v>74</v>
      </c>
      <c r="E59" s="3" t="s">
        <v>127</v>
      </c>
      <c r="F59" s="3">
        <v>12.9</v>
      </c>
      <c r="G59" s="3" t="s">
        <v>273</v>
      </c>
      <c r="H59" s="3"/>
      <c r="I59" s="3" t="s">
        <v>274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</row>
    <row r="60" spans="1:18">
      <c r="A60" s="3" t="s">
        <v>52</v>
      </c>
      <c r="B60" s="3" t="s">
        <v>53</v>
      </c>
      <c r="C60" s="3" t="s">
        <v>54</v>
      </c>
      <c r="D60" s="3" t="s">
        <v>55</v>
      </c>
      <c r="E60" s="3" t="s">
        <v>127</v>
      </c>
      <c r="F60" s="3">
        <v>37.8</v>
      </c>
      <c r="G60" s="3" t="s">
        <v>273</v>
      </c>
      <c r="H60" s="3"/>
      <c r="I60" s="3" t="s">
        <v>274</v>
      </c>
      <c r="J60" s="3">
        <v>15</v>
      </c>
      <c r="K60" s="3">
        <v>13</v>
      </c>
      <c r="L60" s="3">
        <v>0</v>
      </c>
      <c r="M60" s="3">
        <v>2</v>
      </c>
      <c r="N60" s="3">
        <v>15</v>
      </c>
      <c r="O60" s="3">
        <v>0.02</v>
      </c>
      <c r="P60" s="3">
        <v>0</v>
      </c>
      <c r="Q60" s="3">
        <v>0</v>
      </c>
      <c r="R60" s="3">
        <v>0</v>
      </c>
    </row>
    <row r="61" spans="1:18">
      <c r="A61" s="3" t="s">
        <v>373</v>
      </c>
      <c r="B61" s="3" t="s">
        <v>374</v>
      </c>
      <c r="C61" s="3" t="s">
        <v>315</v>
      </c>
      <c r="D61" s="3"/>
      <c r="E61" s="3" t="s">
        <v>277</v>
      </c>
      <c r="F61" s="3"/>
      <c r="G61" s="3"/>
      <c r="H61" s="3"/>
      <c r="I61" s="3"/>
      <c r="J61" s="3">
        <v>1</v>
      </c>
      <c r="K61" s="3">
        <v>0</v>
      </c>
      <c r="L61" s="3">
        <v>1</v>
      </c>
      <c r="M61" s="3">
        <v>0</v>
      </c>
      <c r="N61" s="3">
        <v>1</v>
      </c>
      <c r="O61" s="3"/>
      <c r="P61" s="3">
        <v>0</v>
      </c>
      <c r="Q61" s="3">
        <v>0</v>
      </c>
      <c r="R61" s="3">
        <v>0</v>
      </c>
    </row>
    <row r="62" spans="1:18">
      <c r="A62" s="3" t="s">
        <v>375</v>
      </c>
      <c r="B62" s="3" t="s">
        <v>376</v>
      </c>
      <c r="C62" s="3" t="s">
        <v>377</v>
      </c>
      <c r="D62" s="3" t="s">
        <v>378</v>
      </c>
      <c r="E62" s="3" t="s">
        <v>127</v>
      </c>
      <c r="F62" s="3">
        <v>14.89</v>
      </c>
      <c r="G62" s="3" t="s">
        <v>273</v>
      </c>
      <c r="H62" s="3"/>
      <c r="I62" s="3" t="s">
        <v>274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0.01</v>
      </c>
      <c r="P62" s="3">
        <v>0</v>
      </c>
      <c r="Q62" s="3">
        <v>0</v>
      </c>
      <c r="R62" s="3">
        <v>0</v>
      </c>
    </row>
    <row r="63" spans="1:18">
      <c r="A63" s="3" t="s">
        <v>379</v>
      </c>
      <c r="B63" s="3" t="s">
        <v>380</v>
      </c>
      <c r="C63" s="3" t="s">
        <v>353</v>
      </c>
      <c r="D63" s="3" t="s">
        <v>354</v>
      </c>
      <c r="E63" s="3" t="s">
        <v>127</v>
      </c>
      <c r="F63" s="3">
        <v>20.99</v>
      </c>
      <c r="G63" s="3" t="s">
        <v>273</v>
      </c>
      <c r="H63" s="3"/>
      <c r="I63" s="3" t="s">
        <v>274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0.02</v>
      </c>
      <c r="P63" s="3">
        <v>0</v>
      </c>
      <c r="Q63" s="3">
        <v>0</v>
      </c>
      <c r="R63" s="3">
        <v>0</v>
      </c>
    </row>
    <row r="64" spans="1:18">
      <c r="A64" s="3" t="s">
        <v>60</v>
      </c>
      <c r="B64" s="3" t="s">
        <v>61</v>
      </c>
      <c r="C64" s="3" t="s">
        <v>62</v>
      </c>
      <c r="D64" s="3" t="s">
        <v>63</v>
      </c>
      <c r="E64" s="3" t="s">
        <v>127</v>
      </c>
      <c r="F64" s="3">
        <v>13.59</v>
      </c>
      <c r="G64" s="3" t="s">
        <v>273</v>
      </c>
      <c r="H64" s="3"/>
      <c r="I64" s="3" t="s">
        <v>274</v>
      </c>
      <c r="J64" s="3">
        <v>43</v>
      </c>
      <c r="K64" s="3">
        <v>36</v>
      </c>
      <c r="L64" s="3">
        <v>5</v>
      </c>
      <c r="M64" s="3">
        <v>2</v>
      </c>
      <c r="N64" s="3">
        <v>43</v>
      </c>
      <c r="O64" s="3">
        <v>0.01</v>
      </c>
      <c r="P64" s="3">
        <v>0</v>
      </c>
      <c r="Q64" s="3">
        <v>0</v>
      </c>
      <c r="R64" s="3">
        <v>0</v>
      </c>
    </row>
    <row r="65" spans="1:18">
      <c r="A65" s="3" t="s">
        <v>381</v>
      </c>
      <c r="B65" s="3" t="s">
        <v>382</v>
      </c>
      <c r="C65" s="3" t="s">
        <v>293</v>
      </c>
      <c r="D65" s="3"/>
      <c r="E65" s="3" t="s">
        <v>277</v>
      </c>
      <c r="F65" s="3"/>
      <c r="G65" s="3"/>
      <c r="H65" s="3"/>
      <c r="I65" s="3"/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/>
      <c r="P65" s="3">
        <v>0</v>
      </c>
      <c r="Q65" s="3">
        <v>0</v>
      </c>
      <c r="R65" s="3">
        <v>0</v>
      </c>
    </row>
    <row r="66" spans="1:18">
      <c r="A66" s="3" t="s">
        <v>383</v>
      </c>
      <c r="B66" s="3" t="s">
        <v>281</v>
      </c>
      <c r="C66" s="3" t="s">
        <v>281</v>
      </c>
      <c r="D66" s="3"/>
      <c r="E66" s="3" t="s">
        <v>277</v>
      </c>
      <c r="F66" s="3"/>
      <c r="G66" s="3"/>
      <c r="H66" s="3"/>
      <c r="I66" s="3"/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/>
      <c r="P66" s="3">
        <v>0</v>
      </c>
      <c r="Q66" s="3">
        <v>0</v>
      </c>
      <c r="R66" s="3">
        <v>0</v>
      </c>
    </row>
    <row r="67" spans="1:18">
      <c r="A67" s="3" t="s">
        <v>384</v>
      </c>
      <c r="B67" s="3" t="s">
        <v>385</v>
      </c>
      <c r="C67" s="3" t="s">
        <v>367</v>
      </c>
      <c r="D67" s="3" t="s">
        <v>368</v>
      </c>
      <c r="E67" s="3" t="s">
        <v>277</v>
      </c>
      <c r="F67" s="3">
        <v>0</v>
      </c>
      <c r="G67" s="3" t="s">
        <v>273</v>
      </c>
      <c r="H67" s="3"/>
      <c r="I67" s="3" t="s">
        <v>274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0.05</v>
      </c>
      <c r="P67" s="3">
        <v>0</v>
      </c>
      <c r="Q67" s="3">
        <v>0</v>
      </c>
      <c r="R67" s="3">
        <v>0</v>
      </c>
    </row>
    <row r="68" spans="1:18">
      <c r="A68" s="3" t="s">
        <v>386</v>
      </c>
      <c r="B68" s="3" t="s">
        <v>387</v>
      </c>
      <c r="C68" s="3" t="s">
        <v>388</v>
      </c>
      <c r="D68" s="3"/>
      <c r="E68" s="3" t="s">
        <v>277</v>
      </c>
      <c r="F68" s="3"/>
      <c r="G68" s="3"/>
      <c r="H68" s="3"/>
      <c r="I68" s="3"/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/>
      <c r="P68" s="3">
        <v>0</v>
      </c>
      <c r="Q68" s="3">
        <v>0</v>
      </c>
      <c r="R68" s="3">
        <v>0</v>
      </c>
    </row>
    <row r="69" spans="1:18">
      <c r="A69" s="3" t="s">
        <v>193</v>
      </c>
      <c r="B69" s="3" t="s">
        <v>194</v>
      </c>
      <c r="C69" s="3" t="s">
        <v>194</v>
      </c>
      <c r="D69" s="3" t="s">
        <v>195</v>
      </c>
      <c r="E69" s="3" t="s">
        <v>127</v>
      </c>
      <c r="F69" s="3">
        <v>42.99</v>
      </c>
      <c r="G69" s="3" t="s">
        <v>273</v>
      </c>
      <c r="H69" s="3"/>
      <c r="I69" s="3" t="s">
        <v>274</v>
      </c>
      <c r="J69" s="3">
        <v>1</v>
      </c>
      <c r="K69" s="3">
        <v>1</v>
      </c>
      <c r="L69" s="3">
        <v>0</v>
      </c>
      <c r="M69" s="3">
        <v>0</v>
      </c>
      <c r="N69" s="3">
        <v>11</v>
      </c>
      <c r="O69" s="3">
        <v>0.56</v>
      </c>
      <c r="P69" s="3">
        <v>0</v>
      </c>
      <c r="Q69" s="3">
        <v>10</v>
      </c>
      <c r="R69" s="3">
        <v>0</v>
      </c>
    </row>
    <row r="70" spans="1:18">
      <c r="A70" s="3" t="s">
        <v>189</v>
      </c>
      <c r="B70" s="3" t="s">
        <v>143</v>
      </c>
      <c r="C70" s="3" t="s">
        <v>143</v>
      </c>
      <c r="D70" s="3" t="s">
        <v>144</v>
      </c>
      <c r="E70" s="3" t="s">
        <v>127</v>
      </c>
      <c r="F70" s="3">
        <v>42.99</v>
      </c>
      <c r="G70" s="3" t="s">
        <v>273</v>
      </c>
      <c r="H70" s="3"/>
      <c r="I70" s="3" t="s">
        <v>274</v>
      </c>
      <c r="J70" s="3">
        <v>1</v>
      </c>
      <c r="K70" s="3">
        <v>1</v>
      </c>
      <c r="L70" s="3">
        <v>0</v>
      </c>
      <c r="M70" s="3">
        <v>0</v>
      </c>
      <c r="N70" s="3">
        <v>7</v>
      </c>
      <c r="O70" s="3">
        <v>0.56</v>
      </c>
      <c r="P70" s="3">
        <v>0</v>
      </c>
      <c r="Q70" s="3">
        <v>6</v>
      </c>
      <c r="R70" s="3">
        <v>0</v>
      </c>
    </row>
    <row r="71" spans="1:18">
      <c r="A71" s="3" t="s">
        <v>389</v>
      </c>
      <c r="B71" s="3" t="s">
        <v>390</v>
      </c>
      <c r="C71" s="3" t="s">
        <v>390</v>
      </c>
      <c r="D71" s="3" t="s">
        <v>391</v>
      </c>
      <c r="E71" s="3" t="s">
        <v>127</v>
      </c>
      <c r="F71" s="3">
        <v>42.99</v>
      </c>
      <c r="G71" s="3" t="s">
        <v>273</v>
      </c>
      <c r="H71" s="3"/>
      <c r="I71" s="3" t="s">
        <v>274</v>
      </c>
      <c r="J71" s="3">
        <v>0</v>
      </c>
      <c r="K71" s="3">
        <v>0</v>
      </c>
      <c r="L71" s="3">
        <v>0</v>
      </c>
      <c r="M71" s="3">
        <v>0</v>
      </c>
      <c r="N71" s="3">
        <v>14</v>
      </c>
      <c r="O71" s="3">
        <v>0.56</v>
      </c>
      <c r="P71" s="3">
        <v>0</v>
      </c>
      <c r="Q71" s="3">
        <v>14</v>
      </c>
      <c r="R71" s="3">
        <v>0</v>
      </c>
    </row>
    <row r="72" spans="1:18">
      <c r="A72" s="3" t="s">
        <v>230</v>
      </c>
      <c r="B72" s="3" t="s">
        <v>159</v>
      </c>
      <c r="C72" s="3" t="s">
        <v>159</v>
      </c>
      <c r="D72" s="3" t="s">
        <v>160</v>
      </c>
      <c r="E72" s="3" t="s">
        <v>127</v>
      </c>
      <c r="F72" s="3">
        <v>42.99</v>
      </c>
      <c r="G72" s="3" t="s">
        <v>273</v>
      </c>
      <c r="H72" s="3"/>
      <c r="I72" s="3" t="s">
        <v>274</v>
      </c>
      <c r="J72" s="3">
        <v>3</v>
      </c>
      <c r="K72" s="3">
        <v>3</v>
      </c>
      <c r="L72" s="3">
        <v>0</v>
      </c>
      <c r="M72" s="3">
        <v>0</v>
      </c>
      <c r="N72" s="3">
        <v>11</v>
      </c>
      <c r="O72" s="3">
        <v>0.56</v>
      </c>
      <c r="P72" s="3">
        <v>1</v>
      </c>
      <c r="Q72" s="3">
        <v>7</v>
      </c>
      <c r="R72" s="3">
        <v>0</v>
      </c>
    </row>
    <row r="73" spans="1:18">
      <c r="A73" s="3" t="s">
        <v>235</v>
      </c>
      <c r="B73" s="3" t="s">
        <v>236</v>
      </c>
      <c r="C73" s="3" t="s">
        <v>236</v>
      </c>
      <c r="D73" s="3" t="s">
        <v>237</v>
      </c>
      <c r="E73" s="3" t="s">
        <v>127</v>
      </c>
      <c r="F73" s="3">
        <v>42.99</v>
      </c>
      <c r="G73" s="3" t="s">
        <v>273</v>
      </c>
      <c r="H73" s="3"/>
      <c r="I73" s="3" t="s">
        <v>274</v>
      </c>
      <c r="J73" s="3">
        <v>2</v>
      </c>
      <c r="K73" s="3">
        <v>2</v>
      </c>
      <c r="L73" s="3">
        <v>0</v>
      </c>
      <c r="M73" s="3">
        <v>0</v>
      </c>
      <c r="N73" s="3">
        <v>13</v>
      </c>
      <c r="O73" s="3">
        <v>0.56</v>
      </c>
      <c r="P73" s="3">
        <v>0</v>
      </c>
      <c r="Q73" s="3">
        <v>11</v>
      </c>
      <c r="R73" s="3">
        <v>0</v>
      </c>
    </row>
    <row r="74" spans="1:18">
      <c r="A74" s="3" t="s">
        <v>392</v>
      </c>
      <c r="B74" s="3" t="s">
        <v>393</v>
      </c>
      <c r="C74" s="3" t="s">
        <v>393</v>
      </c>
      <c r="D74" s="3" t="s">
        <v>394</v>
      </c>
      <c r="E74" s="3" t="s">
        <v>127</v>
      </c>
      <c r="F74" s="3">
        <v>42.99</v>
      </c>
      <c r="G74" s="3" t="s">
        <v>273</v>
      </c>
      <c r="H74" s="3"/>
      <c r="I74" s="3" t="s">
        <v>274</v>
      </c>
      <c r="J74" s="3">
        <v>0</v>
      </c>
      <c r="K74" s="3">
        <v>0</v>
      </c>
      <c r="L74" s="3">
        <v>0</v>
      </c>
      <c r="M74" s="3">
        <v>0</v>
      </c>
      <c r="N74" s="3">
        <v>6</v>
      </c>
      <c r="O74" s="3">
        <v>0.56</v>
      </c>
      <c r="P74" s="3">
        <v>0</v>
      </c>
      <c r="Q74" s="3">
        <v>6</v>
      </c>
      <c r="R74" s="3">
        <v>0</v>
      </c>
    </row>
    <row r="75" spans="1:18">
      <c r="A75" s="3" t="s">
        <v>231</v>
      </c>
      <c r="B75" s="3" t="s">
        <v>232</v>
      </c>
      <c r="C75" s="3" t="s">
        <v>232</v>
      </c>
      <c r="D75" s="3" t="s">
        <v>233</v>
      </c>
      <c r="E75" s="3" t="s">
        <v>127</v>
      </c>
      <c r="F75" s="3">
        <v>42.99</v>
      </c>
      <c r="G75" s="3" t="s">
        <v>273</v>
      </c>
      <c r="H75" s="3"/>
      <c r="I75" s="3" t="s">
        <v>274</v>
      </c>
      <c r="J75" s="3">
        <v>1</v>
      </c>
      <c r="K75" s="3">
        <v>1</v>
      </c>
      <c r="L75" s="3">
        <v>0</v>
      </c>
      <c r="M75" s="3">
        <v>0</v>
      </c>
      <c r="N75" s="3">
        <v>2</v>
      </c>
      <c r="O75" s="3">
        <v>0.56</v>
      </c>
      <c r="P75" s="3">
        <v>0</v>
      </c>
      <c r="Q75" s="3">
        <v>1</v>
      </c>
      <c r="R75" s="3">
        <v>0</v>
      </c>
    </row>
    <row r="76" spans="1:18">
      <c r="A76" s="3" t="s">
        <v>395</v>
      </c>
      <c r="B76" s="3" t="s">
        <v>396</v>
      </c>
      <c r="C76" s="3" t="s">
        <v>396</v>
      </c>
      <c r="D76" s="3" t="s">
        <v>397</v>
      </c>
      <c r="E76" s="3" t="s">
        <v>127</v>
      </c>
      <c r="F76" s="3">
        <v>42.99</v>
      </c>
      <c r="G76" s="3" t="s">
        <v>273</v>
      </c>
      <c r="H76" s="3"/>
      <c r="I76" s="3" t="s">
        <v>274</v>
      </c>
      <c r="J76" s="3">
        <v>0</v>
      </c>
      <c r="K76" s="3">
        <v>0</v>
      </c>
      <c r="L76" s="3">
        <v>0</v>
      </c>
      <c r="M76" s="3">
        <v>0</v>
      </c>
      <c r="N76" s="3">
        <v>9</v>
      </c>
      <c r="O76" s="3">
        <v>0.56</v>
      </c>
      <c r="P76" s="3">
        <v>3</v>
      </c>
      <c r="Q76" s="3">
        <v>6</v>
      </c>
      <c r="R76" s="3">
        <v>0</v>
      </c>
    </row>
    <row r="77" spans="1:18">
      <c r="A77" s="3" t="s">
        <v>398</v>
      </c>
      <c r="B77" s="3" t="s">
        <v>399</v>
      </c>
      <c r="C77" s="3" t="s">
        <v>399</v>
      </c>
      <c r="D77" s="3" t="s">
        <v>400</v>
      </c>
      <c r="E77" s="3" t="s">
        <v>127</v>
      </c>
      <c r="F77" s="3">
        <v>42.99</v>
      </c>
      <c r="G77" s="3" t="s">
        <v>273</v>
      </c>
      <c r="H77" s="3"/>
      <c r="I77" s="3" t="s">
        <v>274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0.56</v>
      </c>
      <c r="P77" s="3">
        <v>0</v>
      </c>
      <c r="Q77" s="3">
        <v>0</v>
      </c>
      <c r="R77" s="3">
        <v>0</v>
      </c>
    </row>
    <row r="78" spans="1:18">
      <c r="A78" s="3" t="s">
        <v>401</v>
      </c>
      <c r="B78" s="3" t="s">
        <v>402</v>
      </c>
      <c r="C78" s="3" t="s">
        <v>402</v>
      </c>
      <c r="D78" s="3" t="s">
        <v>403</v>
      </c>
      <c r="E78" s="3" t="s">
        <v>127</v>
      </c>
      <c r="F78" s="3">
        <v>42.99</v>
      </c>
      <c r="G78" s="3" t="s">
        <v>273</v>
      </c>
      <c r="H78" s="3"/>
      <c r="I78" s="3" t="s">
        <v>274</v>
      </c>
      <c r="J78" s="3">
        <v>0</v>
      </c>
      <c r="K78" s="3">
        <v>0</v>
      </c>
      <c r="L78" s="3">
        <v>0</v>
      </c>
      <c r="M78" s="3">
        <v>0</v>
      </c>
      <c r="N78" s="3">
        <v>11</v>
      </c>
      <c r="O78" s="3">
        <v>0.56</v>
      </c>
      <c r="P78" s="3">
        <v>0</v>
      </c>
      <c r="Q78" s="3">
        <v>11</v>
      </c>
      <c r="R78" s="3">
        <v>0</v>
      </c>
    </row>
    <row r="79" spans="1:18">
      <c r="A79" s="3" t="s">
        <v>404</v>
      </c>
      <c r="B79" s="3" t="s">
        <v>405</v>
      </c>
      <c r="C79" s="3" t="s">
        <v>405</v>
      </c>
      <c r="D79" s="3" t="s">
        <v>406</v>
      </c>
      <c r="E79" s="3" t="s">
        <v>127</v>
      </c>
      <c r="F79" s="3">
        <v>42.99</v>
      </c>
      <c r="G79" s="3" t="s">
        <v>273</v>
      </c>
      <c r="H79" s="3"/>
      <c r="I79" s="3" t="s">
        <v>274</v>
      </c>
      <c r="J79" s="3">
        <v>0</v>
      </c>
      <c r="K79" s="3">
        <v>0</v>
      </c>
      <c r="L79" s="3">
        <v>0</v>
      </c>
      <c r="M79" s="3">
        <v>0</v>
      </c>
      <c r="N79" s="3">
        <v>5</v>
      </c>
      <c r="O79" s="3">
        <v>0.56</v>
      </c>
      <c r="P79" s="3">
        <v>1</v>
      </c>
      <c r="Q79" s="3">
        <v>4</v>
      </c>
      <c r="R79" s="3">
        <v>0</v>
      </c>
    </row>
    <row r="80" spans="1:18">
      <c r="A80" s="3" t="s">
        <v>223</v>
      </c>
      <c r="B80" s="3" t="s">
        <v>224</v>
      </c>
      <c r="C80" s="3" t="s">
        <v>224</v>
      </c>
      <c r="D80" s="3" t="s">
        <v>225</v>
      </c>
      <c r="E80" s="3" t="s">
        <v>127</v>
      </c>
      <c r="F80" s="3">
        <v>42.99</v>
      </c>
      <c r="G80" s="3" t="s">
        <v>273</v>
      </c>
      <c r="H80" s="3"/>
      <c r="I80" s="3" t="s">
        <v>274</v>
      </c>
      <c r="J80" s="3">
        <v>2</v>
      </c>
      <c r="K80" s="3">
        <v>2</v>
      </c>
      <c r="L80" s="3">
        <v>0</v>
      </c>
      <c r="M80" s="3">
        <v>0</v>
      </c>
      <c r="N80" s="3">
        <v>5</v>
      </c>
      <c r="O80" s="3">
        <v>0.56</v>
      </c>
      <c r="P80" s="3">
        <v>0</v>
      </c>
      <c r="Q80" s="3">
        <v>3</v>
      </c>
      <c r="R80" s="3">
        <v>0</v>
      </c>
    </row>
    <row r="81" spans="1:18">
      <c r="A81" s="3" t="s">
        <v>64</v>
      </c>
      <c r="B81" s="3" t="s">
        <v>65</v>
      </c>
      <c r="C81" s="3" t="s">
        <v>65</v>
      </c>
      <c r="D81" s="3" t="s">
        <v>66</v>
      </c>
      <c r="E81" s="3" t="s">
        <v>127</v>
      </c>
      <c r="F81" s="3">
        <v>42.99</v>
      </c>
      <c r="G81" s="3" t="s">
        <v>273</v>
      </c>
      <c r="H81" s="3"/>
      <c r="I81" s="3" t="s">
        <v>274</v>
      </c>
      <c r="J81" s="3">
        <v>1</v>
      </c>
      <c r="K81" s="3">
        <v>0</v>
      </c>
      <c r="L81" s="3">
        <v>0</v>
      </c>
      <c r="M81" s="3">
        <v>1</v>
      </c>
      <c r="N81" s="3">
        <v>6</v>
      </c>
      <c r="O81" s="3">
        <v>0.56</v>
      </c>
      <c r="P81" s="3">
        <v>1</v>
      </c>
      <c r="Q81" s="3">
        <v>4</v>
      </c>
      <c r="R81" s="3">
        <v>0</v>
      </c>
    </row>
    <row r="82" spans="1:18">
      <c r="A82" s="3" t="s">
        <v>407</v>
      </c>
      <c r="B82" s="3" t="s">
        <v>408</v>
      </c>
      <c r="C82" s="3" t="s">
        <v>408</v>
      </c>
      <c r="D82" s="3" t="s">
        <v>409</v>
      </c>
      <c r="E82" s="3" t="s">
        <v>127</v>
      </c>
      <c r="F82" s="3">
        <v>42.99</v>
      </c>
      <c r="G82" s="3" t="s">
        <v>273</v>
      </c>
      <c r="H82" s="3"/>
      <c r="I82" s="3" t="s">
        <v>274</v>
      </c>
      <c r="J82" s="3">
        <v>13</v>
      </c>
      <c r="K82" s="3">
        <v>12</v>
      </c>
      <c r="L82" s="3">
        <v>1</v>
      </c>
      <c r="M82" s="3">
        <v>0</v>
      </c>
      <c r="N82" s="3">
        <v>13</v>
      </c>
      <c r="O82" s="3">
        <v>1.15</v>
      </c>
      <c r="P82" s="3">
        <v>0</v>
      </c>
      <c r="Q82" s="3">
        <v>0</v>
      </c>
      <c r="R82" s="3">
        <v>0</v>
      </c>
    </row>
    <row r="83" spans="1:18">
      <c r="A83" s="3" t="s">
        <v>234</v>
      </c>
      <c r="B83" s="3" t="s">
        <v>217</v>
      </c>
      <c r="C83" s="3" t="s">
        <v>217</v>
      </c>
      <c r="D83" s="3" t="s">
        <v>218</v>
      </c>
      <c r="E83" s="3" t="s">
        <v>127</v>
      </c>
      <c r="F83" s="3">
        <v>42.99</v>
      </c>
      <c r="G83" s="3" t="s">
        <v>273</v>
      </c>
      <c r="H83" s="3"/>
      <c r="I83" s="3" t="s">
        <v>274</v>
      </c>
      <c r="J83" s="3">
        <v>2</v>
      </c>
      <c r="K83" s="3">
        <v>2</v>
      </c>
      <c r="L83" s="3">
        <v>0</v>
      </c>
      <c r="M83" s="3">
        <v>0</v>
      </c>
      <c r="N83" s="3">
        <v>17</v>
      </c>
      <c r="O83" s="3">
        <v>1.06</v>
      </c>
      <c r="P83" s="3">
        <v>8</v>
      </c>
      <c r="Q83" s="3">
        <v>6</v>
      </c>
      <c r="R83" s="3">
        <v>1</v>
      </c>
    </row>
    <row r="84" spans="1:18">
      <c r="A84" s="3" t="s">
        <v>410</v>
      </c>
      <c r="B84" s="3" t="s">
        <v>411</v>
      </c>
      <c r="C84" s="3" t="s">
        <v>411</v>
      </c>
      <c r="D84" s="3" t="s">
        <v>412</v>
      </c>
      <c r="E84" s="3" t="s">
        <v>127</v>
      </c>
      <c r="F84" s="3">
        <v>42.99</v>
      </c>
      <c r="G84" s="3" t="s">
        <v>273</v>
      </c>
      <c r="H84" s="3"/>
      <c r="I84" s="3" t="s">
        <v>274</v>
      </c>
      <c r="J84" s="3">
        <v>0</v>
      </c>
      <c r="K84" s="3">
        <v>0</v>
      </c>
      <c r="L84" s="3">
        <v>0</v>
      </c>
      <c r="M84" s="3">
        <v>0</v>
      </c>
      <c r="N84" s="3">
        <v>13</v>
      </c>
      <c r="O84" s="3">
        <v>1.12</v>
      </c>
      <c r="P84" s="3">
        <v>12</v>
      </c>
      <c r="Q84" s="3">
        <v>1</v>
      </c>
      <c r="R84" s="3">
        <v>0</v>
      </c>
    </row>
    <row r="85" spans="1:18">
      <c r="A85" s="3" t="s">
        <v>413</v>
      </c>
      <c r="B85" s="3" t="s">
        <v>414</v>
      </c>
      <c r="C85" s="3" t="s">
        <v>414</v>
      </c>
      <c r="D85" s="3" t="s">
        <v>415</v>
      </c>
      <c r="E85" s="3" t="s">
        <v>127</v>
      </c>
      <c r="F85" s="3">
        <v>42.99</v>
      </c>
      <c r="G85" s="3" t="s">
        <v>273</v>
      </c>
      <c r="H85" s="3"/>
      <c r="I85" s="3" t="s">
        <v>274</v>
      </c>
      <c r="J85" s="3">
        <v>6</v>
      </c>
      <c r="K85" s="3">
        <v>6</v>
      </c>
      <c r="L85" s="3">
        <v>0</v>
      </c>
      <c r="M85" s="3">
        <v>0</v>
      </c>
      <c r="N85" s="3">
        <v>6</v>
      </c>
      <c r="O85" s="3">
        <v>1.11</v>
      </c>
      <c r="P85" s="3">
        <v>0</v>
      </c>
      <c r="Q85" s="3">
        <v>0</v>
      </c>
      <c r="R85" s="3">
        <v>0</v>
      </c>
    </row>
    <row r="86" spans="1:18">
      <c r="A86" s="3" t="s">
        <v>416</v>
      </c>
      <c r="B86" s="3" t="s">
        <v>417</v>
      </c>
      <c r="C86" s="3" t="s">
        <v>417</v>
      </c>
      <c r="D86" s="3" t="s">
        <v>418</v>
      </c>
      <c r="E86" s="3" t="s">
        <v>127</v>
      </c>
      <c r="F86" s="3">
        <v>42.99</v>
      </c>
      <c r="G86" s="3" t="s">
        <v>273</v>
      </c>
      <c r="H86" s="3"/>
      <c r="I86" s="3" t="s">
        <v>274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1.11</v>
      </c>
      <c r="P86" s="3">
        <v>0</v>
      </c>
      <c r="Q86" s="3">
        <v>0</v>
      </c>
      <c r="R86" s="3">
        <v>0</v>
      </c>
    </row>
    <row r="87" spans="1:18">
      <c r="A87" s="3" t="s">
        <v>196</v>
      </c>
      <c r="B87" s="3" t="s">
        <v>137</v>
      </c>
      <c r="C87" s="3" t="s">
        <v>137</v>
      </c>
      <c r="D87" s="3" t="s">
        <v>138</v>
      </c>
      <c r="E87" s="3" t="s">
        <v>127</v>
      </c>
      <c r="F87" s="3">
        <v>42.99</v>
      </c>
      <c r="G87" s="3" t="s">
        <v>273</v>
      </c>
      <c r="H87" s="3"/>
      <c r="I87" s="3" t="s">
        <v>274</v>
      </c>
      <c r="J87" s="3">
        <v>7</v>
      </c>
      <c r="K87" s="3">
        <v>7</v>
      </c>
      <c r="L87" s="3">
        <v>0</v>
      </c>
      <c r="M87" s="3">
        <v>0</v>
      </c>
      <c r="N87" s="3">
        <v>7</v>
      </c>
      <c r="O87" s="3">
        <v>1.11</v>
      </c>
      <c r="P87" s="3">
        <v>0</v>
      </c>
      <c r="Q87" s="3">
        <v>0</v>
      </c>
      <c r="R87" s="3">
        <v>0</v>
      </c>
    </row>
    <row r="88" spans="1:18">
      <c r="A88" s="3" t="s">
        <v>226</v>
      </c>
      <c r="B88" s="3" t="s">
        <v>172</v>
      </c>
      <c r="C88" s="3" t="s">
        <v>172</v>
      </c>
      <c r="D88" s="3" t="s">
        <v>173</v>
      </c>
      <c r="E88" s="3" t="s">
        <v>127</v>
      </c>
      <c r="F88" s="3">
        <v>42.99</v>
      </c>
      <c r="G88" s="3" t="s">
        <v>273</v>
      </c>
      <c r="H88" s="3"/>
      <c r="I88" s="3" t="s">
        <v>274</v>
      </c>
      <c r="J88" s="3">
        <v>6</v>
      </c>
      <c r="K88" s="3">
        <v>6</v>
      </c>
      <c r="L88" s="3">
        <v>0</v>
      </c>
      <c r="M88" s="3">
        <v>0</v>
      </c>
      <c r="N88" s="3">
        <v>8</v>
      </c>
      <c r="O88" s="3">
        <v>1.11</v>
      </c>
      <c r="P88" s="3">
        <v>0</v>
      </c>
      <c r="Q88" s="3">
        <v>0</v>
      </c>
      <c r="R88" s="3">
        <v>2</v>
      </c>
    </row>
    <row r="89" spans="1:18">
      <c r="A89" s="3" t="s">
        <v>177</v>
      </c>
      <c r="B89" s="3" t="s">
        <v>162</v>
      </c>
      <c r="C89" s="3" t="s">
        <v>162</v>
      </c>
      <c r="D89" s="3" t="s">
        <v>163</v>
      </c>
      <c r="E89" s="3" t="s">
        <v>127</v>
      </c>
      <c r="F89" s="3">
        <v>42.99</v>
      </c>
      <c r="G89" s="3" t="s">
        <v>273</v>
      </c>
      <c r="H89" s="3"/>
      <c r="I89" s="3" t="s">
        <v>274</v>
      </c>
      <c r="J89" s="3">
        <v>1</v>
      </c>
      <c r="K89" s="3">
        <v>1</v>
      </c>
      <c r="L89" s="3">
        <v>0</v>
      </c>
      <c r="M89" s="3">
        <v>0</v>
      </c>
      <c r="N89" s="3">
        <v>8</v>
      </c>
      <c r="O89" s="3">
        <v>1.01</v>
      </c>
      <c r="P89" s="3">
        <v>4</v>
      </c>
      <c r="Q89" s="3">
        <v>2</v>
      </c>
      <c r="R89" s="3">
        <v>1</v>
      </c>
    </row>
    <row r="90" spans="1:18">
      <c r="A90" s="3" t="s">
        <v>419</v>
      </c>
      <c r="B90" s="3" t="s">
        <v>420</v>
      </c>
      <c r="C90" s="3" t="s">
        <v>420</v>
      </c>
      <c r="D90" s="3" t="s">
        <v>421</v>
      </c>
      <c r="E90" s="3" t="s">
        <v>127</v>
      </c>
      <c r="F90" s="3">
        <v>42.99</v>
      </c>
      <c r="G90" s="3" t="s">
        <v>273</v>
      </c>
      <c r="H90" s="3"/>
      <c r="I90" s="3" t="s">
        <v>274</v>
      </c>
      <c r="J90" s="3">
        <v>7</v>
      </c>
      <c r="K90" s="3">
        <v>7</v>
      </c>
      <c r="L90" s="3">
        <v>0</v>
      </c>
      <c r="M90" s="3">
        <v>0</v>
      </c>
      <c r="N90" s="3">
        <v>7</v>
      </c>
      <c r="O90" s="3">
        <v>1.11</v>
      </c>
      <c r="P90" s="3">
        <v>0</v>
      </c>
      <c r="Q90" s="3">
        <v>0</v>
      </c>
      <c r="R90" s="3">
        <v>0</v>
      </c>
    </row>
    <row r="91" spans="1:18">
      <c r="A91" s="3" t="s">
        <v>229</v>
      </c>
      <c r="B91" s="3" t="s">
        <v>147</v>
      </c>
      <c r="C91" s="3" t="s">
        <v>147</v>
      </c>
      <c r="D91" s="3" t="s">
        <v>148</v>
      </c>
      <c r="E91" s="3" t="s">
        <v>127</v>
      </c>
      <c r="F91" s="3">
        <v>42.99</v>
      </c>
      <c r="G91" s="3" t="s">
        <v>273</v>
      </c>
      <c r="H91" s="3"/>
      <c r="I91" s="3" t="s">
        <v>274</v>
      </c>
      <c r="J91" s="3">
        <v>2</v>
      </c>
      <c r="K91" s="3">
        <v>2</v>
      </c>
      <c r="L91" s="3">
        <v>0</v>
      </c>
      <c r="M91" s="3">
        <v>0</v>
      </c>
      <c r="N91" s="3">
        <v>24</v>
      </c>
      <c r="O91" s="3">
        <v>0.78</v>
      </c>
      <c r="P91" s="3">
        <v>13</v>
      </c>
      <c r="Q91" s="3">
        <v>9</v>
      </c>
      <c r="R91" s="3">
        <v>0</v>
      </c>
    </row>
    <row r="92" spans="1:18">
      <c r="A92" s="3" t="s">
        <v>256</v>
      </c>
      <c r="B92" s="3" t="s">
        <v>214</v>
      </c>
      <c r="C92" s="3" t="s">
        <v>214</v>
      </c>
      <c r="D92" s="3" t="s">
        <v>215</v>
      </c>
      <c r="E92" s="3" t="s">
        <v>127</v>
      </c>
      <c r="F92" s="3">
        <v>42.99</v>
      </c>
      <c r="G92" s="3" t="s">
        <v>273</v>
      </c>
      <c r="H92" s="3"/>
      <c r="I92" s="3" t="s">
        <v>274</v>
      </c>
      <c r="J92" s="3">
        <v>13</v>
      </c>
      <c r="K92" s="3">
        <v>13</v>
      </c>
      <c r="L92" s="3">
        <v>0</v>
      </c>
      <c r="M92" s="3">
        <v>0</v>
      </c>
      <c r="N92" s="3">
        <v>13</v>
      </c>
      <c r="O92" s="3">
        <v>0.78</v>
      </c>
      <c r="P92" s="3">
        <v>0</v>
      </c>
      <c r="Q92" s="3">
        <v>0</v>
      </c>
      <c r="R92" s="3">
        <v>0</v>
      </c>
    </row>
    <row r="93" spans="1:18">
      <c r="A93" s="3" t="s">
        <v>422</v>
      </c>
      <c r="B93" s="3" t="s">
        <v>423</v>
      </c>
      <c r="C93" s="3" t="s">
        <v>423</v>
      </c>
      <c r="D93" s="3" t="s">
        <v>424</v>
      </c>
      <c r="E93" s="3" t="s">
        <v>127</v>
      </c>
      <c r="F93" s="3">
        <v>42.99</v>
      </c>
      <c r="G93" s="3" t="s">
        <v>273</v>
      </c>
      <c r="H93" s="3"/>
      <c r="I93" s="3" t="s">
        <v>274</v>
      </c>
      <c r="J93" s="3">
        <v>9</v>
      </c>
      <c r="K93" s="3">
        <v>9</v>
      </c>
      <c r="L93" s="3">
        <v>0</v>
      </c>
      <c r="M93" s="3">
        <v>0</v>
      </c>
      <c r="N93" s="3">
        <v>9</v>
      </c>
      <c r="O93" s="3">
        <v>0.78</v>
      </c>
      <c r="P93" s="3">
        <v>0</v>
      </c>
      <c r="Q93" s="3">
        <v>0</v>
      </c>
      <c r="R93" s="3">
        <v>0</v>
      </c>
    </row>
    <row r="94" spans="1:18">
      <c r="A94" s="3" t="s">
        <v>425</v>
      </c>
      <c r="B94" s="3" t="s">
        <v>426</v>
      </c>
      <c r="C94" s="3" t="s">
        <v>426</v>
      </c>
      <c r="D94" s="3" t="s">
        <v>427</v>
      </c>
      <c r="E94" s="3" t="s">
        <v>127</v>
      </c>
      <c r="F94" s="3">
        <v>42.99</v>
      </c>
      <c r="G94" s="3" t="s">
        <v>273</v>
      </c>
      <c r="H94" s="3"/>
      <c r="I94" s="3" t="s">
        <v>274</v>
      </c>
      <c r="J94" s="3">
        <v>0</v>
      </c>
      <c r="K94" s="3">
        <v>0</v>
      </c>
      <c r="L94" s="3">
        <v>0</v>
      </c>
      <c r="M94" s="3">
        <v>0</v>
      </c>
      <c r="N94" s="3">
        <v>9</v>
      </c>
      <c r="O94" s="3">
        <v>0.78</v>
      </c>
      <c r="P94" s="3">
        <v>0</v>
      </c>
      <c r="Q94" s="3">
        <v>9</v>
      </c>
      <c r="R94" s="3">
        <v>0</v>
      </c>
    </row>
    <row r="95" spans="1:18">
      <c r="A95" s="3" t="s">
        <v>211</v>
      </c>
      <c r="B95" s="3" t="s">
        <v>191</v>
      </c>
      <c r="C95" s="3" t="s">
        <v>191</v>
      </c>
      <c r="D95" s="3" t="s">
        <v>192</v>
      </c>
      <c r="E95" s="3" t="s">
        <v>127</v>
      </c>
      <c r="F95" s="3">
        <v>42.99</v>
      </c>
      <c r="G95" s="3" t="s">
        <v>273</v>
      </c>
      <c r="H95" s="3"/>
      <c r="I95" s="3" t="s">
        <v>274</v>
      </c>
      <c r="J95" s="3">
        <v>2</v>
      </c>
      <c r="K95" s="3">
        <v>2</v>
      </c>
      <c r="L95" s="3">
        <v>0</v>
      </c>
      <c r="M95" s="3">
        <v>0</v>
      </c>
      <c r="N95" s="3">
        <v>29</v>
      </c>
      <c r="O95" s="3">
        <v>0.78</v>
      </c>
      <c r="P95" s="3">
        <v>18</v>
      </c>
      <c r="Q95" s="3">
        <v>9</v>
      </c>
      <c r="R95" s="3">
        <v>0</v>
      </c>
    </row>
    <row r="96" spans="1:18">
      <c r="A96" s="3" t="s">
        <v>428</v>
      </c>
      <c r="B96" s="3" t="s">
        <v>429</v>
      </c>
      <c r="C96" s="3" t="s">
        <v>429</v>
      </c>
      <c r="D96" s="3" t="s">
        <v>430</v>
      </c>
      <c r="E96" s="3" t="s">
        <v>127</v>
      </c>
      <c r="F96" s="3">
        <v>42.99</v>
      </c>
      <c r="G96" s="3" t="s">
        <v>273</v>
      </c>
      <c r="H96" s="3"/>
      <c r="I96" s="3" t="s">
        <v>274</v>
      </c>
      <c r="J96" s="3">
        <v>0</v>
      </c>
      <c r="K96" s="3">
        <v>0</v>
      </c>
      <c r="L96" s="3">
        <v>0</v>
      </c>
      <c r="M96" s="3">
        <v>0</v>
      </c>
      <c r="N96" s="3">
        <v>24</v>
      </c>
      <c r="O96" s="3">
        <v>0.78</v>
      </c>
      <c r="P96" s="3">
        <v>12</v>
      </c>
      <c r="Q96" s="3">
        <v>12</v>
      </c>
      <c r="R96" s="3">
        <v>0</v>
      </c>
    </row>
    <row r="97" spans="1:18">
      <c r="A97" s="3" t="s">
        <v>431</v>
      </c>
      <c r="B97" s="3" t="s">
        <v>432</v>
      </c>
      <c r="C97" s="3" t="s">
        <v>432</v>
      </c>
      <c r="D97" s="3" t="s">
        <v>433</v>
      </c>
      <c r="E97" s="3" t="s">
        <v>127</v>
      </c>
      <c r="F97" s="3">
        <v>42.99</v>
      </c>
      <c r="G97" s="3" t="s">
        <v>273</v>
      </c>
      <c r="H97" s="3"/>
      <c r="I97" s="3" t="s">
        <v>274</v>
      </c>
      <c r="J97" s="3">
        <v>0</v>
      </c>
      <c r="K97" s="3">
        <v>0</v>
      </c>
      <c r="L97" s="3">
        <v>0</v>
      </c>
      <c r="M97" s="3">
        <v>0</v>
      </c>
      <c r="N97" s="3">
        <v>10</v>
      </c>
      <c r="O97" s="3">
        <v>0.78</v>
      </c>
      <c r="P97" s="3">
        <v>5</v>
      </c>
      <c r="Q97" s="3">
        <v>5</v>
      </c>
      <c r="R97" s="3">
        <v>0</v>
      </c>
    </row>
    <row r="98" spans="1:18">
      <c r="A98" s="3" t="s">
        <v>434</v>
      </c>
      <c r="B98" s="3" t="s">
        <v>435</v>
      </c>
      <c r="C98" s="3" t="s">
        <v>435</v>
      </c>
      <c r="D98" s="3" t="s">
        <v>436</v>
      </c>
      <c r="E98" s="3" t="s">
        <v>127</v>
      </c>
      <c r="F98" s="3">
        <v>42.99</v>
      </c>
      <c r="G98" s="3" t="s">
        <v>273</v>
      </c>
      <c r="H98" s="3"/>
      <c r="I98" s="3" t="s">
        <v>274</v>
      </c>
      <c r="J98" s="3">
        <v>0</v>
      </c>
      <c r="K98" s="3">
        <v>0</v>
      </c>
      <c r="L98" s="3">
        <v>0</v>
      </c>
      <c r="M98" s="3">
        <v>0</v>
      </c>
      <c r="N98" s="3">
        <v>6</v>
      </c>
      <c r="O98" s="3">
        <v>0.78</v>
      </c>
      <c r="P98" s="3">
        <v>3</v>
      </c>
      <c r="Q98" s="3">
        <v>3</v>
      </c>
      <c r="R98" s="3">
        <v>0</v>
      </c>
    </row>
    <row r="99" spans="1:18">
      <c r="A99" s="3" t="s">
        <v>437</v>
      </c>
      <c r="B99" s="3" t="s">
        <v>438</v>
      </c>
      <c r="C99" s="3" t="s">
        <v>438</v>
      </c>
      <c r="D99" s="3" t="s">
        <v>439</v>
      </c>
      <c r="E99" s="3" t="s">
        <v>127</v>
      </c>
      <c r="F99" s="3">
        <v>42.99</v>
      </c>
      <c r="G99" s="3" t="s">
        <v>273</v>
      </c>
      <c r="H99" s="3"/>
      <c r="I99" s="3" t="s">
        <v>274</v>
      </c>
      <c r="J99" s="3">
        <v>0</v>
      </c>
      <c r="K99" s="3">
        <v>0</v>
      </c>
      <c r="L99" s="3">
        <v>0</v>
      </c>
      <c r="M99" s="3">
        <v>0</v>
      </c>
      <c r="N99" s="3">
        <v>23</v>
      </c>
      <c r="O99" s="3">
        <v>0.78</v>
      </c>
      <c r="P99" s="3">
        <v>15</v>
      </c>
      <c r="Q99" s="3">
        <v>8</v>
      </c>
      <c r="R99" s="3">
        <v>0</v>
      </c>
    </row>
    <row r="100" spans="1:18">
      <c r="A100" s="3" t="s">
        <v>440</v>
      </c>
      <c r="B100" s="3" t="s">
        <v>441</v>
      </c>
      <c r="C100" s="3" t="s">
        <v>441</v>
      </c>
      <c r="D100" s="3" t="s">
        <v>442</v>
      </c>
      <c r="E100" s="3" t="s">
        <v>127</v>
      </c>
      <c r="F100" s="3">
        <v>42.99</v>
      </c>
      <c r="G100" s="3" t="s">
        <v>273</v>
      </c>
      <c r="H100" s="3"/>
      <c r="I100" s="3" t="s">
        <v>274</v>
      </c>
      <c r="J100" s="3">
        <v>0</v>
      </c>
      <c r="K100" s="3">
        <v>0</v>
      </c>
      <c r="L100" s="3">
        <v>0</v>
      </c>
      <c r="M100" s="3">
        <v>0</v>
      </c>
      <c r="N100" s="3">
        <v>17</v>
      </c>
      <c r="O100" s="3">
        <v>0.78</v>
      </c>
      <c r="P100" s="3">
        <v>11</v>
      </c>
      <c r="Q100" s="3">
        <v>6</v>
      </c>
      <c r="R100" s="3">
        <v>0</v>
      </c>
    </row>
    <row r="101" spans="1:18">
      <c r="A101" s="3" t="s">
        <v>186</v>
      </c>
      <c r="B101" s="3" t="s">
        <v>187</v>
      </c>
      <c r="C101" s="3" t="s">
        <v>187</v>
      </c>
      <c r="D101" s="3" t="s">
        <v>188</v>
      </c>
      <c r="E101" s="3" t="s">
        <v>127</v>
      </c>
      <c r="F101" s="3">
        <v>42.99</v>
      </c>
      <c r="G101" s="3" t="s">
        <v>273</v>
      </c>
      <c r="H101" s="3"/>
      <c r="I101" s="3" t="s">
        <v>274</v>
      </c>
      <c r="J101" s="3">
        <v>2</v>
      </c>
      <c r="K101" s="3">
        <v>2</v>
      </c>
      <c r="L101" s="3">
        <v>0</v>
      </c>
      <c r="M101" s="3">
        <v>0</v>
      </c>
      <c r="N101" s="3">
        <v>8</v>
      </c>
      <c r="O101" s="3">
        <v>0.78</v>
      </c>
      <c r="P101" s="3">
        <v>6</v>
      </c>
      <c r="Q101" s="3">
        <v>0</v>
      </c>
      <c r="R101" s="3">
        <v>0</v>
      </c>
    </row>
    <row r="102" spans="1:18">
      <c r="A102" s="3" t="s">
        <v>443</v>
      </c>
      <c r="B102" s="3" t="s">
        <v>444</v>
      </c>
      <c r="C102" s="3" t="s">
        <v>444</v>
      </c>
      <c r="D102" s="3" t="s">
        <v>445</v>
      </c>
      <c r="E102" s="3" t="s">
        <v>127</v>
      </c>
      <c r="F102" s="3">
        <v>42.99</v>
      </c>
      <c r="G102" s="3" t="s">
        <v>273</v>
      </c>
      <c r="H102" s="3"/>
      <c r="I102" s="3" t="s">
        <v>274</v>
      </c>
      <c r="J102" s="3">
        <v>0</v>
      </c>
      <c r="K102" s="3">
        <v>0</v>
      </c>
      <c r="L102" s="3">
        <v>0</v>
      </c>
      <c r="M102" s="3">
        <v>0</v>
      </c>
      <c r="N102" s="3">
        <v>15</v>
      </c>
      <c r="O102" s="3">
        <v>0.78</v>
      </c>
      <c r="P102" s="3">
        <v>9</v>
      </c>
      <c r="Q102" s="3">
        <v>6</v>
      </c>
      <c r="R102" s="3">
        <v>0</v>
      </c>
    </row>
    <row r="103" spans="1:18">
      <c r="A103" s="3" t="s">
        <v>446</v>
      </c>
      <c r="B103" s="3" t="s">
        <v>447</v>
      </c>
      <c r="C103" s="3" t="s">
        <v>447</v>
      </c>
      <c r="D103" s="3" t="s">
        <v>448</v>
      </c>
      <c r="E103" s="3" t="s">
        <v>127</v>
      </c>
      <c r="F103" s="3">
        <v>42.99</v>
      </c>
      <c r="G103" s="3" t="s">
        <v>273</v>
      </c>
      <c r="H103" s="3"/>
      <c r="I103" s="3" t="s">
        <v>274</v>
      </c>
      <c r="J103" s="3">
        <v>0</v>
      </c>
      <c r="K103" s="3">
        <v>0</v>
      </c>
      <c r="L103" s="3">
        <v>0</v>
      </c>
      <c r="M103" s="3">
        <v>0</v>
      </c>
      <c r="N103" s="3">
        <v>16</v>
      </c>
      <c r="O103" s="3">
        <v>0.78</v>
      </c>
      <c r="P103" s="3">
        <v>8</v>
      </c>
      <c r="Q103" s="3">
        <v>8</v>
      </c>
      <c r="R103" s="3">
        <v>0</v>
      </c>
    </row>
    <row r="104" spans="1:18">
      <c r="A104" s="3" t="s">
        <v>212</v>
      </c>
      <c r="B104" s="3" t="s">
        <v>194</v>
      </c>
      <c r="C104" s="3" t="s">
        <v>194</v>
      </c>
      <c r="D104" s="3" t="s">
        <v>195</v>
      </c>
      <c r="E104" s="3" t="s">
        <v>127</v>
      </c>
      <c r="F104" s="3">
        <v>34.39</v>
      </c>
      <c r="G104" s="3" t="s">
        <v>273</v>
      </c>
      <c r="H104" s="3"/>
      <c r="I104" s="3" t="s">
        <v>274</v>
      </c>
      <c r="J104" s="3">
        <v>1</v>
      </c>
      <c r="K104" s="3">
        <v>1</v>
      </c>
      <c r="L104" s="3">
        <v>0</v>
      </c>
      <c r="M104" s="3">
        <v>0</v>
      </c>
      <c r="N104" s="3">
        <v>11</v>
      </c>
      <c r="O104" s="3">
        <v>0.56</v>
      </c>
      <c r="P104" s="3">
        <v>0</v>
      </c>
      <c r="Q104" s="3">
        <v>10</v>
      </c>
      <c r="R104" s="3">
        <v>0</v>
      </c>
    </row>
    <row r="105" spans="1:18">
      <c r="A105" s="3" t="s">
        <v>142</v>
      </c>
      <c r="B105" s="3" t="s">
        <v>143</v>
      </c>
      <c r="C105" s="3" t="s">
        <v>143</v>
      </c>
      <c r="D105" s="3" t="s">
        <v>144</v>
      </c>
      <c r="E105" s="3" t="s">
        <v>127</v>
      </c>
      <c r="F105" s="3">
        <v>42.99</v>
      </c>
      <c r="G105" s="3" t="s">
        <v>273</v>
      </c>
      <c r="H105" s="3"/>
      <c r="I105" s="3" t="s">
        <v>274</v>
      </c>
      <c r="J105" s="3">
        <v>1</v>
      </c>
      <c r="K105" s="3">
        <v>1</v>
      </c>
      <c r="L105" s="3">
        <v>0</v>
      </c>
      <c r="M105" s="3">
        <v>0</v>
      </c>
      <c r="N105" s="3">
        <v>7</v>
      </c>
      <c r="O105" s="3">
        <v>0.56</v>
      </c>
      <c r="P105" s="3">
        <v>0</v>
      </c>
      <c r="Q105" s="3">
        <v>6</v>
      </c>
      <c r="R105" s="3">
        <v>0</v>
      </c>
    </row>
    <row r="106" spans="1:18">
      <c r="A106" s="3" t="s">
        <v>449</v>
      </c>
      <c r="B106" s="3" t="s">
        <v>390</v>
      </c>
      <c r="C106" s="3" t="s">
        <v>390</v>
      </c>
      <c r="D106" s="3" t="s">
        <v>391</v>
      </c>
      <c r="E106" s="3" t="s">
        <v>127</v>
      </c>
      <c r="F106" s="3">
        <v>38.8</v>
      </c>
      <c r="G106" s="3" t="s">
        <v>273</v>
      </c>
      <c r="H106" s="3"/>
      <c r="I106" s="3" t="s">
        <v>274</v>
      </c>
      <c r="J106" s="3">
        <v>0</v>
      </c>
      <c r="K106" s="3">
        <v>0</v>
      </c>
      <c r="L106" s="3">
        <v>0</v>
      </c>
      <c r="M106" s="3">
        <v>0</v>
      </c>
      <c r="N106" s="3">
        <v>14</v>
      </c>
      <c r="O106" s="3">
        <v>0.56</v>
      </c>
      <c r="P106" s="3">
        <v>0</v>
      </c>
      <c r="Q106" s="3">
        <v>14</v>
      </c>
      <c r="R106" s="3">
        <v>0</v>
      </c>
    </row>
    <row r="107" spans="1:18">
      <c r="A107" s="3" t="s">
        <v>158</v>
      </c>
      <c r="B107" s="3" t="s">
        <v>159</v>
      </c>
      <c r="C107" s="3" t="s">
        <v>159</v>
      </c>
      <c r="D107" s="3" t="s">
        <v>160</v>
      </c>
      <c r="E107" s="3" t="s">
        <v>127</v>
      </c>
      <c r="F107" s="3">
        <v>39.99</v>
      </c>
      <c r="G107" s="3" t="s">
        <v>273</v>
      </c>
      <c r="H107" s="3"/>
      <c r="I107" s="3" t="s">
        <v>274</v>
      </c>
      <c r="J107" s="3">
        <v>3</v>
      </c>
      <c r="K107" s="3">
        <v>3</v>
      </c>
      <c r="L107" s="3">
        <v>0</v>
      </c>
      <c r="M107" s="3">
        <v>0</v>
      </c>
      <c r="N107" s="3">
        <v>11</v>
      </c>
      <c r="O107" s="3">
        <v>0.56</v>
      </c>
      <c r="P107" s="3">
        <v>1</v>
      </c>
      <c r="Q107" s="3">
        <v>7</v>
      </c>
      <c r="R107" s="3">
        <v>0</v>
      </c>
    </row>
    <row r="108" spans="1:18">
      <c r="A108" s="3" t="s">
        <v>251</v>
      </c>
      <c r="B108" s="3" t="s">
        <v>236</v>
      </c>
      <c r="C108" s="3" t="s">
        <v>236</v>
      </c>
      <c r="D108" s="3" t="s">
        <v>237</v>
      </c>
      <c r="E108" s="3" t="s">
        <v>127</v>
      </c>
      <c r="F108" s="3">
        <v>34.39</v>
      </c>
      <c r="G108" s="3" t="s">
        <v>273</v>
      </c>
      <c r="H108" s="3"/>
      <c r="I108" s="3" t="s">
        <v>274</v>
      </c>
      <c r="J108" s="3">
        <v>2</v>
      </c>
      <c r="K108" s="3">
        <v>2</v>
      </c>
      <c r="L108" s="3">
        <v>0</v>
      </c>
      <c r="M108" s="3">
        <v>0</v>
      </c>
      <c r="N108" s="3">
        <v>13</v>
      </c>
      <c r="O108" s="3">
        <v>0.56</v>
      </c>
      <c r="P108" s="3">
        <v>0</v>
      </c>
      <c r="Q108" s="3">
        <v>11</v>
      </c>
      <c r="R108" s="3">
        <v>0</v>
      </c>
    </row>
    <row r="109" spans="1:18">
      <c r="A109" s="3" t="s">
        <v>450</v>
      </c>
      <c r="B109" s="3" t="s">
        <v>393</v>
      </c>
      <c r="C109" s="3" t="s">
        <v>393</v>
      </c>
      <c r="D109" s="3" t="s">
        <v>394</v>
      </c>
      <c r="E109" s="3" t="s">
        <v>127</v>
      </c>
      <c r="F109" s="3">
        <v>42.99</v>
      </c>
      <c r="G109" s="3" t="s">
        <v>273</v>
      </c>
      <c r="H109" s="3"/>
      <c r="I109" s="3" t="s">
        <v>274</v>
      </c>
      <c r="J109" s="3">
        <v>0</v>
      </c>
      <c r="K109" s="3">
        <v>0</v>
      </c>
      <c r="L109" s="3">
        <v>0</v>
      </c>
      <c r="M109" s="3">
        <v>0</v>
      </c>
      <c r="N109" s="3">
        <v>6</v>
      </c>
      <c r="O109" s="3">
        <v>0.56</v>
      </c>
      <c r="P109" s="3">
        <v>0</v>
      </c>
      <c r="Q109" s="3">
        <v>6</v>
      </c>
      <c r="R109" s="3">
        <v>0</v>
      </c>
    </row>
    <row r="110" spans="1:18">
      <c r="A110" s="3" t="s">
        <v>246</v>
      </c>
      <c r="B110" s="3" t="s">
        <v>232</v>
      </c>
      <c r="C110" s="3" t="s">
        <v>232</v>
      </c>
      <c r="D110" s="3" t="s">
        <v>233</v>
      </c>
      <c r="E110" s="3" t="s">
        <v>127</v>
      </c>
      <c r="F110" s="3">
        <v>38.39</v>
      </c>
      <c r="G110" s="3" t="s">
        <v>273</v>
      </c>
      <c r="H110" s="3"/>
      <c r="I110" s="3" t="s">
        <v>274</v>
      </c>
      <c r="J110" s="3">
        <v>1</v>
      </c>
      <c r="K110" s="3">
        <v>1</v>
      </c>
      <c r="L110" s="3">
        <v>0</v>
      </c>
      <c r="M110" s="3">
        <v>0</v>
      </c>
      <c r="N110" s="3">
        <v>2</v>
      </c>
      <c r="O110" s="3">
        <v>0.56</v>
      </c>
      <c r="P110" s="3">
        <v>0</v>
      </c>
      <c r="Q110" s="3">
        <v>1</v>
      </c>
      <c r="R110" s="3">
        <v>0</v>
      </c>
    </row>
    <row r="111" spans="1:18">
      <c r="A111" s="3" t="s">
        <v>451</v>
      </c>
      <c r="B111" s="3" t="s">
        <v>396</v>
      </c>
      <c r="C111" s="3" t="s">
        <v>396</v>
      </c>
      <c r="D111" s="3" t="s">
        <v>397</v>
      </c>
      <c r="E111" s="3" t="s">
        <v>127</v>
      </c>
      <c r="F111" s="3">
        <v>42.49</v>
      </c>
      <c r="G111" s="3" t="s">
        <v>273</v>
      </c>
      <c r="H111" s="3"/>
      <c r="I111" s="3" t="s">
        <v>274</v>
      </c>
      <c r="J111" s="3">
        <v>0</v>
      </c>
      <c r="K111" s="3">
        <v>0</v>
      </c>
      <c r="L111" s="3">
        <v>0</v>
      </c>
      <c r="M111" s="3">
        <v>0</v>
      </c>
      <c r="N111" s="3">
        <v>9</v>
      </c>
      <c r="O111" s="3">
        <v>0.56</v>
      </c>
      <c r="P111" s="3">
        <v>3</v>
      </c>
      <c r="Q111" s="3">
        <v>6</v>
      </c>
      <c r="R111" s="3">
        <v>0</v>
      </c>
    </row>
    <row r="112" spans="1:18">
      <c r="A112" s="3" t="s">
        <v>452</v>
      </c>
      <c r="B112" s="3" t="s">
        <v>399</v>
      </c>
      <c r="C112" s="3" t="s">
        <v>399</v>
      </c>
      <c r="D112" s="3" t="s">
        <v>400</v>
      </c>
      <c r="E112" s="3" t="s">
        <v>127</v>
      </c>
      <c r="F112" s="3">
        <v>42.99</v>
      </c>
      <c r="G112" s="3" t="s">
        <v>273</v>
      </c>
      <c r="H112" s="3"/>
      <c r="I112" s="3" t="s">
        <v>274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0.56</v>
      </c>
      <c r="P112" s="3">
        <v>0</v>
      </c>
      <c r="Q112" s="3">
        <v>0</v>
      </c>
      <c r="R112" s="3">
        <v>0</v>
      </c>
    </row>
    <row r="113" spans="1:18">
      <c r="A113" s="3" t="s">
        <v>453</v>
      </c>
      <c r="B113" s="3" t="s">
        <v>402</v>
      </c>
      <c r="C113" s="3" t="s">
        <v>402</v>
      </c>
      <c r="D113" s="3" t="s">
        <v>403</v>
      </c>
      <c r="E113" s="3" t="s">
        <v>127</v>
      </c>
      <c r="F113" s="3">
        <v>40.6</v>
      </c>
      <c r="G113" s="3" t="s">
        <v>273</v>
      </c>
      <c r="H113" s="3"/>
      <c r="I113" s="3" t="s">
        <v>274</v>
      </c>
      <c r="J113" s="3">
        <v>0</v>
      </c>
      <c r="K113" s="3">
        <v>0</v>
      </c>
      <c r="L113" s="3">
        <v>0</v>
      </c>
      <c r="M113" s="3">
        <v>0</v>
      </c>
      <c r="N113" s="3">
        <v>11</v>
      </c>
      <c r="O113" s="3">
        <v>0.56</v>
      </c>
      <c r="P113" s="3">
        <v>0</v>
      </c>
      <c r="Q113" s="3">
        <v>11</v>
      </c>
      <c r="R113" s="3">
        <v>0</v>
      </c>
    </row>
    <row r="114" spans="1:18">
      <c r="A114" s="3" t="s">
        <v>454</v>
      </c>
      <c r="B114" s="3" t="s">
        <v>455</v>
      </c>
      <c r="C114" s="3" t="s">
        <v>455</v>
      </c>
      <c r="D114" s="3" t="s">
        <v>456</v>
      </c>
      <c r="E114" s="3" t="s">
        <v>127</v>
      </c>
      <c r="F114" s="3">
        <v>42.49</v>
      </c>
      <c r="G114" s="3" t="s">
        <v>273</v>
      </c>
      <c r="H114" s="3"/>
      <c r="I114" s="3" t="s">
        <v>274</v>
      </c>
      <c r="J114" s="3">
        <v>1</v>
      </c>
      <c r="K114" s="3">
        <v>0</v>
      </c>
      <c r="L114" s="3">
        <v>1</v>
      </c>
      <c r="M114" s="3">
        <v>0</v>
      </c>
      <c r="N114" s="3">
        <v>1</v>
      </c>
      <c r="O114" s="3">
        <v>0.56</v>
      </c>
      <c r="P114" s="3">
        <v>0</v>
      </c>
      <c r="Q114" s="3">
        <v>0</v>
      </c>
      <c r="R114" s="3">
        <v>0</v>
      </c>
    </row>
    <row r="115" spans="1:18">
      <c r="A115" s="3" t="s">
        <v>174</v>
      </c>
      <c r="B115" s="3" t="s">
        <v>175</v>
      </c>
      <c r="C115" s="3" t="s">
        <v>175</v>
      </c>
      <c r="D115" s="3" t="s">
        <v>176</v>
      </c>
      <c r="E115" s="3" t="s">
        <v>127</v>
      </c>
      <c r="F115" s="3">
        <v>42.99</v>
      </c>
      <c r="G115" s="3" t="s">
        <v>273</v>
      </c>
      <c r="H115" s="3"/>
      <c r="I115" s="3" t="s">
        <v>274</v>
      </c>
      <c r="J115" s="3">
        <v>2</v>
      </c>
      <c r="K115" s="3">
        <v>1</v>
      </c>
      <c r="L115" s="3">
        <v>1</v>
      </c>
      <c r="M115" s="3">
        <v>0</v>
      </c>
      <c r="N115" s="3">
        <v>2</v>
      </c>
      <c r="O115" s="3">
        <v>0.56</v>
      </c>
      <c r="P115" s="3">
        <v>0</v>
      </c>
      <c r="Q115" s="3">
        <v>0</v>
      </c>
      <c r="R115" s="3">
        <v>0</v>
      </c>
    </row>
    <row r="116" spans="1:18">
      <c r="A116" s="3" t="s">
        <v>457</v>
      </c>
      <c r="B116" s="3" t="s">
        <v>405</v>
      </c>
      <c r="C116" s="3" t="s">
        <v>405</v>
      </c>
      <c r="D116" s="3" t="s">
        <v>406</v>
      </c>
      <c r="E116" s="3" t="s">
        <v>127</v>
      </c>
      <c r="F116" s="3">
        <v>34.39</v>
      </c>
      <c r="G116" s="3" t="s">
        <v>273</v>
      </c>
      <c r="H116" s="3"/>
      <c r="I116" s="3" t="s">
        <v>274</v>
      </c>
      <c r="J116" s="3">
        <v>0</v>
      </c>
      <c r="K116" s="3">
        <v>0</v>
      </c>
      <c r="L116" s="3">
        <v>0</v>
      </c>
      <c r="M116" s="3">
        <v>0</v>
      </c>
      <c r="N116" s="3">
        <v>5</v>
      </c>
      <c r="O116" s="3">
        <v>0.56</v>
      </c>
      <c r="P116" s="3">
        <v>1</v>
      </c>
      <c r="Q116" s="3">
        <v>4</v>
      </c>
      <c r="R116" s="3">
        <v>0</v>
      </c>
    </row>
    <row r="117" spans="1:18">
      <c r="A117" s="3" t="s">
        <v>227</v>
      </c>
      <c r="B117" s="3" t="s">
        <v>224</v>
      </c>
      <c r="C117" s="3" t="s">
        <v>224</v>
      </c>
      <c r="D117" s="3" t="s">
        <v>225</v>
      </c>
      <c r="E117" s="3" t="s">
        <v>127</v>
      </c>
      <c r="F117" s="3">
        <v>34.39</v>
      </c>
      <c r="G117" s="3" t="s">
        <v>273</v>
      </c>
      <c r="H117" s="3"/>
      <c r="I117" s="3" t="s">
        <v>274</v>
      </c>
      <c r="J117" s="3">
        <v>2</v>
      </c>
      <c r="K117" s="3">
        <v>2</v>
      </c>
      <c r="L117" s="3">
        <v>0</v>
      </c>
      <c r="M117" s="3">
        <v>0</v>
      </c>
      <c r="N117" s="3">
        <v>5</v>
      </c>
      <c r="O117" s="3">
        <v>0.56</v>
      </c>
      <c r="P117" s="3">
        <v>0</v>
      </c>
      <c r="Q117" s="3">
        <v>3</v>
      </c>
      <c r="R117" s="3">
        <v>0</v>
      </c>
    </row>
    <row r="118" spans="1:18">
      <c r="A118" s="3" t="s">
        <v>87</v>
      </c>
      <c r="B118" s="3" t="s">
        <v>65</v>
      </c>
      <c r="C118" s="3" t="s">
        <v>65</v>
      </c>
      <c r="D118" s="3" t="s">
        <v>66</v>
      </c>
      <c r="E118" s="3" t="s">
        <v>127</v>
      </c>
      <c r="F118" s="3">
        <v>42.49</v>
      </c>
      <c r="G118" s="3" t="s">
        <v>273</v>
      </c>
      <c r="H118" s="3"/>
      <c r="I118" s="3" t="s">
        <v>274</v>
      </c>
      <c r="J118" s="3">
        <v>1</v>
      </c>
      <c r="K118" s="3">
        <v>0</v>
      </c>
      <c r="L118" s="3">
        <v>0</v>
      </c>
      <c r="M118" s="3">
        <v>1</v>
      </c>
      <c r="N118" s="3">
        <v>6</v>
      </c>
      <c r="O118" s="3">
        <v>0.56</v>
      </c>
      <c r="P118" s="3">
        <v>1</v>
      </c>
      <c r="Q118" s="3">
        <v>4</v>
      </c>
      <c r="R118" s="3">
        <v>0</v>
      </c>
    </row>
    <row r="119" spans="1:18">
      <c r="A119" s="3" t="s">
        <v>458</v>
      </c>
      <c r="B119" s="3" t="s">
        <v>408</v>
      </c>
      <c r="C119" s="3" t="s">
        <v>408</v>
      </c>
      <c r="D119" s="3" t="s">
        <v>409</v>
      </c>
      <c r="E119" s="3" t="s">
        <v>127</v>
      </c>
      <c r="F119" s="3">
        <v>38.99</v>
      </c>
      <c r="G119" s="3" t="s">
        <v>273</v>
      </c>
      <c r="H119" s="3"/>
      <c r="I119" s="3" t="s">
        <v>274</v>
      </c>
      <c r="J119" s="3">
        <v>13</v>
      </c>
      <c r="K119" s="3">
        <v>12</v>
      </c>
      <c r="L119" s="3">
        <v>1</v>
      </c>
      <c r="M119" s="3">
        <v>0</v>
      </c>
      <c r="N119" s="3">
        <v>13</v>
      </c>
      <c r="O119" s="3">
        <v>1.15</v>
      </c>
      <c r="P119" s="3">
        <v>0</v>
      </c>
      <c r="Q119" s="3">
        <v>0</v>
      </c>
      <c r="R119" s="3">
        <v>0</v>
      </c>
    </row>
    <row r="120" spans="1:18">
      <c r="A120" s="3" t="s">
        <v>216</v>
      </c>
      <c r="B120" s="3" t="s">
        <v>217</v>
      </c>
      <c r="C120" s="3" t="s">
        <v>217</v>
      </c>
      <c r="D120" s="3" t="s">
        <v>218</v>
      </c>
      <c r="E120" s="3" t="s">
        <v>127</v>
      </c>
      <c r="F120" s="3">
        <v>42.99</v>
      </c>
      <c r="G120" s="3" t="s">
        <v>273</v>
      </c>
      <c r="H120" s="3"/>
      <c r="I120" s="3" t="s">
        <v>274</v>
      </c>
      <c r="J120" s="3">
        <v>2</v>
      </c>
      <c r="K120" s="3">
        <v>2</v>
      </c>
      <c r="L120" s="3">
        <v>0</v>
      </c>
      <c r="M120" s="3">
        <v>0</v>
      </c>
      <c r="N120" s="3">
        <v>17</v>
      </c>
      <c r="O120" s="3">
        <v>1.06</v>
      </c>
      <c r="P120" s="3">
        <v>8</v>
      </c>
      <c r="Q120" s="3">
        <v>6</v>
      </c>
      <c r="R120" s="3">
        <v>1</v>
      </c>
    </row>
    <row r="121" spans="1:18">
      <c r="A121" s="3" t="s">
        <v>459</v>
      </c>
      <c r="B121" s="3" t="s">
        <v>411</v>
      </c>
      <c r="C121" s="3" t="s">
        <v>411</v>
      </c>
      <c r="D121" s="3" t="s">
        <v>412</v>
      </c>
      <c r="E121" s="3" t="s">
        <v>127</v>
      </c>
      <c r="F121" s="3">
        <v>39.05</v>
      </c>
      <c r="G121" s="3" t="s">
        <v>273</v>
      </c>
      <c r="H121" s="3"/>
      <c r="I121" s="3" t="s">
        <v>274</v>
      </c>
      <c r="J121" s="3">
        <v>0</v>
      </c>
      <c r="K121" s="3">
        <v>0</v>
      </c>
      <c r="L121" s="3">
        <v>0</v>
      </c>
      <c r="M121" s="3">
        <v>0</v>
      </c>
      <c r="N121" s="3">
        <v>13</v>
      </c>
      <c r="O121" s="3">
        <v>1.12</v>
      </c>
      <c r="P121" s="3">
        <v>12</v>
      </c>
      <c r="Q121" s="3">
        <v>1</v>
      </c>
      <c r="R121" s="3">
        <v>0</v>
      </c>
    </row>
    <row r="122" spans="1:18">
      <c r="A122" s="3" t="s">
        <v>168</v>
      </c>
      <c r="B122" s="3" t="s">
        <v>169</v>
      </c>
      <c r="C122" s="3" t="s">
        <v>169</v>
      </c>
      <c r="D122" s="3" t="s">
        <v>170</v>
      </c>
      <c r="E122" s="3" t="s">
        <v>127</v>
      </c>
      <c r="F122" s="3">
        <v>42.99</v>
      </c>
      <c r="G122" s="3" t="s">
        <v>273</v>
      </c>
      <c r="H122" s="3"/>
      <c r="I122" s="3" t="s">
        <v>274</v>
      </c>
      <c r="J122" s="3">
        <v>6</v>
      </c>
      <c r="K122" s="3">
        <v>6</v>
      </c>
      <c r="L122" s="3">
        <v>0</v>
      </c>
      <c r="M122" s="3">
        <v>0</v>
      </c>
      <c r="N122" s="3">
        <v>6</v>
      </c>
      <c r="O122" s="3">
        <v>1.11</v>
      </c>
      <c r="P122" s="3">
        <v>0</v>
      </c>
      <c r="Q122" s="3">
        <v>0</v>
      </c>
      <c r="R122" s="3">
        <v>0</v>
      </c>
    </row>
    <row r="123" spans="1:18">
      <c r="A123" s="3" t="s">
        <v>460</v>
      </c>
      <c r="B123" s="3" t="s">
        <v>461</v>
      </c>
      <c r="C123" s="3" t="s">
        <v>461</v>
      </c>
      <c r="D123" s="3" t="s">
        <v>462</v>
      </c>
      <c r="E123" s="3" t="s">
        <v>127</v>
      </c>
      <c r="F123" s="3">
        <v>42.99</v>
      </c>
      <c r="G123" s="3" t="s">
        <v>273</v>
      </c>
      <c r="H123" s="3"/>
      <c r="I123" s="3" t="s">
        <v>274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1.11</v>
      </c>
      <c r="P123" s="3">
        <v>0</v>
      </c>
      <c r="Q123" s="3">
        <v>0</v>
      </c>
      <c r="R123" s="3">
        <v>0</v>
      </c>
    </row>
    <row r="124" spans="1:18">
      <c r="A124" s="3" t="s">
        <v>463</v>
      </c>
      <c r="B124" s="3" t="s">
        <v>414</v>
      </c>
      <c r="C124" s="3" t="s">
        <v>414</v>
      </c>
      <c r="D124" s="3" t="s">
        <v>415</v>
      </c>
      <c r="E124" s="3" t="s">
        <v>127</v>
      </c>
      <c r="F124" s="3">
        <v>34.39</v>
      </c>
      <c r="G124" s="3" t="s">
        <v>273</v>
      </c>
      <c r="H124" s="3"/>
      <c r="I124" s="3" t="s">
        <v>274</v>
      </c>
      <c r="J124" s="3">
        <v>6</v>
      </c>
      <c r="K124" s="3">
        <v>6</v>
      </c>
      <c r="L124" s="3">
        <v>0</v>
      </c>
      <c r="M124" s="3">
        <v>0</v>
      </c>
      <c r="N124" s="3">
        <v>6</v>
      </c>
      <c r="O124" s="3">
        <v>1.11</v>
      </c>
      <c r="P124" s="3">
        <v>0</v>
      </c>
      <c r="Q124" s="3">
        <v>0</v>
      </c>
      <c r="R124" s="3">
        <v>0</v>
      </c>
    </row>
    <row r="125" spans="1:18">
      <c r="A125" s="3" t="s">
        <v>464</v>
      </c>
      <c r="B125" s="3" t="s">
        <v>417</v>
      </c>
      <c r="C125" s="3" t="s">
        <v>417</v>
      </c>
      <c r="D125" s="3" t="s">
        <v>418</v>
      </c>
      <c r="E125" s="3" t="s">
        <v>127</v>
      </c>
      <c r="F125" s="3">
        <v>42.99</v>
      </c>
      <c r="G125" s="3" t="s">
        <v>273</v>
      </c>
      <c r="H125" s="3"/>
      <c r="I125" s="3" t="s">
        <v>274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1.11</v>
      </c>
      <c r="P125" s="3">
        <v>0</v>
      </c>
      <c r="Q125" s="3">
        <v>0</v>
      </c>
      <c r="R125" s="3">
        <v>0</v>
      </c>
    </row>
    <row r="126" spans="1:18">
      <c r="A126" s="3" t="s">
        <v>136</v>
      </c>
      <c r="B126" s="3" t="s">
        <v>137</v>
      </c>
      <c r="C126" s="3" t="s">
        <v>137</v>
      </c>
      <c r="D126" s="3" t="s">
        <v>138</v>
      </c>
      <c r="E126" s="3" t="s">
        <v>127</v>
      </c>
      <c r="F126" s="3">
        <v>42.49</v>
      </c>
      <c r="G126" s="3" t="s">
        <v>273</v>
      </c>
      <c r="H126" s="3"/>
      <c r="I126" s="3" t="s">
        <v>274</v>
      </c>
      <c r="J126" s="3">
        <v>7</v>
      </c>
      <c r="K126" s="3">
        <v>7</v>
      </c>
      <c r="L126" s="3">
        <v>0</v>
      </c>
      <c r="M126" s="3">
        <v>0</v>
      </c>
      <c r="N126" s="3">
        <v>7</v>
      </c>
      <c r="O126" s="3">
        <v>1.11</v>
      </c>
      <c r="P126" s="3">
        <v>0</v>
      </c>
      <c r="Q126" s="3">
        <v>0</v>
      </c>
      <c r="R126" s="3">
        <v>0</v>
      </c>
    </row>
    <row r="127" spans="1:18">
      <c r="A127" s="3" t="s">
        <v>171</v>
      </c>
      <c r="B127" s="3" t="s">
        <v>172</v>
      </c>
      <c r="C127" s="3" t="s">
        <v>172</v>
      </c>
      <c r="D127" s="3" t="s">
        <v>173</v>
      </c>
      <c r="E127" s="3" t="s">
        <v>127</v>
      </c>
      <c r="F127" s="3">
        <v>42.99</v>
      </c>
      <c r="G127" s="3" t="s">
        <v>273</v>
      </c>
      <c r="H127" s="3"/>
      <c r="I127" s="3" t="s">
        <v>274</v>
      </c>
      <c r="J127" s="3">
        <v>6</v>
      </c>
      <c r="K127" s="3">
        <v>6</v>
      </c>
      <c r="L127" s="3">
        <v>0</v>
      </c>
      <c r="M127" s="3">
        <v>0</v>
      </c>
      <c r="N127" s="3">
        <v>8</v>
      </c>
      <c r="O127" s="3">
        <v>1.11</v>
      </c>
      <c r="P127" s="3">
        <v>0</v>
      </c>
      <c r="Q127" s="3">
        <v>0</v>
      </c>
      <c r="R127" s="3">
        <v>2</v>
      </c>
    </row>
    <row r="128" spans="1:18">
      <c r="A128" s="3" t="s">
        <v>180</v>
      </c>
      <c r="B128" s="3" t="s">
        <v>181</v>
      </c>
      <c r="C128" s="3" t="s">
        <v>181</v>
      </c>
      <c r="D128" s="3" t="s">
        <v>182</v>
      </c>
      <c r="E128" s="3" t="s">
        <v>127</v>
      </c>
      <c r="F128" s="3">
        <v>42.99</v>
      </c>
      <c r="G128" s="3" t="s">
        <v>273</v>
      </c>
      <c r="H128" s="3"/>
      <c r="I128" s="3" t="s">
        <v>274</v>
      </c>
      <c r="J128" s="3">
        <v>1</v>
      </c>
      <c r="K128" s="3">
        <v>1</v>
      </c>
      <c r="L128" s="3">
        <v>0</v>
      </c>
      <c r="M128" s="3">
        <v>0</v>
      </c>
      <c r="N128" s="3">
        <v>1</v>
      </c>
      <c r="O128" s="3">
        <v>1.11</v>
      </c>
      <c r="P128" s="3">
        <v>0</v>
      </c>
      <c r="Q128" s="3">
        <v>0</v>
      </c>
      <c r="R128" s="3">
        <v>0</v>
      </c>
    </row>
    <row r="129" spans="1:18">
      <c r="A129" s="3" t="s">
        <v>183</v>
      </c>
      <c r="B129" s="3" t="s">
        <v>184</v>
      </c>
      <c r="C129" s="3" t="s">
        <v>184</v>
      </c>
      <c r="D129" s="3" t="s">
        <v>185</v>
      </c>
      <c r="E129" s="3" t="s">
        <v>127</v>
      </c>
      <c r="F129" s="3">
        <v>42.99</v>
      </c>
      <c r="G129" s="3" t="s">
        <v>273</v>
      </c>
      <c r="H129" s="3"/>
      <c r="I129" s="3" t="s">
        <v>274</v>
      </c>
      <c r="J129" s="3">
        <v>1</v>
      </c>
      <c r="K129" s="3">
        <v>1</v>
      </c>
      <c r="L129" s="3">
        <v>0</v>
      </c>
      <c r="M129" s="3">
        <v>0</v>
      </c>
      <c r="N129" s="3">
        <v>1</v>
      </c>
      <c r="O129" s="3">
        <v>1.11</v>
      </c>
      <c r="P129" s="3">
        <v>0</v>
      </c>
      <c r="Q129" s="3">
        <v>0</v>
      </c>
      <c r="R129" s="3">
        <v>0</v>
      </c>
    </row>
    <row r="130" spans="1:18">
      <c r="A130" s="3" t="s">
        <v>161</v>
      </c>
      <c r="B130" s="3" t="s">
        <v>162</v>
      </c>
      <c r="C130" s="3" t="s">
        <v>162</v>
      </c>
      <c r="D130" s="3" t="s">
        <v>163</v>
      </c>
      <c r="E130" s="3" t="s">
        <v>127</v>
      </c>
      <c r="F130" s="3">
        <v>42.49</v>
      </c>
      <c r="G130" s="3" t="s">
        <v>273</v>
      </c>
      <c r="H130" s="3"/>
      <c r="I130" s="3" t="s">
        <v>274</v>
      </c>
      <c r="J130" s="3">
        <v>1</v>
      </c>
      <c r="K130" s="3">
        <v>1</v>
      </c>
      <c r="L130" s="3">
        <v>0</v>
      </c>
      <c r="M130" s="3">
        <v>0</v>
      </c>
      <c r="N130" s="3">
        <v>8</v>
      </c>
      <c r="O130" s="3">
        <v>1.01</v>
      </c>
      <c r="P130" s="3">
        <v>4</v>
      </c>
      <c r="Q130" s="3">
        <v>2</v>
      </c>
      <c r="R130" s="3">
        <v>1</v>
      </c>
    </row>
    <row r="131" spans="1:18">
      <c r="A131" s="3" t="s">
        <v>465</v>
      </c>
      <c r="B131" s="3" t="s">
        <v>420</v>
      </c>
      <c r="C131" s="3" t="s">
        <v>420</v>
      </c>
      <c r="D131" s="3" t="s">
        <v>421</v>
      </c>
      <c r="E131" s="3" t="s">
        <v>127</v>
      </c>
      <c r="F131" s="3">
        <v>42.49</v>
      </c>
      <c r="G131" s="3" t="s">
        <v>273</v>
      </c>
      <c r="H131" s="3"/>
      <c r="I131" s="3" t="s">
        <v>274</v>
      </c>
      <c r="J131" s="3">
        <v>7</v>
      </c>
      <c r="K131" s="3">
        <v>7</v>
      </c>
      <c r="L131" s="3">
        <v>0</v>
      </c>
      <c r="M131" s="3">
        <v>0</v>
      </c>
      <c r="N131" s="3">
        <v>7</v>
      </c>
      <c r="O131" s="3">
        <v>1.11</v>
      </c>
      <c r="P131" s="3">
        <v>0</v>
      </c>
      <c r="Q131" s="3">
        <v>0</v>
      </c>
      <c r="R131" s="3">
        <v>0</v>
      </c>
    </row>
    <row r="132" spans="1:18">
      <c r="A132" s="3" t="s">
        <v>208</v>
      </c>
      <c r="B132" s="3" t="s">
        <v>209</v>
      </c>
      <c r="C132" s="3" t="s">
        <v>209</v>
      </c>
      <c r="D132" s="3" t="s">
        <v>210</v>
      </c>
      <c r="E132" s="3" t="s">
        <v>127</v>
      </c>
      <c r="F132" s="3">
        <v>42.99</v>
      </c>
      <c r="G132" s="3" t="s">
        <v>273</v>
      </c>
      <c r="H132" s="3"/>
      <c r="I132" s="3" t="s">
        <v>274</v>
      </c>
      <c r="J132" s="3">
        <v>1</v>
      </c>
      <c r="K132" s="3">
        <v>1</v>
      </c>
      <c r="L132" s="3">
        <v>0</v>
      </c>
      <c r="M132" s="3">
        <v>0</v>
      </c>
      <c r="N132" s="3">
        <v>1</v>
      </c>
      <c r="O132" s="3">
        <v>1.11</v>
      </c>
      <c r="P132" s="3">
        <v>0</v>
      </c>
      <c r="Q132" s="3">
        <v>0</v>
      </c>
      <c r="R132" s="3">
        <v>0</v>
      </c>
    </row>
    <row r="133" spans="1:18">
      <c r="A133" s="3" t="s">
        <v>466</v>
      </c>
      <c r="B133" s="3" t="s">
        <v>467</v>
      </c>
      <c r="C133" s="3" t="s">
        <v>467</v>
      </c>
      <c r="D133" s="3" t="s">
        <v>468</v>
      </c>
      <c r="E133" s="3" t="s">
        <v>127</v>
      </c>
      <c r="F133" s="3">
        <v>42.99</v>
      </c>
      <c r="G133" s="3" t="s">
        <v>273</v>
      </c>
      <c r="H133" s="3"/>
      <c r="I133" s="3" t="s">
        <v>274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1.11</v>
      </c>
      <c r="P133" s="3">
        <v>0</v>
      </c>
      <c r="Q133" s="3">
        <v>0</v>
      </c>
      <c r="R133" s="3">
        <v>0</v>
      </c>
    </row>
    <row r="134" spans="1:18">
      <c r="A134" s="3" t="s">
        <v>146</v>
      </c>
      <c r="B134" s="3" t="s">
        <v>147</v>
      </c>
      <c r="C134" s="3" t="s">
        <v>147</v>
      </c>
      <c r="D134" s="3" t="s">
        <v>148</v>
      </c>
      <c r="E134" s="3" t="s">
        <v>127</v>
      </c>
      <c r="F134" s="3">
        <v>39.99</v>
      </c>
      <c r="G134" s="3" t="s">
        <v>273</v>
      </c>
      <c r="H134" s="3"/>
      <c r="I134" s="3" t="s">
        <v>274</v>
      </c>
      <c r="J134" s="3">
        <v>2</v>
      </c>
      <c r="K134" s="3">
        <v>2</v>
      </c>
      <c r="L134" s="3">
        <v>0</v>
      </c>
      <c r="M134" s="3">
        <v>0</v>
      </c>
      <c r="N134" s="3">
        <v>24</v>
      </c>
      <c r="O134" s="3">
        <v>0.78</v>
      </c>
      <c r="P134" s="3">
        <v>13</v>
      </c>
      <c r="Q134" s="3">
        <v>9</v>
      </c>
      <c r="R134" s="3">
        <v>0</v>
      </c>
    </row>
    <row r="135" spans="1:18">
      <c r="A135" s="3" t="s">
        <v>213</v>
      </c>
      <c r="B135" s="3" t="s">
        <v>214</v>
      </c>
      <c r="C135" s="3" t="s">
        <v>214</v>
      </c>
      <c r="D135" s="3" t="s">
        <v>215</v>
      </c>
      <c r="E135" s="3" t="s">
        <v>127</v>
      </c>
      <c r="F135" s="3">
        <v>34.39</v>
      </c>
      <c r="G135" s="3" t="s">
        <v>273</v>
      </c>
      <c r="H135" s="3"/>
      <c r="I135" s="3" t="s">
        <v>274</v>
      </c>
      <c r="J135" s="3">
        <v>13</v>
      </c>
      <c r="K135" s="3">
        <v>13</v>
      </c>
      <c r="L135" s="3">
        <v>0</v>
      </c>
      <c r="M135" s="3">
        <v>0</v>
      </c>
      <c r="N135" s="3">
        <v>13</v>
      </c>
      <c r="O135" s="3">
        <v>0.78</v>
      </c>
      <c r="P135" s="3">
        <v>0</v>
      </c>
      <c r="Q135" s="3">
        <v>0</v>
      </c>
      <c r="R135" s="3">
        <v>0</v>
      </c>
    </row>
    <row r="136" spans="1:18">
      <c r="A136" s="3" t="s">
        <v>469</v>
      </c>
      <c r="B136" s="3" t="s">
        <v>423</v>
      </c>
      <c r="C136" s="3" t="s">
        <v>423</v>
      </c>
      <c r="D136" s="3" t="s">
        <v>424</v>
      </c>
      <c r="E136" s="3" t="s">
        <v>127</v>
      </c>
      <c r="F136" s="3">
        <v>34.39</v>
      </c>
      <c r="G136" s="3" t="s">
        <v>273</v>
      </c>
      <c r="H136" s="3"/>
      <c r="I136" s="3" t="s">
        <v>274</v>
      </c>
      <c r="J136" s="3">
        <v>9</v>
      </c>
      <c r="K136" s="3">
        <v>9</v>
      </c>
      <c r="L136" s="3">
        <v>0</v>
      </c>
      <c r="M136" s="3">
        <v>0</v>
      </c>
      <c r="N136" s="3">
        <v>9</v>
      </c>
      <c r="O136" s="3">
        <v>0.78</v>
      </c>
      <c r="P136" s="3">
        <v>0</v>
      </c>
      <c r="Q136" s="3">
        <v>0</v>
      </c>
      <c r="R136" s="3">
        <v>0</v>
      </c>
    </row>
    <row r="137" spans="1:18">
      <c r="A137" s="3" t="s">
        <v>470</v>
      </c>
      <c r="B137" s="3" t="s">
        <v>426</v>
      </c>
      <c r="C137" s="3" t="s">
        <v>426</v>
      </c>
      <c r="D137" s="3" t="s">
        <v>427</v>
      </c>
      <c r="E137" s="3" t="s">
        <v>127</v>
      </c>
      <c r="F137" s="3">
        <v>42.99</v>
      </c>
      <c r="G137" s="3" t="s">
        <v>273</v>
      </c>
      <c r="H137" s="3"/>
      <c r="I137" s="3" t="s">
        <v>274</v>
      </c>
      <c r="J137" s="3">
        <v>0</v>
      </c>
      <c r="K137" s="3">
        <v>0</v>
      </c>
      <c r="L137" s="3">
        <v>0</v>
      </c>
      <c r="M137" s="3">
        <v>0</v>
      </c>
      <c r="N137" s="3">
        <v>9</v>
      </c>
      <c r="O137" s="3">
        <v>0.78</v>
      </c>
      <c r="P137" s="3">
        <v>0</v>
      </c>
      <c r="Q137" s="3">
        <v>9</v>
      </c>
      <c r="R137" s="3">
        <v>0</v>
      </c>
    </row>
    <row r="138" spans="1:18">
      <c r="A138" s="3" t="s">
        <v>190</v>
      </c>
      <c r="B138" s="3" t="s">
        <v>191</v>
      </c>
      <c r="C138" s="3" t="s">
        <v>191</v>
      </c>
      <c r="D138" s="3" t="s">
        <v>192</v>
      </c>
      <c r="E138" s="3" t="s">
        <v>127</v>
      </c>
      <c r="F138" s="3">
        <v>42.99</v>
      </c>
      <c r="G138" s="3" t="s">
        <v>273</v>
      </c>
      <c r="H138" s="3"/>
      <c r="I138" s="3" t="s">
        <v>274</v>
      </c>
      <c r="J138" s="3">
        <v>2</v>
      </c>
      <c r="K138" s="3">
        <v>2</v>
      </c>
      <c r="L138" s="3">
        <v>0</v>
      </c>
      <c r="M138" s="3">
        <v>0</v>
      </c>
      <c r="N138" s="3">
        <v>29</v>
      </c>
      <c r="O138" s="3">
        <v>0.78</v>
      </c>
      <c r="P138" s="3">
        <v>18</v>
      </c>
      <c r="Q138" s="3">
        <v>9</v>
      </c>
      <c r="R138" s="3">
        <v>0</v>
      </c>
    </row>
    <row r="139" spans="1:18">
      <c r="A139" s="3" t="s">
        <v>471</v>
      </c>
      <c r="B139" s="3" t="s">
        <v>429</v>
      </c>
      <c r="C139" s="3" t="s">
        <v>429</v>
      </c>
      <c r="D139" s="3" t="s">
        <v>430</v>
      </c>
      <c r="E139" s="3" t="s">
        <v>127</v>
      </c>
      <c r="F139" s="3">
        <v>34.39</v>
      </c>
      <c r="G139" s="3" t="s">
        <v>273</v>
      </c>
      <c r="H139" s="3"/>
      <c r="I139" s="3" t="s">
        <v>274</v>
      </c>
      <c r="J139" s="3">
        <v>0</v>
      </c>
      <c r="K139" s="3">
        <v>0</v>
      </c>
      <c r="L139" s="3">
        <v>0</v>
      </c>
      <c r="M139" s="3">
        <v>0</v>
      </c>
      <c r="N139" s="3">
        <v>24</v>
      </c>
      <c r="O139" s="3">
        <v>0.78</v>
      </c>
      <c r="P139" s="3">
        <v>12</v>
      </c>
      <c r="Q139" s="3">
        <v>12</v>
      </c>
      <c r="R139" s="3">
        <v>0</v>
      </c>
    </row>
    <row r="140" spans="1:18">
      <c r="A140" s="3" t="s">
        <v>472</v>
      </c>
      <c r="B140" s="3" t="s">
        <v>432</v>
      </c>
      <c r="C140" s="3" t="s">
        <v>432</v>
      </c>
      <c r="D140" s="3" t="s">
        <v>433</v>
      </c>
      <c r="E140" s="3" t="s">
        <v>127</v>
      </c>
      <c r="F140" s="3">
        <v>34.39</v>
      </c>
      <c r="G140" s="3" t="s">
        <v>273</v>
      </c>
      <c r="H140" s="3"/>
      <c r="I140" s="3" t="s">
        <v>274</v>
      </c>
      <c r="J140" s="3">
        <v>0</v>
      </c>
      <c r="K140" s="3">
        <v>0</v>
      </c>
      <c r="L140" s="3">
        <v>0</v>
      </c>
      <c r="M140" s="3">
        <v>0</v>
      </c>
      <c r="N140" s="3">
        <v>10</v>
      </c>
      <c r="O140" s="3">
        <v>0.78</v>
      </c>
      <c r="P140" s="3">
        <v>5</v>
      </c>
      <c r="Q140" s="3">
        <v>5</v>
      </c>
      <c r="R140" s="3">
        <v>0</v>
      </c>
    </row>
    <row r="141" spans="1:18">
      <c r="A141" s="3" t="s">
        <v>473</v>
      </c>
      <c r="B141" s="3" t="s">
        <v>435</v>
      </c>
      <c r="C141" s="3" t="s">
        <v>435</v>
      </c>
      <c r="D141" s="3" t="s">
        <v>436</v>
      </c>
      <c r="E141" s="3" t="s">
        <v>127</v>
      </c>
      <c r="F141" s="3">
        <v>42.99</v>
      </c>
      <c r="G141" s="3" t="s">
        <v>273</v>
      </c>
      <c r="H141" s="3"/>
      <c r="I141" s="3" t="s">
        <v>274</v>
      </c>
      <c r="J141" s="3">
        <v>0</v>
      </c>
      <c r="K141" s="3">
        <v>0</v>
      </c>
      <c r="L141" s="3">
        <v>0</v>
      </c>
      <c r="M141" s="3">
        <v>0</v>
      </c>
      <c r="N141" s="3">
        <v>6</v>
      </c>
      <c r="O141" s="3">
        <v>0.78</v>
      </c>
      <c r="P141" s="3">
        <v>3</v>
      </c>
      <c r="Q141" s="3">
        <v>3</v>
      </c>
      <c r="R141" s="3">
        <v>0</v>
      </c>
    </row>
    <row r="142" spans="1:18">
      <c r="A142" s="3" t="s">
        <v>474</v>
      </c>
      <c r="B142" s="3" t="s">
        <v>438</v>
      </c>
      <c r="C142" s="3" t="s">
        <v>438</v>
      </c>
      <c r="D142" s="3" t="s">
        <v>439</v>
      </c>
      <c r="E142" s="3" t="s">
        <v>127</v>
      </c>
      <c r="F142" s="3">
        <v>34.39</v>
      </c>
      <c r="G142" s="3" t="s">
        <v>273</v>
      </c>
      <c r="H142" s="3"/>
      <c r="I142" s="3" t="s">
        <v>274</v>
      </c>
      <c r="J142" s="3">
        <v>0</v>
      </c>
      <c r="K142" s="3">
        <v>0</v>
      </c>
      <c r="L142" s="3">
        <v>0</v>
      </c>
      <c r="M142" s="3">
        <v>0</v>
      </c>
      <c r="N142" s="3">
        <v>23</v>
      </c>
      <c r="O142" s="3">
        <v>0.78</v>
      </c>
      <c r="P142" s="3">
        <v>15</v>
      </c>
      <c r="Q142" s="3">
        <v>8</v>
      </c>
      <c r="R142" s="3">
        <v>0</v>
      </c>
    </row>
    <row r="143" spans="1:18">
      <c r="A143" s="3" t="s">
        <v>475</v>
      </c>
      <c r="B143" s="3" t="s">
        <v>441</v>
      </c>
      <c r="C143" s="3" t="s">
        <v>441</v>
      </c>
      <c r="D143" s="3" t="s">
        <v>442</v>
      </c>
      <c r="E143" s="3" t="s">
        <v>127</v>
      </c>
      <c r="F143" s="3">
        <v>34.39</v>
      </c>
      <c r="G143" s="3" t="s">
        <v>273</v>
      </c>
      <c r="H143" s="3"/>
      <c r="I143" s="3" t="s">
        <v>274</v>
      </c>
      <c r="J143" s="3">
        <v>0</v>
      </c>
      <c r="K143" s="3">
        <v>0</v>
      </c>
      <c r="L143" s="3">
        <v>0</v>
      </c>
      <c r="M143" s="3">
        <v>0</v>
      </c>
      <c r="N143" s="3">
        <v>17</v>
      </c>
      <c r="O143" s="3">
        <v>0.78</v>
      </c>
      <c r="P143" s="3">
        <v>11</v>
      </c>
      <c r="Q143" s="3">
        <v>6</v>
      </c>
      <c r="R143" s="3">
        <v>0</v>
      </c>
    </row>
    <row r="144" spans="1:18">
      <c r="A144" s="3" t="s">
        <v>228</v>
      </c>
      <c r="B144" s="3" t="s">
        <v>187</v>
      </c>
      <c r="C144" s="3" t="s">
        <v>187</v>
      </c>
      <c r="D144" s="3" t="s">
        <v>188</v>
      </c>
      <c r="E144" s="3" t="s">
        <v>127</v>
      </c>
      <c r="F144" s="3">
        <v>40.04</v>
      </c>
      <c r="G144" s="3" t="s">
        <v>273</v>
      </c>
      <c r="H144" s="3"/>
      <c r="I144" s="3" t="s">
        <v>274</v>
      </c>
      <c r="J144" s="3">
        <v>2</v>
      </c>
      <c r="K144" s="3">
        <v>2</v>
      </c>
      <c r="L144" s="3">
        <v>0</v>
      </c>
      <c r="M144" s="3">
        <v>0</v>
      </c>
      <c r="N144" s="3">
        <v>8</v>
      </c>
      <c r="O144" s="3">
        <v>0.78</v>
      </c>
      <c r="P144" s="3">
        <v>6</v>
      </c>
      <c r="Q144" s="3">
        <v>0</v>
      </c>
      <c r="R144" s="3">
        <v>0</v>
      </c>
    </row>
    <row r="145" spans="1:18">
      <c r="A145" s="3" t="s">
        <v>476</v>
      </c>
      <c r="B145" s="3" t="s">
        <v>444</v>
      </c>
      <c r="C145" s="3" t="s">
        <v>444</v>
      </c>
      <c r="D145" s="3" t="s">
        <v>445</v>
      </c>
      <c r="E145" s="3" t="s">
        <v>127</v>
      </c>
      <c r="F145" s="3">
        <v>42.99</v>
      </c>
      <c r="G145" s="3" t="s">
        <v>273</v>
      </c>
      <c r="H145" s="3"/>
      <c r="I145" s="3" t="s">
        <v>274</v>
      </c>
      <c r="J145" s="3">
        <v>0</v>
      </c>
      <c r="K145" s="3">
        <v>0</v>
      </c>
      <c r="L145" s="3">
        <v>0</v>
      </c>
      <c r="M145" s="3">
        <v>0</v>
      </c>
      <c r="N145" s="3">
        <v>15</v>
      </c>
      <c r="O145" s="3">
        <v>0.78</v>
      </c>
      <c r="P145" s="3">
        <v>9</v>
      </c>
      <c r="Q145" s="3">
        <v>6</v>
      </c>
      <c r="R145" s="3">
        <v>0</v>
      </c>
    </row>
    <row r="146" spans="1:18">
      <c r="A146" s="3" t="s">
        <v>477</v>
      </c>
      <c r="B146" s="3" t="s">
        <v>447</v>
      </c>
      <c r="C146" s="3" t="s">
        <v>447</v>
      </c>
      <c r="D146" s="3" t="s">
        <v>448</v>
      </c>
      <c r="E146" s="3" t="s">
        <v>127</v>
      </c>
      <c r="F146" s="3">
        <v>34.39</v>
      </c>
      <c r="G146" s="3" t="s">
        <v>273</v>
      </c>
      <c r="H146" s="3"/>
      <c r="I146" s="3" t="s">
        <v>274</v>
      </c>
      <c r="J146" s="3">
        <v>0</v>
      </c>
      <c r="K146" s="3">
        <v>0</v>
      </c>
      <c r="L146" s="3">
        <v>0</v>
      </c>
      <c r="M146" s="3">
        <v>0</v>
      </c>
      <c r="N146" s="3">
        <v>16</v>
      </c>
      <c r="O146" s="3">
        <v>0.78</v>
      </c>
      <c r="P146" s="3">
        <v>8</v>
      </c>
      <c r="Q146" s="3">
        <v>8</v>
      </c>
      <c r="R146" s="3">
        <v>0</v>
      </c>
    </row>
    <row r="147" spans="1:18">
      <c r="A147" s="3" t="s">
        <v>197</v>
      </c>
      <c r="B147" s="3" t="s">
        <v>198</v>
      </c>
      <c r="C147" s="3" t="s">
        <v>198</v>
      </c>
      <c r="D147" s="3" t="s">
        <v>199</v>
      </c>
      <c r="E147" s="3" t="s">
        <v>127</v>
      </c>
      <c r="F147" s="3">
        <v>42.99</v>
      </c>
      <c r="G147" s="3" t="s">
        <v>273</v>
      </c>
      <c r="H147" s="3"/>
      <c r="I147" s="3" t="s">
        <v>274</v>
      </c>
      <c r="J147" s="3">
        <v>1</v>
      </c>
      <c r="K147" s="3">
        <v>1</v>
      </c>
      <c r="L147" s="3">
        <v>0</v>
      </c>
      <c r="M147" s="3">
        <v>0</v>
      </c>
      <c r="N147" s="3">
        <v>1</v>
      </c>
      <c r="O147" s="3">
        <v>0.78</v>
      </c>
      <c r="P147" s="3">
        <v>0</v>
      </c>
      <c r="Q147" s="3">
        <v>0</v>
      </c>
      <c r="R147" s="3">
        <v>0</v>
      </c>
    </row>
    <row r="148" spans="1:18">
      <c r="A148" s="3" t="s">
        <v>478</v>
      </c>
      <c r="B148" s="3" t="s">
        <v>281</v>
      </c>
      <c r="C148" s="3" t="s">
        <v>281</v>
      </c>
      <c r="D148" s="3"/>
      <c r="E148" s="3" t="s">
        <v>277</v>
      </c>
      <c r="F148" s="3"/>
      <c r="G148" s="3"/>
      <c r="H148" s="3"/>
      <c r="I148" s="3"/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479</v>
      </c>
      <c r="B149" s="3" t="s">
        <v>281</v>
      </c>
      <c r="C149" s="3" t="s">
        <v>281</v>
      </c>
      <c r="D149" s="3"/>
      <c r="E149" s="3" t="s">
        <v>277</v>
      </c>
      <c r="F149" s="3"/>
      <c r="G149" s="3"/>
      <c r="H149" s="3"/>
      <c r="I149" s="3"/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150</v>
      </c>
      <c r="B150" s="3" t="s">
        <v>151</v>
      </c>
      <c r="C150" s="3" t="s">
        <v>152</v>
      </c>
      <c r="D150" s="3" t="s">
        <v>153</v>
      </c>
      <c r="E150" s="3" t="s">
        <v>127</v>
      </c>
      <c r="F150" s="3">
        <v>50</v>
      </c>
      <c r="G150" s="3" t="s">
        <v>273</v>
      </c>
      <c r="H150" s="3"/>
      <c r="I150" s="3" t="s">
        <v>274</v>
      </c>
      <c r="J150" s="3">
        <v>99</v>
      </c>
      <c r="K150" s="3">
        <v>99</v>
      </c>
      <c r="L150" s="3">
        <v>0</v>
      </c>
      <c r="M150" s="3">
        <v>0</v>
      </c>
      <c r="N150" s="3">
        <v>99</v>
      </c>
      <c r="O150" s="3">
        <v>0.03</v>
      </c>
      <c r="P150" s="3">
        <v>0</v>
      </c>
      <c r="Q150" s="3">
        <v>0</v>
      </c>
      <c r="R150" s="3">
        <v>0</v>
      </c>
    </row>
    <row r="151" spans="1:18">
      <c r="A151" s="3" t="s">
        <v>79</v>
      </c>
      <c r="B151" s="3" t="s">
        <v>80</v>
      </c>
      <c r="C151" s="3" t="s">
        <v>81</v>
      </c>
      <c r="D151" s="3" t="s">
        <v>82</v>
      </c>
      <c r="E151" s="3" t="s">
        <v>127</v>
      </c>
      <c r="F151" s="3">
        <v>44.99</v>
      </c>
      <c r="G151" s="3" t="s">
        <v>274</v>
      </c>
      <c r="H151" s="3">
        <v>18</v>
      </c>
      <c r="I151" s="3" t="s">
        <v>273</v>
      </c>
      <c r="J151" s="3">
        <v>60</v>
      </c>
      <c r="K151" s="3">
        <v>1</v>
      </c>
      <c r="L151" s="3">
        <v>0</v>
      </c>
      <c r="M151" s="3">
        <v>59</v>
      </c>
      <c r="N151" s="3">
        <v>60</v>
      </c>
      <c r="O151" s="3">
        <v>0.02</v>
      </c>
      <c r="P151" s="3">
        <v>0</v>
      </c>
      <c r="Q151" s="3">
        <v>0</v>
      </c>
      <c r="R151" s="3">
        <v>0</v>
      </c>
    </row>
    <row r="152" spans="1:18">
      <c r="A152" s="3" t="s">
        <v>88</v>
      </c>
      <c r="B152" s="3" t="s">
        <v>89</v>
      </c>
      <c r="C152" s="3" t="s">
        <v>90</v>
      </c>
      <c r="D152" s="3" t="s">
        <v>91</v>
      </c>
      <c r="E152" s="3" t="s">
        <v>127</v>
      </c>
      <c r="F152" s="3">
        <v>11.99</v>
      </c>
      <c r="G152" s="3" t="s">
        <v>273</v>
      </c>
      <c r="H152" s="3"/>
      <c r="I152" s="3" t="s">
        <v>274</v>
      </c>
      <c r="J152" s="3">
        <v>7</v>
      </c>
      <c r="K152" s="3">
        <v>6</v>
      </c>
      <c r="L152" s="3">
        <v>0</v>
      </c>
      <c r="M152" s="3">
        <v>1</v>
      </c>
      <c r="N152" s="3">
        <v>7</v>
      </c>
      <c r="O152" s="3">
        <v>0</v>
      </c>
      <c r="P152" s="3">
        <v>0</v>
      </c>
      <c r="Q152" s="3">
        <v>0</v>
      </c>
      <c r="R152" s="3">
        <v>0</v>
      </c>
    </row>
    <row r="153" spans="1:18">
      <c r="A153" s="3" t="s">
        <v>200</v>
      </c>
      <c r="B153" s="3" t="s">
        <v>201</v>
      </c>
      <c r="C153" s="3" t="s">
        <v>202</v>
      </c>
      <c r="D153" s="3" t="s">
        <v>203</v>
      </c>
      <c r="E153" s="3" t="s">
        <v>127</v>
      </c>
      <c r="F153" s="3">
        <v>19.99</v>
      </c>
      <c r="G153" s="3" t="s">
        <v>273</v>
      </c>
      <c r="H153" s="3"/>
      <c r="I153" s="3" t="s">
        <v>274</v>
      </c>
      <c r="J153" s="3">
        <v>108</v>
      </c>
      <c r="K153" s="3">
        <v>108</v>
      </c>
      <c r="L153" s="3">
        <v>0</v>
      </c>
      <c r="M153" s="3">
        <v>0</v>
      </c>
      <c r="N153" s="3">
        <v>108</v>
      </c>
      <c r="O153" s="3">
        <v>0.01</v>
      </c>
      <c r="P153" s="3">
        <v>0</v>
      </c>
      <c r="Q153" s="3">
        <v>0</v>
      </c>
      <c r="R153" s="3">
        <v>0</v>
      </c>
    </row>
    <row r="154" spans="1:18">
      <c r="A154" s="3" t="s">
        <v>83</v>
      </c>
      <c r="B154" s="3" t="s">
        <v>84</v>
      </c>
      <c r="C154" s="3" t="s">
        <v>85</v>
      </c>
      <c r="D154" s="3" t="s">
        <v>86</v>
      </c>
      <c r="E154" s="3" t="s">
        <v>127</v>
      </c>
      <c r="F154" s="3">
        <v>19</v>
      </c>
      <c r="G154" s="3" t="s">
        <v>273</v>
      </c>
      <c r="H154" s="3"/>
      <c r="I154" s="3" t="s">
        <v>274</v>
      </c>
      <c r="J154" s="3">
        <v>32</v>
      </c>
      <c r="K154" s="3">
        <v>30</v>
      </c>
      <c r="L154" s="3">
        <v>0</v>
      </c>
      <c r="M154" s="3">
        <v>2</v>
      </c>
      <c r="N154" s="3">
        <v>32</v>
      </c>
      <c r="O154" s="3">
        <v>0.04</v>
      </c>
      <c r="P154" s="3">
        <v>0</v>
      </c>
      <c r="Q154" s="3">
        <v>0</v>
      </c>
      <c r="R154" s="3">
        <v>0</v>
      </c>
    </row>
    <row r="155" spans="1:18">
      <c r="A155" s="3" t="s">
        <v>71</v>
      </c>
      <c r="B155" s="3" t="s">
        <v>72</v>
      </c>
      <c r="C155" s="3" t="s">
        <v>73</v>
      </c>
      <c r="D155" s="3" t="s">
        <v>74</v>
      </c>
      <c r="E155" s="3" t="s">
        <v>127</v>
      </c>
      <c r="F155" s="3">
        <v>12.9</v>
      </c>
      <c r="G155" s="3" t="s">
        <v>273</v>
      </c>
      <c r="H155" s="3"/>
      <c r="I155" s="3" t="s">
        <v>274</v>
      </c>
      <c r="J155" s="3">
        <v>110</v>
      </c>
      <c r="K155" s="3">
        <v>107</v>
      </c>
      <c r="L155" s="3">
        <v>0</v>
      </c>
      <c r="M155" s="3">
        <v>3</v>
      </c>
      <c r="N155" s="3">
        <v>110</v>
      </c>
      <c r="O155" s="3">
        <v>0</v>
      </c>
      <c r="P155" s="3">
        <v>0</v>
      </c>
      <c r="Q155" s="3">
        <v>0</v>
      </c>
      <c r="R155" s="3">
        <v>0</v>
      </c>
    </row>
    <row r="156" spans="1:18">
      <c r="A156" s="3" t="s">
        <v>75</v>
      </c>
      <c r="B156" s="3" t="s">
        <v>76</v>
      </c>
      <c r="C156" s="3" t="s">
        <v>77</v>
      </c>
      <c r="D156" s="3" t="s">
        <v>78</v>
      </c>
      <c r="E156" s="3" t="s">
        <v>127</v>
      </c>
      <c r="F156" s="3">
        <v>26.2</v>
      </c>
      <c r="G156" s="3" t="s">
        <v>273</v>
      </c>
      <c r="H156" s="3"/>
      <c r="I156" s="3" t="s">
        <v>274</v>
      </c>
      <c r="J156" s="3">
        <v>2</v>
      </c>
      <c r="K156" s="3">
        <v>0</v>
      </c>
      <c r="L156" s="3">
        <v>0</v>
      </c>
      <c r="M156" s="3">
        <v>2</v>
      </c>
      <c r="N156" s="3">
        <v>2</v>
      </c>
      <c r="O156" s="3">
        <v>0.02</v>
      </c>
      <c r="P156" s="3">
        <v>0</v>
      </c>
      <c r="Q156" s="3">
        <v>0</v>
      </c>
      <c r="R156" s="3">
        <v>0</v>
      </c>
    </row>
    <row r="157" spans="1:18">
      <c r="A157" s="3" t="s">
        <v>480</v>
      </c>
      <c r="B157" s="3" t="s">
        <v>281</v>
      </c>
      <c r="C157" s="3" t="s">
        <v>281</v>
      </c>
      <c r="D157" s="3"/>
      <c r="E157" s="3" t="s">
        <v>277</v>
      </c>
      <c r="F157" s="3"/>
      <c r="G157" s="3"/>
      <c r="H157" s="3"/>
      <c r="I157" s="3"/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/>
      <c r="P157" s="3">
        <v>0</v>
      </c>
      <c r="Q157" s="3">
        <v>0</v>
      </c>
      <c r="R157" s="3">
        <v>0</v>
      </c>
    </row>
    <row r="158" spans="1:18">
      <c r="A158" s="3" t="s">
        <v>481</v>
      </c>
      <c r="B158" s="3" t="s">
        <v>482</v>
      </c>
      <c r="C158" s="3" t="s">
        <v>343</v>
      </c>
      <c r="D158" s="3"/>
      <c r="E158" s="3" t="s">
        <v>277</v>
      </c>
      <c r="F158" s="3"/>
      <c r="G158" s="3"/>
      <c r="H158" s="3"/>
      <c r="I158" s="3"/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/>
      <c r="P158" s="3">
        <v>0</v>
      </c>
      <c r="Q158" s="3">
        <v>0</v>
      </c>
      <c r="R158" s="3">
        <v>0</v>
      </c>
    </row>
    <row r="159" spans="1:18">
      <c r="A159" s="3" t="s">
        <v>483</v>
      </c>
      <c r="B159" s="3" t="s">
        <v>484</v>
      </c>
      <c r="C159" s="3" t="s">
        <v>485</v>
      </c>
      <c r="D159" s="3" t="s">
        <v>486</v>
      </c>
      <c r="E159" s="3" t="s">
        <v>127</v>
      </c>
      <c r="F159" s="3">
        <v>38.39</v>
      </c>
      <c r="G159" s="3" t="s">
        <v>273</v>
      </c>
      <c r="H159" s="3"/>
      <c r="I159" s="3" t="s">
        <v>274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0.02</v>
      </c>
      <c r="P159" s="3">
        <v>0</v>
      </c>
      <c r="Q159" s="3">
        <v>0</v>
      </c>
      <c r="R159" s="3">
        <v>0</v>
      </c>
    </row>
    <row r="160" spans="1:18">
      <c r="A160" s="3" t="s">
        <v>487</v>
      </c>
      <c r="B160" s="3" t="s">
        <v>488</v>
      </c>
      <c r="C160" s="3" t="s">
        <v>14</v>
      </c>
      <c r="D160" s="3" t="s">
        <v>15</v>
      </c>
      <c r="E160" s="3" t="s">
        <v>277</v>
      </c>
      <c r="F160" s="3">
        <v>0</v>
      </c>
      <c r="G160" s="3" t="s">
        <v>273</v>
      </c>
      <c r="H160" s="3"/>
      <c r="I160" s="3" t="s">
        <v>274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0.04</v>
      </c>
      <c r="P160" s="3">
        <v>0</v>
      </c>
      <c r="Q160" s="3">
        <v>0</v>
      </c>
      <c r="R160" s="3">
        <v>0</v>
      </c>
    </row>
    <row r="161" spans="1:18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</row>
    <row r="162" spans="1:18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</row>
    <row r="163" spans="1:18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</row>
    <row r="164" spans="1:18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</row>
    <row r="165" spans="1:18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</row>
    <row r="166" spans="1:18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</row>
    <row r="167" spans="1:18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</row>
    <row r="168" spans="1:18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</row>
    <row r="169" spans="1:18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</row>
    <row r="170" spans="1:18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</row>
    <row r="171" spans="1:18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</row>
    <row r="172" spans="1:18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</row>
    <row r="173" spans="1:18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</row>
    <row r="174" spans="1:18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</row>
    <row r="175" spans="1:18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</row>
    <row r="176" spans="1:18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</row>
    <row r="177" spans="1:18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1:18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</row>
    <row r="179" spans="1:18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</row>
    <row r="180" spans="1:18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</row>
    <row r="181" spans="1:18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</row>
    <row r="182" spans="1:18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</row>
    <row r="183" spans="1:18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</row>
    <row r="184" spans="1:18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</row>
    <row r="185" spans="1:18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</row>
    <row r="186" spans="1:18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</row>
    <row r="187" spans="1:18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</row>
    <row r="188" spans="1:18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</row>
    <row r="189" spans="1:18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</row>
    <row r="190" spans="1:18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</row>
    <row r="191" spans="1:18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</row>
    <row r="192" spans="1:18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</row>
    <row r="193" spans="1:18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</row>
    <row r="194" spans="1:18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</row>
    <row r="195" spans="1:18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</row>
    <row r="196" spans="1:18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</row>
    <row r="197" spans="1:18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</row>
    <row r="198" spans="1:18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</row>
    <row r="199" spans="1:18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</row>
    <row r="200" spans="1:18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</row>
    <row r="201" spans="1:18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</row>
    <row r="202" spans="1:18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</row>
    <row r="203" spans="1:18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</row>
    <row r="204" spans="1:18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</row>
    <row r="205" spans="1:18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</row>
    <row r="206" spans="1:18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</row>
    <row r="207" spans="1:18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</row>
    <row r="208" spans="1:18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</row>
    <row r="209" spans="1:18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</row>
    <row r="210" spans="1:18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</row>
    <row r="211" spans="1:18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</row>
    <row r="212" spans="1:18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1:18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</row>
    <row r="214" spans="1:18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</row>
    <row r="215" spans="1:18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</row>
    <row r="216" spans="1:18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</row>
    <row r="217" spans="1:18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</row>
    <row r="218" spans="1:18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</row>
    <row r="219" spans="1:18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</row>
    <row r="220" spans="1:18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</row>
    <row r="221" spans="1:18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</row>
    <row r="222" spans="1:18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</row>
    <row r="223" spans="1:18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</row>
    <row r="224" spans="1:18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</row>
    <row r="225" spans="1:18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</row>
    <row r="226" spans="1:18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</row>
    <row r="227" spans="1:18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</row>
    <row r="228" spans="1:18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</row>
    <row r="229" spans="1:18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</row>
    <row r="230" spans="1:18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</row>
    <row r="231" spans="1:18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</row>
    <row r="232" spans="1:18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</row>
    <row r="233" spans="1:18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</row>
    <row r="234" spans="1:18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</row>
    <row r="235" spans="1:18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</row>
    <row r="236" spans="1:18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</row>
    <row r="237" spans="1:18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</row>
    <row r="238" spans="1:18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</row>
    <row r="239" spans="1:18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</row>
    <row r="240" spans="1:18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</row>
    <row r="241" spans="1:18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</row>
    <row r="242" spans="1:18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</row>
    <row r="243" spans="1:18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</row>
    <row r="244" spans="1:18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</row>
    <row r="245" spans="1:18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</row>
    <row r="246" spans="1:18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</row>
    <row r="247" spans="1:18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</row>
    <row r="248" spans="1:18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</row>
    <row r="249" spans="1:18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</row>
    <row r="250" spans="1:18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</row>
    <row r="251" spans="1:18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</row>
    <row r="252" spans="1:18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</row>
    <row r="253" spans="1:18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</row>
    <row r="254" spans="1:18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</row>
    <row r="255" spans="1:18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</row>
    <row r="256" spans="1:18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</row>
    <row r="257" spans="1:18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</row>
    <row r="258" spans="1:18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</row>
    <row r="259" spans="1:18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</row>
    <row r="260" spans="1:18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</row>
    <row r="261" spans="1:18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</row>
    <row r="262" spans="1:18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</row>
    <row r="263" spans="1:18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</row>
    <row r="264" spans="1:18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</row>
    <row r="265" spans="1:18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</row>
    <row r="266" spans="1:18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</row>
    <row r="267" spans="1:18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</row>
    <row r="268" spans="1:18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</row>
    <row r="269" spans="1:18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</row>
    <row r="270" spans="1:18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</row>
    <row r="271" spans="1:18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</row>
    <row r="272" spans="1:18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</row>
    <row r="273" spans="1:18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</row>
    <row r="274" spans="1:18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</row>
    <row r="275" spans="1:18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</row>
    <row r="276" spans="1:18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</row>
    <row r="277" spans="1:18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</row>
    <row r="278" spans="1:18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</row>
    <row r="279" spans="1:18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</row>
    <row r="280" spans="1:18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</row>
    <row r="281" spans="1:18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</row>
    <row r="282" spans="1:18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</row>
    <row r="283" spans="1:18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</row>
    <row r="284" spans="1:18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</row>
    <row r="285" spans="1:18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</row>
    <row r="286" spans="1:18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</row>
    <row r="287" spans="1:18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</row>
    <row r="288" spans="1:18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</row>
    <row r="289" spans="1:18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</row>
    <row r="290" spans="1:18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</row>
    <row r="291" spans="1:18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</row>
    <row r="292" spans="1:18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</row>
    <row r="293" spans="1:18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</row>
    <row r="294" spans="1:18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</row>
    <row r="295" spans="1:18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</row>
    <row r="296" spans="1:18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</row>
    <row r="297" spans="1:18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</row>
    <row r="298" spans="1:18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</row>
    <row r="299" spans="1:18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</row>
    <row r="300" spans="1:18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</row>
    <row r="301" spans="1:18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</row>
    <row r="302" spans="1:18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</row>
    <row r="303" spans="1:18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</row>
    <row r="304" spans="1:18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</row>
    <row r="305" spans="1:18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</row>
    <row r="306" spans="1:18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</row>
    <row r="307" spans="1:18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</row>
    <row r="308" spans="1:18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</row>
    <row r="309" spans="1:18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</row>
    <row r="310" spans="1:18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</row>
    <row r="311" spans="1:18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</row>
    <row r="312" spans="1:18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</row>
    <row r="313" spans="1:18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</row>
    <row r="314" spans="1:18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</row>
    <row r="315" spans="1:18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</row>
    <row r="316" spans="1:18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</row>
    <row r="317" spans="1:18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</row>
    <row r="318" spans="1:18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</row>
    <row r="319" spans="1:18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</row>
    <row r="320" spans="1:18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</row>
    <row r="321" spans="1:18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</row>
    <row r="322" spans="1:18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</row>
    <row r="323" spans="1:18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</row>
    <row r="324" spans="1:18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</row>
    <row r="325" spans="1:18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</row>
    <row r="326" spans="1:18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</row>
    <row r="327" spans="1:18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</row>
    <row r="328" spans="1:18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</row>
    <row r="329" spans="1:18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</row>
    <row r="330" spans="1:18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</row>
    <row r="331" spans="1:18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</row>
    <row r="332" spans="1:18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</row>
    <row r="333" spans="1:18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</row>
    <row r="334" spans="1:18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</row>
    <row r="335" spans="1:18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</row>
    <row r="336" spans="1:18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</row>
    <row r="337" spans="1:18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</row>
    <row r="338" spans="1:18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</row>
    <row r="339" spans="1:18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</row>
    <row r="340" spans="1:18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</row>
    <row r="341" spans="1:18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</row>
    <row r="342" spans="1:18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</row>
    <row r="343" spans="1:18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</row>
    <row r="344" spans="1:18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</row>
    <row r="345" spans="1:18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</row>
    <row r="346" spans="1:18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</row>
    <row r="347" spans="1:18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</row>
    <row r="348" spans="1:18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</row>
    <row r="349" spans="1:18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</row>
    <row r="350" spans="1:18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</row>
    <row r="351" spans="1:18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</row>
    <row r="352" spans="1:18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</row>
    <row r="353" spans="1:18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</row>
    <row r="354" spans="1:18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</row>
    <row r="355" spans="1:18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</row>
    <row r="356" spans="1:18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</row>
    <row r="357" spans="1:18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</row>
    <row r="358" spans="1:18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</row>
    <row r="359" spans="1:18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</row>
    <row r="360" spans="1:18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</row>
    <row r="361" spans="1:18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</row>
    <row r="362" spans="1:18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</row>
    <row r="363" spans="1:18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</row>
    <row r="364" spans="1:18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</row>
    <row r="365" spans="1:18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</row>
    <row r="366" spans="1:18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</row>
    <row r="367" spans="1:18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</row>
    <row r="368" spans="1:18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</row>
    <row r="369" spans="1:18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</row>
    <row r="370" spans="1:18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</row>
    <row r="371" spans="1:18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</row>
    <row r="372" spans="1:18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</row>
    <row r="373" spans="1:18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258"/>
  <sheetViews>
    <sheetView tabSelected="1" workbookViewId="0">
      <selection activeCell="B3" sqref="B3:N161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93</v>
      </c>
      <c r="B1" t="s">
        <v>489</v>
      </c>
      <c r="C1" t="s">
        <v>490</v>
      </c>
      <c r="D1" t="s">
        <v>491</v>
      </c>
      <c r="E1" t="s">
        <v>492</v>
      </c>
      <c r="F1" t="s">
        <v>493</v>
      </c>
      <c r="G1" t="s">
        <v>494</v>
      </c>
      <c r="H1" s="2" t="s">
        <v>495</v>
      </c>
      <c r="I1" t="s">
        <v>496</v>
      </c>
      <c r="J1" t="s">
        <v>100</v>
      </c>
      <c r="K1" t="s">
        <v>101</v>
      </c>
      <c r="L1" t="s">
        <v>102</v>
      </c>
      <c r="M1" t="s">
        <v>103</v>
      </c>
      <c r="N1" t="s">
        <v>497</v>
      </c>
    </row>
    <row r="2" s="1" customFormat="1" spans="1:14">
      <c r="A2" s="1" t="s">
        <v>498</v>
      </c>
      <c r="B2" s="1">
        <f t="shared" ref="B2:N2" si="0">SUM(B3:B2185)</f>
        <v>1210</v>
      </c>
      <c r="C2" s="1">
        <f t="shared" si="0"/>
        <v>37</v>
      </c>
      <c r="D2" s="1">
        <f t="shared" si="0"/>
        <v>334</v>
      </c>
      <c r="E2" s="1">
        <f t="shared" si="0"/>
        <v>154</v>
      </c>
      <c r="F2" s="1">
        <f t="shared" si="0"/>
        <v>488</v>
      </c>
      <c r="G2" s="1">
        <f t="shared" si="0"/>
        <v>19</v>
      </c>
      <c r="H2" s="1">
        <f t="shared" si="0"/>
        <v>100</v>
      </c>
      <c r="I2" s="1">
        <f t="shared" si="0"/>
        <v>17</v>
      </c>
      <c r="J2" s="1">
        <f t="shared" si="0"/>
        <v>397</v>
      </c>
      <c r="K2" s="1">
        <f t="shared" si="0"/>
        <v>155</v>
      </c>
      <c r="L2" s="1">
        <f t="shared" si="0"/>
        <v>564</v>
      </c>
      <c r="M2" s="1">
        <f t="shared" si="0"/>
        <v>32</v>
      </c>
      <c r="N2" s="1">
        <f t="shared" si="0"/>
        <v>1148</v>
      </c>
    </row>
    <row r="3" spans="1:14">
      <c r="A3" s="3" t="s">
        <v>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9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1</v>
      </c>
      <c r="C4">
        <f>IFERROR(VLOOKUP(A4,管理亚马逊库存!A:L,12,0),"")</f>
        <v>1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2</v>
      </c>
      <c r="H4">
        <f>IFERROR(VLOOKUP(A4,预留库存!A:H,8,0),0)</f>
        <v>5</v>
      </c>
      <c r="I4">
        <f>IFERROR(VLOOKUP(A4,预留库存!A:F,6,0),0)</f>
        <v>3</v>
      </c>
      <c r="J4">
        <f>IFERROR(VLOOKUP(A4,库龄!B:K,9,0),0)</f>
        <v>19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19</v>
      </c>
    </row>
    <row r="5" spans="1:14">
      <c r="A5" s="3" t="s">
        <v>16</v>
      </c>
      <c r="B5">
        <f>IFERROR(VLOOKUP(A5,管理亚马逊库存!A:K,11,0),"")</f>
        <v>8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2</v>
      </c>
      <c r="I5">
        <f>IFERROR(VLOOKUP(A5,预留库存!A:F,6,0),0)</f>
        <v>1</v>
      </c>
      <c r="J5">
        <f>IFERROR(VLOOKUP(A5,库龄!B:K,9,0),0)</f>
        <v>2</v>
      </c>
      <c r="K5">
        <f>IFERROR(VLOOKUP(A5,库龄!B:L,10,0),0)</f>
        <v>13</v>
      </c>
      <c r="L5">
        <f>IFERROR(VLOOKUP(A5,库龄!B:M,11,0),0)</f>
        <v>0</v>
      </c>
      <c r="M5">
        <f>IFERROR(VLOOKUP(A5,库龄!B:N,12,0),0)</f>
        <v>0</v>
      </c>
      <c r="N5">
        <f t="shared" si="2"/>
        <v>15</v>
      </c>
    </row>
    <row r="6" spans="1:14">
      <c r="A6" s="3" t="s">
        <v>20</v>
      </c>
      <c r="B6">
        <f>IFERROR(VLOOKUP(A6,管理亚马逊库存!A:K,11,0),"")</f>
        <v>22</v>
      </c>
      <c r="C6">
        <f>IFERROR(VLOOKUP(A6,管理亚马逊库存!A:L,12,0),"")</f>
        <v>1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2</v>
      </c>
      <c r="K6">
        <f>IFERROR(VLOOKUP(A6,库龄!B:L,10,0),0)</f>
        <v>2</v>
      </c>
      <c r="L6">
        <f>IFERROR(VLOOKUP(A6,库龄!B:M,11,0),0)</f>
        <v>18</v>
      </c>
      <c r="M6">
        <f>IFERROR(VLOOKUP(A6,库龄!B:N,12,0),0)</f>
        <v>0</v>
      </c>
      <c r="N6">
        <f t="shared" si="2"/>
        <v>22</v>
      </c>
    </row>
    <row r="7" spans="1:14">
      <c r="A7" s="3" t="s">
        <v>24</v>
      </c>
      <c r="B7">
        <f>IFERROR(VLOOKUP(A7,管理亚马逊库存!A:K,11,0),"")</f>
        <v>0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2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38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1</v>
      </c>
      <c r="L8">
        <f>IFERROR(VLOOKUP(A8,库龄!B:M,11,0),0)</f>
        <v>29</v>
      </c>
      <c r="M8">
        <f>IFERROR(VLOOKUP(A8,库龄!B:N,12,0),0)</f>
        <v>0</v>
      </c>
      <c r="N8">
        <f t="shared" si="2"/>
        <v>30</v>
      </c>
    </row>
    <row r="9" spans="1:14">
      <c r="A9" s="3" t="s">
        <v>32</v>
      </c>
      <c r="B9">
        <f>IFERROR(VLOOKUP(A9,管理亚马逊库存!A:K,11,0),"")</f>
        <v>15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1</v>
      </c>
      <c r="H9">
        <f>IFERROR(VLOOKUP(A9,预留库存!A:H,8,0),0)</f>
        <v>2</v>
      </c>
      <c r="I9">
        <f>IFERROR(VLOOKUP(A9,预留库存!A:F,6,0),0)</f>
        <v>0</v>
      </c>
      <c r="J9">
        <f>IFERROR(VLOOKUP(A9,库龄!B:K,9,0),0)</f>
        <v>1</v>
      </c>
      <c r="K9">
        <f>IFERROR(VLOOKUP(A9,库龄!B:L,10,0),0)</f>
        <v>1</v>
      </c>
      <c r="L9">
        <f>IFERROR(VLOOKUP(A9,库龄!B:M,11,0),0)</f>
        <v>17</v>
      </c>
      <c r="M9">
        <f>IFERROR(VLOOKUP(A9,库龄!B:N,12,0),0)</f>
        <v>0</v>
      </c>
      <c r="N9">
        <f t="shared" si="2"/>
        <v>19</v>
      </c>
    </row>
    <row r="10" spans="1:14">
      <c r="A10" s="3" t="s">
        <v>36</v>
      </c>
      <c r="B10">
        <f>IFERROR(VLOOKUP(A10,管理亚马逊库存!A:K,11,0),"")</f>
        <v>76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1</v>
      </c>
      <c r="H10">
        <f>IFERROR(VLOOKUP(A10,预留库存!A:H,8,0),0)</f>
        <v>0</v>
      </c>
      <c r="I10">
        <f>IFERROR(VLOOKUP(A10,预留库存!A:F,6,0),0)</f>
        <v>1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81</v>
      </c>
      <c r="M10">
        <f>IFERROR(VLOOKUP(A10,库龄!B:N,12,0),0)</f>
        <v>0</v>
      </c>
      <c r="N10">
        <f t="shared" si="2"/>
        <v>81</v>
      </c>
    </row>
    <row r="11" spans="1:14">
      <c r="A11" s="3" t="s">
        <v>40</v>
      </c>
      <c r="B11">
        <f>IFERROR(VLOOKUP(A11,管理亚马逊库存!A:K,11,0),"")</f>
        <v>42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42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42</v>
      </c>
    </row>
    <row r="12" spans="1:14">
      <c r="A12" s="3" t="s">
        <v>44</v>
      </c>
      <c r="B12">
        <f>IFERROR(VLOOKUP(A12,管理亚马逊库存!A:K,11,0),"")</f>
        <v>31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7</v>
      </c>
      <c r="H12">
        <f>IFERROR(VLOOKUP(A12,预留库存!A:H,8,0),0)</f>
        <v>2</v>
      </c>
      <c r="I12">
        <f>IFERROR(VLOOKUP(A12,预留库存!A:F,6,0),0)</f>
        <v>0</v>
      </c>
      <c r="J12">
        <f>IFERROR(VLOOKUP(A12,库龄!B:K,9,0),0)</f>
        <v>40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40</v>
      </c>
    </row>
    <row r="13" spans="1:14">
      <c r="A13" s="3" t="s">
        <v>48</v>
      </c>
      <c r="B13">
        <f>IFERROR(VLOOKUP(A13,管理亚马逊库存!A:K,11,0),"")</f>
        <v>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5</v>
      </c>
      <c r="I13">
        <f>IFERROR(VLOOKUP(A13,预留库存!A:F,6,0),0)</f>
        <v>0</v>
      </c>
      <c r="J13">
        <f>IFERROR(VLOOKUP(A13,库龄!B:K,9,0),0)</f>
        <v>10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10</v>
      </c>
    </row>
    <row r="14" spans="1:14">
      <c r="A14" s="3" t="s">
        <v>52</v>
      </c>
      <c r="B14">
        <f>IFERROR(VLOOKUP(A14,管理亚马逊库存!A:K,11,0),"")</f>
        <v>13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1</v>
      </c>
      <c r="H14">
        <f>IFERROR(VLOOKUP(A14,预留库存!A:H,8,0),0)</f>
        <v>0</v>
      </c>
      <c r="I14">
        <f>IFERROR(VLOOKUP(A14,预留库存!A:F,6,0),0)</f>
        <v>1</v>
      </c>
      <c r="J14">
        <f>IFERROR(VLOOKUP(A14,库龄!B:K,9,0),0)</f>
        <v>1</v>
      </c>
      <c r="K14">
        <f>IFERROR(VLOOKUP(A14,库龄!B:L,10,0),0)</f>
        <v>13</v>
      </c>
      <c r="L14">
        <f>IFERROR(VLOOKUP(A14,库龄!B:M,11,0),0)</f>
        <v>0</v>
      </c>
      <c r="M14">
        <f>IFERROR(VLOOKUP(A14,库龄!B:N,12,0),0)</f>
        <v>0</v>
      </c>
      <c r="N14">
        <f t="shared" si="2"/>
        <v>14</v>
      </c>
    </row>
    <row r="15" spans="1:14">
      <c r="A15" s="3" t="s">
        <v>56</v>
      </c>
      <c r="B15">
        <f>IFERROR(VLOOKUP(A15,管理亚马逊库存!A:K,11,0),"")</f>
        <v>38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2</v>
      </c>
      <c r="H15">
        <f>IFERROR(VLOOKUP(A15,预留库存!A:H,8,0),0)</f>
        <v>0</v>
      </c>
      <c r="I15">
        <f>IFERROR(VLOOKUP(A15,预留库存!A:F,6,0),0)</f>
        <v>2</v>
      </c>
      <c r="J15">
        <f>IFERROR(VLOOKUP(A15,库龄!B:K,9,0),0)</f>
        <v>45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45</v>
      </c>
    </row>
    <row r="16" spans="1:14">
      <c r="A16" s="3" t="s">
        <v>60</v>
      </c>
      <c r="B16">
        <f>IFERROR(VLOOKUP(A16,管理亚马逊库存!A:K,11,0),"")</f>
        <v>36</v>
      </c>
      <c r="C16">
        <f>IFERROR(VLOOKUP(A16,管理亚马逊库存!A:L,12,0),"")</f>
        <v>5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1</v>
      </c>
      <c r="I16">
        <f>IFERROR(VLOOKUP(A16,预留库存!A:F,6,0),0)</f>
        <v>1</v>
      </c>
      <c r="J16">
        <f>IFERROR(VLOOKUP(A16,库龄!B:K,9,0),0)</f>
        <v>12</v>
      </c>
      <c r="K16">
        <f>IFERROR(VLOOKUP(A16,库龄!B:L,10,0),0)</f>
        <v>2</v>
      </c>
      <c r="L16">
        <f>IFERROR(VLOOKUP(A16,库龄!B:M,11,0),0)</f>
        <v>33</v>
      </c>
      <c r="M16">
        <f>IFERROR(VLOOKUP(A16,库龄!B:N,12,0),0)</f>
        <v>0</v>
      </c>
      <c r="N16">
        <f t="shared" si="2"/>
        <v>47</v>
      </c>
    </row>
    <row r="17" spans="1:14">
      <c r="A17" s="3" t="s">
        <v>64</v>
      </c>
      <c r="B17">
        <f>IFERROR(VLOOKUP(A17,管理亚马逊库存!A:K,11,0),"")</f>
        <v>0</v>
      </c>
      <c r="C17">
        <f>IFERROR(VLOOKUP(A17,管理亚马逊库存!A:L,12,0),"")</f>
        <v>0</v>
      </c>
      <c r="D17">
        <f>IFERROR(VLOOKUP(A17,管理亚马逊库存!A:Q,17,0),"")</f>
        <v>4</v>
      </c>
      <c r="E17">
        <f>IFERROR(VLOOKUP(A17,管理亚马逊库存!A:R,18,0),"")</f>
        <v>0</v>
      </c>
      <c r="F17">
        <f t="shared" si="1"/>
        <v>4</v>
      </c>
      <c r="G17">
        <f>IFERROR(VLOOKUP(A17,预留库存!A:G,7,0),0)</f>
        <v>0</v>
      </c>
      <c r="H17">
        <f>IFERROR(VLOOKUP(A17,预留库存!A:H,8,0),0)</f>
        <v>1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67</v>
      </c>
      <c r="B18">
        <f>IFERROR(VLOOKUP(A18,管理亚马逊库存!A:K,11,0),"")</f>
        <v>29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2</v>
      </c>
      <c r="I18">
        <f>IFERROR(VLOOKUP(A18,预留库存!A:F,6,0),0)</f>
        <v>0</v>
      </c>
      <c r="J18">
        <f>IFERROR(VLOOKUP(A18,库龄!B:K,9,0),0)</f>
        <v>31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31</v>
      </c>
    </row>
    <row r="19" spans="1:14">
      <c r="A19" s="3" t="s">
        <v>69</v>
      </c>
      <c r="B19">
        <f>IFERROR(VLOOKUP(A19,管理亚马逊库存!A:K,11,0),"")</f>
        <v>0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2</v>
      </c>
      <c r="H19">
        <f>IFERROR(VLOOKUP(A19,预留库存!A:H,8,0),0)</f>
        <v>3</v>
      </c>
      <c r="I19">
        <f>IFERROR(VLOOKUP(A19,预留库存!A:F,6,0),0)</f>
        <v>6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71</v>
      </c>
      <c r="B20">
        <f>IFERROR(VLOOKUP(A20,管理亚马逊库存!A:K,11,0),"")</f>
        <v>107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3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113</v>
      </c>
      <c r="L20">
        <f>IFERROR(VLOOKUP(A20,库龄!B:M,11,0),0)</f>
        <v>0</v>
      </c>
      <c r="M20">
        <f>IFERROR(VLOOKUP(A20,库龄!B:N,12,0),0)</f>
        <v>0</v>
      </c>
      <c r="N20">
        <f t="shared" si="2"/>
        <v>113</v>
      </c>
    </row>
    <row r="21" spans="1:14">
      <c r="A21" s="3" t="s">
        <v>75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2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79</v>
      </c>
      <c r="B22">
        <f>IFERROR(VLOOKUP(A22,管理亚马逊库存!A:K,11,0),"")</f>
        <v>1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59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83</v>
      </c>
      <c r="B23">
        <f>IFERROR(VLOOKUP(A23,管理亚马逊库存!A:K,11,0),"")</f>
        <v>30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2</v>
      </c>
      <c r="J23">
        <f>IFERROR(VLOOKUP(A23,库龄!B:K,9,0),0)</f>
        <v>1</v>
      </c>
      <c r="K23">
        <f>IFERROR(VLOOKUP(A23,库龄!B:L,10,0),0)</f>
        <v>2</v>
      </c>
      <c r="L23">
        <f>IFERROR(VLOOKUP(A23,库龄!B:M,11,0),0)</f>
        <v>2</v>
      </c>
      <c r="M23">
        <f>IFERROR(VLOOKUP(A23,库龄!B:N,12,0),0)</f>
        <v>26</v>
      </c>
      <c r="N23">
        <f t="shared" si="2"/>
        <v>31</v>
      </c>
    </row>
    <row r="24" spans="1:14">
      <c r="A24" s="3" t="s">
        <v>87</v>
      </c>
      <c r="B24">
        <f>IFERROR(VLOOKUP(A24,管理亚马逊库存!A:K,11,0),"")</f>
        <v>0</v>
      </c>
      <c r="C24">
        <f>IFERROR(VLOOKUP(A24,管理亚马逊库存!A:L,12,0),"")</f>
        <v>0</v>
      </c>
      <c r="D24">
        <f>IFERROR(VLOOKUP(A24,管理亚马逊库存!A:Q,17,0),"")</f>
        <v>4</v>
      </c>
      <c r="E24">
        <f>IFERROR(VLOOKUP(A24,管理亚马逊库存!A:R,18,0),"")</f>
        <v>0</v>
      </c>
      <c r="F24">
        <f t="shared" si="1"/>
        <v>4</v>
      </c>
      <c r="G24">
        <f>IFERROR(VLOOKUP(A24,预留库存!A:G,7,0),0)</f>
        <v>0</v>
      </c>
      <c r="H24">
        <f>IFERROR(VLOOKUP(A24,预留库存!A:H,8,0),0)</f>
        <v>1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88</v>
      </c>
      <c r="B25">
        <f>IFERROR(VLOOKUP(A25,管理亚马逊库存!A:K,11,0),"")</f>
        <v>6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3</v>
      </c>
      <c r="K25">
        <f>IFERROR(VLOOKUP(A25,库龄!B:L,10,0),0)</f>
        <v>0</v>
      </c>
      <c r="L25">
        <f>IFERROR(VLOOKUP(A25,库龄!B:M,11,0),0)</f>
        <v>3</v>
      </c>
      <c r="M25">
        <f>IFERROR(VLOOKUP(A25,库龄!B:N,12,0),0)</f>
        <v>0</v>
      </c>
      <c r="N25">
        <f t="shared" si="2"/>
        <v>6</v>
      </c>
    </row>
    <row r="26" spans="1:14">
      <c r="A26" s="3" t="s">
        <v>134</v>
      </c>
      <c r="B26">
        <f>IFERROR(VLOOKUP(A26,管理亚马逊库存!A:K,11,0),"")</f>
        <v>1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136</v>
      </c>
      <c r="B27">
        <f>IFERROR(VLOOKUP(A27,管理亚马逊库存!A:K,11,0),"")</f>
        <v>7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1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1</v>
      </c>
    </row>
    <row r="28" spans="1:14">
      <c r="A28" s="3" t="s">
        <v>142</v>
      </c>
      <c r="B28">
        <f>IFERROR(VLOOKUP(A28,管理亚马逊库存!A:K,11,0),"")</f>
        <v>1</v>
      </c>
      <c r="C28">
        <f>IFERROR(VLOOKUP(A28,管理亚马逊库存!A:L,12,0),"")</f>
        <v>0</v>
      </c>
      <c r="D28">
        <f>IFERROR(VLOOKUP(A28,管理亚马逊库存!A:Q,17,0),"")</f>
        <v>6</v>
      </c>
      <c r="E28">
        <f>IFERROR(VLOOKUP(A28,管理亚马逊库存!A:R,18,0),"")</f>
        <v>0</v>
      </c>
      <c r="F28">
        <f t="shared" si="1"/>
        <v>6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1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1</v>
      </c>
    </row>
    <row r="29" spans="1:14">
      <c r="A29" s="3" t="s">
        <v>146</v>
      </c>
      <c r="B29">
        <f>IFERROR(VLOOKUP(A29,管理亚马逊库存!A:K,11,0),"")</f>
        <v>2</v>
      </c>
      <c r="C29">
        <f>IFERROR(VLOOKUP(A29,管理亚马逊库存!A:L,12,0),"")</f>
        <v>0</v>
      </c>
      <c r="D29">
        <f>IFERROR(VLOOKUP(A29,管理亚马逊库存!A:Q,17,0),"")</f>
        <v>9</v>
      </c>
      <c r="E29">
        <f>IFERROR(VLOOKUP(A29,管理亚马逊库存!A:R,18,0),"")</f>
        <v>0</v>
      </c>
      <c r="F29">
        <f t="shared" si="1"/>
        <v>9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2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2</v>
      </c>
    </row>
    <row r="30" spans="1:14">
      <c r="A30" s="3" t="s">
        <v>150</v>
      </c>
      <c r="B30">
        <f>IFERROR(VLOOKUP(A30,管理亚马逊库存!A:K,11,0),"")</f>
        <v>99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1</v>
      </c>
      <c r="K30">
        <f>IFERROR(VLOOKUP(A30,库龄!B:L,10,0),0)</f>
        <v>3</v>
      </c>
      <c r="L30">
        <f>IFERROR(VLOOKUP(A30,库龄!B:M,11,0),0)</f>
        <v>91</v>
      </c>
      <c r="M30">
        <f>IFERROR(VLOOKUP(A30,库龄!B:N,12,0),0)</f>
        <v>0</v>
      </c>
      <c r="N30">
        <f t="shared" si="2"/>
        <v>95</v>
      </c>
    </row>
    <row r="31" spans="1:14">
      <c r="A31" s="3" t="s">
        <v>154</v>
      </c>
      <c r="B31">
        <f>IFERROR(VLOOKUP(A31,管理亚马逊库存!A:K,11,0),"")</f>
        <v>0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5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5</v>
      </c>
    </row>
    <row r="32" spans="1:14">
      <c r="A32" s="3" t="s">
        <v>158</v>
      </c>
      <c r="B32">
        <f>IFERROR(VLOOKUP(A32,管理亚马逊库存!A:K,11,0),"")</f>
        <v>3</v>
      </c>
      <c r="C32">
        <f>IFERROR(VLOOKUP(A32,管理亚马逊库存!A:L,12,0),"")</f>
        <v>0</v>
      </c>
      <c r="D32">
        <f>IFERROR(VLOOKUP(A32,管理亚马逊库存!A:Q,17,0),"")</f>
        <v>7</v>
      </c>
      <c r="E32">
        <f>IFERROR(VLOOKUP(A32,管理亚马逊库存!A:R,18,0),"")</f>
        <v>0</v>
      </c>
      <c r="F32">
        <f t="shared" si="1"/>
        <v>7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2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2</v>
      </c>
    </row>
    <row r="33" spans="1:14">
      <c r="A33" s="3" t="s">
        <v>161</v>
      </c>
      <c r="B33">
        <f>IFERROR(VLOOKUP(A33,管理亚马逊库存!A:K,11,0),"")</f>
        <v>1</v>
      </c>
      <c r="C33">
        <f>IFERROR(VLOOKUP(A33,管理亚马逊库存!A:L,12,0),"")</f>
        <v>0</v>
      </c>
      <c r="D33">
        <f>IFERROR(VLOOKUP(A33,管理亚马逊库存!A:Q,17,0),"")</f>
        <v>2</v>
      </c>
      <c r="E33">
        <f>IFERROR(VLOOKUP(A33,管理亚马逊库存!A:R,18,0),"")</f>
        <v>1</v>
      </c>
      <c r="F33">
        <f t="shared" si="1"/>
        <v>3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1</v>
      </c>
      <c r="L33">
        <f>IFERROR(VLOOKUP(A33,库龄!B:M,11,0),0)</f>
        <v>0</v>
      </c>
      <c r="M33">
        <f>IFERROR(VLOOKUP(A33,库龄!B:N,12,0),0)</f>
        <v>0</v>
      </c>
      <c r="N33">
        <f t="shared" si="2"/>
        <v>1</v>
      </c>
    </row>
    <row r="34" spans="1:14">
      <c r="A34" s="3" t="s">
        <v>164</v>
      </c>
      <c r="B34">
        <f>IFERROR(VLOOKUP(A34,管理亚马逊库存!A:K,11,0),"")</f>
        <v>57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57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57</v>
      </c>
    </row>
    <row r="35" spans="1:14">
      <c r="A35" s="3" t="s">
        <v>168</v>
      </c>
      <c r="B35">
        <f>IFERROR(VLOOKUP(A35,管理亚马逊库存!A:K,11,0),"")</f>
        <v>6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6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6</v>
      </c>
    </row>
    <row r="36" spans="1:14">
      <c r="A36" s="3" t="s">
        <v>171</v>
      </c>
      <c r="B36">
        <f>IFERROR(VLOOKUP(A36,管理亚马逊库存!A:K,11,0),"")</f>
        <v>6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2</v>
      </c>
      <c r="F36">
        <f t="shared" si="1"/>
        <v>2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1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1</v>
      </c>
    </row>
    <row r="37" spans="1:14">
      <c r="A37" s="3" t="s">
        <v>174</v>
      </c>
      <c r="B37">
        <f>IFERROR(VLOOKUP(A37,管理亚马逊库存!A:K,11,0),"")</f>
        <v>1</v>
      </c>
      <c r="C37">
        <f>IFERROR(VLOOKUP(A37,管理亚马逊库存!A:L,12,0),"")</f>
        <v>1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177</v>
      </c>
      <c r="B38">
        <f>IFERROR(VLOOKUP(A38,管理亚马逊库存!A:K,11,0),"")</f>
        <v>1</v>
      </c>
      <c r="C38">
        <f>IFERROR(VLOOKUP(A38,管理亚马逊库存!A:L,12,0),"")</f>
        <v>0</v>
      </c>
      <c r="D38">
        <f>IFERROR(VLOOKUP(A38,管理亚马逊库存!A:Q,17,0),"")</f>
        <v>2</v>
      </c>
      <c r="E38">
        <f>IFERROR(VLOOKUP(A38,管理亚马逊库存!A:R,18,0),"")</f>
        <v>1</v>
      </c>
      <c r="F38">
        <f t="shared" si="1"/>
        <v>3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1</v>
      </c>
      <c r="L38">
        <f>IFERROR(VLOOKUP(A38,库龄!B:M,11,0),0)</f>
        <v>0</v>
      </c>
      <c r="M38">
        <f>IFERROR(VLOOKUP(A38,库龄!B:N,12,0),0)</f>
        <v>0</v>
      </c>
      <c r="N38">
        <f t="shared" si="2"/>
        <v>1</v>
      </c>
    </row>
    <row r="39" spans="1:14">
      <c r="A39" s="3" t="s">
        <v>178</v>
      </c>
      <c r="B39">
        <f>IFERROR(VLOOKUP(A39,管理亚马逊库存!A:K,11,0),"")</f>
        <v>8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1</v>
      </c>
      <c r="K39">
        <f>IFERROR(VLOOKUP(A39,库龄!B:L,10,0),0)</f>
        <v>0</v>
      </c>
      <c r="L39">
        <f>IFERROR(VLOOKUP(A39,库龄!B:M,11,0),0)</f>
        <v>1</v>
      </c>
      <c r="M39">
        <f>IFERROR(VLOOKUP(A39,库龄!B:N,12,0),0)</f>
        <v>6</v>
      </c>
      <c r="N39">
        <f t="shared" si="2"/>
        <v>8</v>
      </c>
    </row>
    <row r="40" spans="1:14">
      <c r="A40" s="3" t="s">
        <v>180</v>
      </c>
      <c r="B40">
        <f>IFERROR(VLOOKUP(A40,管理亚马逊库存!A:K,11,0),"")</f>
        <v>1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183</v>
      </c>
      <c r="B41">
        <f>IFERROR(VLOOKUP(A41,管理亚马逊库存!A:K,11,0),"")</f>
        <v>1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186</v>
      </c>
      <c r="B42">
        <f>IFERROR(VLOOKUP(A42,管理亚马逊库存!A:K,11,0),"")</f>
        <v>2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1</v>
      </c>
      <c r="K42">
        <f>IFERROR(VLOOKUP(A42,库龄!B:L,10,0),0)</f>
        <v>1</v>
      </c>
      <c r="L42">
        <f>IFERROR(VLOOKUP(A42,库龄!B:M,11,0),0)</f>
        <v>0</v>
      </c>
      <c r="M42">
        <f>IFERROR(VLOOKUP(A42,库龄!B:N,12,0),0)</f>
        <v>0</v>
      </c>
      <c r="N42">
        <f t="shared" si="2"/>
        <v>2</v>
      </c>
    </row>
    <row r="43" spans="1:14">
      <c r="A43" s="3" t="s">
        <v>189</v>
      </c>
      <c r="B43">
        <f>IFERROR(VLOOKUP(A43,管理亚马逊库存!A:K,11,0),"")</f>
        <v>1</v>
      </c>
      <c r="C43">
        <f>IFERROR(VLOOKUP(A43,管理亚马逊库存!A:L,12,0),"")</f>
        <v>0</v>
      </c>
      <c r="D43">
        <f>IFERROR(VLOOKUP(A43,管理亚马逊库存!A:Q,17,0),"")</f>
        <v>6</v>
      </c>
      <c r="E43">
        <f>IFERROR(VLOOKUP(A43,管理亚马逊库存!A:R,18,0),"")</f>
        <v>0</v>
      </c>
      <c r="F43">
        <f t="shared" si="1"/>
        <v>6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1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1</v>
      </c>
    </row>
    <row r="44" spans="1:14">
      <c r="A44" s="3" t="s">
        <v>190</v>
      </c>
      <c r="B44">
        <f>IFERROR(VLOOKUP(A44,管理亚马逊库存!A:K,11,0),"")</f>
        <v>2</v>
      </c>
      <c r="C44">
        <f>IFERROR(VLOOKUP(A44,管理亚马逊库存!A:L,12,0),"")</f>
        <v>0</v>
      </c>
      <c r="D44">
        <f>IFERROR(VLOOKUP(A44,管理亚马逊库存!A:Q,17,0),"")</f>
        <v>9</v>
      </c>
      <c r="E44">
        <f>IFERROR(VLOOKUP(A44,管理亚马逊库存!A:R,18,0),"")</f>
        <v>0</v>
      </c>
      <c r="F44">
        <f t="shared" si="1"/>
        <v>9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1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1</v>
      </c>
    </row>
    <row r="45" spans="1:14">
      <c r="A45" s="3" t="s">
        <v>193</v>
      </c>
      <c r="B45">
        <f>IFERROR(VLOOKUP(A45,管理亚马逊库存!A:K,11,0),"")</f>
        <v>1</v>
      </c>
      <c r="C45">
        <f>IFERROR(VLOOKUP(A45,管理亚马逊库存!A:L,12,0),"")</f>
        <v>0</v>
      </c>
      <c r="D45">
        <f>IFERROR(VLOOKUP(A45,管理亚马逊库存!A:Q,17,0),"")</f>
        <v>10</v>
      </c>
      <c r="E45">
        <f>IFERROR(VLOOKUP(A45,管理亚马逊库存!A:R,18,0),"")</f>
        <v>0</v>
      </c>
      <c r="F45">
        <f t="shared" si="1"/>
        <v>10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196</v>
      </c>
      <c r="B46">
        <f>IFERROR(VLOOKUP(A46,管理亚马逊库存!A:K,11,0),"")</f>
        <v>7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1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1</v>
      </c>
    </row>
    <row r="47" spans="1:14">
      <c r="A47" s="3" t="s">
        <v>197</v>
      </c>
      <c r="B47">
        <f>IFERROR(VLOOKUP(A47,管理亚马逊库存!A:K,11,0),"")</f>
        <v>1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200</v>
      </c>
      <c r="B48">
        <f>IFERROR(VLOOKUP(A48,管理亚马逊库存!A:K,11,0),"")</f>
        <v>108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108</v>
      </c>
      <c r="M48">
        <f>IFERROR(VLOOKUP(A48,库龄!B:N,12,0),0)</f>
        <v>0</v>
      </c>
      <c r="N48">
        <f t="shared" si="2"/>
        <v>108</v>
      </c>
    </row>
    <row r="49" spans="1:14">
      <c r="A49" s="3" t="s">
        <v>204</v>
      </c>
      <c r="B49">
        <f>IFERROR(VLOOKUP(A49,管理亚马逊库存!A:K,11,0),"")</f>
        <v>0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1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1</v>
      </c>
    </row>
    <row r="50" spans="1:14">
      <c r="A50" s="3" t="s">
        <v>208</v>
      </c>
      <c r="B50">
        <f>IFERROR(VLOOKUP(A50,管理亚马逊库存!A:K,11,0),"")</f>
        <v>1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211</v>
      </c>
      <c r="B51">
        <f>IFERROR(VLOOKUP(A51,管理亚马逊库存!A:K,11,0),"")</f>
        <v>2</v>
      </c>
      <c r="C51">
        <f>IFERROR(VLOOKUP(A51,管理亚马逊库存!A:L,12,0),"")</f>
        <v>0</v>
      </c>
      <c r="D51">
        <f>IFERROR(VLOOKUP(A51,管理亚马逊库存!A:Q,17,0),"")</f>
        <v>9</v>
      </c>
      <c r="E51">
        <f>IFERROR(VLOOKUP(A51,管理亚马逊库存!A:R,18,0),"")</f>
        <v>0</v>
      </c>
      <c r="F51">
        <f t="shared" si="1"/>
        <v>9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1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1</v>
      </c>
    </row>
    <row r="52" spans="1:14">
      <c r="A52" s="3" t="s">
        <v>212</v>
      </c>
      <c r="B52">
        <f>IFERROR(VLOOKUP(A52,管理亚马逊库存!A:K,11,0),"")</f>
        <v>1</v>
      </c>
      <c r="C52">
        <f>IFERROR(VLOOKUP(A52,管理亚马逊库存!A:L,12,0),"")</f>
        <v>0</v>
      </c>
      <c r="D52">
        <f>IFERROR(VLOOKUP(A52,管理亚马逊库存!A:Q,17,0),"")</f>
        <v>10</v>
      </c>
      <c r="E52">
        <f>IFERROR(VLOOKUP(A52,管理亚马逊库存!A:R,18,0),"")</f>
        <v>0</v>
      </c>
      <c r="F52">
        <f t="shared" si="1"/>
        <v>10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213</v>
      </c>
      <c r="B53">
        <f>IFERROR(VLOOKUP(A53,管理亚马逊库存!A:K,11,0),"")</f>
        <v>13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216</v>
      </c>
      <c r="B54">
        <f>IFERROR(VLOOKUP(A54,管理亚马逊库存!A:K,11,0),"")</f>
        <v>2</v>
      </c>
      <c r="C54">
        <f>IFERROR(VLOOKUP(A54,管理亚马逊库存!A:L,12,0),"")</f>
        <v>0</v>
      </c>
      <c r="D54">
        <f>IFERROR(VLOOKUP(A54,管理亚马逊库存!A:Q,17,0),"")</f>
        <v>6</v>
      </c>
      <c r="E54">
        <f>IFERROR(VLOOKUP(A54,管理亚马逊库存!A:R,18,0),"")</f>
        <v>1</v>
      </c>
      <c r="F54">
        <f t="shared" si="1"/>
        <v>7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2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2</v>
      </c>
    </row>
    <row r="55" spans="1:14">
      <c r="A55" s="3" t="s">
        <v>219</v>
      </c>
      <c r="B55">
        <f>IFERROR(VLOOKUP(A55,管理亚马逊库存!A:K,11,0),"")</f>
        <v>128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1</v>
      </c>
      <c r="K55">
        <f>IFERROR(VLOOKUP(A55,库龄!B:L,10,0),0)</f>
        <v>1</v>
      </c>
      <c r="L55">
        <f>IFERROR(VLOOKUP(A55,库龄!B:M,11,0),0)</f>
        <v>128</v>
      </c>
      <c r="M55">
        <f>IFERROR(VLOOKUP(A55,库龄!B:N,12,0),0)</f>
        <v>0</v>
      </c>
      <c r="N55">
        <f t="shared" si="2"/>
        <v>130</v>
      </c>
    </row>
    <row r="56" spans="1:14">
      <c r="A56" s="3" t="s">
        <v>223</v>
      </c>
      <c r="B56">
        <f>IFERROR(VLOOKUP(A56,管理亚马逊库存!A:K,11,0),"")</f>
        <v>2</v>
      </c>
      <c r="C56">
        <f>IFERROR(VLOOKUP(A56,管理亚马逊库存!A:L,12,0),"")</f>
        <v>0</v>
      </c>
      <c r="D56">
        <f>IFERROR(VLOOKUP(A56,管理亚马逊库存!A:Q,17,0),"")</f>
        <v>3</v>
      </c>
      <c r="E56">
        <f>IFERROR(VLOOKUP(A56,管理亚马逊库存!A:R,18,0),"")</f>
        <v>0</v>
      </c>
      <c r="F56">
        <f t="shared" si="1"/>
        <v>3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1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1</v>
      </c>
    </row>
    <row r="57" spans="1:14">
      <c r="A57" s="3" t="s">
        <v>226</v>
      </c>
      <c r="B57">
        <f>IFERROR(VLOOKUP(A57,管理亚马逊库存!A:K,11,0),"")</f>
        <v>6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2</v>
      </c>
      <c r="F57">
        <f t="shared" si="1"/>
        <v>2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1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1</v>
      </c>
    </row>
    <row r="58" spans="1:14">
      <c r="A58" s="3" t="s">
        <v>227</v>
      </c>
      <c r="B58">
        <f>IFERROR(VLOOKUP(A58,管理亚马逊库存!A:K,11,0),"")</f>
        <v>2</v>
      </c>
      <c r="C58">
        <f>IFERROR(VLOOKUP(A58,管理亚马逊库存!A:L,12,0),"")</f>
        <v>0</v>
      </c>
      <c r="D58">
        <f>IFERROR(VLOOKUP(A58,管理亚马逊库存!A:Q,17,0),"")</f>
        <v>3</v>
      </c>
      <c r="E58">
        <f>IFERROR(VLOOKUP(A58,管理亚马逊库存!A:R,18,0),"")</f>
        <v>0</v>
      </c>
      <c r="F58">
        <f t="shared" si="1"/>
        <v>3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1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1</v>
      </c>
    </row>
    <row r="59" spans="1:14">
      <c r="A59" s="3" t="s">
        <v>228</v>
      </c>
      <c r="B59">
        <f>IFERROR(VLOOKUP(A59,管理亚马逊库存!A:K,11,0),"")</f>
        <v>2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1</v>
      </c>
      <c r="K59">
        <f>IFERROR(VLOOKUP(A59,库龄!B:L,10,0),0)</f>
        <v>1</v>
      </c>
      <c r="L59">
        <f>IFERROR(VLOOKUP(A59,库龄!B:M,11,0),0)</f>
        <v>0</v>
      </c>
      <c r="M59">
        <f>IFERROR(VLOOKUP(A59,库龄!B:N,12,0),0)</f>
        <v>0</v>
      </c>
      <c r="N59">
        <f t="shared" si="2"/>
        <v>2</v>
      </c>
    </row>
    <row r="60" spans="1:14">
      <c r="A60" s="3" t="s">
        <v>229</v>
      </c>
      <c r="B60">
        <f>IFERROR(VLOOKUP(A60,管理亚马逊库存!A:K,11,0),"")</f>
        <v>2</v>
      </c>
      <c r="C60">
        <f>IFERROR(VLOOKUP(A60,管理亚马逊库存!A:L,12,0),"")</f>
        <v>0</v>
      </c>
      <c r="D60">
        <f>IFERROR(VLOOKUP(A60,管理亚马逊库存!A:Q,17,0),"")</f>
        <v>9</v>
      </c>
      <c r="E60">
        <f>IFERROR(VLOOKUP(A60,管理亚马逊库存!A:R,18,0),"")</f>
        <v>0</v>
      </c>
      <c r="F60">
        <f t="shared" si="1"/>
        <v>9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2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2</v>
      </c>
    </row>
    <row r="61" spans="1:14">
      <c r="A61" s="3" t="s">
        <v>230</v>
      </c>
      <c r="B61">
        <f>IFERROR(VLOOKUP(A61,管理亚马逊库存!A:K,11,0),"")</f>
        <v>3</v>
      </c>
      <c r="C61">
        <f>IFERROR(VLOOKUP(A61,管理亚马逊库存!A:L,12,0),"")</f>
        <v>0</v>
      </c>
      <c r="D61">
        <f>IFERROR(VLOOKUP(A61,管理亚马逊库存!A:Q,17,0),"")</f>
        <v>7</v>
      </c>
      <c r="E61">
        <f>IFERROR(VLOOKUP(A61,管理亚马逊库存!A:R,18,0),"")</f>
        <v>0</v>
      </c>
      <c r="F61">
        <f t="shared" si="1"/>
        <v>7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2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2</v>
      </c>
    </row>
    <row r="62" spans="1:14">
      <c r="A62" s="3" t="s">
        <v>231</v>
      </c>
      <c r="B62">
        <f>IFERROR(VLOOKUP(A62,管理亚马逊库存!A:K,11,0),"")</f>
        <v>1</v>
      </c>
      <c r="C62">
        <f>IFERROR(VLOOKUP(A62,管理亚马逊库存!A:L,12,0),"")</f>
        <v>0</v>
      </c>
      <c r="D62">
        <f>IFERROR(VLOOKUP(A62,管理亚马逊库存!A:Q,17,0),"")</f>
        <v>1</v>
      </c>
      <c r="E62">
        <f>IFERROR(VLOOKUP(A62,管理亚马逊库存!A:R,18,0),"")</f>
        <v>0</v>
      </c>
      <c r="F62">
        <f t="shared" si="1"/>
        <v>1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234</v>
      </c>
      <c r="B63">
        <f>IFERROR(VLOOKUP(A63,管理亚马逊库存!A:K,11,0),"")</f>
        <v>2</v>
      </c>
      <c r="C63">
        <f>IFERROR(VLOOKUP(A63,管理亚马逊库存!A:L,12,0),"")</f>
        <v>0</v>
      </c>
      <c r="D63">
        <f>IFERROR(VLOOKUP(A63,管理亚马逊库存!A:Q,17,0),"")</f>
        <v>6</v>
      </c>
      <c r="E63">
        <f>IFERROR(VLOOKUP(A63,管理亚马逊库存!A:R,18,0),"")</f>
        <v>1</v>
      </c>
      <c r="F63">
        <f t="shared" si="1"/>
        <v>7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2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2</v>
      </c>
    </row>
    <row r="64" spans="1:14">
      <c r="A64" s="3" t="s">
        <v>235</v>
      </c>
      <c r="B64">
        <f>IFERROR(VLOOKUP(A64,管理亚马逊库存!A:K,11,0),"")</f>
        <v>2</v>
      </c>
      <c r="C64">
        <f>IFERROR(VLOOKUP(A64,管理亚马逊库存!A:L,12,0),"")</f>
        <v>0</v>
      </c>
      <c r="D64">
        <f>IFERROR(VLOOKUP(A64,管理亚马逊库存!A:Q,17,0),"")</f>
        <v>11</v>
      </c>
      <c r="E64">
        <f>IFERROR(VLOOKUP(A64,管理亚马逊库存!A:R,18,0),"")</f>
        <v>0</v>
      </c>
      <c r="F64">
        <f t="shared" si="1"/>
        <v>11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2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2</v>
      </c>
    </row>
    <row r="65" spans="1:14">
      <c r="A65" s="3" t="s">
        <v>238</v>
      </c>
      <c r="B65">
        <f>IFERROR(VLOOKUP(A65,管理亚马逊库存!A:K,11,0),"")</f>
        <v>53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53</v>
      </c>
      <c r="M65">
        <f>IFERROR(VLOOKUP(A65,库龄!B:N,12,0),0)</f>
        <v>0</v>
      </c>
      <c r="N65">
        <f t="shared" si="2"/>
        <v>53</v>
      </c>
    </row>
    <row r="66" spans="1:14">
      <c r="A66" s="3" t="s">
        <v>242</v>
      </c>
      <c r="B66">
        <f>IFERROR(VLOOKUP(A66,管理亚马逊库存!A:K,11,0),"")</f>
        <v>74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76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76</v>
      </c>
    </row>
    <row r="67" spans="1:14">
      <c r="A67" s="3" t="s">
        <v>246</v>
      </c>
      <c r="B67">
        <f>IFERROR(VLOOKUP(A67,管理亚马逊库存!A:K,11,0),"")</f>
        <v>1</v>
      </c>
      <c r="C67">
        <f>IFERROR(VLOOKUP(A67,管理亚马逊库存!A:L,12,0),"")</f>
        <v>0</v>
      </c>
      <c r="D67">
        <f>IFERROR(VLOOKUP(A67,管理亚马逊库存!A:Q,17,0),"")</f>
        <v>1</v>
      </c>
      <c r="E67">
        <f>IFERROR(VLOOKUP(A67,管理亚马逊库存!A:R,18,0),"")</f>
        <v>0</v>
      </c>
      <c r="F67">
        <f t="shared" ref="F67:F130" si="3">SUM(D67:E67)</f>
        <v>1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247</v>
      </c>
      <c r="B68">
        <f>IFERROR(VLOOKUP(A68,管理亚马逊库存!A:K,11,0),"")</f>
        <v>0</v>
      </c>
      <c r="C68">
        <f>IFERROR(VLOOKUP(A68,管理亚马逊库存!A:L,12,0),"")</f>
        <v>1</v>
      </c>
      <c r="D68">
        <f>IFERROR(VLOOKUP(A68,管理亚马逊库存!A:Q,17,0),"")</f>
        <v>0</v>
      </c>
      <c r="E68">
        <f>IFERROR(VLOOKUP(A68,管理亚马逊库存!A:R,18,0),"")</f>
        <v>2</v>
      </c>
      <c r="F68">
        <f t="shared" si="3"/>
        <v>2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251</v>
      </c>
      <c r="B69">
        <f>IFERROR(VLOOKUP(A69,管理亚马逊库存!A:K,11,0),"")</f>
        <v>2</v>
      </c>
      <c r="C69">
        <f>IFERROR(VLOOKUP(A69,管理亚马逊库存!A:L,12,0),"")</f>
        <v>0</v>
      </c>
      <c r="D69">
        <f>IFERROR(VLOOKUP(A69,管理亚马逊库存!A:Q,17,0),"")</f>
        <v>11</v>
      </c>
      <c r="E69">
        <f>IFERROR(VLOOKUP(A69,管理亚马逊库存!A:R,18,0),"")</f>
        <v>0</v>
      </c>
      <c r="F69">
        <f t="shared" si="3"/>
        <v>11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2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2</v>
      </c>
    </row>
    <row r="70" spans="1:14">
      <c r="A70" s="3" t="s">
        <v>252</v>
      </c>
      <c r="B70">
        <f>IFERROR(VLOOKUP(A70,管理亚马逊库存!A:K,11,0),"")</f>
        <v>12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12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12</v>
      </c>
    </row>
    <row r="71" spans="1:14">
      <c r="A71" s="3" t="s">
        <v>256</v>
      </c>
      <c r="B71">
        <f>IFERROR(VLOOKUP(A71,管理亚马逊库存!A:K,11,0),"")</f>
        <v>13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257</v>
      </c>
      <c r="B72">
        <f>IFERROR(VLOOKUP(A72,管理亚马逊库存!A:K,11,0),"")</f>
        <v>8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275</v>
      </c>
      <c r="B73">
        <f>IFERROR(VLOOKUP(A73,管理亚马逊库存!A:K,11,0),"")</f>
        <v>0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278</v>
      </c>
      <c r="B74">
        <f>IFERROR(VLOOKUP(A74,管理亚马逊库存!A:K,11,0),"")</f>
        <v>0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280</v>
      </c>
      <c r="B75">
        <f>IFERROR(VLOOKUP(A75,管理亚马逊库存!A:K,11,0),"")</f>
        <v>0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282</v>
      </c>
      <c r="B76">
        <f>IFERROR(VLOOKUP(A76,管理亚马逊库存!A:K,11,0),"")</f>
        <v>0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284</v>
      </c>
      <c r="B77">
        <f>IFERROR(VLOOKUP(A77,管理亚马逊库存!A:K,11,0),"")</f>
        <v>0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285</v>
      </c>
      <c r="B78">
        <f>IFERROR(VLOOKUP(A78,管理亚马逊库存!A:K,11,0),"")</f>
        <v>0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289</v>
      </c>
      <c r="B79">
        <f>IFERROR(VLOOKUP(A79,管理亚马逊库存!A:K,11,0),"")</f>
        <v>0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281</v>
      </c>
      <c r="B80">
        <f>IFERROR(VLOOKUP(A80,管理亚马逊库存!A:K,11,0),"")</f>
        <v>0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291</v>
      </c>
      <c r="B81">
        <f>IFERROR(VLOOKUP(A81,管理亚马逊库存!A:K,11,0),"")</f>
        <v>0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294</v>
      </c>
      <c r="B82">
        <f>IFERROR(VLOOKUP(A82,管理亚马逊库存!A:K,11,0),"")</f>
        <v>0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296</v>
      </c>
      <c r="B83">
        <f>IFERROR(VLOOKUP(A83,管理亚马逊库存!A:K,11,0),"")</f>
        <v>0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299</v>
      </c>
      <c r="B84">
        <f>IFERROR(VLOOKUP(A84,管理亚马逊库存!A:K,11,0),"")</f>
        <v>0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303</v>
      </c>
      <c r="B85">
        <f>IFERROR(VLOOKUP(A85,管理亚马逊库存!A:K,11,0),"")</f>
        <v>0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305</v>
      </c>
      <c r="B86">
        <f>IFERROR(VLOOKUP(A86,管理亚马逊库存!A:K,11,0),"")</f>
        <v>0</v>
      </c>
      <c r="C86">
        <f>IFERROR(VLOOKUP(A86,管理亚马逊库存!A:L,12,0),"")</f>
        <v>24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309</v>
      </c>
      <c r="B87">
        <f>IFERROR(VLOOKUP(A87,管理亚马逊库存!A:K,11,0),"")</f>
        <v>0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313</v>
      </c>
      <c r="B88">
        <f>IFERROR(VLOOKUP(A88,管理亚马逊库存!A:K,11,0),"")</f>
        <v>0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317</v>
      </c>
      <c r="B89">
        <f>IFERROR(VLOOKUP(A89,管理亚马逊库存!A:K,11,0),"")</f>
        <v>0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319</v>
      </c>
      <c r="B90">
        <f>IFERROR(VLOOKUP(A90,管理亚马逊库存!A:K,11,0),"")</f>
        <v>0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48</v>
      </c>
      <c r="F90">
        <f t="shared" si="3"/>
        <v>48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323</v>
      </c>
      <c r="B91">
        <f>IFERROR(VLOOKUP(A91,管理亚马逊库存!A:K,11,0),"")</f>
        <v>0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327</v>
      </c>
      <c r="B92">
        <f>IFERROR(VLOOKUP(A92,管理亚马逊库存!A:K,11,0),"")</f>
        <v>0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331</v>
      </c>
      <c r="B93">
        <f>IFERROR(VLOOKUP(A93,管理亚马逊库存!A:K,11,0),"")</f>
        <v>0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333</v>
      </c>
      <c r="B94">
        <f>IFERROR(VLOOKUP(A94,管理亚马逊库存!A:K,11,0),"")</f>
        <v>0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337</v>
      </c>
      <c r="B95">
        <f>IFERROR(VLOOKUP(A95,管理亚马逊库存!A:K,11,0),"")</f>
        <v>0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341</v>
      </c>
      <c r="B96">
        <f>IFERROR(VLOOKUP(A96,管理亚马逊库存!A:K,11,0),"")</f>
        <v>0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345</v>
      </c>
      <c r="B97">
        <f>IFERROR(VLOOKUP(A97,管理亚马逊库存!A:K,11,0),"")</f>
        <v>0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349</v>
      </c>
      <c r="B98">
        <f>IFERROR(VLOOKUP(A98,管理亚马逊库存!A:K,11,0),"")</f>
        <v>0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24</v>
      </c>
      <c r="F98">
        <f t="shared" si="3"/>
        <v>24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351</v>
      </c>
      <c r="B99">
        <f>IFERROR(VLOOKUP(A99,管理亚马逊库存!A:K,11,0),"")</f>
        <v>0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72</v>
      </c>
      <c r="F99">
        <f t="shared" si="3"/>
        <v>72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355</v>
      </c>
      <c r="B100">
        <f>IFERROR(VLOOKUP(A100,管理亚马逊库存!A:K,11,0),"")</f>
        <v>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357</v>
      </c>
      <c r="B101">
        <f>IFERROR(VLOOKUP(A101,管理亚马逊库存!A:K,11,0),"")</f>
        <v>0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361</v>
      </c>
      <c r="B102">
        <f>IFERROR(VLOOKUP(A102,管理亚马逊库存!A:K,11,0),"")</f>
        <v>0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365</v>
      </c>
      <c r="B103">
        <f>IFERROR(VLOOKUP(A103,管理亚马逊库存!A:K,11,0),"")</f>
        <v>0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369</v>
      </c>
      <c r="B104">
        <f>IFERROR(VLOOKUP(A104,管理亚马逊库存!A:K,11,0),"")</f>
        <v>0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371</v>
      </c>
      <c r="B105">
        <f>IFERROR(VLOOKUP(A105,管理亚马逊库存!A:K,11,0),"")</f>
        <v>0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373</v>
      </c>
      <c r="B106">
        <f>IFERROR(VLOOKUP(A106,管理亚马逊库存!A:K,11,0),"")</f>
        <v>0</v>
      </c>
      <c r="C106">
        <f>IFERROR(VLOOKUP(A106,管理亚马逊库存!A:L,12,0),"")</f>
        <v>1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375</v>
      </c>
      <c r="B107">
        <f>IFERROR(VLOOKUP(A107,管理亚马逊库存!A:K,11,0),"")</f>
        <v>0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379</v>
      </c>
      <c r="B108">
        <f>IFERROR(VLOOKUP(A108,管理亚马逊库存!A:K,11,0),"")</f>
        <v>0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381</v>
      </c>
      <c r="B109">
        <f>IFERROR(VLOOKUP(A109,管理亚马逊库存!A:K,11,0),"")</f>
        <v>0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383</v>
      </c>
      <c r="B110">
        <f>IFERROR(VLOOKUP(A110,管理亚马逊库存!A:K,11,0),"")</f>
        <v>0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384</v>
      </c>
      <c r="B111">
        <f>IFERROR(VLOOKUP(A111,管理亚马逊库存!A:K,11,0),"")</f>
        <v>0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386</v>
      </c>
      <c r="B112">
        <f>IFERROR(VLOOKUP(A112,管理亚马逊库存!A:K,11,0),"")</f>
        <v>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389</v>
      </c>
      <c r="B113">
        <f>IFERROR(VLOOKUP(A113,管理亚马逊库存!A:K,11,0),"")</f>
        <v>0</v>
      </c>
      <c r="C113">
        <f>IFERROR(VLOOKUP(A113,管理亚马逊库存!A:L,12,0),"")</f>
        <v>0</v>
      </c>
      <c r="D113">
        <f>IFERROR(VLOOKUP(A113,管理亚马逊库存!A:Q,17,0),"")</f>
        <v>14</v>
      </c>
      <c r="E113">
        <f>IFERROR(VLOOKUP(A113,管理亚马逊库存!A:R,18,0),"")</f>
        <v>0</v>
      </c>
      <c r="F113">
        <f t="shared" si="3"/>
        <v>14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392</v>
      </c>
      <c r="B114">
        <f>IFERROR(VLOOKUP(A114,管理亚马逊库存!A:K,11,0),"")</f>
        <v>0</v>
      </c>
      <c r="C114">
        <f>IFERROR(VLOOKUP(A114,管理亚马逊库存!A:L,12,0),"")</f>
        <v>0</v>
      </c>
      <c r="D114">
        <f>IFERROR(VLOOKUP(A114,管理亚马逊库存!A:Q,17,0),"")</f>
        <v>6</v>
      </c>
      <c r="E114">
        <f>IFERROR(VLOOKUP(A114,管理亚马逊库存!A:R,18,0),"")</f>
        <v>0</v>
      </c>
      <c r="F114">
        <f t="shared" si="3"/>
        <v>6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395</v>
      </c>
      <c r="B115">
        <f>IFERROR(VLOOKUP(A115,管理亚马逊库存!A:K,11,0),"")</f>
        <v>0</v>
      </c>
      <c r="C115">
        <f>IFERROR(VLOOKUP(A115,管理亚马逊库存!A:L,12,0),"")</f>
        <v>0</v>
      </c>
      <c r="D115">
        <f>IFERROR(VLOOKUP(A115,管理亚马逊库存!A:Q,17,0),"")</f>
        <v>6</v>
      </c>
      <c r="E115">
        <f>IFERROR(VLOOKUP(A115,管理亚马逊库存!A:R,18,0),"")</f>
        <v>0</v>
      </c>
      <c r="F115">
        <f t="shared" si="3"/>
        <v>6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398</v>
      </c>
      <c r="B116">
        <f>IFERROR(VLOOKUP(A116,管理亚马逊库存!A:K,11,0),"")</f>
        <v>0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401</v>
      </c>
      <c r="B117">
        <f>IFERROR(VLOOKUP(A117,管理亚马逊库存!A:K,11,0),"")</f>
        <v>0</v>
      </c>
      <c r="C117">
        <f>IFERROR(VLOOKUP(A117,管理亚马逊库存!A:L,12,0),"")</f>
        <v>0</v>
      </c>
      <c r="D117">
        <f>IFERROR(VLOOKUP(A117,管理亚马逊库存!A:Q,17,0),"")</f>
        <v>11</v>
      </c>
      <c r="E117">
        <f>IFERROR(VLOOKUP(A117,管理亚马逊库存!A:R,18,0),"")</f>
        <v>0</v>
      </c>
      <c r="F117">
        <f t="shared" si="3"/>
        <v>11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404</v>
      </c>
      <c r="B118">
        <f>IFERROR(VLOOKUP(A118,管理亚马逊库存!A:K,11,0),"")</f>
        <v>0</v>
      </c>
      <c r="C118">
        <f>IFERROR(VLOOKUP(A118,管理亚马逊库存!A:L,12,0),"")</f>
        <v>0</v>
      </c>
      <c r="D118">
        <f>IFERROR(VLOOKUP(A118,管理亚马逊库存!A:Q,17,0),"")</f>
        <v>4</v>
      </c>
      <c r="E118">
        <f>IFERROR(VLOOKUP(A118,管理亚马逊库存!A:R,18,0),"")</f>
        <v>0</v>
      </c>
      <c r="F118">
        <f t="shared" si="3"/>
        <v>4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407</v>
      </c>
      <c r="B119">
        <f>IFERROR(VLOOKUP(A119,管理亚马逊库存!A:K,11,0),"")</f>
        <v>12</v>
      </c>
      <c r="C119">
        <f>IFERROR(VLOOKUP(A119,管理亚马逊库存!A:L,12,0),"")</f>
        <v>1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410</v>
      </c>
      <c r="B120">
        <f>IFERROR(VLOOKUP(A120,管理亚马逊库存!A:K,11,0),"")</f>
        <v>0</v>
      </c>
      <c r="C120">
        <f>IFERROR(VLOOKUP(A120,管理亚马逊库存!A:L,12,0),"")</f>
        <v>0</v>
      </c>
      <c r="D120">
        <f>IFERROR(VLOOKUP(A120,管理亚马逊库存!A:Q,17,0),"")</f>
        <v>1</v>
      </c>
      <c r="E120">
        <f>IFERROR(VLOOKUP(A120,管理亚马逊库存!A:R,18,0),"")</f>
        <v>0</v>
      </c>
      <c r="F120">
        <f t="shared" si="3"/>
        <v>1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413</v>
      </c>
      <c r="B121">
        <f>IFERROR(VLOOKUP(A121,管理亚马逊库存!A:K,11,0),"")</f>
        <v>6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416</v>
      </c>
      <c r="B122">
        <f>IFERROR(VLOOKUP(A122,管理亚马逊库存!A:K,11,0),"")</f>
        <v>0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419</v>
      </c>
      <c r="B123">
        <f>IFERROR(VLOOKUP(A123,管理亚马逊库存!A:K,11,0),"")</f>
        <v>7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422</v>
      </c>
      <c r="B124">
        <f>IFERROR(VLOOKUP(A124,管理亚马逊库存!A:K,11,0),"")</f>
        <v>9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425</v>
      </c>
      <c r="B125">
        <f>IFERROR(VLOOKUP(A125,管理亚马逊库存!A:K,11,0),"")</f>
        <v>0</v>
      </c>
      <c r="C125">
        <f>IFERROR(VLOOKUP(A125,管理亚马逊库存!A:L,12,0),"")</f>
        <v>0</v>
      </c>
      <c r="D125">
        <f>IFERROR(VLOOKUP(A125,管理亚马逊库存!A:Q,17,0),"")</f>
        <v>9</v>
      </c>
      <c r="E125">
        <f>IFERROR(VLOOKUP(A125,管理亚马逊库存!A:R,18,0),"")</f>
        <v>0</v>
      </c>
      <c r="F125">
        <f t="shared" si="3"/>
        <v>9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428</v>
      </c>
      <c r="B126">
        <f>IFERROR(VLOOKUP(A126,管理亚马逊库存!A:K,11,0),"")</f>
        <v>0</v>
      </c>
      <c r="C126">
        <f>IFERROR(VLOOKUP(A126,管理亚马逊库存!A:L,12,0),"")</f>
        <v>0</v>
      </c>
      <c r="D126">
        <f>IFERROR(VLOOKUP(A126,管理亚马逊库存!A:Q,17,0),"")</f>
        <v>12</v>
      </c>
      <c r="E126">
        <f>IFERROR(VLOOKUP(A126,管理亚马逊库存!A:R,18,0),"")</f>
        <v>0</v>
      </c>
      <c r="F126">
        <f t="shared" si="3"/>
        <v>12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431</v>
      </c>
      <c r="B127">
        <f>IFERROR(VLOOKUP(A127,管理亚马逊库存!A:K,11,0),"")</f>
        <v>0</v>
      </c>
      <c r="C127">
        <f>IFERROR(VLOOKUP(A127,管理亚马逊库存!A:L,12,0),"")</f>
        <v>0</v>
      </c>
      <c r="D127">
        <f>IFERROR(VLOOKUP(A127,管理亚马逊库存!A:Q,17,0),"")</f>
        <v>5</v>
      </c>
      <c r="E127">
        <f>IFERROR(VLOOKUP(A127,管理亚马逊库存!A:R,18,0),"")</f>
        <v>0</v>
      </c>
      <c r="F127">
        <f t="shared" si="3"/>
        <v>5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434</v>
      </c>
      <c r="B128">
        <f>IFERROR(VLOOKUP(A128,管理亚马逊库存!A:K,11,0),"")</f>
        <v>0</v>
      </c>
      <c r="C128">
        <f>IFERROR(VLOOKUP(A128,管理亚马逊库存!A:L,12,0),"")</f>
        <v>0</v>
      </c>
      <c r="D128">
        <f>IFERROR(VLOOKUP(A128,管理亚马逊库存!A:Q,17,0),"")</f>
        <v>3</v>
      </c>
      <c r="E128">
        <f>IFERROR(VLOOKUP(A128,管理亚马逊库存!A:R,18,0),"")</f>
        <v>0</v>
      </c>
      <c r="F128">
        <f t="shared" si="3"/>
        <v>3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437</v>
      </c>
      <c r="B129">
        <f>IFERROR(VLOOKUP(A129,管理亚马逊库存!A:K,11,0),"")</f>
        <v>0</v>
      </c>
      <c r="C129">
        <f>IFERROR(VLOOKUP(A129,管理亚马逊库存!A:L,12,0),"")</f>
        <v>0</v>
      </c>
      <c r="D129">
        <f>IFERROR(VLOOKUP(A129,管理亚马逊库存!A:Q,17,0),"")</f>
        <v>8</v>
      </c>
      <c r="E129">
        <f>IFERROR(VLOOKUP(A129,管理亚马逊库存!A:R,18,0),"")</f>
        <v>0</v>
      </c>
      <c r="F129">
        <f t="shared" si="3"/>
        <v>8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440</v>
      </c>
      <c r="B130">
        <f>IFERROR(VLOOKUP(A130,管理亚马逊库存!A:K,11,0),"")</f>
        <v>0</v>
      </c>
      <c r="C130">
        <f>IFERROR(VLOOKUP(A130,管理亚马逊库存!A:L,12,0),"")</f>
        <v>0</v>
      </c>
      <c r="D130">
        <f>IFERROR(VLOOKUP(A130,管理亚马逊库存!A:Q,17,0),"")</f>
        <v>6</v>
      </c>
      <c r="E130">
        <f>IFERROR(VLOOKUP(A130,管理亚马逊库存!A:R,18,0),"")</f>
        <v>0</v>
      </c>
      <c r="F130">
        <f t="shared" si="3"/>
        <v>6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443</v>
      </c>
      <c r="B131">
        <f>IFERROR(VLOOKUP(A131,管理亚马逊库存!A:K,11,0),"")</f>
        <v>0</v>
      </c>
      <c r="C131">
        <f>IFERROR(VLOOKUP(A131,管理亚马逊库存!A:L,12,0),"")</f>
        <v>0</v>
      </c>
      <c r="D131">
        <f>IFERROR(VLOOKUP(A131,管理亚马逊库存!A:Q,17,0),"")</f>
        <v>6</v>
      </c>
      <c r="E131">
        <f>IFERROR(VLOOKUP(A131,管理亚马逊库存!A:R,18,0),"")</f>
        <v>0</v>
      </c>
      <c r="F131">
        <f t="shared" ref="F131:F161" si="5">SUM(D131:E131)</f>
        <v>6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61" si="6">SUM(J131:M131)</f>
        <v>0</v>
      </c>
    </row>
    <row r="132" spans="1:14">
      <c r="A132" s="3" t="s">
        <v>446</v>
      </c>
      <c r="B132">
        <f>IFERROR(VLOOKUP(A132,管理亚马逊库存!A:K,11,0),"")</f>
        <v>0</v>
      </c>
      <c r="C132">
        <f>IFERROR(VLOOKUP(A132,管理亚马逊库存!A:L,12,0),"")</f>
        <v>0</v>
      </c>
      <c r="D132">
        <f>IFERROR(VLOOKUP(A132,管理亚马逊库存!A:Q,17,0),"")</f>
        <v>8</v>
      </c>
      <c r="E132">
        <f>IFERROR(VLOOKUP(A132,管理亚马逊库存!A:R,18,0),"")</f>
        <v>0</v>
      </c>
      <c r="F132">
        <f t="shared" si="5"/>
        <v>8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449</v>
      </c>
      <c r="B133">
        <f>IFERROR(VLOOKUP(A133,管理亚马逊库存!A:K,11,0),"")</f>
        <v>0</v>
      </c>
      <c r="C133">
        <f>IFERROR(VLOOKUP(A133,管理亚马逊库存!A:L,12,0),"")</f>
        <v>0</v>
      </c>
      <c r="D133">
        <f>IFERROR(VLOOKUP(A133,管理亚马逊库存!A:Q,17,0),"")</f>
        <v>14</v>
      </c>
      <c r="E133">
        <f>IFERROR(VLOOKUP(A133,管理亚马逊库存!A:R,18,0),"")</f>
        <v>0</v>
      </c>
      <c r="F133">
        <f t="shared" si="5"/>
        <v>14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450</v>
      </c>
      <c r="B134">
        <f>IFERROR(VLOOKUP(A134,管理亚马逊库存!A:K,11,0),"")</f>
        <v>0</v>
      </c>
      <c r="C134">
        <f>IFERROR(VLOOKUP(A134,管理亚马逊库存!A:L,12,0),"")</f>
        <v>0</v>
      </c>
      <c r="D134">
        <f>IFERROR(VLOOKUP(A134,管理亚马逊库存!A:Q,17,0),"")</f>
        <v>6</v>
      </c>
      <c r="E134">
        <f>IFERROR(VLOOKUP(A134,管理亚马逊库存!A:R,18,0),"")</f>
        <v>0</v>
      </c>
      <c r="F134">
        <f t="shared" si="5"/>
        <v>6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451</v>
      </c>
      <c r="B135">
        <f>IFERROR(VLOOKUP(A135,管理亚马逊库存!A:K,11,0),"")</f>
        <v>0</v>
      </c>
      <c r="C135">
        <f>IFERROR(VLOOKUP(A135,管理亚马逊库存!A:L,12,0),"")</f>
        <v>0</v>
      </c>
      <c r="D135">
        <f>IFERROR(VLOOKUP(A135,管理亚马逊库存!A:Q,17,0),"")</f>
        <v>6</v>
      </c>
      <c r="E135">
        <f>IFERROR(VLOOKUP(A135,管理亚马逊库存!A:R,18,0),"")</f>
        <v>0</v>
      </c>
      <c r="F135">
        <f t="shared" si="5"/>
        <v>6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452</v>
      </c>
      <c r="B136">
        <f>IFERROR(VLOOKUP(A136,管理亚马逊库存!A:K,11,0),"")</f>
        <v>0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453</v>
      </c>
      <c r="B137">
        <f>IFERROR(VLOOKUP(A137,管理亚马逊库存!A:K,11,0),"")</f>
        <v>0</v>
      </c>
      <c r="C137">
        <f>IFERROR(VLOOKUP(A137,管理亚马逊库存!A:L,12,0),"")</f>
        <v>0</v>
      </c>
      <c r="D137">
        <f>IFERROR(VLOOKUP(A137,管理亚马逊库存!A:Q,17,0),"")</f>
        <v>11</v>
      </c>
      <c r="E137">
        <f>IFERROR(VLOOKUP(A137,管理亚马逊库存!A:R,18,0),"")</f>
        <v>0</v>
      </c>
      <c r="F137">
        <f t="shared" si="5"/>
        <v>11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454</v>
      </c>
      <c r="B138">
        <f>IFERROR(VLOOKUP(A138,管理亚马逊库存!A:K,11,0),"")</f>
        <v>0</v>
      </c>
      <c r="C138">
        <f>IFERROR(VLOOKUP(A138,管理亚马逊库存!A:L,12,0),"")</f>
        <v>1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457</v>
      </c>
      <c r="B139">
        <f>IFERROR(VLOOKUP(A139,管理亚马逊库存!A:K,11,0),"")</f>
        <v>0</v>
      </c>
      <c r="C139">
        <f>IFERROR(VLOOKUP(A139,管理亚马逊库存!A:L,12,0),"")</f>
        <v>0</v>
      </c>
      <c r="D139">
        <f>IFERROR(VLOOKUP(A139,管理亚马逊库存!A:Q,17,0),"")</f>
        <v>4</v>
      </c>
      <c r="E139">
        <f>IFERROR(VLOOKUP(A139,管理亚马逊库存!A:R,18,0),"")</f>
        <v>0</v>
      </c>
      <c r="F139">
        <f t="shared" si="5"/>
        <v>4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458</v>
      </c>
      <c r="B140">
        <f>IFERROR(VLOOKUP(A140,管理亚马逊库存!A:K,11,0),"")</f>
        <v>12</v>
      </c>
      <c r="C140">
        <f>IFERROR(VLOOKUP(A140,管理亚马逊库存!A:L,12,0),"")</f>
        <v>1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459</v>
      </c>
      <c r="B141">
        <f>IFERROR(VLOOKUP(A141,管理亚马逊库存!A:K,11,0),"")</f>
        <v>0</v>
      </c>
      <c r="C141">
        <f>IFERROR(VLOOKUP(A141,管理亚马逊库存!A:L,12,0),"")</f>
        <v>0</v>
      </c>
      <c r="D141">
        <f>IFERROR(VLOOKUP(A141,管理亚马逊库存!A:Q,17,0),"")</f>
        <v>1</v>
      </c>
      <c r="E141">
        <f>IFERROR(VLOOKUP(A141,管理亚马逊库存!A:R,18,0),"")</f>
        <v>0</v>
      </c>
      <c r="F141">
        <f t="shared" si="5"/>
        <v>1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460</v>
      </c>
      <c r="B142">
        <f>IFERROR(VLOOKUP(A142,管理亚马逊库存!A:K,11,0),"")</f>
        <v>0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463</v>
      </c>
      <c r="B143">
        <f>IFERROR(VLOOKUP(A143,管理亚马逊库存!A:K,11,0),"")</f>
        <v>6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464</v>
      </c>
      <c r="B144">
        <f>IFERROR(VLOOKUP(A144,管理亚马逊库存!A:K,11,0),"")</f>
        <v>0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465</v>
      </c>
      <c r="B145">
        <f>IFERROR(VLOOKUP(A145,管理亚马逊库存!A:K,11,0),"")</f>
        <v>7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466</v>
      </c>
      <c r="B146">
        <f>IFERROR(VLOOKUP(A146,管理亚马逊库存!A:K,11,0),"")</f>
        <v>0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469</v>
      </c>
      <c r="B147">
        <f>IFERROR(VLOOKUP(A147,管理亚马逊库存!A:K,11,0),"")</f>
        <v>9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470</v>
      </c>
      <c r="B148">
        <f>IFERROR(VLOOKUP(A148,管理亚马逊库存!A:K,11,0),"")</f>
        <v>0</v>
      </c>
      <c r="C148">
        <f>IFERROR(VLOOKUP(A148,管理亚马逊库存!A:L,12,0),"")</f>
        <v>0</v>
      </c>
      <c r="D148">
        <f>IFERROR(VLOOKUP(A148,管理亚马逊库存!A:Q,17,0),"")</f>
        <v>9</v>
      </c>
      <c r="E148">
        <f>IFERROR(VLOOKUP(A148,管理亚马逊库存!A:R,18,0),"")</f>
        <v>0</v>
      </c>
      <c r="F148">
        <f t="shared" si="5"/>
        <v>9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471</v>
      </c>
      <c r="B149">
        <f>IFERROR(VLOOKUP(A149,管理亚马逊库存!A:K,11,0),"")</f>
        <v>0</v>
      </c>
      <c r="C149">
        <f>IFERROR(VLOOKUP(A149,管理亚马逊库存!A:L,12,0),"")</f>
        <v>0</v>
      </c>
      <c r="D149">
        <f>IFERROR(VLOOKUP(A149,管理亚马逊库存!A:Q,17,0),"")</f>
        <v>12</v>
      </c>
      <c r="E149">
        <f>IFERROR(VLOOKUP(A149,管理亚马逊库存!A:R,18,0),"")</f>
        <v>0</v>
      </c>
      <c r="F149">
        <f t="shared" si="5"/>
        <v>12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472</v>
      </c>
      <c r="B150">
        <f>IFERROR(VLOOKUP(A150,管理亚马逊库存!A:K,11,0),"")</f>
        <v>0</v>
      </c>
      <c r="C150">
        <f>IFERROR(VLOOKUP(A150,管理亚马逊库存!A:L,12,0),"")</f>
        <v>0</v>
      </c>
      <c r="D150">
        <f>IFERROR(VLOOKUP(A150,管理亚马逊库存!A:Q,17,0),"")</f>
        <v>5</v>
      </c>
      <c r="E150">
        <f>IFERROR(VLOOKUP(A150,管理亚马逊库存!A:R,18,0),"")</f>
        <v>0</v>
      </c>
      <c r="F150">
        <f t="shared" si="5"/>
        <v>5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473</v>
      </c>
      <c r="B151">
        <f>IFERROR(VLOOKUP(A151,管理亚马逊库存!A:K,11,0),"")</f>
        <v>0</v>
      </c>
      <c r="C151">
        <f>IFERROR(VLOOKUP(A151,管理亚马逊库存!A:L,12,0),"")</f>
        <v>0</v>
      </c>
      <c r="D151">
        <f>IFERROR(VLOOKUP(A151,管理亚马逊库存!A:Q,17,0),"")</f>
        <v>3</v>
      </c>
      <c r="E151">
        <f>IFERROR(VLOOKUP(A151,管理亚马逊库存!A:R,18,0),"")</f>
        <v>0</v>
      </c>
      <c r="F151">
        <f t="shared" si="5"/>
        <v>3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474</v>
      </c>
      <c r="B152">
        <f>IFERROR(VLOOKUP(A152,管理亚马逊库存!A:K,11,0),"")</f>
        <v>0</v>
      </c>
      <c r="C152">
        <f>IFERROR(VLOOKUP(A152,管理亚马逊库存!A:L,12,0),"")</f>
        <v>0</v>
      </c>
      <c r="D152">
        <f>IFERROR(VLOOKUP(A152,管理亚马逊库存!A:Q,17,0),"")</f>
        <v>8</v>
      </c>
      <c r="E152">
        <f>IFERROR(VLOOKUP(A152,管理亚马逊库存!A:R,18,0),"")</f>
        <v>0</v>
      </c>
      <c r="F152">
        <f t="shared" si="5"/>
        <v>8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475</v>
      </c>
      <c r="B153">
        <f>IFERROR(VLOOKUP(A153,管理亚马逊库存!A:K,11,0),"")</f>
        <v>0</v>
      </c>
      <c r="C153">
        <f>IFERROR(VLOOKUP(A153,管理亚马逊库存!A:L,12,0),"")</f>
        <v>0</v>
      </c>
      <c r="D153">
        <f>IFERROR(VLOOKUP(A153,管理亚马逊库存!A:Q,17,0),"")</f>
        <v>6</v>
      </c>
      <c r="E153">
        <f>IFERROR(VLOOKUP(A153,管理亚马逊库存!A:R,18,0),"")</f>
        <v>0</v>
      </c>
      <c r="F153">
        <f t="shared" si="5"/>
        <v>6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476</v>
      </c>
      <c r="B154">
        <f>IFERROR(VLOOKUP(A154,管理亚马逊库存!A:K,11,0),"")</f>
        <v>0</v>
      </c>
      <c r="C154">
        <f>IFERROR(VLOOKUP(A154,管理亚马逊库存!A:L,12,0),"")</f>
        <v>0</v>
      </c>
      <c r="D154">
        <f>IFERROR(VLOOKUP(A154,管理亚马逊库存!A:Q,17,0),"")</f>
        <v>6</v>
      </c>
      <c r="E154">
        <f>IFERROR(VLOOKUP(A154,管理亚马逊库存!A:R,18,0),"")</f>
        <v>0</v>
      </c>
      <c r="F154">
        <f t="shared" si="5"/>
        <v>6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477</v>
      </c>
      <c r="B155">
        <f>IFERROR(VLOOKUP(A155,管理亚马逊库存!A:K,11,0),"")</f>
        <v>0</v>
      </c>
      <c r="C155">
        <f>IFERROR(VLOOKUP(A155,管理亚马逊库存!A:L,12,0),"")</f>
        <v>0</v>
      </c>
      <c r="D155">
        <f>IFERROR(VLOOKUP(A155,管理亚马逊库存!A:Q,17,0),"")</f>
        <v>8</v>
      </c>
      <c r="E155">
        <f>IFERROR(VLOOKUP(A155,管理亚马逊库存!A:R,18,0),"")</f>
        <v>0</v>
      </c>
      <c r="F155">
        <f t="shared" si="5"/>
        <v>8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478</v>
      </c>
      <c r="B156">
        <f>IFERROR(VLOOKUP(A156,管理亚马逊库存!A:K,11,0),"")</f>
        <v>0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479</v>
      </c>
      <c r="B157">
        <f>IFERROR(VLOOKUP(A157,管理亚马逊库存!A:K,11,0),"")</f>
        <v>0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480</v>
      </c>
      <c r="B158">
        <f>IFERROR(VLOOKUP(A158,管理亚马逊库存!A:K,11,0),"")</f>
        <v>0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481</v>
      </c>
      <c r="B159">
        <f>IFERROR(VLOOKUP(A159,管理亚马逊库存!A:K,11,0),"")</f>
        <v>0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483</v>
      </c>
      <c r="B160">
        <f>IFERROR(VLOOKUP(A160,管理亚马逊库存!A:K,11,0),"")</f>
        <v>0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487</v>
      </c>
      <c r="B161">
        <f>IFERROR(VLOOKUP(A161,管理亚马逊库存!A:K,11,0),"")</f>
        <v>0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1167" spans="1:1">
      <c r="A1167" s="5"/>
    </row>
    <row r="1168" spans="1:1">
      <c r="A1168" s="5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5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5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5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5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5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5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5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5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5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5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5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5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5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5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5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5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</sheetData>
  <autoFilter ref="A1:N2882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0</xdr:rowOff>
              </from>
              <to>
                <xdr:col>15</xdr:col>
                <xdr:colOff>676275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2018-08-28T05:41:15Z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KSOReadingLayout">
    <vt:bool>false</vt:bool>
  </property>
</Properties>
</file>