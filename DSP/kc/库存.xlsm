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数据处理!$A$1:$N$2882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<sst xmlns="http://schemas.openxmlformats.org/spreadsheetml/2006/main" count="564">
  <si>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</si>
  <si>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</si>
  <si>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</si>
  <si>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</si>
  <si>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</si>
  <si>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</si>
  <si>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</si>
  <si>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</si>
  <si>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54-2HQR-70OB</t>
  </si>
  <si>
    <t>X001FPB0BN</t>
  </si>
  <si>
    <t>B00115TXRE</t>
  </si>
  <si>
    <t>Dead Sea Premier Eye Serum.</t>
  </si>
  <si>
    <t>HF-a10e-MINM</t>
  </si>
  <si>
    <t>X001REQDTV</t>
  </si>
  <si>
    <t>B0010BBCFK</t>
  </si>
  <si>
    <t>Premier Dead Sea Miracle Noir Mask, 2.04 Fluid Ounce</t>
  </si>
  <si>
    <t>HF-I2e-AABS</t>
  </si>
  <si>
    <t>X001QEZ2HB</t>
  </si>
  <si>
    <t>B000VER1RU</t>
  </si>
  <si>
    <t>Premier Dead Sea Biox Intensive Age Cream/Anti-age Complex, 2.0400-Fluid Ounce</t>
  </si>
  <si>
    <t>DW-MG8E-BMQG</t>
  </si>
  <si>
    <t>X0014UY1GP</t>
  </si>
  <si>
    <t>B00157ZFC0</t>
  </si>
  <si>
    <t>Premier Dead Sea Body Butter Herbal Scent</t>
  </si>
  <si>
    <t>5X-E8TX-UKIW</t>
  </si>
  <si>
    <t>X00171A4VR</t>
  </si>
  <si>
    <t>B002DYY35Y</t>
  </si>
  <si>
    <t>Premier Dead Sea Mineral Body Treatment - Salt Scrub - Lemon Aroma</t>
  </si>
  <si>
    <t>2N-C2ZT-YSNI</t>
  </si>
  <si>
    <t>X001CPXTFL</t>
  </si>
  <si>
    <t>B0016VW618</t>
  </si>
  <si>
    <t>Premier Usa Dead Sea shaving Cream for Men All Skin</t>
  </si>
  <si>
    <t>58-6A0P-DRT9</t>
  </si>
  <si>
    <t>X001K6GUYT</t>
  </si>
  <si>
    <t>B001278VEW</t>
  </si>
  <si>
    <t>Premier Dead Sea Professional Peeling Mask</t>
  </si>
  <si>
    <t>6T-8V8W-3S67</t>
  </si>
  <si>
    <t>X0015FXF93</t>
  </si>
  <si>
    <t>B000VF5WVG</t>
  </si>
  <si>
    <t>Premier by Dead Sea Premier Luxury Collection Milk Cleanser, 8.5 fl oz</t>
  </si>
  <si>
    <t>3E-OBBY-DIEZ</t>
  </si>
  <si>
    <t>X001BZ317N</t>
  </si>
  <si>
    <t>B00157XFNQ</t>
  </si>
  <si>
    <t>Premier Active Moisture Complex - Normal to Dry Skin</t>
  </si>
  <si>
    <t>HF-a69e-PEFG</t>
  </si>
  <si>
    <t>X001PZ8VND</t>
  </si>
  <si>
    <t>B00BD3OU72</t>
  </si>
  <si>
    <t>Premier Dead Sea Para-pharmaceutical Exfoliating Facial Gel, Brown, 4.3958-Fluid Ounce</t>
  </si>
  <si>
    <t>HF-a5e-NCFM</t>
  </si>
  <si>
    <t>X001RDEZG5</t>
  </si>
  <si>
    <t>B003NQ7P0Q</t>
  </si>
  <si>
    <t>Premier Dead Sea Nourishing Cream for Men (tube)</t>
  </si>
  <si>
    <t>HF-a77e-TSSS</t>
  </si>
  <si>
    <t>X001REPG53</t>
  </si>
  <si>
    <t>B004H07J80</t>
  </si>
  <si>
    <t>Premier Dead Sea Aromatherapy Mineral Body Treatment, Silver, Salt Scrub, 425-Grams</t>
  </si>
  <si>
    <t>HF-f12-FACL</t>
  </si>
  <si>
    <t>X001Q0JYFL</t>
  </si>
  <si>
    <t>B003CEA88U</t>
  </si>
  <si>
    <t>Gratiae Organics Facial Cleansing Lotion, 6.8 Ounce</t>
  </si>
  <si>
    <t>HF-c7e-LANC</t>
  </si>
  <si>
    <t>X001S9JTKZ</t>
  </si>
  <si>
    <t>B002DL9M2G</t>
  </si>
  <si>
    <t>Premier Dead Sea Luxurious Anti-aging Neck Cream, 2.04 oz</t>
  </si>
  <si>
    <t>L1-BT23-OVPU</t>
  </si>
  <si>
    <t>X001HQV4JX</t>
  </si>
  <si>
    <t>B002DV0KDQ</t>
  </si>
  <si>
    <t>Premier Dead Sea Luxury Moisture Cream for Multi-Use</t>
  </si>
  <si>
    <t>HF-a80e-BTBM</t>
  </si>
  <si>
    <t>X001S9JE3R</t>
  </si>
  <si>
    <t>B001561M00</t>
  </si>
  <si>
    <t>Premier Dead Sea Intensive Biox Thermal Beauty Mask**NEW IN BOX**SAME IN MALL**</t>
  </si>
  <si>
    <t>IM-YEIX-VVX8</t>
  </si>
  <si>
    <t>X001HAFDZ5</t>
  </si>
  <si>
    <t>HF-n2ae-NBNK</t>
  </si>
  <si>
    <t>X001R7T2N7</t>
  </si>
  <si>
    <t>B004H02GDI</t>
  </si>
  <si>
    <t>Dead Sea Premier Beautifying Nail Kit Milk and Honey - Body Lotion,Cuticle Oil,Nail File,Buffing Block</t>
  </si>
  <si>
    <t>HF-g2e-ACRC</t>
  </si>
  <si>
    <t>X001TJW5HD</t>
  </si>
  <si>
    <t>B001DXOWA2</t>
  </si>
  <si>
    <t>Premier Dead Sea Ageless Future Cell Renewal Cream</t>
  </si>
  <si>
    <t>KN-QWP1-D5XB</t>
  </si>
  <si>
    <t>X001HBSA3V</t>
  </si>
  <si>
    <t>B004OF9EPO</t>
  </si>
  <si>
    <t>Gratiae AHA Cleansing and Peeling Foam</t>
  </si>
  <si>
    <t>HF-g104e-PCFS</t>
  </si>
  <si>
    <t>X001S7TVY1</t>
  </si>
  <si>
    <t>B00117F5PG</t>
  </si>
  <si>
    <t>Premier Dead Sea Vitamin Concentrated Facial Serum, Vitamin E and C, 1.7-Fluid Ounce</t>
  </si>
  <si>
    <t>HF-f24-ACPF</t>
  </si>
  <si>
    <t>X001TJVS53</t>
  </si>
  <si>
    <t>B004X9BRU6</t>
  </si>
  <si>
    <t>Gratiae Organics Aha Cleansing and Peeling Foam, 5.1 Ounce</t>
  </si>
  <si>
    <t>HF-a1e-LCMC</t>
  </si>
  <si>
    <t>X001Q1E9CX</t>
  </si>
  <si>
    <t>KP-1178-XPKV</t>
  </si>
  <si>
    <t>X001K6ASLP</t>
  </si>
  <si>
    <t>B00158196K</t>
  </si>
  <si>
    <t>Premier Dead Sea Body Butter Passion Fruit Scent</t>
  </si>
  <si>
    <t>R0-9P3N-MM7G</t>
  </si>
  <si>
    <t>X001B57XHH</t>
  </si>
  <si>
    <t>SM-LSLQ-C3QE</t>
  </si>
  <si>
    <t>X001B6AOMR</t>
  </si>
  <si>
    <t>B004X9BSG4</t>
  </si>
  <si>
    <t>Gratiae Organics Lifting Facial Mask, 1.7 Ounce</t>
  </si>
  <si>
    <t>PP-7C5M-OKFZ</t>
  </si>
  <si>
    <t>X001K6E0FZ</t>
  </si>
  <si>
    <t>B00GU2QXVC</t>
  </si>
  <si>
    <t>Premier Dead Sea Refining Moisture Cream</t>
  </si>
  <si>
    <t>PJ-CPH7-5MXE</t>
  </si>
  <si>
    <t>X001K0YGJ1</t>
  </si>
  <si>
    <t>B01G3AIYJO</t>
  </si>
  <si>
    <t>Gratiae Organic Beauty By Nature Exfoliating Body Scrub, Apple/Green Tea and Ginger by Gratiae Organic Beauty By Nature</t>
  </si>
  <si>
    <t>MY71115K0XXL</t>
  </si>
  <si>
    <t>B0761SKR3P</t>
  </si>
  <si>
    <t>ZAIAI Women's Coat with Fur Hood with 90% Down Parka Puffer Jacket Black XL</t>
  </si>
  <si>
    <t>YI-LW70-5D1O</t>
  </si>
  <si>
    <t>X001BZTC67</t>
  </si>
  <si>
    <t>B003Y7CMF2</t>
  </si>
  <si>
    <t>Premier Dead Sea Instant Stretching and Revitalizing Lifting Mask - 2.04 oz Ounce</t>
  </si>
  <si>
    <t>PV-OG2H-VHEI</t>
  </si>
  <si>
    <t>X0017633GF</t>
  </si>
  <si>
    <t>B004X9BTGI</t>
  </si>
  <si>
    <t>Gratiae Organicss Hand and Nail Care Treatment, 4.08 Ounce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</si>
  <si>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</si>
  <si>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</si>
  <si>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</si>
  <si>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</si>
  <si>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</si>
  <si>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</si>
  <si>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</si>
  <si>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</si>
  <si>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</si>
  <si>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</si>
  <si>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</si>
  <si>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</si>
  <si>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</si>
  <si>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</si>
  <si>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</si>
  <si>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</si>
  <si>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</si>
  <si>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</si>
  <si>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</si>
  <si>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</si>
  <si>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</si>
  <si>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</si>
  <si>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</si>
  <si>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</si>
  <si>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</si>
  <si>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</si>
  <si>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</si>
  <si>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</si>
  <si>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</si>
  <si>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</si>
  <si>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</si>
  <si>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</si>
  <si>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0Z-KJNM-D56T</t>
  </si>
  <si>
    <t>X001HAAVTN</t>
  </si>
  <si>
    <t>New</t>
  </si>
  <si>
    <t>USD</t>
  </si>
  <si>
    <t>Low traffic</t>
  </si>
  <si>
    <t>Advertise listing</t>
  </si>
  <si>
    <t>0.087833 cuft</t>
  </si>
  <si>
    <t>Standard</t>
  </si>
  <si>
    <t>0.02548 cuft</t>
  </si>
  <si>
    <t>HF-c1e-MCND</t>
  </si>
  <si>
    <t>X001Q1E1BR</t>
  </si>
  <si>
    <t>B00384AO7O</t>
  </si>
  <si>
    <t>Dead Sea Premier Moisture Cream (for very dry &amp; sensitive skin)</t>
  </si>
  <si>
    <t>0.020069 cuft</t>
  </si>
  <si>
    <t>MY71115ZQL</t>
  </si>
  <si>
    <t>B0761S2M63</t>
  </si>
  <si>
    <t>ZAIAI Women's Quilted Puffer Jacket Coat with Faux Fur Trimmed Hood Navy M</t>
  </si>
  <si>
    <t>Low conversion</t>
  </si>
  <si>
    <t>Create Sale</t>
  </si>
  <si>
    <t>0.781066 cuft</t>
  </si>
  <si>
    <t>Apparel</t>
  </si>
  <si>
    <t>MY16055MSL</t>
  </si>
  <si>
    <t>B0761S59N6</t>
  </si>
  <si>
    <t>ZAIAI Womens Wool Jacket Coat Outwear Parka Overcoat Beige L</t>
  </si>
  <si>
    <t>Improve recommendations</t>
  </si>
  <si>
    <t>0.562708 cuft</t>
  </si>
  <si>
    <t>0.016637 cuft</t>
  </si>
  <si>
    <t>MY16055MSM</t>
  </si>
  <si>
    <t>B0761NM1NH</t>
  </si>
  <si>
    <t>ZAIAI Womens Wool Jacket Coat Outwear Parka Overcoat Beige M</t>
  </si>
  <si>
    <t>MY71115MSS</t>
  </si>
  <si>
    <t>B0761NHB1Y</t>
  </si>
  <si>
    <t>ZAIAI Women's Coat with Fur Hood with 90% Down Parka Puffer Jacket Beige XS</t>
  </si>
  <si>
    <t>5D-ZS9Q-CYOL</t>
  </si>
  <si>
    <t>X001A8Y035</t>
  </si>
  <si>
    <t>B003Y7D0HQ</t>
  </si>
  <si>
    <t>Premier Dead Sea Pearl White Cream Complex, 2.04-Fluid Ounce</t>
  </si>
  <si>
    <t>Lower price</t>
  </si>
  <si>
    <t>0.034833 cuft</t>
  </si>
  <si>
    <t>MY71115MSXL</t>
  </si>
  <si>
    <t>B0761PWB12</t>
  </si>
  <si>
    <t>ZAIAI Women's Coat with Fur Hood with 90% Down Parka Puffer Jacket Beige L</t>
  </si>
  <si>
    <t>8.97E-4 cuft</t>
  </si>
  <si>
    <t>0.024792 cuft</t>
  </si>
  <si>
    <t>MY16055MSXL</t>
  </si>
  <si>
    <t>B0761Q7KPX</t>
  </si>
  <si>
    <t>ZAIAI Womens Wool Jacket Coat Outwear Parka Overcoat Beige XL</t>
  </si>
  <si>
    <t>0.012986 cuft</t>
  </si>
  <si>
    <t>CF-7C1X-596L</t>
  </si>
  <si>
    <t>X001MPQ9NZ</t>
  </si>
  <si>
    <t>B003Y7EU16</t>
  </si>
  <si>
    <t>Premier Dead Sea Day Cream Complex (for normal to dry skin)</t>
  </si>
  <si>
    <t>0.021348 cuft</t>
  </si>
  <si>
    <t>A5-X9GB-M912</t>
  </si>
  <si>
    <t>X001K0ZSB1</t>
  </si>
  <si>
    <t>0.021976 cuft</t>
  </si>
  <si>
    <t>Edit listing</t>
  </si>
  <si>
    <t>0.002821 cuft</t>
  </si>
  <si>
    <t>MY16055MSS</t>
  </si>
  <si>
    <t>B0761Q9VPH</t>
  </si>
  <si>
    <t>ZAIAI Womens Wool Jacket Coat Outwear Parka Overcoat Beige S</t>
  </si>
  <si>
    <t>0.078677 cuft</t>
  </si>
  <si>
    <t>MY71107MSM</t>
  </si>
  <si>
    <t>B0761NJPNM</t>
  </si>
  <si>
    <t>ZAIAI Women's Parka Winter Coat Overcoat Long Down Jacket Outwear Beige M</t>
  </si>
  <si>
    <t>1.109255 cuft</t>
  </si>
  <si>
    <t>MY71115MSXXL</t>
  </si>
  <si>
    <t>B0761N46BN</t>
  </si>
  <si>
    <t>ZAIAI Women's Coat with Fur Hood with 90% Down Parka Puffer Jacket Beige XL</t>
  </si>
  <si>
    <t>JQ-N6LK-OQ03</t>
  </si>
  <si>
    <t>X001B547J9</t>
  </si>
  <si>
    <t>B01JSONMH6</t>
  </si>
  <si>
    <t>Gratiae Organic Beauty Renewing Peeling Gel</t>
  </si>
  <si>
    <t>0.02125 cuft</t>
  </si>
  <si>
    <t>MY71107MSXL</t>
  </si>
  <si>
    <t>B0761NNM84</t>
  </si>
  <si>
    <t>ZAIAI Women's Parka Winter Coat Overcoat Long Down Jacket Outwear Beige XL</t>
  </si>
  <si>
    <t>MY71107K0XL</t>
  </si>
  <si>
    <t>B0761PVQYZ</t>
  </si>
  <si>
    <t>ZAIAI Women's Parkas Anoraks Long Coats with Removable Faux Fur Trim Hood Black XL</t>
  </si>
  <si>
    <t>MY16055K0XXL</t>
  </si>
  <si>
    <t>B0761R93J2</t>
  </si>
  <si>
    <t>ZAIAI Womens Hooded Warm Winter Faux Fur Lined Parkas Anoraks Long Coats Black XXL</t>
  </si>
  <si>
    <t>MY71115MSL</t>
  </si>
  <si>
    <t>B0761NFTQC</t>
  </si>
  <si>
    <t>ZAIAI Women's Coat with Fur Hood with 90% Down Parka Puffer Jacket Beige M</t>
  </si>
  <si>
    <t>HF-a21e-SCFM</t>
  </si>
  <si>
    <t>X001PZ5OB5</t>
  </si>
  <si>
    <t>B0010OMN4G</t>
  </si>
  <si>
    <t>Premier Dead Sea Shaving Cream for Men, Tube, 4.2268-Fluid Ounce</t>
  </si>
  <si>
    <t>0.022769 cuft</t>
  </si>
  <si>
    <t>MY71107ZQL</t>
  </si>
  <si>
    <t>B0761NJH9L</t>
  </si>
  <si>
    <t>ZAIAI Women's Parka Winter Coat Overcoat Long Down Jacket Outwear Navy L</t>
  </si>
  <si>
    <t>0.074675 cuft</t>
  </si>
  <si>
    <t>QW-6H25-PV48</t>
  </si>
  <si>
    <t>X001HQHY2T</t>
  </si>
  <si>
    <t>B003NJKS48</t>
  </si>
  <si>
    <t>Dead Sea Premier Luxury Milk Cleanser</t>
  </si>
  <si>
    <t>0.035417 cuft</t>
  </si>
  <si>
    <t>MY71115ZQXL</t>
  </si>
  <si>
    <t>B0761PBXCV</t>
  </si>
  <si>
    <t>ZAIAI Women's Quilted Puffer Jacket Coat with Faux Fur Trimmed Hood Navy L</t>
  </si>
  <si>
    <t>0.781366 cuft</t>
  </si>
  <si>
    <t>06-LI7A-IZ44</t>
  </si>
  <si>
    <t>X001HAG5XJ</t>
  </si>
  <si>
    <t>B0052K03KA</t>
  </si>
  <si>
    <t>Premier Dead Sea Essential Face Cleanser for Men</t>
  </si>
  <si>
    <t>0.014646 cuft</t>
  </si>
  <si>
    <t>0.054311 cuft</t>
  </si>
  <si>
    <t>0.007134 cuft</t>
  </si>
  <si>
    <t>MY71107K0XXL</t>
  </si>
  <si>
    <t>B0761NLN4R</t>
  </si>
  <si>
    <t>ZAIAI Women's Parkas Anoraks Long Coats with Removable Faux Fur Trim Hood Black XXL</t>
  </si>
  <si>
    <t>MY71115MSM</t>
  </si>
  <si>
    <t>B0761PV952</t>
  </si>
  <si>
    <t>ZAIAI Women's Coat With Fur Hood With 90% Down Parka Puffer Jacket Beige M</t>
  </si>
  <si>
    <t>0.02066 cuft</t>
  </si>
  <si>
    <t>MY71115K0M</t>
  </si>
  <si>
    <t>B0761NNDWM</t>
  </si>
  <si>
    <t>ZAIAI Women's Coat with Fur Hood with 90% Down Parka Puffer Jacket Black S</t>
  </si>
  <si>
    <t>0.0105 cuft</t>
  </si>
  <si>
    <t>MY71107MSXXL</t>
  </si>
  <si>
    <t>B0761PTZY2</t>
  </si>
  <si>
    <t>ZAIAI Women's Parka Winter Coat Overcoat Long Down Jacket Outwear Beige XXL</t>
  </si>
  <si>
    <t>MY71115K0L</t>
  </si>
  <si>
    <t>B0761NMRB4</t>
  </si>
  <si>
    <t>ZAIAI Women's Coat With Fur Hood With 90% Down Parka Puffer Jacket Black M</t>
  </si>
  <si>
    <t>Oversize</t>
  </si>
  <si>
    <t>MY16055ZQXXL</t>
  </si>
  <si>
    <t>B0761NGYTK</t>
  </si>
  <si>
    <t>Womens Hooded Warm Coats Parkas With Fax Fur Jackets Navy XXL</t>
  </si>
  <si>
    <t>MY16055ZQXL</t>
  </si>
  <si>
    <t>B0761RRL7M</t>
  </si>
  <si>
    <t>ZAIAI Womens Hooded Warm Coats Parkas With Fax Fur Jackets Navy XL</t>
  </si>
  <si>
    <t>MY71107ZQXL</t>
  </si>
  <si>
    <t>B0761NG4W8</t>
  </si>
  <si>
    <t>ZAIAI Women's Parka Winter Coat Overcoat Long Down Jacket Outwear Navy XL</t>
  </si>
  <si>
    <t>HF-a33e-LUHC</t>
  </si>
  <si>
    <t>X001Q1F5U3</t>
  </si>
  <si>
    <t>B004HTXUNE</t>
  </si>
  <si>
    <t>Premier Dead Sea Luxury Hand Cream 125ml/4.25fl.oz</t>
  </si>
  <si>
    <t>0.014515 cuft</t>
  </si>
  <si>
    <t>MY71115ZQM</t>
  </si>
  <si>
    <t>B0761MXCJB</t>
  </si>
  <si>
    <t>ZAIAI Women's Quilted Puffer Jacket Coat with Faux Fur Trimmed Hood Navy S</t>
  </si>
  <si>
    <t>3S-1QX9-6RRP</t>
  </si>
  <si>
    <t>X001MU9L2B</t>
  </si>
  <si>
    <t>MY71107ZQS</t>
  </si>
  <si>
    <t>B0761N286T</t>
  </si>
  <si>
    <t>ZAIAI Women's Parka Winter Coat Overcoat Long Down Jacket Outwear Navy S</t>
  </si>
  <si>
    <t>MY71115ZQS</t>
  </si>
  <si>
    <t>B0761R6ZG2</t>
  </si>
  <si>
    <t>ZAIAI Women's Quilted Puffer Jacket Coat with Faux Fur Trimmed Hood Navy XS</t>
  </si>
  <si>
    <t>HF-a6e-LASS</t>
  </si>
  <si>
    <t>X001Q0JMV7</t>
  </si>
  <si>
    <t>HF-b3e-PWCC</t>
  </si>
  <si>
    <t>X001Q09JSN</t>
  </si>
  <si>
    <t>MY16055K0M</t>
  </si>
  <si>
    <t>B0761QBHM9</t>
  </si>
  <si>
    <t>ZAIAI Womens Hooded Warm Winter Faux Fur Lined Parkas Anoraks Long Coats Black M</t>
  </si>
  <si>
    <t>HF-a56e-EYES</t>
  </si>
  <si>
    <t>X001QBJD9R</t>
  </si>
  <si>
    <t>0.021875 cuft</t>
  </si>
  <si>
    <t>0.020935 cuft</t>
  </si>
  <si>
    <t>HF-a37e-FCMG</t>
  </si>
  <si>
    <t>X001PZ8W3H</t>
  </si>
  <si>
    <t>B004H09KEQ</t>
  </si>
  <si>
    <t>Premier Dead Sea Luxury Facial Cleanser with Micro Grains, 4.25-Fluid Ounce</t>
  </si>
  <si>
    <t>0.008125 cuft</t>
  </si>
  <si>
    <t>HF-l3e-TEYG</t>
  </si>
  <si>
    <t>X001PZ8VNN</t>
  </si>
  <si>
    <t>B00383XLTS</t>
  </si>
  <si>
    <t>Premier Dead Sea Biox Intensive Age Treatment Eye Cream Gel</t>
  </si>
  <si>
    <t>0.011979 cuft</t>
  </si>
  <si>
    <t>0.011871 cuft</t>
  </si>
  <si>
    <t>MY71107MSL</t>
  </si>
  <si>
    <t>B0761P4LKC</t>
  </si>
  <si>
    <t>ZAIAI Women's Parka Winter Coat Overcoat Long Down Jacket Outwear Beige L</t>
  </si>
  <si>
    <t>0.053396 cuft</t>
  </si>
  <si>
    <t>HF-a85e-RFPM</t>
  </si>
  <si>
    <t>X001PZ8VYR</t>
  </si>
  <si>
    <t>B00G71LV3Q</t>
  </si>
  <si>
    <t>Premier By Dead Sea Premier Refining Facial Peeling Mask 2.04oz, 60ml</t>
  </si>
  <si>
    <t>0.020738 cuft</t>
  </si>
  <si>
    <t>0.010549 cuft</t>
  </si>
  <si>
    <t>MY16055K0L</t>
  </si>
  <si>
    <t>B0761V7L2R</t>
  </si>
  <si>
    <t>ZAIAI Womens Hooded Warm Winter Faux Fur Lined Parkas Anoraks Long Coats Black L</t>
  </si>
  <si>
    <t>MY16055K0S</t>
  </si>
  <si>
    <t>B0761S8TXR</t>
  </si>
  <si>
    <t>ZAIAI Womens Hooded Warm Winter Faux Fur Lined Parkas Anoraks Long Coats Black S</t>
  </si>
  <si>
    <t>PW-89MW-RR8Y</t>
  </si>
  <si>
    <t>X001K6FG17</t>
  </si>
  <si>
    <t>B004H07KKC</t>
  </si>
  <si>
    <t>Premier Dead Sea Skin Toner for Normal/Oily Skin, Pink, 8.4535-Fluid Ounce</t>
  </si>
  <si>
    <t>0.00972 cuft</t>
  </si>
  <si>
    <t>MY16055MSXXL</t>
  </si>
  <si>
    <t>B0761QW2JK</t>
  </si>
  <si>
    <t>ZAIAI Womens Wool Jacket Coat Outwear Parka Overcoat Beige XXL</t>
  </si>
  <si>
    <t>0.563184 cuft</t>
  </si>
  <si>
    <t>MY71107ZQM</t>
  </si>
  <si>
    <t>B0761P4LK2</t>
  </si>
  <si>
    <t>ZAIAI Women's Parka Winter Coat Overcoat Long Down Jacket Outwear Navy M</t>
  </si>
  <si>
    <t>1.013087 cuft</t>
  </si>
  <si>
    <t>MY71107K0S</t>
  </si>
  <si>
    <t>B0761PDMGN</t>
  </si>
  <si>
    <t>ZAIAI Women's Parkas Anoraks Long Coats with Removable Faux Fur Trim Hood Black S</t>
  </si>
  <si>
    <t>1.123177 cuft</t>
  </si>
  <si>
    <t>MY71107K0L</t>
  </si>
  <si>
    <t>B0761PSPTJ</t>
  </si>
  <si>
    <t>ZAIAI Women's Parkas Anoraks Long Coats with Removable Faux Fur Trim Hood Black L</t>
  </si>
  <si>
    <t>1.146339 cuft</t>
  </si>
  <si>
    <t>MY71107K0M</t>
  </si>
  <si>
    <t>B0761PWSG1</t>
  </si>
  <si>
    <t>ZAIAI Women's Parkas Anoraks Long Coats with Removable Faux Fur Trim Hood Black M</t>
  </si>
  <si>
    <t>1.057806 cuft</t>
  </si>
  <si>
    <t>MY71107MSS</t>
  </si>
  <si>
    <t>B0761NM3SZ</t>
  </si>
  <si>
    <t>ZAIAI Women's Parka Winter Coat Overcoat Long Down Jacket Outwear Beige S</t>
  </si>
  <si>
    <t>MY71107ZQXXL</t>
  </si>
  <si>
    <t>B0761PV7ZS</t>
  </si>
  <si>
    <t>ZAIAI Women's Parka Winter Coat Overcoat Long Down Jacket Outwear Navy XXL</t>
  </si>
  <si>
    <t>0.017689 cuft</t>
  </si>
  <si>
    <t>Dead Sea Premier Professional Peeling Mask</t>
  </si>
  <si>
    <t>MY71115K0S</t>
  </si>
  <si>
    <t>B0761PDHV5</t>
  </si>
  <si>
    <t>ZAIAI Women's Coat with Fur Hood with 90% Down Parka Puffer Jacket Black XS</t>
  </si>
  <si>
    <t>HF-T9QA-X3JZ</t>
  </si>
  <si>
    <t>X001FD46M5</t>
  </si>
  <si>
    <t>MY71115K0XL</t>
  </si>
  <si>
    <t>B0761NGWJD</t>
  </si>
  <si>
    <t>ZAIAI Women's Coat with Fur Hood with 90% Down Parka Puffer Jacket Black L</t>
  </si>
  <si>
    <t>MY16055K0XL</t>
  </si>
  <si>
    <t>B0761N3HJ3</t>
  </si>
  <si>
    <t>Womens Hooded Warm Winter Faux Fur Lined Parkas Anoraks Long Coats Black XL</t>
  </si>
  <si>
    <t>MY16055ZQS</t>
  </si>
  <si>
    <t>B0761PL2N2</t>
  </si>
  <si>
    <t>Womens Hooded Warm Coats Parkas With Fax Fur Jackets Navy S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</si>
  <si>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</si>
  <si>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</si>
  <si>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</si>
  <si>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</si>
  <si>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</si>
  <si>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</si>
  <si>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</si>
  <si>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</si>
  <si>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</si>
  <si>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</si>
  <si>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</si>
  <si>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</si>
  <si>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00-1VZ1-IH69</t>
  </si>
  <si>
    <t>X001MR5RYF</t>
  </si>
  <si>
    <t>Unknown</t>
  </si>
  <si>
    <t>No</t>
  </si>
  <si>
    <t>Yes</t>
  </si>
  <si>
    <t>1M-3M12-58YS</t>
  </si>
  <si>
    <t>X001BK07GL</t>
  </si>
  <si>
    <t>1N-I8OQ-5NL6</t>
  </si>
  <si>
    <t>X001E28I03</t>
  </si>
  <si>
    <t>B00D6L6NY2</t>
  </si>
  <si>
    <t>Premier Dead Sea Para-pharmaceutical Exfoliating Facial Gel 125 ML/ 4.25 FL.OZ</t>
  </si>
  <si>
    <t>40-G0ZX-HJNG</t>
  </si>
  <si>
    <t>X001EVO9BV</t>
  </si>
  <si>
    <t>B00022AUVA</t>
  </si>
  <si>
    <t>Premier Dead Sea Age Defying/Anti Age Cream</t>
  </si>
  <si>
    <t>5S-TEQM-ZWF1</t>
  </si>
  <si>
    <t>B000VEWF2Q</t>
  </si>
  <si>
    <t>7K-XLQF-24PG</t>
  </si>
  <si>
    <t>8V-1JSS-5D7M</t>
  </si>
  <si>
    <t>X001GR4BZ7</t>
  </si>
  <si>
    <t>8X-ORFA-L07U</t>
  </si>
  <si>
    <t>X001C0RCFJ</t>
  </si>
  <si>
    <t>97-6SJH-1LTA</t>
  </si>
  <si>
    <t>X001FB4RML</t>
  </si>
  <si>
    <t>BM-6KQ2-02X2</t>
  </si>
  <si>
    <t>X001FBQ32N</t>
  </si>
  <si>
    <t>B004HFNFU6</t>
  </si>
  <si>
    <t>BU-8SVS-Q5LV</t>
  </si>
  <si>
    <t>X001CN96RX</t>
  </si>
  <si>
    <t>B008YFY9TQ</t>
  </si>
  <si>
    <t>C3-311K-550X</t>
  </si>
  <si>
    <t>X001BKSZX3</t>
  </si>
  <si>
    <t>DA-BINR-0UIS</t>
  </si>
  <si>
    <t>X001FKUA5Z</t>
  </si>
  <si>
    <t>B002KFR628</t>
  </si>
  <si>
    <t>DI-JC1L-4Y5S</t>
  </si>
  <si>
    <t>X001K11AK3</t>
  </si>
  <si>
    <t>DM-LSF9-NGGG</t>
  </si>
  <si>
    <t>X001C13LRB</t>
  </si>
  <si>
    <t>B002QSD1YQ</t>
  </si>
  <si>
    <t>Dead Sea Premier Moisture Cream for Normal to Dry Skin</t>
  </si>
  <si>
    <t>E8-GWV1-AJMB</t>
  </si>
  <si>
    <t>X001HQT6B1</t>
  </si>
  <si>
    <t>Premier Dead Sea Aromatic Body Butter- Milk and Honey, 175ml</t>
  </si>
  <si>
    <t>EW-ERSE-5U59</t>
  </si>
  <si>
    <t>X001FZUCWV</t>
  </si>
  <si>
    <t>B0012IVH2O</t>
  </si>
  <si>
    <t>premier dead sea body butter milk &amp; honey scent Plastic Jar</t>
  </si>
  <si>
    <t>GE-EMV6-4E4J</t>
  </si>
  <si>
    <t>X001K2PX4L</t>
  </si>
  <si>
    <t>GX-HUMS-YACQ</t>
  </si>
  <si>
    <t>X001CYMUZ7</t>
  </si>
  <si>
    <t>B000VEXG2E</t>
  </si>
  <si>
    <t>HF-a136e-MHBB</t>
  </si>
  <si>
    <t>X001S7U39D</t>
  </si>
  <si>
    <t>HF-a14e-NICC</t>
  </si>
  <si>
    <t>X001Q1F5TT</t>
  </si>
  <si>
    <t>B00117D9MW</t>
  </si>
  <si>
    <t>Premier Dead Sea Night Cream Complex, 2.04 Fluid Ounce</t>
  </si>
  <si>
    <t>HF-a18e-IADC</t>
  </si>
  <si>
    <t>X001TVCAFN</t>
  </si>
  <si>
    <t>HF-a22e-EFCM</t>
  </si>
  <si>
    <t>X001PZ8W37</t>
  </si>
  <si>
    <t>HF-a2e-STSP</t>
  </si>
  <si>
    <t>X001Q1E9DH</t>
  </si>
  <si>
    <t>HF-a36e-LMCM</t>
  </si>
  <si>
    <t>X001PZ8W87</t>
  </si>
  <si>
    <t>HF-a49e-CBSM</t>
  </si>
  <si>
    <t>X001Q1GDMH</t>
  </si>
  <si>
    <t>B000V7DONW</t>
  </si>
  <si>
    <t>Dead Sea Premier Collagen, Beta-Carotene &amp; Seaweed Mask</t>
  </si>
  <si>
    <t>HF-a53e-PRPM</t>
  </si>
  <si>
    <t>X001PZ8VN3</t>
  </si>
  <si>
    <t>HF-a69e-PEFGX</t>
  </si>
  <si>
    <t>X001S7TZTR</t>
  </si>
  <si>
    <t>B0016Q1RI6</t>
  </si>
  <si>
    <t>Premier Dead Sea Para-pharmaceutical Exfoliating Facial Gel, Brown, 4.25-Fluid Ounce</t>
  </si>
  <si>
    <t>HF-a76e-GCSS</t>
  </si>
  <si>
    <t>X001Q1EZ2R</t>
  </si>
  <si>
    <t>B004H02HA0</t>
  </si>
  <si>
    <t>Premier Dead Sea Aromatherapy Mineral Body Treatment, Gold Cap, Salt Scrub, 425-Grams</t>
  </si>
  <si>
    <t>HF-a81e-MHBB</t>
  </si>
  <si>
    <t>B07F1BV5CC</t>
  </si>
  <si>
    <t>HF-a82e-RPBB</t>
  </si>
  <si>
    <t>X001TJPHH3</t>
  </si>
  <si>
    <t>HF-f11a-HNCT</t>
  </si>
  <si>
    <t>X001Q1GDMR</t>
  </si>
  <si>
    <t>HF-f15b-EXBS</t>
  </si>
  <si>
    <t>X001Q09LV3</t>
  </si>
  <si>
    <t>B004OEUPGM</t>
  </si>
  <si>
    <t>Exfoliating Body Scrub (Passion Fruit and Lime)</t>
  </si>
  <si>
    <t>HF-f2-LIFT</t>
  </si>
  <si>
    <t>X001Q0JMUX</t>
  </si>
  <si>
    <t>HF-f6a-EXBS</t>
  </si>
  <si>
    <t>X001Q0JYFV</t>
  </si>
  <si>
    <t>HF-f6b-EXBS</t>
  </si>
  <si>
    <t>X001PZ5OAV</t>
  </si>
  <si>
    <t>B004X9BTFY</t>
  </si>
  <si>
    <t>Gratiae Organics Exfoliating Body Scrub, Passion Fruit and Lime, 425-Grams</t>
  </si>
  <si>
    <t>HF-f9a-GSBB</t>
  </si>
  <si>
    <t>X001RDSOA3</t>
  </si>
  <si>
    <t>B004OF47N8</t>
  </si>
  <si>
    <t>Silky Body Butter (Apple, Green Tea, and Ginger)5.95 ounces</t>
  </si>
  <si>
    <t>HF-g1e-AFDM</t>
  </si>
  <si>
    <t>X001PZ8VYH</t>
  </si>
  <si>
    <t>B001DXQDL8</t>
  </si>
  <si>
    <t>Premier Dead Sea Ageless Future Detoxifying Mask, All Skin Types, 2.04-Fluid Ounce</t>
  </si>
  <si>
    <t>HF-w1e-PSOR</t>
  </si>
  <si>
    <t>X001Q09JSD</t>
  </si>
  <si>
    <t>B004H02GHY</t>
  </si>
  <si>
    <t>Premier Dead Sea Psoricalm, Very Dry Face, Body, or Scalp with Red Scaly Patches, 3.3814-Fluid Ounce</t>
  </si>
  <si>
    <t>KN-2B5X-YB0L</t>
  </si>
  <si>
    <t>X001EXCH95</t>
  </si>
  <si>
    <t>L7-N9M4-0P6X</t>
  </si>
  <si>
    <t>X001B6DY5L</t>
  </si>
  <si>
    <t>LF-QRR8-VUXE</t>
  </si>
  <si>
    <t>X001HAJ883</t>
  </si>
  <si>
    <t>LH-V26Y-FVKV</t>
  </si>
  <si>
    <t>LY-0LSI-94LS</t>
  </si>
  <si>
    <t>X001FOKKQ5</t>
  </si>
  <si>
    <t>M5-BNRC-2A6O</t>
  </si>
  <si>
    <t>X001DQGBGD</t>
  </si>
  <si>
    <t>B004X9BRRO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</si>
  <si>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</si>
  <si>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</si>
  <si>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</si>
  <si>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</si>
  <si>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</si>
  <si>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</si>
  <si>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MY71115ZQXXL</t>
  </si>
  <si>
    <t>B0761MLYTQ</t>
  </si>
  <si>
    <t>ZAIAI Women's Quilted Puffer Jacket Coat with Faux Fur Trimmed Hood Navy XL</t>
  </si>
  <si>
    <t>NL-JZZU-6KCF</t>
  </si>
  <si>
    <t>OL-FWF1-1Z13</t>
  </si>
  <si>
    <t>X001HQOP3Z</t>
  </si>
  <si>
    <t>PG-UDJF-U1WZ</t>
  </si>
  <si>
    <t>R5-W9D5-YCXW</t>
  </si>
  <si>
    <t>X001K0TWEZ</t>
  </si>
  <si>
    <t>U9-B86F-U3BU</t>
  </si>
  <si>
    <t>UH-SMM5-RLVI</t>
  </si>
  <si>
    <t>X001DH914L</t>
  </si>
  <si>
    <t>VR-3PK8-48QD</t>
  </si>
  <si>
    <t>X001DF2XE3</t>
  </si>
  <si>
    <t>WS-NIZA-VBTG</t>
  </si>
  <si>
    <t>X001B8U5KV</t>
  </si>
  <si>
    <t>ZV-TBFW-N9Y2</t>
  </si>
  <si>
    <t>X001EXA445</t>
  </si>
  <si>
    <t>ZW-A85T-DGVQ</t>
  </si>
  <si>
    <t>X001HQLM2R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</si>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</sst>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6" fillId="2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2" borderId="4" applyNumberFormat="0" applyFont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9" fillId="11" borderId="3" applyNumberFormat="0" applyAlignment="0" applyProtection="0">
      <alignment vertical="center"/>
    </xf>
    <xf numFmtId="0" fontId="20" fillId="11" borderId="7" applyNumberFormat="0" applyAlignment="0" applyProtection="0">
      <alignment vertical="center"/>
    </xf>
    <xf numFmtId="0" fontId="19" fillId="30" borderId="8" applyNumberForma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8</xdr:col>
          <xdr:colOff>1504950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85900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2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9</v>
      </c>
      <c r="F2" s="3">
        <v>0</v>
      </c>
      <c r="G2" s="3">
        <v>0</v>
      </c>
      <c r="H2" s="3">
        <v>9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35</v>
      </c>
      <c r="F3" s="3">
        <v>3</v>
      </c>
      <c r="G3" s="3">
        <v>28</v>
      </c>
      <c r="H3" s="3">
        <v>4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10</v>
      </c>
      <c r="F4" s="3">
        <v>0</v>
      </c>
      <c r="G4" s="3">
        <v>0</v>
      </c>
      <c r="H4" s="3">
        <v>10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1</v>
      </c>
      <c r="G5" s="3">
        <v>0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1</v>
      </c>
      <c r="G6" s="3">
        <v>1</v>
      </c>
      <c r="H6" s="3">
        <v>0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1</v>
      </c>
      <c r="G7" s="3">
        <v>0</v>
      </c>
      <c r="H7" s="3">
        <v>0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0</v>
      </c>
      <c r="G8" s="3">
        <v>0</v>
      </c>
      <c r="H8" s="3">
        <v>1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2</v>
      </c>
      <c r="F9" s="3">
        <v>0</v>
      </c>
      <c r="G9" s="3">
        <v>0</v>
      </c>
      <c r="H9" s="3">
        <v>2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2</v>
      </c>
      <c r="F10" s="3">
        <v>1</v>
      </c>
      <c r="G10" s="3">
        <v>1</v>
      </c>
      <c r="H10" s="3">
        <v>0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3</v>
      </c>
      <c r="F11" s="3">
        <v>2</v>
      </c>
      <c r="G11" s="3">
        <v>0</v>
      </c>
      <c r="H11" s="3">
        <v>1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46</v>
      </c>
      <c r="F12" s="3">
        <v>1</v>
      </c>
      <c r="G12" s="3">
        <v>39</v>
      </c>
      <c r="H12" s="3">
        <v>6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2</v>
      </c>
      <c r="F13" s="3">
        <v>0</v>
      </c>
      <c r="G13" s="3">
        <v>0</v>
      </c>
      <c r="H13" s="3">
        <v>2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14</v>
      </c>
      <c r="F14" s="3">
        <v>0</v>
      </c>
      <c r="G14" s="3">
        <v>14</v>
      </c>
      <c r="H14" s="3">
        <v>0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2</v>
      </c>
      <c r="F16" s="3">
        <v>1</v>
      </c>
      <c r="G16" s="3">
        <v>1</v>
      </c>
      <c r="H16" s="3">
        <v>0</v>
      </c>
      <c r="I16" s="7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72</v>
      </c>
      <c r="B18" s="3" t="s">
        <v>73</v>
      </c>
      <c r="C18" s="3" t="s">
        <v>30</v>
      </c>
      <c r="D18" s="3" t="s">
        <v>31</v>
      </c>
      <c r="E18" s="3">
        <v>2</v>
      </c>
      <c r="F18" s="3">
        <v>0</v>
      </c>
      <c r="G18" s="3">
        <v>2</v>
      </c>
      <c r="H18" s="3">
        <v>0</v>
      </c>
      <c r="I18" s="7"/>
    </row>
    <row r="19" spans="1:9">
      <c r="A19" s="3" t="s">
        <v>74</v>
      </c>
      <c r="B19" s="3" t="s">
        <v>75</v>
      </c>
      <c r="C19" s="3" t="s">
        <v>76</v>
      </c>
      <c r="D19" s="3" t="s">
        <v>77</v>
      </c>
      <c r="E19" s="3">
        <v>15</v>
      </c>
      <c r="F19" s="3">
        <v>0</v>
      </c>
      <c r="G19" s="3">
        <v>15</v>
      </c>
      <c r="H19" s="3">
        <v>0</v>
      </c>
      <c r="I19" s="7"/>
    </row>
    <row r="20" spans="1:9">
      <c r="A20" s="3" t="s">
        <v>78</v>
      </c>
      <c r="B20" s="3" t="s">
        <v>79</v>
      </c>
      <c r="C20" s="3" t="s">
        <v>80</v>
      </c>
      <c r="D20" s="3" t="s">
        <v>81</v>
      </c>
      <c r="E20" s="3">
        <v>16</v>
      </c>
      <c r="F20" s="3">
        <v>0</v>
      </c>
      <c r="G20" s="3">
        <v>16</v>
      </c>
      <c r="H20" s="3">
        <v>0</v>
      </c>
      <c r="I20" s="7"/>
    </row>
    <row r="21" spans="1:9">
      <c r="A21" s="3" t="s">
        <v>82</v>
      </c>
      <c r="B21" s="3" t="s">
        <v>83</v>
      </c>
      <c r="C21" s="3" t="s">
        <v>84</v>
      </c>
      <c r="D21" s="3" t="s">
        <v>85</v>
      </c>
      <c r="E21" s="3">
        <v>9</v>
      </c>
      <c r="F21" s="3">
        <v>5</v>
      </c>
      <c r="G21" s="3">
        <v>1</v>
      </c>
      <c r="H21" s="3">
        <v>3</v>
      </c>
      <c r="I21" s="7"/>
    </row>
    <row r="22" spans="1:9">
      <c r="A22" s="3" t="s">
        <v>86</v>
      </c>
      <c r="B22" s="3" t="s">
        <v>87</v>
      </c>
      <c r="C22" s="3" t="s">
        <v>88</v>
      </c>
      <c r="D22" s="3" t="s">
        <v>89</v>
      </c>
      <c r="E22" s="3">
        <v>35</v>
      </c>
      <c r="F22" s="3">
        <v>1</v>
      </c>
      <c r="G22" s="3">
        <v>32</v>
      </c>
      <c r="H22" s="3">
        <v>2</v>
      </c>
      <c r="I22" s="7"/>
    </row>
    <row r="23" spans="1:9">
      <c r="A23" s="3" t="s">
        <v>90</v>
      </c>
      <c r="B23" s="3" t="s">
        <v>91</v>
      </c>
      <c r="C23" s="3" t="s">
        <v>92</v>
      </c>
      <c r="D23" s="3" t="s">
        <v>93</v>
      </c>
      <c r="E23" s="3">
        <v>17</v>
      </c>
      <c r="F23" s="3">
        <v>0</v>
      </c>
      <c r="G23" s="3">
        <v>15</v>
      </c>
      <c r="H23" s="3">
        <v>2</v>
      </c>
      <c r="I23" s="7"/>
    </row>
    <row r="24" spans="1:9">
      <c r="A24" s="3" t="s">
        <v>94</v>
      </c>
      <c r="B24" s="3" t="s">
        <v>95</v>
      </c>
      <c r="C24" s="3" t="s">
        <v>38</v>
      </c>
      <c r="D24" s="3" t="s">
        <v>39</v>
      </c>
      <c r="E24" s="3">
        <v>8</v>
      </c>
      <c r="F24" s="3">
        <v>0</v>
      </c>
      <c r="G24" s="3">
        <v>8</v>
      </c>
      <c r="H24" s="3">
        <v>0</v>
      </c>
      <c r="I24" s="7"/>
    </row>
    <row r="25" spans="1:9">
      <c r="A25" s="3" t="s">
        <v>96</v>
      </c>
      <c r="B25" s="3" t="s">
        <v>97</v>
      </c>
      <c r="C25" s="3" t="s">
        <v>98</v>
      </c>
      <c r="D25" s="3" t="s">
        <v>99</v>
      </c>
      <c r="E25" s="3">
        <v>2</v>
      </c>
      <c r="F25" s="3">
        <v>0</v>
      </c>
      <c r="G25" s="3">
        <v>1</v>
      </c>
      <c r="H25" s="3">
        <v>1</v>
      </c>
      <c r="I25" s="7"/>
    </row>
    <row r="26" spans="1:9">
      <c r="A26" s="3" t="s">
        <v>100</v>
      </c>
      <c r="B26" s="3" t="s">
        <v>101</v>
      </c>
      <c r="C26" s="3" t="s">
        <v>30</v>
      </c>
      <c r="D26" s="3" t="s">
        <v>31</v>
      </c>
      <c r="E26" s="3">
        <v>1</v>
      </c>
      <c r="F26" s="3">
        <v>0</v>
      </c>
      <c r="G26" s="3">
        <v>0</v>
      </c>
      <c r="H26" s="3">
        <v>1</v>
      </c>
      <c r="I26" s="7"/>
    </row>
    <row r="27" spans="1:9">
      <c r="A27" s="3" t="s">
        <v>102</v>
      </c>
      <c r="B27" s="3" t="s">
        <v>103</v>
      </c>
      <c r="C27" s="3" t="s">
        <v>104</v>
      </c>
      <c r="D27" s="3" t="s">
        <v>105</v>
      </c>
      <c r="E27" s="3">
        <v>7</v>
      </c>
      <c r="F27" s="3">
        <v>0</v>
      </c>
      <c r="G27" s="3">
        <v>0</v>
      </c>
      <c r="H27" s="3">
        <v>7</v>
      </c>
      <c r="I27" s="7"/>
    </row>
    <row r="28" spans="1:9">
      <c r="A28" s="3" t="s">
        <v>106</v>
      </c>
      <c r="B28" s="3" t="s">
        <v>107</v>
      </c>
      <c r="C28" s="3" t="s">
        <v>108</v>
      </c>
      <c r="D28" s="3" t="s">
        <v>109</v>
      </c>
      <c r="E28" s="3">
        <v>60</v>
      </c>
      <c r="F28" s="3">
        <v>0</v>
      </c>
      <c r="G28" s="3">
        <v>0</v>
      </c>
      <c r="H28" s="3">
        <v>60</v>
      </c>
      <c r="I28" s="7"/>
    </row>
    <row r="29" spans="1:9">
      <c r="A29" s="3" t="s">
        <v>110</v>
      </c>
      <c r="B29" s="3" t="s">
        <v>111</v>
      </c>
      <c r="C29" s="3" t="s">
        <v>112</v>
      </c>
      <c r="D29" s="3" t="s">
        <v>113</v>
      </c>
      <c r="E29" s="3">
        <v>15</v>
      </c>
      <c r="F29" s="3">
        <v>0</v>
      </c>
      <c r="G29" s="3">
        <v>0</v>
      </c>
      <c r="H29" s="3">
        <v>15</v>
      </c>
      <c r="I29" s="7"/>
    </row>
    <row r="30" spans="1:9">
      <c r="A30" s="3" t="s">
        <v>114</v>
      </c>
      <c r="B30" s="3" t="s">
        <v>115</v>
      </c>
      <c r="C30" s="3" t="s">
        <v>115</v>
      </c>
      <c r="D30" s="3" t="s">
        <v>116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3" t="s">
        <v>117</v>
      </c>
      <c r="B31" s="3" t="s">
        <v>118</v>
      </c>
      <c r="C31" s="3" t="s">
        <v>119</v>
      </c>
      <c r="D31" s="3" t="s">
        <v>120</v>
      </c>
      <c r="E31" s="3">
        <v>3</v>
      </c>
      <c r="F31" s="3">
        <v>1</v>
      </c>
      <c r="G31" s="3">
        <v>1</v>
      </c>
      <c r="H31" s="3">
        <v>1</v>
      </c>
      <c r="I31" s="7"/>
    </row>
    <row r="32" spans="1:9">
      <c r="A32" s="3" t="s">
        <v>121</v>
      </c>
      <c r="B32" s="3" t="s">
        <v>122</v>
      </c>
      <c r="C32" s="3" t="s">
        <v>123</v>
      </c>
      <c r="D32" s="3" t="s">
        <v>124</v>
      </c>
      <c r="E32" s="3">
        <v>1</v>
      </c>
      <c r="F32" s="3">
        <v>0</v>
      </c>
      <c r="G32" s="3">
        <v>0</v>
      </c>
      <c r="H32" s="3">
        <v>1</v>
      </c>
      <c r="I32" s="7"/>
    </row>
    <row r="33" spans="1:9">
      <c r="A33" s="8"/>
      <c r="B33" s="8"/>
      <c r="C33" s="8"/>
      <c r="D33" s="8"/>
      <c r="E33" s="8"/>
      <c r="F33" s="8"/>
      <c r="G33" s="8"/>
      <c r="H33" s="8"/>
      <c r="I33" s="7"/>
    </row>
    <row r="34" spans="1:9">
      <c r="A34" s="8"/>
      <c r="B34" s="8"/>
      <c r="C34" s="8"/>
      <c r="D34" s="8"/>
      <c r="E34" s="8"/>
      <c r="F34" s="8"/>
      <c r="G34" s="8"/>
      <c r="H34" s="8"/>
      <c r="I34" s="7"/>
    </row>
    <row r="35" spans="1:9">
      <c r="A35" s="8"/>
      <c r="B35" s="8"/>
      <c r="C35" s="8"/>
      <c r="D35" s="8"/>
      <c r="E35" s="8"/>
      <c r="F35" s="8"/>
      <c r="G35" s="8"/>
      <c r="H35" s="8"/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8</xdr:col>
                <xdr:colOff>1504950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87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6" width="12.625"/>
  </cols>
  <sheetData>
    <row r="1" spans="1:36">
      <c r="A1" s="3" t="s">
        <v>125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126</v>
      </c>
      <c r="G1" s="3" t="s">
        <v>127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</row>
    <row r="2" spans="1:36">
      <c r="A2" s="6">
        <v>43288</v>
      </c>
      <c r="B2" s="3" t="s">
        <v>157</v>
      </c>
      <c r="C2" s="3" t="s">
        <v>158</v>
      </c>
      <c r="D2" s="3" t="s">
        <v>22</v>
      </c>
      <c r="E2" s="3" t="s">
        <v>23</v>
      </c>
      <c r="F2" s="3" t="s">
        <v>159</v>
      </c>
      <c r="G2" s="3">
        <v>112</v>
      </c>
      <c r="H2" s="3">
        <v>0</v>
      </c>
      <c r="I2" s="3">
        <v>2</v>
      </c>
      <c r="J2" s="3">
        <v>1</v>
      </c>
      <c r="K2" s="3">
        <v>109</v>
      </c>
      <c r="L2" s="3">
        <v>0</v>
      </c>
      <c r="M2" s="3">
        <v>0</v>
      </c>
      <c r="N2" s="3" t="s">
        <v>160</v>
      </c>
      <c r="O2" s="3">
        <v>110</v>
      </c>
      <c r="P2" s="3">
        <v>108.7</v>
      </c>
      <c r="Q2" s="3">
        <v>0</v>
      </c>
      <c r="R2" s="3">
        <v>0</v>
      </c>
      <c r="S2" s="3">
        <v>5</v>
      </c>
      <c r="T2" s="3">
        <v>13</v>
      </c>
      <c r="U2" s="3">
        <v>31</v>
      </c>
      <c r="V2" s="3">
        <v>48</v>
      </c>
      <c r="W2" s="3" t="s">
        <v>161</v>
      </c>
      <c r="X2" s="3">
        <v>19.99</v>
      </c>
      <c r="Y2" s="3">
        <v>19.99</v>
      </c>
      <c r="Z2" s="3">
        <v>19.99</v>
      </c>
      <c r="AA2" s="3">
        <v>0</v>
      </c>
      <c r="AB2" s="3" t="s">
        <v>162</v>
      </c>
      <c r="AC2" s="3">
        <v>113</v>
      </c>
      <c r="AD2" s="3">
        <v>19.99</v>
      </c>
      <c r="AE2" s="3">
        <v>0</v>
      </c>
      <c r="AF2" s="3">
        <v>0</v>
      </c>
      <c r="AG2" s="3">
        <v>0</v>
      </c>
      <c r="AH2" s="3">
        <v>0.424242424242424</v>
      </c>
      <c r="AI2" s="3" t="s">
        <v>163</v>
      </c>
      <c r="AJ2" s="3" t="s">
        <v>164</v>
      </c>
    </row>
    <row r="3" spans="1:36">
      <c r="A3" s="6">
        <v>43288</v>
      </c>
      <c r="B3" s="3" t="s">
        <v>68</v>
      </c>
      <c r="C3" s="3" t="s">
        <v>69</v>
      </c>
      <c r="D3" s="3" t="s">
        <v>70</v>
      </c>
      <c r="E3" s="3" t="s">
        <v>71</v>
      </c>
      <c r="F3" s="3" t="s">
        <v>159</v>
      </c>
      <c r="G3" s="3">
        <v>51</v>
      </c>
      <c r="H3" s="3">
        <v>0</v>
      </c>
      <c r="I3" s="3">
        <v>51</v>
      </c>
      <c r="J3" s="3">
        <v>0</v>
      </c>
      <c r="K3" s="3">
        <v>0</v>
      </c>
      <c r="L3" s="3">
        <v>0</v>
      </c>
      <c r="M3" s="3">
        <v>0</v>
      </c>
      <c r="N3" s="3" t="s">
        <v>160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5</v>
      </c>
      <c r="U3" s="3">
        <v>11</v>
      </c>
      <c r="V3" s="3">
        <v>11</v>
      </c>
      <c r="W3" s="3" t="s">
        <v>161</v>
      </c>
      <c r="X3" s="3">
        <v>52.99</v>
      </c>
      <c r="Y3" s="3">
        <v>52.99</v>
      </c>
      <c r="Z3" s="3">
        <v>52.99</v>
      </c>
      <c r="AA3" s="3">
        <v>0</v>
      </c>
      <c r="AB3" s="3" t="s">
        <v>162</v>
      </c>
      <c r="AC3" s="3">
        <v>51</v>
      </c>
      <c r="AD3" s="3">
        <v>53.49</v>
      </c>
      <c r="AE3" s="3">
        <v>0</v>
      </c>
      <c r="AF3" s="3">
        <v>0</v>
      </c>
      <c r="AG3" s="3">
        <v>0</v>
      </c>
      <c r="AH3" s="3">
        <v>0.669201520912547</v>
      </c>
      <c r="AI3" s="3" t="s">
        <v>165</v>
      </c>
      <c r="AJ3" s="3" t="s">
        <v>164</v>
      </c>
    </row>
    <row r="4" spans="1:36">
      <c r="A4" s="6">
        <v>43288</v>
      </c>
      <c r="B4" s="3" t="s">
        <v>166</v>
      </c>
      <c r="C4" s="3" t="s">
        <v>167</v>
      </c>
      <c r="D4" s="3" t="s">
        <v>168</v>
      </c>
      <c r="E4" s="3" t="s">
        <v>169</v>
      </c>
      <c r="F4" s="3" t="s">
        <v>159</v>
      </c>
      <c r="G4" s="3">
        <v>37</v>
      </c>
      <c r="H4" s="3">
        <v>0</v>
      </c>
      <c r="I4" s="3">
        <v>0</v>
      </c>
      <c r="J4" s="3">
        <v>37</v>
      </c>
      <c r="K4" s="3">
        <v>0</v>
      </c>
      <c r="L4" s="3">
        <v>0</v>
      </c>
      <c r="M4" s="3">
        <v>0</v>
      </c>
      <c r="N4" s="3" t="s">
        <v>160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2</v>
      </c>
      <c r="U4" s="3">
        <v>2</v>
      </c>
      <c r="V4" s="3">
        <v>2</v>
      </c>
      <c r="W4" s="3" t="s">
        <v>161</v>
      </c>
      <c r="X4" s="3">
        <v>32.99</v>
      </c>
      <c r="Y4" s="3">
        <v>36.89</v>
      </c>
      <c r="Z4" s="3">
        <v>36.89</v>
      </c>
      <c r="AA4" s="3">
        <v>0</v>
      </c>
      <c r="AB4" s="3" t="s">
        <v>162</v>
      </c>
      <c r="AC4" s="3">
        <v>38</v>
      </c>
      <c r="AD4" s="3">
        <v>36.89</v>
      </c>
      <c r="AE4" s="3">
        <v>0</v>
      </c>
      <c r="AF4" s="3">
        <v>0</v>
      </c>
      <c r="AG4" s="3">
        <v>0</v>
      </c>
      <c r="AH4" s="3">
        <v>0.054054054054054</v>
      </c>
      <c r="AI4" s="3" t="s">
        <v>170</v>
      </c>
      <c r="AJ4" s="3" t="s">
        <v>164</v>
      </c>
    </row>
    <row r="5" spans="1:36">
      <c r="A5" s="6">
        <v>43288</v>
      </c>
      <c r="B5" s="3" t="s">
        <v>171</v>
      </c>
      <c r="C5" s="3" t="s">
        <v>172</v>
      </c>
      <c r="D5" s="3" t="s">
        <v>172</v>
      </c>
      <c r="E5" s="3" t="s">
        <v>173</v>
      </c>
      <c r="F5" s="3" t="s">
        <v>159</v>
      </c>
      <c r="G5" s="3">
        <v>8</v>
      </c>
      <c r="H5" s="3">
        <v>0</v>
      </c>
      <c r="I5" s="3">
        <v>1</v>
      </c>
      <c r="J5" s="3">
        <v>7</v>
      </c>
      <c r="K5" s="3">
        <v>0</v>
      </c>
      <c r="L5" s="3">
        <v>0</v>
      </c>
      <c r="M5" s="3">
        <v>0</v>
      </c>
      <c r="N5" s="3" t="s">
        <v>160</v>
      </c>
      <c r="O5" s="3">
        <v>6</v>
      </c>
      <c r="P5" s="3">
        <v>52.72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 t="s">
        <v>174</v>
      </c>
      <c r="X5" s="3">
        <v>40.04</v>
      </c>
      <c r="Y5" s="3">
        <v>40.04</v>
      </c>
      <c r="Z5" s="3">
        <v>40.04</v>
      </c>
      <c r="AA5" s="3">
        <v>0</v>
      </c>
      <c r="AB5" s="3" t="s">
        <v>175</v>
      </c>
      <c r="AC5" s="3">
        <v>2</v>
      </c>
      <c r="AD5" s="3">
        <v>36.54</v>
      </c>
      <c r="AE5" s="3">
        <v>35</v>
      </c>
      <c r="AF5" s="3">
        <v>0</v>
      </c>
      <c r="AG5" s="3">
        <v>830.197485</v>
      </c>
      <c r="AH5" s="3">
        <v>0</v>
      </c>
      <c r="AI5" s="3" t="s">
        <v>176</v>
      </c>
      <c r="AJ5" s="3" t="s">
        <v>177</v>
      </c>
    </row>
    <row r="6" spans="1:36">
      <c r="A6" s="6">
        <v>43288</v>
      </c>
      <c r="B6" s="3" t="s">
        <v>178</v>
      </c>
      <c r="C6" s="3" t="s">
        <v>179</v>
      </c>
      <c r="D6" s="3" t="s">
        <v>179</v>
      </c>
      <c r="E6" s="3" t="s">
        <v>180</v>
      </c>
      <c r="F6" s="3" t="s">
        <v>159</v>
      </c>
      <c r="G6" s="3">
        <v>6</v>
      </c>
      <c r="H6" s="3">
        <v>0</v>
      </c>
      <c r="I6" s="3">
        <v>0</v>
      </c>
      <c r="J6" s="3">
        <v>0</v>
      </c>
      <c r="K6" s="3">
        <v>6</v>
      </c>
      <c r="L6" s="3">
        <v>0</v>
      </c>
      <c r="M6" s="3">
        <v>0</v>
      </c>
      <c r="N6" s="3" t="s">
        <v>160</v>
      </c>
      <c r="O6" s="3">
        <v>6</v>
      </c>
      <c r="P6" s="3">
        <v>37.98</v>
      </c>
      <c r="Q6" s="3">
        <v>0</v>
      </c>
      <c r="R6" s="3">
        <v>0</v>
      </c>
      <c r="S6" s="3">
        <v>0</v>
      </c>
      <c r="T6" s="3">
        <v>1</v>
      </c>
      <c r="U6" s="3">
        <v>1</v>
      </c>
      <c r="V6" s="3">
        <v>2</v>
      </c>
      <c r="W6" s="3"/>
      <c r="X6" s="3">
        <v>42.99</v>
      </c>
      <c r="Y6" s="3">
        <v>42.99</v>
      </c>
      <c r="Z6" s="3">
        <v>42.99</v>
      </c>
      <c r="AA6" s="3">
        <v>0</v>
      </c>
      <c r="AB6" s="3" t="s">
        <v>181</v>
      </c>
      <c r="AC6" s="3">
        <v>6</v>
      </c>
      <c r="AD6" s="3">
        <v>42.99</v>
      </c>
      <c r="AE6" s="3">
        <v>0</v>
      </c>
      <c r="AF6" s="3">
        <v>0</v>
      </c>
      <c r="AG6" s="3">
        <v>0</v>
      </c>
      <c r="AH6" s="3">
        <v>0.285714285714285</v>
      </c>
      <c r="AI6" s="3" t="s">
        <v>182</v>
      </c>
      <c r="AJ6" s="3" t="s">
        <v>177</v>
      </c>
    </row>
    <row r="7" spans="1:36">
      <c r="A7" s="6">
        <v>43288</v>
      </c>
      <c r="B7" s="3" t="s">
        <v>96</v>
      </c>
      <c r="C7" s="3" t="s">
        <v>97</v>
      </c>
      <c r="D7" s="3" t="s">
        <v>98</v>
      </c>
      <c r="E7" s="3" t="s">
        <v>99</v>
      </c>
      <c r="F7" s="3" t="s">
        <v>159</v>
      </c>
      <c r="G7" s="3">
        <v>32</v>
      </c>
      <c r="H7" s="3">
        <v>0</v>
      </c>
      <c r="I7" s="3">
        <v>1</v>
      </c>
      <c r="J7" s="3">
        <v>3</v>
      </c>
      <c r="K7" s="3">
        <v>2</v>
      </c>
      <c r="L7" s="3">
        <v>26</v>
      </c>
      <c r="M7" s="3">
        <v>0</v>
      </c>
      <c r="N7" s="3" t="s">
        <v>160</v>
      </c>
      <c r="O7" s="3">
        <v>30</v>
      </c>
      <c r="P7" s="3">
        <v>5.62</v>
      </c>
      <c r="Q7" s="3">
        <v>0</v>
      </c>
      <c r="R7" s="3">
        <v>0</v>
      </c>
      <c r="S7" s="3">
        <v>3</v>
      </c>
      <c r="T7" s="3">
        <v>27</v>
      </c>
      <c r="U7" s="3">
        <v>52</v>
      </c>
      <c r="V7" s="3">
        <v>74</v>
      </c>
      <c r="W7" s="3" t="s">
        <v>161</v>
      </c>
      <c r="X7" s="3">
        <v>20.99</v>
      </c>
      <c r="Y7" s="3">
        <v>20.99</v>
      </c>
      <c r="Z7" s="3">
        <v>20.99</v>
      </c>
      <c r="AA7" s="3">
        <v>0</v>
      </c>
      <c r="AB7" s="3" t="s">
        <v>162</v>
      </c>
      <c r="AC7" s="3">
        <v>35</v>
      </c>
      <c r="AD7" s="3">
        <v>20.99</v>
      </c>
      <c r="AE7" s="3">
        <v>0</v>
      </c>
      <c r="AF7" s="3">
        <v>0</v>
      </c>
      <c r="AG7" s="3">
        <v>0</v>
      </c>
      <c r="AH7" s="3">
        <v>0.989966555183946</v>
      </c>
      <c r="AI7" s="3" t="s">
        <v>183</v>
      </c>
      <c r="AJ7" s="3" t="s">
        <v>164</v>
      </c>
    </row>
    <row r="8" spans="1:36">
      <c r="A8" s="6">
        <v>43288</v>
      </c>
      <c r="B8" s="3" t="s">
        <v>184</v>
      </c>
      <c r="C8" s="3" t="s">
        <v>185</v>
      </c>
      <c r="D8" s="3" t="s">
        <v>185</v>
      </c>
      <c r="E8" s="3" t="s">
        <v>186</v>
      </c>
      <c r="F8" s="3" t="s">
        <v>159</v>
      </c>
      <c r="G8" s="3">
        <v>8</v>
      </c>
      <c r="H8" s="3">
        <v>0</v>
      </c>
      <c r="I8" s="3">
        <v>1</v>
      </c>
      <c r="J8" s="3">
        <v>0</v>
      </c>
      <c r="K8" s="3">
        <v>7</v>
      </c>
      <c r="L8" s="3">
        <v>0</v>
      </c>
      <c r="M8" s="3">
        <v>0</v>
      </c>
      <c r="N8" s="3" t="s">
        <v>160</v>
      </c>
      <c r="O8" s="3">
        <v>7</v>
      </c>
      <c r="P8" s="3">
        <v>44.31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1</v>
      </c>
      <c r="W8" s="3" t="s">
        <v>174</v>
      </c>
      <c r="X8" s="3">
        <v>38.39</v>
      </c>
      <c r="Y8" s="3">
        <v>38.39</v>
      </c>
      <c r="Z8" s="3">
        <v>38.39</v>
      </c>
      <c r="AA8" s="3">
        <v>0</v>
      </c>
      <c r="AB8" s="3" t="s">
        <v>175</v>
      </c>
      <c r="AC8" s="3">
        <v>1</v>
      </c>
      <c r="AD8" s="3">
        <v>34.84</v>
      </c>
      <c r="AE8" s="3">
        <v>35</v>
      </c>
      <c r="AF8" s="3">
        <v>0</v>
      </c>
      <c r="AG8" s="3">
        <v>624.098641</v>
      </c>
      <c r="AH8" s="3">
        <v>0.129032258064516</v>
      </c>
      <c r="AI8" s="3" t="s">
        <v>182</v>
      </c>
      <c r="AJ8" s="3" t="s">
        <v>177</v>
      </c>
    </row>
    <row r="9" spans="1:36">
      <c r="A9" s="6">
        <v>43288</v>
      </c>
      <c r="B9" s="3" t="s">
        <v>187</v>
      </c>
      <c r="C9" s="3" t="s">
        <v>188</v>
      </c>
      <c r="D9" s="3" t="s">
        <v>188</v>
      </c>
      <c r="E9" s="3" t="s">
        <v>189</v>
      </c>
      <c r="F9" s="3" t="s">
        <v>159</v>
      </c>
      <c r="G9" s="3">
        <v>7</v>
      </c>
      <c r="H9" s="3">
        <v>0</v>
      </c>
      <c r="I9" s="3">
        <v>0</v>
      </c>
      <c r="J9" s="3">
        <v>7</v>
      </c>
      <c r="K9" s="3">
        <v>0</v>
      </c>
      <c r="L9" s="3">
        <v>0</v>
      </c>
      <c r="M9" s="3">
        <v>0</v>
      </c>
      <c r="N9" s="3" t="s">
        <v>160</v>
      </c>
      <c r="O9" s="3">
        <v>7</v>
      </c>
      <c r="P9" s="3">
        <v>61.51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1</v>
      </c>
      <c r="W9" s="3" t="s">
        <v>174</v>
      </c>
      <c r="X9" s="3">
        <v>42.99</v>
      </c>
      <c r="Y9" s="3">
        <v>42.99</v>
      </c>
      <c r="Z9" s="3">
        <v>42.99</v>
      </c>
      <c r="AA9" s="3">
        <v>0</v>
      </c>
      <c r="AB9" s="3" t="s">
        <v>175</v>
      </c>
      <c r="AC9" s="3">
        <v>0</v>
      </c>
      <c r="AD9" s="3">
        <v>38.35</v>
      </c>
      <c r="AE9" s="3">
        <v>35</v>
      </c>
      <c r="AF9" s="3">
        <v>0</v>
      </c>
      <c r="AG9" s="3">
        <v>753.954478</v>
      </c>
      <c r="AH9" s="3">
        <v>0.137931034482758</v>
      </c>
      <c r="AI9" s="3" t="s">
        <v>176</v>
      </c>
      <c r="AJ9" s="3" t="s">
        <v>177</v>
      </c>
    </row>
    <row r="10" spans="1:36">
      <c r="A10" s="6">
        <v>43288</v>
      </c>
      <c r="B10" s="3" t="s">
        <v>190</v>
      </c>
      <c r="C10" s="3" t="s">
        <v>191</v>
      </c>
      <c r="D10" s="3" t="s">
        <v>192</v>
      </c>
      <c r="E10" s="3" t="s">
        <v>193</v>
      </c>
      <c r="F10" s="3" t="s">
        <v>159</v>
      </c>
      <c r="G10" s="3">
        <v>2</v>
      </c>
      <c r="H10" s="3">
        <v>0</v>
      </c>
      <c r="I10" s="3">
        <v>0</v>
      </c>
      <c r="J10" s="3">
        <v>2</v>
      </c>
      <c r="K10" s="3">
        <v>0</v>
      </c>
      <c r="L10" s="3">
        <v>0</v>
      </c>
      <c r="M10" s="3">
        <v>0</v>
      </c>
      <c r="N10" s="3" t="s">
        <v>160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1</v>
      </c>
      <c r="W10" s="3" t="s">
        <v>161</v>
      </c>
      <c r="X10" s="3">
        <v>61.53</v>
      </c>
      <c r="Y10" s="3">
        <v>62.79</v>
      </c>
      <c r="Z10" s="3">
        <v>62.29</v>
      </c>
      <c r="AA10" s="3">
        <v>0</v>
      </c>
      <c r="AB10" s="3" t="s">
        <v>162</v>
      </c>
      <c r="AC10" s="3">
        <v>2</v>
      </c>
      <c r="AD10" s="3">
        <v>62.79</v>
      </c>
      <c r="AE10" s="3">
        <v>0</v>
      </c>
      <c r="AF10" s="3">
        <v>0</v>
      </c>
      <c r="AG10" s="3">
        <v>0</v>
      </c>
      <c r="AH10" s="3">
        <v>0.0208333333333333</v>
      </c>
      <c r="AI10" s="3" t="s">
        <v>170</v>
      </c>
      <c r="AJ10" s="3" t="s">
        <v>164</v>
      </c>
    </row>
    <row r="11" spans="1:36">
      <c r="A11" s="6">
        <v>43288</v>
      </c>
      <c r="B11" s="3" t="s">
        <v>110</v>
      </c>
      <c r="C11" s="3" t="s">
        <v>111</v>
      </c>
      <c r="D11" s="3" t="s">
        <v>112</v>
      </c>
      <c r="E11" s="3" t="s">
        <v>113</v>
      </c>
      <c r="F11" s="3" t="s">
        <v>159</v>
      </c>
      <c r="G11" s="3">
        <v>87</v>
      </c>
      <c r="H11" s="3">
        <v>0</v>
      </c>
      <c r="I11" s="3">
        <v>1</v>
      </c>
      <c r="J11" s="3">
        <v>2</v>
      </c>
      <c r="K11" s="3">
        <v>2</v>
      </c>
      <c r="L11" s="3">
        <v>82</v>
      </c>
      <c r="M11" s="3">
        <v>0</v>
      </c>
      <c r="N11" s="3" t="s">
        <v>160</v>
      </c>
      <c r="O11" s="3">
        <v>85</v>
      </c>
      <c r="P11" s="3">
        <v>33.32</v>
      </c>
      <c r="Q11" s="3">
        <v>0</v>
      </c>
      <c r="R11" s="3">
        <v>0</v>
      </c>
      <c r="S11" s="3">
        <v>0</v>
      </c>
      <c r="T11" s="3">
        <v>8</v>
      </c>
      <c r="U11" s="3">
        <v>14</v>
      </c>
      <c r="V11" s="3">
        <v>16</v>
      </c>
      <c r="W11" s="3" t="s">
        <v>161</v>
      </c>
      <c r="X11" s="3">
        <v>52.4</v>
      </c>
      <c r="Y11" s="3">
        <v>52.4</v>
      </c>
      <c r="Z11" s="3">
        <v>52.4</v>
      </c>
      <c r="AA11" s="3">
        <v>0</v>
      </c>
      <c r="AB11" s="3" t="s">
        <v>194</v>
      </c>
      <c r="AC11" s="3">
        <v>87</v>
      </c>
      <c r="AD11" s="3">
        <v>15.99</v>
      </c>
      <c r="AE11" s="3">
        <v>0</v>
      </c>
      <c r="AF11" s="3">
        <v>0</v>
      </c>
      <c r="AG11" s="3">
        <v>0</v>
      </c>
      <c r="AH11" s="3">
        <v>0.130612244897959</v>
      </c>
      <c r="AI11" s="3" t="s">
        <v>195</v>
      </c>
      <c r="AJ11" s="3" t="s">
        <v>164</v>
      </c>
    </row>
    <row r="12" spans="1:36">
      <c r="A12" s="6">
        <v>43288</v>
      </c>
      <c r="B12" s="3" t="s">
        <v>196</v>
      </c>
      <c r="C12" s="3" t="s">
        <v>197</v>
      </c>
      <c r="D12" s="3" t="s">
        <v>197</v>
      </c>
      <c r="E12" s="3" t="s">
        <v>198</v>
      </c>
      <c r="F12" s="3" t="s">
        <v>159</v>
      </c>
      <c r="G12" s="3">
        <v>8</v>
      </c>
      <c r="H12" s="3">
        <v>0</v>
      </c>
      <c r="I12" s="3">
        <v>0</v>
      </c>
      <c r="J12" s="3">
        <v>8</v>
      </c>
      <c r="K12" s="3">
        <v>0</v>
      </c>
      <c r="L12" s="3">
        <v>0</v>
      </c>
      <c r="M12" s="3">
        <v>0</v>
      </c>
      <c r="N12" s="3" t="s">
        <v>160</v>
      </c>
      <c r="O12" s="3">
        <v>8</v>
      </c>
      <c r="P12" s="3">
        <v>70.3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174</v>
      </c>
      <c r="X12" s="3">
        <v>34.39</v>
      </c>
      <c r="Y12" s="3">
        <v>34.39</v>
      </c>
      <c r="Z12" s="3">
        <v>34.39</v>
      </c>
      <c r="AA12" s="3">
        <v>0</v>
      </c>
      <c r="AB12" s="3" t="s">
        <v>175</v>
      </c>
      <c r="AC12" s="3">
        <v>0</v>
      </c>
      <c r="AD12" s="3">
        <v>27.51</v>
      </c>
      <c r="AE12" s="3">
        <v>63</v>
      </c>
      <c r="AF12" s="3">
        <v>0</v>
      </c>
      <c r="AG12" s="3">
        <v>749.467653</v>
      </c>
      <c r="AH12" s="3">
        <v>0</v>
      </c>
      <c r="AI12" s="3" t="s">
        <v>176</v>
      </c>
      <c r="AJ12" s="3" t="s">
        <v>177</v>
      </c>
    </row>
    <row r="13" spans="1:36">
      <c r="A13" s="6">
        <v>43288</v>
      </c>
      <c r="B13" s="3" t="s">
        <v>28</v>
      </c>
      <c r="C13" s="3" t="s">
        <v>29</v>
      </c>
      <c r="D13" s="3" t="s">
        <v>30</v>
      </c>
      <c r="E13" s="3" t="s">
        <v>31</v>
      </c>
      <c r="F13" s="3" t="s">
        <v>159</v>
      </c>
      <c r="G13" s="3">
        <v>40</v>
      </c>
      <c r="H13" s="3">
        <v>0</v>
      </c>
      <c r="I13" s="3">
        <v>0</v>
      </c>
      <c r="J13" s="3">
        <v>1</v>
      </c>
      <c r="K13" s="3">
        <v>0</v>
      </c>
      <c r="L13" s="3">
        <v>1</v>
      </c>
      <c r="M13" s="3">
        <v>38</v>
      </c>
      <c r="N13" s="3" t="s">
        <v>160</v>
      </c>
      <c r="O13" s="3">
        <v>1</v>
      </c>
      <c r="P13" s="3">
        <v>0.01</v>
      </c>
      <c r="Q13" s="3">
        <v>38</v>
      </c>
      <c r="R13" s="3">
        <v>19</v>
      </c>
      <c r="S13" s="3">
        <v>4</v>
      </c>
      <c r="T13" s="3">
        <v>10</v>
      </c>
      <c r="U13" s="3">
        <v>13</v>
      </c>
      <c r="V13" s="3">
        <v>16</v>
      </c>
      <c r="W13" s="3" t="s">
        <v>161</v>
      </c>
      <c r="X13" s="3">
        <v>15.61</v>
      </c>
      <c r="Y13" s="3">
        <v>15.61</v>
      </c>
      <c r="Z13" s="3">
        <v>15.61</v>
      </c>
      <c r="AA13" s="3">
        <v>0</v>
      </c>
      <c r="AB13" s="3" t="s">
        <v>194</v>
      </c>
      <c r="AC13" s="3">
        <v>41</v>
      </c>
      <c r="AD13" s="3">
        <v>15.59</v>
      </c>
      <c r="AE13" s="3">
        <v>0</v>
      </c>
      <c r="AF13" s="3">
        <v>0</v>
      </c>
      <c r="AG13" s="3">
        <v>0</v>
      </c>
      <c r="AH13" s="3">
        <v>0.193406593406593</v>
      </c>
      <c r="AI13" s="3" t="s">
        <v>199</v>
      </c>
      <c r="AJ13" s="3" t="s">
        <v>164</v>
      </c>
    </row>
    <row r="14" spans="1:36">
      <c r="A14" s="6">
        <v>43288</v>
      </c>
      <c r="B14" s="3" t="s">
        <v>78</v>
      </c>
      <c r="C14" s="3" t="s">
        <v>79</v>
      </c>
      <c r="D14" s="3" t="s">
        <v>80</v>
      </c>
      <c r="E14" s="3" t="s">
        <v>81</v>
      </c>
      <c r="F14" s="3" t="s">
        <v>159</v>
      </c>
      <c r="G14" s="3">
        <v>24</v>
      </c>
      <c r="H14" s="3">
        <v>0</v>
      </c>
      <c r="I14" s="3">
        <v>24</v>
      </c>
      <c r="J14" s="3">
        <v>0</v>
      </c>
      <c r="K14" s="3">
        <v>0</v>
      </c>
      <c r="L14" s="3">
        <v>0</v>
      </c>
      <c r="M14" s="3">
        <v>0</v>
      </c>
      <c r="N14" s="3" t="s">
        <v>160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161</v>
      </c>
      <c r="X14" s="3">
        <v>49.99</v>
      </c>
      <c r="Y14" s="3">
        <v>49.99</v>
      </c>
      <c r="Z14" s="3">
        <v>49.99</v>
      </c>
      <c r="AA14" s="3">
        <v>0</v>
      </c>
      <c r="AB14" s="3" t="s">
        <v>162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0.617886178861788</v>
      </c>
      <c r="AI14" s="3" t="s">
        <v>200</v>
      </c>
      <c r="AJ14" s="3" t="s">
        <v>164</v>
      </c>
    </row>
    <row r="15" spans="1:36">
      <c r="A15" s="6">
        <v>43288</v>
      </c>
      <c r="B15" s="3" t="s">
        <v>201</v>
      </c>
      <c r="C15" s="3" t="s">
        <v>202</v>
      </c>
      <c r="D15" s="3" t="s">
        <v>202</v>
      </c>
      <c r="E15" s="3" t="s">
        <v>203</v>
      </c>
      <c r="F15" s="3" t="s">
        <v>159</v>
      </c>
      <c r="G15" s="3">
        <v>7</v>
      </c>
      <c r="H15" s="3">
        <v>0</v>
      </c>
      <c r="I15" s="3">
        <v>0</v>
      </c>
      <c r="J15" s="3">
        <v>0</v>
      </c>
      <c r="K15" s="3">
        <v>7</v>
      </c>
      <c r="L15" s="3">
        <v>0</v>
      </c>
      <c r="M15" s="3">
        <v>0</v>
      </c>
      <c r="N15" s="3" t="s">
        <v>160</v>
      </c>
      <c r="O15" s="3">
        <v>7</v>
      </c>
      <c r="P15" s="3">
        <v>44.31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1</v>
      </c>
      <c r="W15" s="3" t="s">
        <v>174</v>
      </c>
      <c r="X15" s="3">
        <v>42.99</v>
      </c>
      <c r="Y15" s="3">
        <v>42.99</v>
      </c>
      <c r="Z15" s="3">
        <v>42.99</v>
      </c>
      <c r="AA15" s="3">
        <v>0</v>
      </c>
      <c r="AB15" s="3" t="s">
        <v>175</v>
      </c>
      <c r="AC15" s="3">
        <v>0</v>
      </c>
      <c r="AD15" s="3">
        <v>38.57</v>
      </c>
      <c r="AE15" s="3">
        <v>35</v>
      </c>
      <c r="AF15" s="3">
        <v>0</v>
      </c>
      <c r="AG15" s="3">
        <v>583.680294</v>
      </c>
      <c r="AH15" s="3">
        <v>0.137931034482758</v>
      </c>
      <c r="AI15" s="3" t="s">
        <v>182</v>
      </c>
      <c r="AJ15" s="3" t="s">
        <v>177</v>
      </c>
    </row>
    <row r="16" spans="1:36">
      <c r="A16" s="6">
        <v>43288</v>
      </c>
      <c r="B16" s="3" t="s">
        <v>24</v>
      </c>
      <c r="C16" s="3" t="s">
        <v>25</v>
      </c>
      <c r="D16" s="3" t="s">
        <v>26</v>
      </c>
      <c r="E16" s="3" t="s">
        <v>27</v>
      </c>
      <c r="F16" s="3" t="s">
        <v>159</v>
      </c>
      <c r="G16" s="3">
        <v>15</v>
      </c>
      <c r="H16" s="3">
        <v>0</v>
      </c>
      <c r="I16" s="3">
        <v>0</v>
      </c>
      <c r="J16" s="3">
        <v>1</v>
      </c>
      <c r="K16" s="3">
        <v>2</v>
      </c>
      <c r="L16" s="3">
        <v>1</v>
      </c>
      <c r="M16" s="3">
        <v>11</v>
      </c>
      <c r="N16" s="3" t="s">
        <v>160</v>
      </c>
      <c r="O16" s="3">
        <v>3</v>
      </c>
      <c r="P16" s="3">
        <v>0.44</v>
      </c>
      <c r="Q16" s="3">
        <v>11</v>
      </c>
      <c r="R16" s="3">
        <v>5.5</v>
      </c>
      <c r="S16" s="3">
        <v>2</v>
      </c>
      <c r="T16" s="3">
        <v>4</v>
      </c>
      <c r="U16" s="3">
        <v>4</v>
      </c>
      <c r="V16" s="3">
        <v>5</v>
      </c>
      <c r="W16" s="3" t="s">
        <v>161</v>
      </c>
      <c r="X16" s="3">
        <v>16.39</v>
      </c>
      <c r="Y16" s="3">
        <v>16.39</v>
      </c>
      <c r="Z16" s="3">
        <v>16.39</v>
      </c>
      <c r="AA16" s="3">
        <v>0</v>
      </c>
      <c r="AB16" s="3" t="s">
        <v>162</v>
      </c>
      <c r="AC16" s="3">
        <v>15</v>
      </c>
      <c r="AD16" s="3">
        <v>17.39</v>
      </c>
      <c r="AE16" s="3">
        <v>0</v>
      </c>
      <c r="AF16" s="3">
        <v>0</v>
      </c>
      <c r="AG16" s="3">
        <v>0</v>
      </c>
      <c r="AH16" s="3">
        <v>0.275862068965517</v>
      </c>
      <c r="AI16" s="3" t="s">
        <v>204</v>
      </c>
      <c r="AJ16" s="3" t="s">
        <v>164</v>
      </c>
    </row>
    <row r="17" spans="1:36">
      <c r="A17" s="6">
        <v>43288</v>
      </c>
      <c r="B17" s="3" t="s">
        <v>205</v>
      </c>
      <c r="C17" s="3" t="s">
        <v>206</v>
      </c>
      <c r="D17" s="3" t="s">
        <v>207</v>
      </c>
      <c r="E17" s="3" t="s">
        <v>208</v>
      </c>
      <c r="F17" s="3" t="s">
        <v>159</v>
      </c>
      <c r="G17" s="3">
        <v>92</v>
      </c>
      <c r="H17" s="3">
        <v>0</v>
      </c>
      <c r="I17" s="3">
        <v>0</v>
      </c>
      <c r="J17" s="3">
        <v>0</v>
      </c>
      <c r="K17" s="3">
        <v>92</v>
      </c>
      <c r="L17" s="3">
        <v>0</v>
      </c>
      <c r="M17" s="3">
        <v>0</v>
      </c>
      <c r="N17" s="3" t="s">
        <v>160</v>
      </c>
      <c r="O17" s="3">
        <v>92</v>
      </c>
      <c r="P17" s="3">
        <v>22.08</v>
      </c>
      <c r="Q17" s="3">
        <v>0</v>
      </c>
      <c r="R17" s="3">
        <v>0</v>
      </c>
      <c r="S17" s="3">
        <v>0</v>
      </c>
      <c r="T17" s="3">
        <v>1</v>
      </c>
      <c r="U17" s="3">
        <v>3</v>
      </c>
      <c r="V17" s="3">
        <v>16</v>
      </c>
      <c r="W17" s="3" t="s">
        <v>161</v>
      </c>
      <c r="X17" s="3">
        <v>53.99</v>
      </c>
      <c r="Y17" s="3">
        <v>53.99</v>
      </c>
      <c r="Z17" s="3">
        <v>53.99</v>
      </c>
      <c r="AA17" s="3">
        <v>0</v>
      </c>
      <c r="AB17" s="3" t="s">
        <v>162</v>
      </c>
      <c r="AC17" s="3">
        <v>22</v>
      </c>
      <c r="AD17" s="3">
        <v>41.49</v>
      </c>
      <c r="AE17" s="3">
        <v>364</v>
      </c>
      <c r="AF17" s="3">
        <v>0</v>
      </c>
      <c r="AG17" s="3">
        <v>1159.919073</v>
      </c>
      <c r="AH17" s="3">
        <v>0.164948453608247</v>
      </c>
      <c r="AI17" s="3" t="s">
        <v>209</v>
      </c>
      <c r="AJ17" s="3" t="s">
        <v>164</v>
      </c>
    </row>
    <row r="18" spans="1:36">
      <c r="A18" s="6">
        <v>43288</v>
      </c>
      <c r="B18" s="3" t="s">
        <v>210</v>
      </c>
      <c r="C18" s="3" t="s">
        <v>211</v>
      </c>
      <c r="D18" s="3" t="s">
        <v>62</v>
      </c>
      <c r="E18" s="3" t="s">
        <v>63</v>
      </c>
      <c r="F18" s="3" t="s">
        <v>159</v>
      </c>
      <c r="G18" s="3">
        <v>1</v>
      </c>
      <c r="H18" s="3">
        <v>0</v>
      </c>
      <c r="I18" s="3">
        <v>0</v>
      </c>
      <c r="J18" s="3">
        <v>1</v>
      </c>
      <c r="K18" s="3">
        <v>0</v>
      </c>
      <c r="L18" s="3">
        <v>0</v>
      </c>
      <c r="M18" s="3">
        <v>0</v>
      </c>
      <c r="N18" s="3" t="s">
        <v>160</v>
      </c>
      <c r="O18" s="3">
        <v>1</v>
      </c>
      <c r="P18" s="3">
        <v>0.25</v>
      </c>
      <c r="Q18" s="3">
        <v>0</v>
      </c>
      <c r="R18" s="3">
        <v>0</v>
      </c>
      <c r="S18" s="3">
        <v>2</v>
      </c>
      <c r="T18" s="3">
        <v>9</v>
      </c>
      <c r="U18" s="3">
        <v>15</v>
      </c>
      <c r="V18" s="3">
        <v>39</v>
      </c>
      <c r="W18" s="3" t="s">
        <v>161</v>
      </c>
      <c r="X18" s="3">
        <v>39.21</v>
      </c>
      <c r="Y18" s="3">
        <v>39.21</v>
      </c>
      <c r="Z18" s="3">
        <v>35.99</v>
      </c>
      <c r="AA18" s="3">
        <v>0</v>
      </c>
      <c r="AB18" s="3" t="s">
        <v>162</v>
      </c>
      <c r="AC18" s="3">
        <v>1</v>
      </c>
      <c r="AD18" s="3">
        <v>39.21</v>
      </c>
      <c r="AE18" s="3">
        <v>0</v>
      </c>
      <c r="AF18" s="3">
        <v>0</v>
      </c>
      <c r="AG18" s="3">
        <v>0</v>
      </c>
      <c r="AH18" s="3">
        <v>0.78714859437751</v>
      </c>
      <c r="AI18" s="3" t="s">
        <v>212</v>
      </c>
      <c r="AJ18" s="3" t="s">
        <v>164</v>
      </c>
    </row>
    <row r="19" spans="1:36">
      <c r="A19" s="6">
        <v>43288</v>
      </c>
      <c r="B19" s="3" t="s">
        <v>121</v>
      </c>
      <c r="C19" s="3" t="s">
        <v>122</v>
      </c>
      <c r="D19" s="3" t="s">
        <v>123</v>
      </c>
      <c r="E19" s="3" t="s">
        <v>124</v>
      </c>
      <c r="F19" s="3" t="s">
        <v>159</v>
      </c>
      <c r="G19" s="3">
        <v>6</v>
      </c>
      <c r="H19" s="3">
        <v>0</v>
      </c>
      <c r="I19" s="3">
        <v>0</v>
      </c>
      <c r="J19" s="3">
        <v>3</v>
      </c>
      <c r="K19" s="3">
        <v>0</v>
      </c>
      <c r="L19" s="3">
        <v>3</v>
      </c>
      <c r="M19" s="3">
        <v>0</v>
      </c>
      <c r="N19" s="3" t="s">
        <v>160</v>
      </c>
      <c r="O19" s="3">
        <v>3</v>
      </c>
      <c r="P19" s="3">
        <v>0.09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/>
      <c r="X19" s="3"/>
      <c r="Y19" s="3"/>
      <c r="Z19" s="3">
        <v>-1</v>
      </c>
      <c r="AA19" s="3">
        <v>-1</v>
      </c>
      <c r="AB19" s="3" t="s">
        <v>213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 t="s">
        <v>214</v>
      </c>
      <c r="AJ19" s="3" t="s">
        <v>164</v>
      </c>
    </row>
    <row r="20" spans="1:36">
      <c r="A20" s="6">
        <v>43288</v>
      </c>
      <c r="B20" s="3" t="s">
        <v>215</v>
      </c>
      <c r="C20" s="3" t="s">
        <v>216</v>
      </c>
      <c r="D20" s="3" t="s">
        <v>216</v>
      </c>
      <c r="E20" s="3" t="s">
        <v>217</v>
      </c>
      <c r="F20" s="3" t="s">
        <v>159</v>
      </c>
      <c r="G20" s="3">
        <v>7</v>
      </c>
      <c r="H20" s="3">
        <v>0</v>
      </c>
      <c r="I20" s="3">
        <v>0</v>
      </c>
      <c r="J20" s="3">
        <v>0</v>
      </c>
      <c r="K20" s="3">
        <v>7</v>
      </c>
      <c r="L20" s="3">
        <v>0</v>
      </c>
      <c r="M20" s="3">
        <v>0</v>
      </c>
      <c r="N20" s="3" t="s">
        <v>160</v>
      </c>
      <c r="O20" s="3">
        <v>7</v>
      </c>
      <c r="P20" s="3">
        <v>44.31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 t="s">
        <v>174</v>
      </c>
      <c r="X20" s="3">
        <v>42.49</v>
      </c>
      <c r="Y20" s="3">
        <v>42.49</v>
      </c>
      <c r="Z20" s="3">
        <v>42.49</v>
      </c>
      <c r="AA20" s="3">
        <v>0</v>
      </c>
      <c r="AB20" s="3" t="s">
        <v>175</v>
      </c>
      <c r="AC20" s="3">
        <v>0</v>
      </c>
      <c r="AD20" s="3">
        <v>36.26</v>
      </c>
      <c r="AE20" s="3">
        <v>35</v>
      </c>
      <c r="AF20" s="3">
        <v>0</v>
      </c>
      <c r="AG20" s="3">
        <v>572.22004</v>
      </c>
      <c r="AH20" s="3">
        <v>0</v>
      </c>
      <c r="AI20" s="3" t="s">
        <v>182</v>
      </c>
      <c r="AJ20" s="3" t="s">
        <v>177</v>
      </c>
    </row>
    <row r="21" spans="1:36">
      <c r="A21" s="6">
        <v>43288</v>
      </c>
      <c r="B21" s="3" t="s">
        <v>74</v>
      </c>
      <c r="C21" s="3" t="s">
        <v>75</v>
      </c>
      <c r="D21" s="3" t="s">
        <v>76</v>
      </c>
      <c r="E21" s="3" t="s">
        <v>77</v>
      </c>
      <c r="F21" s="3" t="s">
        <v>159</v>
      </c>
      <c r="G21" s="3">
        <v>49</v>
      </c>
      <c r="H21" s="3">
        <v>0</v>
      </c>
      <c r="I21" s="3">
        <v>49</v>
      </c>
      <c r="J21" s="3">
        <v>0</v>
      </c>
      <c r="K21" s="3">
        <v>0</v>
      </c>
      <c r="L21" s="3">
        <v>0</v>
      </c>
      <c r="M21" s="3">
        <v>0</v>
      </c>
      <c r="N21" s="3" t="s">
        <v>160</v>
      </c>
      <c r="O21" s="3">
        <v>0</v>
      </c>
      <c r="P21" s="3">
        <v>0</v>
      </c>
      <c r="Q21" s="3">
        <v>0</v>
      </c>
      <c r="R21" s="3">
        <v>0</v>
      </c>
      <c r="S21" s="3">
        <v>5</v>
      </c>
      <c r="T21" s="3">
        <v>48</v>
      </c>
      <c r="U21" s="3">
        <v>54</v>
      </c>
      <c r="V21" s="3">
        <v>54</v>
      </c>
      <c r="W21" s="3"/>
      <c r="X21" s="3">
        <v>25.99</v>
      </c>
      <c r="Y21" s="3">
        <v>25.99</v>
      </c>
      <c r="Z21" s="3">
        <v>25.99</v>
      </c>
      <c r="AA21" s="3">
        <v>0</v>
      </c>
      <c r="AB21" s="3" t="s">
        <v>181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2.016</v>
      </c>
      <c r="AI21" s="3" t="s">
        <v>218</v>
      </c>
      <c r="AJ21" s="3" t="s">
        <v>164</v>
      </c>
    </row>
    <row r="22" spans="1:36">
      <c r="A22" s="6">
        <v>43288</v>
      </c>
      <c r="B22" s="3" t="s">
        <v>219</v>
      </c>
      <c r="C22" s="3" t="s">
        <v>220</v>
      </c>
      <c r="D22" s="3" t="s">
        <v>220</v>
      </c>
      <c r="E22" s="3" t="s">
        <v>221</v>
      </c>
      <c r="F22" s="3" t="s">
        <v>159</v>
      </c>
      <c r="G22" s="3">
        <v>6</v>
      </c>
      <c r="H22" s="3">
        <v>0</v>
      </c>
      <c r="I22" s="3">
        <v>0</v>
      </c>
      <c r="J22" s="3">
        <v>6</v>
      </c>
      <c r="K22" s="3">
        <v>0</v>
      </c>
      <c r="L22" s="3">
        <v>0</v>
      </c>
      <c r="M22" s="3">
        <v>0</v>
      </c>
      <c r="N22" s="3" t="s">
        <v>160</v>
      </c>
      <c r="O22" s="3">
        <v>6</v>
      </c>
      <c r="P22" s="3">
        <v>74.87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1</v>
      </c>
      <c r="W22" s="3" t="s">
        <v>174</v>
      </c>
      <c r="X22" s="3">
        <v>42.99</v>
      </c>
      <c r="Y22" s="3">
        <v>42.99</v>
      </c>
      <c r="Z22" s="3">
        <v>42.99</v>
      </c>
      <c r="AA22" s="3">
        <v>0</v>
      </c>
      <c r="AB22" s="3" t="s">
        <v>175</v>
      </c>
      <c r="AC22" s="3">
        <v>0</v>
      </c>
      <c r="AD22" s="3">
        <v>32.74</v>
      </c>
      <c r="AE22" s="3">
        <v>126</v>
      </c>
      <c r="AF22" s="3">
        <v>0</v>
      </c>
      <c r="AG22" s="3">
        <v>800.558194</v>
      </c>
      <c r="AH22" s="3">
        <v>0.16</v>
      </c>
      <c r="AI22" s="3" t="s">
        <v>222</v>
      </c>
      <c r="AJ22" s="3" t="s">
        <v>177</v>
      </c>
    </row>
    <row r="23" spans="1:36">
      <c r="A23" s="6">
        <v>43288</v>
      </c>
      <c r="B23" s="3" t="s">
        <v>223</v>
      </c>
      <c r="C23" s="3" t="s">
        <v>224</v>
      </c>
      <c r="D23" s="3" t="s">
        <v>224</v>
      </c>
      <c r="E23" s="3" t="s">
        <v>225</v>
      </c>
      <c r="F23" s="3" t="s">
        <v>159</v>
      </c>
      <c r="G23" s="3">
        <v>6</v>
      </c>
      <c r="H23" s="3">
        <v>0</v>
      </c>
      <c r="I23" s="3">
        <v>0</v>
      </c>
      <c r="J23" s="3">
        <v>6</v>
      </c>
      <c r="K23" s="3">
        <v>0</v>
      </c>
      <c r="L23" s="3">
        <v>0</v>
      </c>
      <c r="M23" s="3">
        <v>0</v>
      </c>
      <c r="N23" s="3" t="s">
        <v>160</v>
      </c>
      <c r="O23" s="3">
        <v>6</v>
      </c>
      <c r="P23" s="3">
        <v>52.72</v>
      </c>
      <c r="Q23" s="3">
        <v>0</v>
      </c>
      <c r="R23" s="3">
        <v>0</v>
      </c>
      <c r="S23" s="3">
        <v>0</v>
      </c>
      <c r="T23" s="3">
        <v>0</v>
      </c>
      <c r="U23" s="3">
        <v>2</v>
      </c>
      <c r="V23" s="3">
        <v>2</v>
      </c>
      <c r="W23" s="3" t="s">
        <v>174</v>
      </c>
      <c r="X23" s="3">
        <v>34.39</v>
      </c>
      <c r="Y23" s="3">
        <v>34.39</v>
      </c>
      <c r="Z23" s="3">
        <v>34.39</v>
      </c>
      <c r="AA23" s="3">
        <v>0</v>
      </c>
      <c r="AB23" s="3" t="s">
        <v>181</v>
      </c>
      <c r="AC23" s="3">
        <v>6</v>
      </c>
      <c r="AD23" s="3">
        <v>34.39</v>
      </c>
      <c r="AE23" s="3">
        <v>0</v>
      </c>
      <c r="AF23" s="3">
        <v>0</v>
      </c>
      <c r="AG23" s="3">
        <v>0</v>
      </c>
      <c r="AH23" s="3">
        <v>0.285714285714285</v>
      </c>
      <c r="AI23" s="3" t="s">
        <v>176</v>
      </c>
      <c r="AJ23" s="3" t="s">
        <v>177</v>
      </c>
    </row>
    <row r="24" spans="1:36">
      <c r="A24" s="6">
        <v>43288</v>
      </c>
      <c r="B24" s="3" t="s">
        <v>226</v>
      </c>
      <c r="C24" s="3" t="s">
        <v>227</v>
      </c>
      <c r="D24" s="3" t="s">
        <v>228</v>
      </c>
      <c r="E24" s="3" t="s">
        <v>229</v>
      </c>
      <c r="F24" s="3" t="s">
        <v>159</v>
      </c>
      <c r="G24" s="3">
        <v>36</v>
      </c>
      <c r="H24" s="3">
        <v>0</v>
      </c>
      <c r="I24" s="3">
        <v>2</v>
      </c>
      <c r="J24" s="3">
        <v>34</v>
      </c>
      <c r="K24" s="3">
        <v>0</v>
      </c>
      <c r="L24" s="3">
        <v>0</v>
      </c>
      <c r="M24" s="3">
        <v>0</v>
      </c>
      <c r="N24" s="3" t="s">
        <v>160</v>
      </c>
      <c r="O24" s="3">
        <v>34</v>
      </c>
      <c r="P24" s="3">
        <v>8.13</v>
      </c>
      <c r="Q24" s="3">
        <v>0</v>
      </c>
      <c r="R24" s="3">
        <v>0</v>
      </c>
      <c r="S24" s="3">
        <v>4</v>
      </c>
      <c r="T24" s="3">
        <v>10</v>
      </c>
      <c r="U24" s="3">
        <v>16</v>
      </c>
      <c r="V24" s="3">
        <v>52</v>
      </c>
      <c r="W24" s="3" t="s">
        <v>161</v>
      </c>
      <c r="X24" s="3">
        <v>46.99</v>
      </c>
      <c r="Y24" s="3">
        <v>46.99</v>
      </c>
      <c r="Z24" s="3">
        <v>46.99</v>
      </c>
      <c r="AA24" s="3">
        <v>0</v>
      </c>
      <c r="AB24" s="3" t="s">
        <v>162</v>
      </c>
      <c r="AC24" s="3">
        <v>40</v>
      </c>
      <c r="AD24" s="3">
        <v>46.99</v>
      </c>
      <c r="AE24" s="3">
        <v>0</v>
      </c>
      <c r="AF24" s="3">
        <v>0</v>
      </c>
      <c r="AG24" s="3">
        <v>0</v>
      </c>
      <c r="AH24" s="3">
        <v>0.932735426008968</v>
      </c>
      <c r="AI24" s="3" t="s">
        <v>230</v>
      </c>
      <c r="AJ24" s="3" t="s">
        <v>164</v>
      </c>
    </row>
    <row r="25" spans="1:36">
      <c r="A25" s="6">
        <v>43288</v>
      </c>
      <c r="B25" s="3" t="s">
        <v>231</v>
      </c>
      <c r="C25" s="3" t="s">
        <v>232</v>
      </c>
      <c r="D25" s="3" t="s">
        <v>232</v>
      </c>
      <c r="E25" s="3" t="s">
        <v>233</v>
      </c>
      <c r="F25" s="3" t="s">
        <v>159</v>
      </c>
      <c r="G25" s="3">
        <v>4</v>
      </c>
      <c r="H25" s="3">
        <v>0</v>
      </c>
      <c r="I25" s="3">
        <v>2</v>
      </c>
      <c r="J25" s="3">
        <v>2</v>
      </c>
      <c r="K25" s="3">
        <v>0</v>
      </c>
      <c r="L25" s="3">
        <v>0</v>
      </c>
      <c r="M25" s="3">
        <v>0</v>
      </c>
      <c r="N25" s="3" t="s">
        <v>160</v>
      </c>
      <c r="O25" s="3">
        <v>2</v>
      </c>
      <c r="P25" s="3">
        <v>24.96</v>
      </c>
      <c r="Q25" s="3">
        <v>0</v>
      </c>
      <c r="R25" s="3">
        <v>0</v>
      </c>
      <c r="S25" s="3">
        <v>0</v>
      </c>
      <c r="T25" s="3">
        <v>0</v>
      </c>
      <c r="U25" s="3">
        <v>1</v>
      </c>
      <c r="V25" s="3">
        <v>2</v>
      </c>
      <c r="W25" s="3" t="s">
        <v>174</v>
      </c>
      <c r="X25" s="3">
        <v>42.99</v>
      </c>
      <c r="Y25" s="3">
        <v>42.99</v>
      </c>
      <c r="Z25" s="3">
        <v>42.99</v>
      </c>
      <c r="AA25" s="3">
        <v>0</v>
      </c>
      <c r="AB25" s="3" t="s">
        <v>175</v>
      </c>
      <c r="AC25" s="3">
        <v>0</v>
      </c>
      <c r="AD25" s="3">
        <v>34.39</v>
      </c>
      <c r="AE25" s="3">
        <v>350</v>
      </c>
      <c r="AF25" s="3">
        <v>0</v>
      </c>
      <c r="AG25" s="3">
        <v>477.293435</v>
      </c>
      <c r="AH25" s="3">
        <v>0.470588235294117</v>
      </c>
      <c r="AI25" s="3" t="s">
        <v>222</v>
      </c>
      <c r="AJ25" s="3" t="s">
        <v>177</v>
      </c>
    </row>
    <row r="26" spans="1:36">
      <c r="A26" s="6">
        <v>43288</v>
      </c>
      <c r="B26" s="3" t="s">
        <v>234</v>
      </c>
      <c r="C26" s="3" t="s">
        <v>235</v>
      </c>
      <c r="D26" s="3" t="s">
        <v>235</v>
      </c>
      <c r="E26" s="3" t="s">
        <v>236</v>
      </c>
      <c r="F26" s="3" t="s">
        <v>159</v>
      </c>
      <c r="G26" s="3">
        <v>7</v>
      </c>
      <c r="H26" s="3">
        <v>0</v>
      </c>
      <c r="I26" s="3">
        <v>7</v>
      </c>
      <c r="J26" s="3">
        <v>0</v>
      </c>
      <c r="K26" s="3">
        <v>0</v>
      </c>
      <c r="L26" s="3">
        <v>0</v>
      </c>
      <c r="M26" s="3">
        <v>0</v>
      </c>
      <c r="N26" s="3" t="s">
        <v>160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1</v>
      </c>
      <c r="V26" s="3">
        <v>2</v>
      </c>
      <c r="W26" s="3" t="s">
        <v>174</v>
      </c>
      <c r="X26" s="3">
        <v>42.99</v>
      </c>
      <c r="Y26" s="3">
        <v>42.99</v>
      </c>
      <c r="Z26" s="3">
        <v>42.99</v>
      </c>
      <c r="AA26" s="3">
        <v>0</v>
      </c>
      <c r="AB26" s="3" t="s">
        <v>175</v>
      </c>
      <c r="AC26" s="3">
        <v>0</v>
      </c>
      <c r="AD26" s="3">
        <v>38</v>
      </c>
      <c r="AE26" s="3">
        <v>161</v>
      </c>
      <c r="AF26" s="3">
        <v>0</v>
      </c>
      <c r="AG26" s="3">
        <v>826.659622</v>
      </c>
      <c r="AH26" s="3">
        <v>0.266666666666666</v>
      </c>
      <c r="AI26" s="3" t="s">
        <v>222</v>
      </c>
      <c r="AJ26" s="3" t="s">
        <v>177</v>
      </c>
    </row>
    <row r="27" spans="1:36">
      <c r="A27" s="6">
        <v>43288</v>
      </c>
      <c r="B27" s="3" t="s">
        <v>100</v>
      </c>
      <c r="C27" s="3" t="s">
        <v>101</v>
      </c>
      <c r="D27" s="3" t="s">
        <v>30</v>
      </c>
      <c r="E27" s="3" t="s">
        <v>31</v>
      </c>
      <c r="F27" s="3" t="s">
        <v>159</v>
      </c>
      <c r="G27" s="3">
        <v>150</v>
      </c>
      <c r="H27" s="3">
        <v>0</v>
      </c>
      <c r="I27" s="3">
        <v>0</v>
      </c>
      <c r="J27" s="3">
        <v>3</v>
      </c>
      <c r="K27" s="3">
        <v>147</v>
      </c>
      <c r="L27" s="3">
        <v>0</v>
      </c>
      <c r="M27" s="3">
        <v>0</v>
      </c>
      <c r="N27" s="3" t="s">
        <v>160</v>
      </c>
      <c r="O27" s="3">
        <v>150</v>
      </c>
      <c r="P27" s="3">
        <v>1.51</v>
      </c>
      <c r="Q27" s="3">
        <v>0</v>
      </c>
      <c r="R27" s="3">
        <v>0</v>
      </c>
      <c r="S27" s="3">
        <v>4</v>
      </c>
      <c r="T27" s="3">
        <v>11</v>
      </c>
      <c r="U27" s="3">
        <v>12</v>
      </c>
      <c r="V27" s="3">
        <v>14</v>
      </c>
      <c r="W27" s="3" t="s">
        <v>161</v>
      </c>
      <c r="X27" s="3">
        <v>15.61</v>
      </c>
      <c r="Y27" s="3">
        <v>15.61</v>
      </c>
      <c r="Z27" s="3">
        <v>15.61</v>
      </c>
      <c r="AA27" s="3">
        <v>0</v>
      </c>
      <c r="AB27" s="3" t="s">
        <v>194</v>
      </c>
      <c r="AC27" s="3">
        <v>156</v>
      </c>
      <c r="AD27" s="3">
        <v>15.59</v>
      </c>
      <c r="AE27" s="3">
        <v>0</v>
      </c>
      <c r="AF27" s="3">
        <v>0</v>
      </c>
      <c r="AG27" s="3">
        <v>0</v>
      </c>
      <c r="AH27" s="3">
        <v>0.193406593406593</v>
      </c>
      <c r="AI27" s="3" t="s">
        <v>199</v>
      </c>
      <c r="AJ27" s="3" t="s">
        <v>164</v>
      </c>
    </row>
    <row r="28" spans="1:36">
      <c r="A28" s="6">
        <v>43288</v>
      </c>
      <c r="B28" s="3" t="s">
        <v>237</v>
      </c>
      <c r="C28" s="3" t="s">
        <v>238</v>
      </c>
      <c r="D28" s="3" t="s">
        <v>238</v>
      </c>
      <c r="E28" s="3" t="s">
        <v>239</v>
      </c>
      <c r="F28" s="3" t="s">
        <v>159</v>
      </c>
      <c r="G28" s="3">
        <v>14</v>
      </c>
      <c r="H28" s="3">
        <v>0</v>
      </c>
      <c r="I28" s="3">
        <v>2</v>
      </c>
      <c r="J28" s="3">
        <v>0</v>
      </c>
      <c r="K28" s="3">
        <v>12</v>
      </c>
      <c r="L28" s="3">
        <v>0</v>
      </c>
      <c r="M28" s="3">
        <v>0</v>
      </c>
      <c r="N28" s="3" t="s">
        <v>160</v>
      </c>
      <c r="O28" s="3">
        <v>12</v>
      </c>
      <c r="P28" s="3">
        <v>75.96</v>
      </c>
      <c r="Q28" s="3">
        <v>0</v>
      </c>
      <c r="R28" s="3">
        <v>0</v>
      </c>
      <c r="S28" s="3">
        <v>0</v>
      </c>
      <c r="T28" s="3">
        <v>2</v>
      </c>
      <c r="U28" s="3">
        <v>2</v>
      </c>
      <c r="V28" s="3">
        <v>2</v>
      </c>
      <c r="W28" s="3"/>
      <c r="X28" s="3">
        <v>34.39</v>
      </c>
      <c r="Y28" s="3">
        <v>34.39</v>
      </c>
      <c r="Z28" s="3">
        <v>34.39</v>
      </c>
      <c r="AA28" s="3">
        <v>0</v>
      </c>
      <c r="AB28" s="3" t="s">
        <v>175</v>
      </c>
      <c r="AC28" s="3">
        <v>11</v>
      </c>
      <c r="AD28" s="3">
        <v>31.06</v>
      </c>
      <c r="AE28" s="3">
        <v>35</v>
      </c>
      <c r="AF28" s="3">
        <v>0</v>
      </c>
      <c r="AG28" s="3">
        <v>1.170588</v>
      </c>
      <c r="AH28" s="3">
        <v>0.135593220338983</v>
      </c>
      <c r="AI28" s="3" t="s">
        <v>182</v>
      </c>
      <c r="AJ28" s="3" t="s">
        <v>177</v>
      </c>
    </row>
    <row r="29" spans="1:36">
      <c r="A29" s="6">
        <v>43288</v>
      </c>
      <c r="B29" s="3" t="s">
        <v>240</v>
      </c>
      <c r="C29" s="3" t="s">
        <v>241</v>
      </c>
      <c r="D29" s="3" t="s">
        <v>241</v>
      </c>
      <c r="E29" s="3" t="s">
        <v>242</v>
      </c>
      <c r="F29" s="3" t="s">
        <v>159</v>
      </c>
      <c r="G29" s="3">
        <v>8</v>
      </c>
      <c r="H29" s="3">
        <v>0</v>
      </c>
      <c r="I29" s="3">
        <v>0</v>
      </c>
      <c r="J29" s="3">
        <v>8</v>
      </c>
      <c r="K29" s="3">
        <v>0</v>
      </c>
      <c r="L29" s="3">
        <v>0</v>
      </c>
      <c r="M29" s="3">
        <v>0</v>
      </c>
      <c r="N29" s="3" t="s">
        <v>160</v>
      </c>
      <c r="O29" s="3">
        <v>8</v>
      </c>
      <c r="P29" s="3">
        <v>70.3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174</v>
      </c>
      <c r="X29" s="3">
        <v>34.39</v>
      </c>
      <c r="Y29" s="3">
        <v>34.39</v>
      </c>
      <c r="Z29" s="3">
        <v>34.39</v>
      </c>
      <c r="AA29" s="3">
        <v>0</v>
      </c>
      <c r="AB29" s="3" t="s">
        <v>175</v>
      </c>
      <c r="AC29" s="3">
        <v>0</v>
      </c>
      <c r="AD29" s="3">
        <v>27.51</v>
      </c>
      <c r="AE29" s="3">
        <v>63</v>
      </c>
      <c r="AF29" s="3">
        <v>0</v>
      </c>
      <c r="AG29" s="3">
        <v>749.467653</v>
      </c>
      <c r="AH29" s="3">
        <v>0</v>
      </c>
      <c r="AI29" s="3" t="s">
        <v>176</v>
      </c>
      <c r="AJ29" s="3" t="s">
        <v>177</v>
      </c>
    </row>
    <row r="30" spans="1:36">
      <c r="A30" s="6">
        <v>43288</v>
      </c>
      <c r="B30" s="3" t="s">
        <v>243</v>
      </c>
      <c r="C30" s="3" t="s">
        <v>244</v>
      </c>
      <c r="D30" s="3" t="s">
        <v>245</v>
      </c>
      <c r="E30" s="3" t="s">
        <v>246</v>
      </c>
      <c r="F30" s="3" t="s">
        <v>159</v>
      </c>
      <c r="G30" s="3">
        <v>36</v>
      </c>
      <c r="H30" s="3">
        <v>0</v>
      </c>
      <c r="I30" s="3">
        <v>0</v>
      </c>
      <c r="J30" s="3">
        <v>36</v>
      </c>
      <c r="K30" s="3">
        <v>0</v>
      </c>
      <c r="L30" s="3">
        <v>0</v>
      </c>
      <c r="M30" s="3">
        <v>0</v>
      </c>
      <c r="N30" s="3" t="s">
        <v>160</v>
      </c>
      <c r="O30" s="3">
        <v>0</v>
      </c>
      <c r="P30" s="3">
        <v>0</v>
      </c>
      <c r="Q30" s="3">
        <v>0</v>
      </c>
      <c r="R30" s="3">
        <v>0</v>
      </c>
      <c r="S30" s="3">
        <v>4</v>
      </c>
      <c r="T30" s="3">
        <v>4</v>
      </c>
      <c r="U30" s="3">
        <v>4</v>
      </c>
      <c r="V30" s="3">
        <v>10</v>
      </c>
      <c r="W30" s="3" t="s">
        <v>161</v>
      </c>
      <c r="X30" s="3">
        <v>18.19</v>
      </c>
      <c r="Y30" s="3">
        <v>18.19</v>
      </c>
      <c r="Z30" s="3">
        <v>18.19</v>
      </c>
      <c r="AA30" s="3">
        <v>0</v>
      </c>
      <c r="AB30" s="3" t="s">
        <v>162</v>
      </c>
      <c r="AC30" s="3">
        <v>0</v>
      </c>
      <c r="AD30" s="3">
        <v>15.43</v>
      </c>
      <c r="AE30" s="3">
        <v>364</v>
      </c>
      <c r="AF30" s="3">
        <v>0</v>
      </c>
      <c r="AG30" s="3">
        <v>391.045503</v>
      </c>
      <c r="AH30" s="3">
        <v>0.294117647058823</v>
      </c>
      <c r="AI30" s="3" t="s">
        <v>247</v>
      </c>
      <c r="AJ30" s="3" t="s">
        <v>164</v>
      </c>
    </row>
    <row r="31" spans="1:36">
      <c r="A31" s="6">
        <v>43288</v>
      </c>
      <c r="B31" s="3" t="s">
        <v>248</v>
      </c>
      <c r="C31" s="3" t="s">
        <v>249</v>
      </c>
      <c r="D31" s="3" t="s">
        <v>249</v>
      </c>
      <c r="E31" s="3" t="s">
        <v>250</v>
      </c>
      <c r="F31" s="3" t="s">
        <v>159</v>
      </c>
      <c r="G31" s="3">
        <v>1</v>
      </c>
      <c r="H31" s="3">
        <v>0</v>
      </c>
      <c r="I31" s="3">
        <v>1</v>
      </c>
      <c r="J31" s="3">
        <v>0</v>
      </c>
      <c r="K31" s="3">
        <v>0</v>
      </c>
      <c r="L31" s="3">
        <v>0</v>
      </c>
      <c r="M31" s="3">
        <v>0</v>
      </c>
      <c r="N31" s="3" t="s">
        <v>160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3</v>
      </c>
      <c r="V31" s="3">
        <v>8</v>
      </c>
      <c r="W31" s="3" t="s">
        <v>174</v>
      </c>
      <c r="X31" s="3">
        <v>42.99</v>
      </c>
      <c r="Y31" s="3">
        <v>42.99</v>
      </c>
      <c r="Z31" s="3">
        <v>42.99</v>
      </c>
      <c r="AA31" s="3">
        <v>0</v>
      </c>
      <c r="AB31" s="3" t="s">
        <v>175</v>
      </c>
      <c r="AC31" s="3">
        <v>0</v>
      </c>
      <c r="AD31" s="3">
        <v>34.39</v>
      </c>
      <c r="AE31" s="3">
        <v>63</v>
      </c>
      <c r="AF31" s="3">
        <v>0</v>
      </c>
      <c r="AG31" s="3">
        <v>31.169062</v>
      </c>
      <c r="AH31" s="3">
        <v>4</v>
      </c>
      <c r="AI31" s="3" t="s">
        <v>222</v>
      </c>
      <c r="AJ31" s="3" t="s">
        <v>177</v>
      </c>
    </row>
    <row r="32" spans="1:36">
      <c r="A32" s="6">
        <v>43288</v>
      </c>
      <c r="B32" s="3" t="s">
        <v>12</v>
      </c>
      <c r="C32" s="3" t="s">
        <v>13</v>
      </c>
      <c r="D32" s="3" t="s">
        <v>14</v>
      </c>
      <c r="E32" s="3" t="s">
        <v>15</v>
      </c>
      <c r="F32" s="3" t="s">
        <v>159</v>
      </c>
      <c r="G32" s="3">
        <v>72</v>
      </c>
      <c r="H32" s="3">
        <v>0</v>
      </c>
      <c r="I32" s="3">
        <v>72</v>
      </c>
      <c r="J32" s="3">
        <v>0</v>
      </c>
      <c r="K32" s="3">
        <v>0</v>
      </c>
      <c r="L32" s="3">
        <v>0</v>
      </c>
      <c r="M32" s="3">
        <v>0</v>
      </c>
      <c r="N32" s="3" t="s">
        <v>160</v>
      </c>
      <c r="O32" s="3">
        <v>0</v>
      </c>
      <c r="P32" s="3">
        <v>0</v>
      </c>
      <c r="Q32" s="3">
        <v>0</v>
      </c>
      <c r="R32" s="3">
        <v>0</v>
      </c>
      <c r="S32" s="3">
        <v>9</v>
      </c>
      <c r="T32" s="3">
        <v>32</v>
      </c>
      <c r="U32" s="3">
        <v>43</v>
      </c>
      <c r="V32" s="3">
        <v>43</v>
      </c>
      <c r="W32" s="3"/>
      <c r="X32" s="3">
        <v>39.09</v>
      </c>
      <c r="Y32" s="3">
        <v>39.09</v>
      </c>
      <c r="Z32" s="3">
        <v>39.09</v>
      </c>
      <c r="AA32" s="3">
        <v>0</v>
      </c>
      <c r="AB32" s="3" t="s">
        <v>181</v>
      </c>
      <c r="AC32" s="3">
        <v>43</v>
      </c>
      <c r="AD32" s="3">
        <v>39.98</v>
      </c>
      <c r="AE32" s="3">
        <v>0</v>
      </c>
      <c r="AF32" s="3">
        <v>0</v>
      </c>
      <c r="AG32" s="3">
        <v>0</v>
      </c>
      <c r="AH32" s="3">
        <v>1.26785714285714</v>
      </c>
      <c r="AI32" s="3" t="s">
        <v>251</v>
      </c>
      <c r="AJ32" s="3" t="s">
        <v>164</v>
      </c>
    </row>
    <row r="33" spans="1:36">
      <c r="A33" s="6">
        <v>43288</v>
      </c>
      <c r="B33" s="3" t="s">
        <v>252</v>
      </c>
      <c r="C33" s="3" t="s">
        <v>253</v>
      </c>
      <c r="D33" s="3" t="s">
        <v>254</v>
      </c>
      <c r="E33" s="3" t="s">
        <v>255</v>
      </c>
      <c r="F33" s="3" t="s">
        <v>159</v>
      </c>
      <c r="G33" s="3">
        <v>58</v>
      </c>
      <c r="H33" s="3">
        <v>0</v>
      </c>
      <c r="I33" s="3">
        <v>1</v>
      </c>
      <c r="J33" s="3">
        <v>1</v>
      </c>
      <c r="K33" s="3">
        <v>3</v>
      </c>
      <c r="L33" s="3">
        <v>53</v>
      </c>
      <c r="M33" s="3">
        <v>0</v>
      </c>
      <c r="N33" s="3" t="s">
        <v>160</v>
      </c>
      <c r="O33" s="3">
        <v>4</v>
      </c>
      <c r="P33" s="3">
        <v>1.59</v>
      </c>
      <c r="Q33" s="3">
        <v>52</v>
      </c>
      <c r="R33" s="3">
        <v>41.44</v>
      </c>
      <c r="S33" s="3">
        <v>4</v>
      </c>
      <c r="T33" s="3">
        <v>6</v>
      </c>
      <c r="U33" s="3">
        <v>20</v>
      </c>
      <c r="V33" s="3">
        <v>25</v>
      </c>
      <c r="W33" s="3" t="s">
        <v>161</v>
      </c>
      <c r="X33" s="3">
        <v>28.99</v>
      </c>
      <c r="Y33" s="3">
        <v>28.99</v>
      </c>
      <c r="Z33" s="3">
        <v>28.99</v>
      </c>
      <c r="AA33" s="3">
        <v>0</v>
      </c>
      <c r="AB33" s="3" t="s">
        <v>162</v>
      </c>
      <c r="AC33" s="3">
        <v>2</v>
      </c>
      <c r="AD33" s="3">
        <v>24.03</v>
      </c>
      <c r="AE33" s="3">
        <v>364</v>
      </c>
      <c r="AF33" s="3">
        <v>0</v>
      </c>
      <c r="AG33" s="3">
        <v>379.779007</v>
      </c>
      <c r="AH33" s="3">
        <v>0.349650349650349</v>
      </c>
      <c r="AI33" s="3" t="s">
        <v>256</v>
      </c>
      <c r="AJ33" s="3" t="s">
        <v>164</v>
      </c>
    </row>
    <row r="34" spans="1:36">
      <c r="A34" s="6">
        <v>43288</v>
      </c>
      <c r="B34" s="3" t="s">
        <v>257</v>
      </c>
      <c r="C34" s="3" t="s">
        <v>258</v>
      </c>
      <c r="D34" s="3" t="s">
        <v>258</v>
      </c>
      <c r="E34" s="3" t="s">
        <v>259</v>
      </c>
      <c r="F34" s="3" t="s">
        <v>159</v>
      </c>
      <c r="G34" s="3">
        <v>1</v>
      </c>
      <c r="H34" s="3">
        <v>0</v>
      </c>
      <c r="I34" s="3">
        <v>1</v>
      </c>
      <c r="J34" s="3">
        <v>0</v>
      </c>
      <c r="K34" s="3">
        <v>0</v>
      </c>
      <c r="L34" s="3">
        <v>0</v>
      </c>
      <c r="M34" s="3">
        <v>0</v>
      </c>
      <c r="N34" s="3" t="s">
        <v>160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3</v>
      </c>
      <c r="V34" s="3">
        <v>3</v>
      </c>
      <c r="W34" s="3" t="s">
        <v>174</v>
      </c>
      <c r="X34" s="3">
        <v>42.99</v>
      </c>
      <c r="Y34" s="3">
        <v>42.99</v>
      </c>
      <c r="Z34" s="3">
        <v>42.99</v>
      </c>
      <c r="AA34" s="3">
        <v>0</v>
      </c>
      <c r="AB34" s="3" t="s">
        <v>181</v>
      </c>
      <c r="AC34" s="3">
        <v>1</v>
      </c>
      <c r="AD34" s="3">
        <v>42.99</v>
      </c>
      <c r="AE34" s="3">
        <v>0</v>
      </c>
      <c r="AF34" s="3">
        <v>0</v>
      </c>
      <c r="AG34" s="3">
        <v>0</v>
      </c>
      <c r="AH34" s="3">
        <v>1.33333333333333</v>
      </c>
      <c r="AI34" s="3" t="s">
        <v>260</v>
      </c>
      <c r="AJ34" s="3" t="s">
        <v>177</v>
      </c>
    </row>
    <row r="35" spans="1:36">
      <c r="A35" s="6">
        <v>43288</v>
      </c>
      <c r="B35" s="3" t="s">
        <v>261</v>
      </c>
      <c r="C35" s="3" t="s">
        <v>262</v>
      </c>
      <c r="D35" s="3" t="s">
        <v>263</v>
      </c>
      <c r="E35" s="3" t="s">
        <v>264</v>
      </c>
      <c r="F35" s="3" t="s">
        <v>159</v>
      </c>
      <c r="G35" s="3">
        <v>188</v>
      </c>
      <c r="H35" s="3">
        <v>0</v>
      </c>
      <c r="I35" s="3">
        <v>1</v>
      </c>
      <c r="J35" s="3">
        <v>2</v>
      </c>
      <c r="K35" s="3">
        <v>160</v>
      </c>
      <c r="L35" s="3">
        <v>25</v>
      </c>
      <c r="M35" s="3">
        <v>0</v>
      </c>
      <c r="N35" s="3" t="s">
        <v>160</v>
      </c>
      <c r="O35" s="3">
        <v>162</v>
      </c>
      <c r="P35" s="3">
        <v>26.68</v>
      </c>
      <c r="Q35" s="3">
        <v>24</v>
      </c>
      <c r="R35" s="3">
        <v>12</v>
      </c>
      <c r="S35" s="3">
        <v>9</v>
      </c>
      <c r="T35" s="3">
        <v>23</v>
      </c>
      <c r="U35" s="3">
        <v>37</v>
      </c>
      <c r="V35" s="3">
        <v>65</v>
      </c>
      <c r="W35" s="3" t="s">
        <v>161</v>
      </c>
      <c r="X35" s="3">
        <v>10.59</v>
      </c>
      <c r="Y35" s="3">
        <v>10.59</v>
      </c>
      <c r="Z35" s="3">
        <v>10.59</v>
      </c>
      <c r="AA35" s="3">
        <v>0</v>
      </c>
      <c r="AB35" s="3" t="s">
        <v>162</v>
      </c>
      <c r="AC35" s="3">
        <v>190</v>
      </c>
      <c r="AD35" s="3">
        <v>11.59</v>
      </c>
      <c r="AE35" s="3">
        <v>0</v>
      </c>
      <c r="AF35" s="3">
        <v>0</v>
      </c>
      <c r="AG35" s="3">
        <v>0</v>
      </c>
      <c r="AH35" s="3">
        <v>0.295790671217292</v>
      </c>
      <c r="AI35" s="3" t="s">
        <v>265</v>
      </c>
      <c r="AJ35" s="3" t="s">
        <v>164</v>
      </c>
    </row>
    <row r="36" spans="1:36">
      <c r="A36" s="6">
        <v>43288</v>
      </c>
      <c r="B36" s="3" t="s">
        <v>86</v>
      </c>
      <c r="C36" s="3" t="s">
        <v>87</v>
      </c>
      <c r="D36" s="3" t="s">
        <v>88</v>
      </c>
      <c r="E36" s="3" t="s">
        <v>89</v>
      </c>
      <c r="F36" s="3" t="s">
        <v>159</v>
      </c>
      <c r="G36" s="3">
        <v>58</v>
      </c>
      <c r="H36" s="3">
        <v>0</v>
      </c>
      <c r="I36" s="3">
        <v>58</v>
      </c>
      <c r="J36" s="3">
        <v>0</v>
      </c>
      <c r="K36" s="3">
        <v>0</v>
      </c>
      <c r="L36" s="3">
        <v>0</v>
      </c>
      <c r="M36" s="3">
        <v>0</v>
      </c>
      <c r="N36" s="3" t="s">
        <v>160</v>
      </c>
      <c r="O36" s="3">
        <v>0</v>
      </c>
      <c r="P36" s="3">
        <v>0</v>
      </c>
      <c r="Q36" s="3">
        <v>0</v>
      </c>
      <c r="R36" s="3">
        <v>0</v>
      </c>
      <c r="S36" s="3">
        <v>7</v>
      </c>
      <c r="T36" s="3">
        <v>17</v>
      </c>
      <c r="U36" s="3">
        <v>38</v>
      </c>
      <c r="V36" s="3">
        <v>38</v>
      </c>
      <c r="W36" s="3"/>
      <c r="X36" s="3">
        <v>61.79</v>
      </c>
      <c r="Y36" s="3">
        <v>64.59</v>
      </c>
      <c r="Z36" s="3">
        <v>61.99</v>
      </c>
      <c r="AA36" s="3">
        <v>0</v>
      </c>
      <c r="AB36" s="3" t="s">
        <v>181</v>
      </c>
      <c r="AC36" s="3">
        <v>16</v>
      </c>
      <c r="AD36" s="3">
        <v>64.59</v>
      </c>
      <c r="AE36" s="3">
        <v>0</v>
      </c>
      <c r="AF36" s="3">
        <v>0</v>
      </c>
      <c r="AG36" s="3">
        <v>0</v>
      </c>
      <c r="AH36" s="3">
        <v>3.25</v>
      </c>
      <c r="AI36" s="3" t="s">
        <v>266</v>
      </c>
      <c r="AJ36" s="3" t="s">
        <v>164</v>
      </c>
    </row>
    <row r="37" spans="1:36">
      <c r="A37" s="6">
        <v>43288</v>
      </c>
      <c r="B37" s="3" t="s">
        <v>56</v>
      </c>
      <c r="C37" s="3" t="s">
        <v>57</v>
      </c>
      <c r="D37" s="3" t="s">
        <v>58</v>
      </c>
      <c r="E37" s="3" t="s">
        <v>59</v>
      </c>
      <c r="F37" s="3" t="s">
        <v>159</v>
      </c>
      <c r="G37" s="3">
        <v>43</v>
      </c>
      <c r="H37" s="3">
        <v>0</v>
      </c>
      <c r="I37" s="3">
        <v>43</v>
      </c>
      <c r="J37" s="3">
        <v>0</v>
      </c>
      <c r="K37" s="3">
        <v>0</v>
      </c>
      <c r="L37" s="3">
        <v>0</v>
      </c>
      <c r="M37" s="3">
        <v>0</v>
      </c>
      <c r="N37" s="3" t="s">
        <v>160</v>
      </c>
      <c r="O37" s="3">
        <v>0</v>
      </c>
      <c r="P37" s="3">
        <v>0</v>
      </c>
      <c r="Q37" s="3">
        <v>0</v>
      </c>
      <c r="R37" s="3">
        <v>0</v>
      </c>
      <c r="S37" s="3">
        <v>1</v>
      </c>
      <c r="T37" s="3">
        <v>1</v>
      </c>
      <c r="U37" s="3">
        <v>1</v>
      </c>
      <c r="V37" s="3">
        <v>40</v>
      </c>
      <c r="W37" s="3" t="s">
        <v>161</v>
      </c>
      <c r="X37" s="3">
        <v>20.99</v>
      </c>
      <c r="Y37" s="3">
        <v>20.99</v>
      </c>
      <c r="Z37" s="3">
        <v>20.99</v>
      </c>
      <c r="AA37" s="3">
        <v>0</v>
      </c>
      <c r="AB37" s="3" t="s">
        <v>162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1.95238095238095</v>
      </c>
      <c r="AI37" s="3" t="s">
        <v>267</v>
      </c>
      <c r="AJ37" s="3" t="s">
        <v>164</v>
      </c>
    </row>
    <row r="38" spans="1:36">
      <c r="A38" s="6">
        <v>43288</v>
      </c>
      <c r="B38" s="3" t="s">
        <v>268</v>
      </c>
      <c r="C38" s="3" t="s">
        <v>269</v>
      </c>
      <c r="D38" s="3" t="s">
        <v>269</v>
      </c>
      <c r="E38" s="3" t="s">
        <v>270</v>
      </c>
      <c r="F38" s="3" t="s">
        <v>159</v>
      </c>
      <c r="G38" s="3">
        <v>1</v>
      </c>
      <c r="H38" s="3">
        <v>0</v>
      </c>
      <c r="I38" s="3">
        <v>1</v>
      </c>
      <c r="J38" s="3">
        <v>0</v>
      </c>
      <c r="K38" s="3">
        <v>0</v>
      </c>
      <c r="L38" s="3">
        <v>0</v>
      </c>
      <c r="M38" s="3">
        <v>0</v>
      </c>
      <c r="N38" s="3" t="s">
        <v>160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1</v>
      </c>
      <c r="U38" s="3">
        <v>2</v>
      </c>
      <c r="V38" s="3">
        <v>14</v>
      </c>
      <c r="W38" s="3"/>
      <c r="X38" s="3">
        <v>42.99</v>
      </c>
      <c r="Y38" s="3">
        <v>42.99</v>
      </c>
      <c r="Z38" s="3">
        <v>42.99</v>
      </c>
      <c r="AA38" s="3">
        <v>0</v>
      </c>
      <c r="AB38" s="3" t="s">
        <v>181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3.29411764705882</v>
      </c>
      <c r="AI38" s="3" t="s">
        <v>222</v>
      </c>
      <c r="AJ38" s="3" t="s">
        <v>177</v>
      </c>
    </row>
    <row r="39" spans="1:36">
      <c r="A39" s="6">
        <v>43288</v>
      </c>
      <c r="B39" s="3" t="s">
        <v>114</v>
      </c>
      <c r="C39" s="3" t="s">
        <v>115</v>
      </c>
      <c r="D39" s="3" t="s">
        <v>115</v>
      </c>
      <c r="E39" s="3" t="s">
        <v>116</v>
      </c>
      <c r="F39" s="3" t="s">
        <v>159</v>
      </c>
      <c r="G39" s="3">
        <v>12</v>
      </c>
      <c r="H39" s="3">
        <v>0</v>
      </c>
      <c r="I39" s="3">
        <v>2</v>
      </c>
      <c r="J39" s="3">
        <v>10</v>
      </c>
      <c r="K39" s="3">
        <v>0</v>
      </c>
      <c r="L39" s="3">
        <v>0</v>
      </c>
      <c r="M39" s="3">
        <v>0</v>
      </c>
      <c r="N39" s="3" t="s">
        <v>160</v>
      </c>
      <c r="O39" s="3">
        <v>10</v>
      </c>
      <c r="P39" s="3">
        <v>87.87</v>
      </c>
      <c r="Q39" s="3">
        <v>0</v>
      </c>
      <c r="R39" s="3">
        <v>0</v>
      </c>
      <c r="S39" s="3">
        <v>0</v>
      </c>
      <c r="T39" s="3">
        <v>0</v>
      </c>
      <c r="U39" s="3">
        <v>1</v>
      </c>
      <c r="V39" s="3">
        <v>6</v>
      </c>
      <c r="W39" s="3" t="s">
        <v>174</v>
      </c>
      <c r="X39" s="3">
        <v>42.99</v>
      </c>
      <c r="Y39" s="3">
        <v>42.99</v>
      </c>
      <c r="Z39" s="3">
        <v>42.99</v>
      </c>
      <c r="AA39" s="3">
        <v>0</v>
      </c>
      <c r="AB39" s="3" t="s">
        <v>181</v>
      </c>
      <c r="AC39" s="3">
        <v>12</v>
      </c>
      <c r="AD39" s="3">
        <v>42.99</v>
      </c>
      <c r="AE39" s="3">
        <v>0</v>
      </c>
      <c r="AF39" s="3">
        <v>0</v>
      </c>
      <c r="AG39" s="3">
        <v>0</v>
      </c>
      <c r="AH39" s="3">
        <v>0.428571428571428</v>
      </c>
      <c r="AI39" s="3" t="s">
        <v>176</v>
      </c>
      <c r="AJ39" s="3" t="s">
        <v>177</v>
      </c>
    </row>
    <row r="40" spans="1:36">
      <c r="A40" s="6">
        <v>43288</v>
      </c>
      <c r="B40" s="3" t="s">
        <v>271</v>
      </c>
      <c r="C40" s="3" t="s">
        <v>272</v>
      </c>
      <c r="D40" s="3" t="s">
        <v>272</v>
      </c>
      <c r="E40" s="3" t="s">
        <v>273</v>
      </c>
      <c r="F40" s="3" t="s">
        <v>159</v>
      </c>
      <c r="G40" s="3">
        <v>6</v>
      </c>
      <c r="H40" s="3">
        <v>0</v>
      </c>
      <c r="I40" s="3">
        <v>0</v>
      </c>
      <c r="J40" s="3">
        <v>6</v>
      </c>
      <c r="K40" s="3">
        <v>0</v>
      </c>
      <c r="L40" s="3">
        <v>0</v>
      </c>
      <c r="M40" s="3">
        <v>0</v>
      </c>
      <c r="N40" s="3" t="s">
        <v>160</v>
      </c>
      <c r="O40" s="3">
        <v>6</v>
      </c>
      <c r="P40" s="3">
        <v>52.72</v>
      </c>
      <c r="Q40" s="3">
        <v>0</v>
      </c>
      <c r="R40" s="3">
        <v>0</v>
      </c>
      <c r="S40" s="3">
        <v>0</v>
      </c>
      <c r="T40" s="3">
        <v>1</v>
      </c>
      <c r="U40" s="3">
        <v>1</v>
      </c>
      <c r="V40" s="3">
        <v>2</v>
      </c>
      <c r="W40" s="3"/>
      <c r="X40" s="3">
        <v>34.39</v>
      </c>
      <c r="Y40" s="3">
        <v>34.39</v>
      </c>
      <c r="Z40" s="3">
        <v>34.39</v>
      </c>
      <c r="AA40" s="3">
        <v>0</v>
      </c>
      <c r="AB40" s="3" t="s">
        <v>175</v>
      </c>
      <c r="AC40" s="3">
        <v>0</v>
      </c>
      <c r="AD40" s="3">
        <v>30.94</v>
      </c>
      <c r="AE40" s="3">
        <v>35</v>
      </c>
      <c r="AF40" s="3">
        <v>0</v>
      </c>
      <c r="AG40" s="3">
        <v>5.424024</v>
      </c>
      <c r="AH40" s="3">
        <v>0.285714285714285</v>
      </c>
      <c r="AI40" s="3" t="s">
        <v>176</v>
      </c>
      <c r="AJ40" s="3" t="s">
        <v>177</v>
      </c>
    </row>
    <row r="41" spans="1:36">
      <c r="A41" s="6">
        <v>43288</v>
      </c>
      <c r="B41" s="3" t="s">
        <v>16</v>
      </c>
      <c r="C41" s="3" t="s">
        <v>17</v>
      </c>
      <c r="D41" s="3" t="s">
        <v>18</v>
      </c>
      <c r="E41" s="3" t="s">
        <v>19</v>
      </c>
      <c r="F41" s="3" t="s">
        <v>159</v>
      </c>
      <c r="G41" s="3">
        <v>70</v>
      </c>
      <c r="H41" s="3">
        <v>0</v>
      </c>
      <c r="I41" s="3">
        <v>0</v>
      </c>
      <c r="J41" s="3">
        <v>70</v>
      </c>
      <c r="K41" s="3">
        <v>0</v>
      </c>
      <c r="L41" s="3">
        <v>0</v>
      </c>
      <c r="M41" s="3">
        <v>0</v>
      </c>
      <c r="N41" s="3" t="s">
        <v>160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40</v>
      </c>
      <c r="W41" s="3" t="s">
        <v>174</v>
      </c>
      <c r="X41" s="3">
        <v>60.99</v>
      </c>
      <c r="Y41" s="3">
        <v>60.99</v>
      </c>
      <c r="Z41" s="3">
        <v>60.99</v>
      </c>
      <c r="AA41" s="3">
        <v>0</v>
      </c>
      <c r="AB41" s="3" t="s">
        <v>181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0.868421052631579</v>
      </c>
      <c r="AI41" s="3" t="s">
        <v>274</v>
      </c>
      <c r="AJ41" s="3" t="s">
        <v>164</v>
      </c>
    </row>
    <row r="42" spans="1:36">
      <c r="A42" s="6">
        <v>43288</v>
      </c>
      <c r="B42" s="3" t="s">
        <v>275</v>
      </c>
      <c r="C42" s="3" t="s">
        <v>276</v>
      </c>
      <c r="D42" s="3" t="s">
        <v>276</v>
      </c>
      <c r="E42" s="3" t="s">
        <v>277</v>
      </c>
      <c r="F42" s="3" t="s">
        <v>159</v>
      </c>
      <c r="G42" s="3">
        <v>12</v>
      </c>
      <c r="H42" s="3">
        <v>0</v>
      </c>
      <c r="I42" s="3">
        <v>0</v>
      </c>
      <c r="J42" s="3">
        <v>12</v>
      </c>
      <c r="K42" s="3">
        <v>0</v>
      </c>
      <c r="L42" s="3">
        <v>0</v>
      </c>
      <c r="M42" s="3">
        <v>0</v>
      </c>
      <c r="N42" s="3" t="s">
        <v>160</v>
      </c>
      <c r="O42" s="3">
        <v>12</v>
      </c>
      <c r="P42" s="3">
        <v>105.44</v>
      </c>
      <c r="Q42" s="3">
        <v>0</v>
      </c>
      <c r="R42" s="3">
        <v>0</v>
      </c>
      <c r="S42" s="3">
        <v>0</v>
      </c>
      <c r="T42" s="3">
        <v>4</v>
      </c>
      <c r="U42" s="3">
        <v>4</v>
      </c>
      <c r="V42" s="3">
        <v>4</v>
      </c>
      <c r="W42" s="3"/>
      <c r="X42" s="3">
        <v>34.39</v>
      </c>
      <c r="Y42" s="3">
        <v>34.39</v>
      </c>
      <c r="Z42" s="3">
        <v>34.39</v>
      </c>
      <c r="AA42" s="3">
        <v>0</v>
      </c>
      <c r="AB42" s="3" t="s">
        <v>175</v>
      </c>
      <c r="AC42" s="3">
        <v>0</v>
      </c>
      <c r="AD42" s="3">
        <v>29.87</v>
      </c>
      <c r="AE42" s="3">
        <v>35</v>
      </c>
      <c r="AF42" s="3">
        <v>0</v>
      </c>
      <c r="AG42" s="3">
        <v>14.035987</v>
      </c>
      <c r="AH42" s="3">
        <v>0.266666666666666</v>
      </c>
      <c r="AI42" s="3" t="s">
        <v>176</v>
      </c>
      <c r="AJ42" s="3" t="s">
        <v>177</v>
      </c>
    </row>
    <row r="43" spans="1:36">
      <c r="A43" s="6">
        <v>43288</v>
      </c>
      <c r="B43" s="3" t="s">
        <v>64</v>
      </c>
      <c r="C43" s="3" t="s">
        <v>65</v>
      </c>
      <c r="D43" s="3" t="s">
        <v>66</v>
      </c>
      <c r="E43" s="3" t="s">
        <v>67</v>
      </c>
      <c r="F43" s="3" t="s">
        <v>159</v>
      </c>
      <c r="G43" s="3">
        <v>164</v>
      </c>
      <c r="H43" s="3">
        <v>0</v>
      </c>
      <c r="I43" s="3">
        <v>15</v>
      </c>
      <c r="J43" s="3">
        <v>2</v>
      </c>
      <c r="K43" s="3">
        <v>34</v>
      </c>
      <c r="L43" s="3">
        <v>113</v>
      </c>
      <c r="M43" s="3">
        <v>0</v>
      </c>
      <c r="N43" s="3" t="s">
        <v>160</v>
      </c>
      <c r="O43" s="3">
        <v>149</v>
      </c>
      <c r="P43" s="3">
        <v>17.6</v>
      </c>
      <c r="Q43" s="3">
        <v>0</v>
      </c>
      <c r="R43" s="3">
        <v>0</v>
      </c>
      <c r="S43" s="3">
        <v>1</v>
      </c>
      <c r="T43" s="3">
        <v>14</v>
      </c>
      <c r="U43" s="3">
        <v>14</v>
      </c>
      <c r="V43" s="3">
        <v>24</v>
      </c>
      <c r="W43" s="3" t="s">
        <v>161</v>
      </c>
      <c r="X43" s="3">
        <v>17.99</v>
      </c>
      <c r="Y43" s="3">
        <v>17.99</v>
      </c>
      <c r="Z43" s="3">
        <v>15.99</v>
      </c>
      <c r="AA43" s="3">
        <v>0</v>
      </c>
      <c r="AB43" s="3" t="s">
        <v>162</v>
      </c>
      <c r="AC43" s="3">
        <v>164</v>
      </c>
      <c r="AD43" s="3">
        <v>17.99</v>
      </c>
      <c r="AE43" s="3">
        <v>0</v>
      </c>
      <c r="AF43" s="3">
        <v>0</v>
      </c>
      <c r="AG43" s="3">
        <v>0</v>
      </c>
      <c r="AH43" s="3">
        <v>0.13933236574746</v>
      </c>
      <c r="AI43" s="3" t="s">
        <v>278</v>
      </c>
      <c r="AJ43" s="3" t="s">
        <v>164</v>
      </c>
    </row>
    <row r="44" spans="1:36">
      <c r="A44" s="6">
        <v>43288</v>
      </c>
      <c r="B44" s="3" t="s">
        <v>20</v>
      </c>
      <c r="C44" s="3" t="s">
        <v>21</v>
      </c>
      <c r="D44" s="3" t="s">
        <v>22</v>
      </c>
      <c r="E44" s="3" t="s">
        <v>23</v>
      </c>
      <c r="F44" s="3" t="s">
        <v>159</v>
      </c>
      <c r="G44" s="3">
        <v>3</v>
      </c>
      <c r="H44" s="3">
        <v>0</v>
      </c>
      <c r="I44" s="3">
        <v>0</v>
      </c>
      <c r="J44" s="3">
        <v>0</v>
      </c>
      <c r="K44" s="3">
        <v>1</v>
      </c>
      <c r="L44" s="3">
        <v>0</v>
      </c>
      <c r="M44" s="3">
        <v>2</v>
      </c>
      <c r="N44" s="3" t="s">
        <v>160</v>
      </c>
      <c r="O44" s="3">
        <v>1</v>
      </c>
      <c r="P44" s="3">
        <v>0.99</v>
      </c>
      <c r="Q44" s="3">
        <v>2</v>
      </c>
      <c r="R44" s="3">
        <v>3.95</v>
      </c>
      <c r="S44" s="3">
        <v>6</v>
      </c>
      <c r="T44" s="3">
        <v>15</v>
      </c>
      <c r="U44" s="3">
        <v>15</v>
      </c>
      <c r="V44" s="3">
        <v>15</v>
      </c>
      <c r="W44" s="3" t="s">
        <v>161</v>
      </c>
      <c r="X44" s="3">
        <v>19.99</v>
      </c>
      <c r="Y44" s="3">
        <v>19.99</v>
      </c>
      <c r="Z44" s="3">
        <v>19.99</v>
      </c>
      <c r="AA44" s="3">
        <v>0</v>
      </c>
      <c r="AB44" s="3" t="s">
        <v>162</v>
      </c>
      <c r="AC44" s="3">
        <v>4</v>
      </c>
      <c r="AD44" s="3">
        <v>19.99</v>
      </c>
      <c r="AE44" s="3">
        <v>0</v>
      </c>
      <c r="AF44" s="3">
        <v>0</v>
      </c>
      <c r="AG44" s="3">
        <v>0</v>
      </c>
      <c r="AH44" s="3">
        <v>0.424242424242424</v>
      </c>
      <c r="AI44" s="3" t="s">
        <v>163</v>
      </c>
      <c r="AJ44" s="3" t="s">
        <v>164</v>
      </c>
    </row>
    <row r="45" spans="1:36">
      <c r="A45" s="6">
        <v>43288</v>
      </c>
      <c r="B45" s="3" t="s">
        <v>279</v>
      </c>
      <c r="C45" s="3" t="s">
        <v>280</v>
      </c>
      <c r="D45" s="3" t="s">
        <v>280</v>
      </c>
      <c r="E45" s="3" t="s">
        <v>281</v>
      </c>
      <c r="F45" s="3" t="s">
        <v>159</v>
      </c>
      <c r="G45" s="3">
        <v>1</v>
      </c>
      <c r="H45" s="3">
        <v>0</v>
      </c>
      <c r="I45" s="3">
        <v>1</v>
      </c>
      <c r="J45" s="3">
        <v>0</v>
      </c>
      <c r="K45" s="3">
        <v>0</v>
      </c>
      <c r="L45" s="3">
        <v>0</v>
      </c>
      <c r="M45" s="3">
        <v>0</v>
      </c>
      <c r="N45" s="3" t="s">
        <v>160</v>
      </c>
      <c r="O45" s="3">
        <v>0</v>
      </c>
      <c r="P45" s="3">
        <v>0</v>
      </c>
      <c r="Q45" s="3">
        <v>0</v>
      </c>
      <c r="R45" s="3">
        <v>0</v>
      </c>
      <c r="S45" s="3">
        <v>1</v>
      </c>
      <c r="T45" s="3">
        <v>3</v>
      </c>
      <c r="U45" s="3">
        <v>4</v>
      </c>
      <c r="V45" s="3">
        <v>5</v>
      </c>
      <c r="W45" s="3"/>
      <c r="X45" s="3">
        <v>42.99</v>
      </c>
      <c r="Y45" s="3">
        <v>42.99</v>
      </c>
      <c r="Z45" s="3">
        <v>42.99</v>
      </c>
      <c r="AA45" s="3">
        <v>0</v>
      </c>
      <c r="AB45" s="3" t="s">
        <v>181</v>
      </c>
      <c r="AC45" s="3">
        <v>1</v>
      </c>
      <c r="AD45" s="3">
        <v>42.99</v>
      </c>
      <c r="AE45" s="3">
        <v>0</v>
      </c>
      <c r="AF45" s="3">
        <v>0</v>
      </c>
      <c r="AG45" s="3">
        <v>0</v>
      </c>
      <c r="AH45" s="3">
        <v>1.53846153846153</v>
      </c>
      <c r="AI45" s="3" t="s">
        <v>222</v>
      </c>
      <c r="AJ45" s="3" t="s">
        <v>177</v>
      </c>
    </row>
    <row r="46" spans="1:36">
      <c r="A46" s="6">
        <v>43288</v>
      </c>
      <c r="B46" s="3" t="s">
        <v>282</v>
      </c>
      <c r="C46" s="3" t="s">
        <v>283</v>
      </c>
      <c r="D46" s="3" t="s">
        <v>283</v>
      </c>
      <c r="E46" s="3" t="s">
        <v>284</v>
      </c>
      <c r="F46" s="3" t="s">
        <v>159</v>
      </c>
      <c r="G46" s="3">
        <v>11</v>
      </c>
      <c r="H46" s="3">
        <v>0</v>
      </c>
      <c r="I46" s="3">
        <v>1</v>
      </c>
      <c r="J46" s="3">
        <v>10</v>
      </c>
      <c r="K46" s="3">
        <v>0</v>
      </c>
      <c r="L46" s="3">
        <v>0</v>
      </c>
      <c r="M46" s="3">
        <v>0</v>
      </c>
      <c r="N46" s="3" t="s">
        <v>160</v>
      </c>
      <c r="O46" s="3">
        <v>9</v>
      </c>
      <c r="P46" s="3">
        <v>79.08</v>
      </c>
      <c r="Q46" s="3">
        <v>0</v>
      </c>
      <c r="R46" s="3">
        <v>0</v>
      </c>
      <c r="S46" s="3">
        <v>0</v>
      </c>
      <c r="T46" s="3">
        <v>1</v>
      </c>
      <c r="U46" s="3">
        <v>1</v>
      </c>
      <c r="V46" s="3">
        <v>2</v>
      </c>
      <c r="W46" s="3"/>
      <c r="X46" s="3">
        <v>39.99</v>
      </c>
      <c r="Y46" s="3">
        <v>39.99</v>
      </c>
      <c r="Z46" s="3">
        <v>39.99</v>
      </c>
      <c r="AA46" s="3">
        <v>0</v>
      </c>
      <c r="AB46" s="3" t="s">
        <v>175</v>
      </c>
      <c r="AC46" s="3">
        <v>5</v>
      </c>
      <c r="AD46" s="3">
        <v>31.62</v>
      </c>
      <c r="AE46" s="3">
        <v>35</v>
      </c>
      <c r="AF46" s="3">
        <v>0</v>
      </c>
      <c r="AG46" s="3">
        <v>27.255769</v>
      </c>
      <c r="AH46" s="3">
        <v>0.170212765957446</v>
      </c>
      <c r="AI46" s="3" t="s">
        <v>176</v>
      </c>
      <c r="AJ46" s="3" t="s">
        <v>285</v>
      </c>
    </row>
    <row r="47" spans="1:36">
      <c r="A47" s="6">
        <v>43288</v>
      </c>
      <c r="B47" s="3" t="s">
        <v>286</v>
      </c>
      <c r="C47" s="3" t="s">
        <v>287</v>
      </c>
      <c r="D47" s="3" t="s">
        <v>287</v>
      </c>
      <c r="E47" s="3" t="s">
        <v>288</v>
      </c>
      <c r="F47" s="3" t="s">
        <v>159</v>
      </c>
      <c r="G47" s="3">
        <v>4</v>
      </c>
      <c r="H47" s="3">
        <v>0</v>
      </c>
      <c r="I47" s="3">
        <v>0</v>
      </c>
      <c r="J47" s="3">
        <v>0</v>
      </c>
      <c r="K47" s="3">
        <v>4</v>
      </c>
      <c r="L47" s="3">
        <v>0</v>
      </c>
      <c r="M47" s="3">
        <v>0</v>
      </c>
      <c r="N47" s="3" t="s">
        <v>160</v>
      </c>
      <c r="O47" s="3">
        <v>4</v>
      </c>
      <c r="P47" s="3">
        <v>25.32</v>
      </c>
      <c r="Q47" s="3">
        <v>0</v>
      </c>
      <c r="R47" s="3">
        <v>0</v>
      </c>
      <c r="S47" s="3">
        <v>0</v>
      </c>
      <c r="T47" s="3">
        <v>2</v>
      </c>
      <c r="U47" s="3">
        <v>3</v>
      </c>
      <c r="V47" s="3">
        <v>4</v>
      </c>
      <c r="W47" s="3"/>
      <c r="X47" s="3">
        <v>42.49</v>
      </c>
      <c r="Y47" s="3">
        <v>42.49</v>
      </c>
      <c r="Z47" s="3">
        <v>42.49</v>
      </c>
      <c r="AA47" s="3">
        <v>0</v>
      </c>
      <c r="AB47" s="3" t="s">
        <v>181</v>
      </c>
      <c r="AC47" s="3">
        <v>4</v>
      </c>
      <c r="AD47" s="3">
        <v>42.49</v>
      </c>
      <c r="AE47" s="3">
        <v>0</v>
      </c>
      <c r="AF47" s="3">
        <v>0</v>
      </c>
      <c r="AG47" s="3">
        <v>0</v>
      </c>
      <c r="AH47" s="3">
        <v>0.64</v>
      </c>
      <c r="AI47" s="3" t="s">
        <v>182</v>
      </c>
      <c r="AJ47" s="3" t="s">
        <v>177</v>
      </c>
    </row>
    <row r="48" spans="1:36">
      <c r="A48" s="6">
        <v>43288</v>
      </c>
      <c r="B48" s="3" t="s">
        <v>289</v>
      </c>
      <c r="C48" s="3" t="s">
        <v>290</v>
      </c>
      <c r="D48" s="3" t="s">
        <v>290</v>
      </c>
      <c r="E48" s="3" t="s">
        <v>291</v>
      </c>
      <c r="F48" s="3" t="s">
        <v>159</v>
      </c>
      <c r="G48" s="3">
        <v>6</v>
      </c>
      <c r="H48" s="3">
        <v>0</v>
      </c>
      <c r="I48" s="3">
        <v>3</v>
      </c>
      <c r="J48" s="3">
        <v>0</v>
      </c>
      <c r="K48" s="3">
        <v>3</v>
      </c>
      <c r="L48" s="3">
        <v>0</v>
      </c>
      <c r="M48" s="3">
        <v>0</v>
      </c>
      <c r="N48" s="3" t="s">
        <v>160</v>
      </c>
      <c r="O48" s="3">
        <v>3</v>
      </c>
      <c r="P48" s="3">
        <v>18.99</v>
      </c>
      <c r="Q48" s="3">
        <v>0</v>
      </c>
      <c r="R48" s="3">
        <v>0</v>
      </c>
      <c r="S48" s="3">
        <v>0</v>
      </c>
      <c r="T48" s="3">
        <v>1</v>
      </c>
      <c r="U48" s="3">
        <v>3</v>
      </c>
      <c r="V48" s="3">
        <v>5</v>
      </c>
      <c r="W48" s="3"/>
      <c r="X48" s="3">
        <v>34.39</v>
      </c>
      <c r="Y48" s="3">
        <v>34.39</v>
      </c>
      <c r="Z48" s="3">
        <v>34.39</v>
      </c>
      <c r="AA48" s="3">
        <v>0</v>
      </c>
      <c r="AB48" s="3" t="s">
        <v>181</v>
      </c>
      <c r="AC48" s="3">
        <v>6</v>
      </c>
      <c r="AD48" s="3">
        <v>34.39</v>
      </c>
      <c r="AE48" s="3">
        <v>0</v>
      </c>
      <c r="AF48" s="3">
        <v>0</v>
      </c>
      <c r="AG48" s="3">
        <v>0</v>
      </c>
      <c r="AH48" s="3">
        <v>0.689655172413793</v>
      </c>
      <c r="AI48" s="3" t="s">
        <v>182</v>
      </c>
      <c r="AJ48" s="3" t="s">
        <v>285</v>
      </c>
    </row>
    <row r="49" spans="1:36">
      <c r="A49" s="6">
        <v>43288</v>
      </c>
      <c r="B49" s="3" t="s">
        <v>292</v>
      </c>
      <c r="C49" s="3" t="s">
        <v>293</v>
      </c>
      <c r="D49" s="3" t="s">
        <v>293</v>
      </c>
      <c r="E49" s="3" t="s">
        <v>294</v>
      </c>
      <c r="F49" s="3" t="s">
        <v>159</v>
      </c>
      <c r="G49" s="3">
        <v>1</v>
      </c>
      <c r="H49" s="3">
        <v>0</v>
      </c>
      <c r="I49" s="3">
        <v>1</v>
      </c>
      <c r="J49" s="3">
        <v>0</v>
      </c>
      <c r="K49" s="3">
        <v>0</v>
      </c>
      <c r="L49" s="3">
        <v>0</v>
      </c>
      <c r="M49" s="3">
        <v>0</v>
      </c>
      <c r="N49" s="3" t="s">
        <v>160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4</v>
      </c>
      <c r="V49" s="3">
        <v>4</v>
      </c>
      <c r="W49" s="3" t="s">
        <v>174</v>
      </c>
      <c r="X49" s="3">
        <v>42.99</v>
      </c>
      <c r="Y49" s="3">
        <v>42.99</v>
      </c>
      <c r="Z49" s="3">
        <v>42.99</v>
      </c>
      <c r="AA49" s="3">
        <v>0</v>
      </c>
      <c r="AB49" s="3" t="s">
        <v>181</v>
      </c>
      <c r="AC49" s="3">
        <v>1</v>
      </c>
      <c r="AD49" s="3">
        <v>42.99</v>
      </c>
      <c r="AE49" s="3">
        <v>0</v>
      </c>
      <c r="AF49" s="3">
        <v>0</v>
      </c>
      <c r="AG49" s="3">
        <v>0</v>
      </c>
      <c r="AH49" s="3">
        <v>3.2</v>
      </c>
      <c r="AI49" s="3" t="s">
        <v>222</v>
      </c>
      <c r="AJ49" s="3" t="s">
        <v>177</v>
      </c>
    </row>
    <row r="50" spans="1:36">
      <c r="A50" s="6">
        <v>43288</v>
      </c>
      <c r="B50" s="3" t="s">
        <v>295</v>
      </c>
      <c r="C50" s="3" t="s">
        <v>296</v>
      </c>
      <c r="D50" s="3" t="s">
        <v>297</v>
      </c>
      <c r="E50" s="3" t="s">
        <v>298</v>
      </c>
      <c r="F50" s="3" t="s">
        <v>159</v>
      </c>
      <c r="G50" s="3">
        <v>57</v>
      </c>
      <c r="H50" s="3">
        <v>0</v>
      </c>
      <c r="I50" s="3">
        <v>1</v>
      </c>
      <c r="J50" s="3">
        <v>56</v>
      </c>
      <c r="K50" s="3">
        <v>0</v>
      </c>
      <c r="L50" s="3">
        <v>0</v>
      </c>
      <c r="M50" s="3">
        <v>0</v>
      </c>
      <c r="N50" s="3" t="s">
        <v>160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31</v>
      </c>
      <c r="W50" s="3"/>
      <c r="X50" s="3"/>
      <c r="Y50" s="3"/>
      <c r="Z50" s="3">
        <v>-1</v>
      </c>
      <c r="AA50" s="3">
        <v>-1</v>
      </c>
      <c r="AB50" s="3" t="s">
        <v>213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0.5</v>
      </c>
      <c r="AI50" s="3" t="s">
        <v>299</v>
      </c>
      <c r="AJ50" s="3" t="s">
        <v>164</v>
      </c>
    </row>
    <row r="51" spans="1:36">
      <c r="A51" s="6">
        <v>43288</v>
      </c>
      <c r="B51" s="3" t="s">
        <v>300</v>
      </c>
      <c r="C51" s="3" t="s">
        <v>301</v>
      </c>
      <c r="D51" s="3" t="s">
        <v>301</v>
      </c>
      <c r="E51" s="3" t="s">
        <v>302</v>
      </c>
      <c r="F51" s="3" t="s">
        <v>159</v>
      </c>
      <c r="G51" s="3">
        <v>6</v>
      </c>
      <c r="H51" s="3">
        <v>0</v>
      </c>
      <c r="I51" s="3">
        <v>0</v>
      </c>
      <c r="J51" s="3">
        <v>6</v>
      </c>
      <c r="K51" s="3">
        <v>0</v>
      </c>
      <c r="L51" s="3">
        <v>0</v>
      </c>
      <c r="M51" s="3">
        <v>0</v>
      </c>
      <c r="N51" s="3" t="s">
        <v>160</v>
      </c>
      <c r="O51" s="3">
        <v>6</v>
      </c>
      <c r="P51" s="3">
        <v>52.72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1</v>
      </c>
      <c r="W51" s="3" t="s">
        <v>174</v>
      </c>
      <c r="X51" s="3">
        <v>42.99</v>
      </c>
      <c r="Y51" s="3">
        <v>42.99</v>
      </c>
      <c r="Z51" s="3">
        <v>42.99</v>
      </c>
      <c r="AA51" s="3">
        <v>0</v>
      </c>
      <c r="AB51" s="3" t="s">
        <v>175</v>
      </c>
      <c r="AC51" s="3">
        <v>0</v>
      </c>
      <c r="AD51" s="3">
        <v>34.39</v>
      </c>
      <c r="AE51" s="3">
        <v>252</v>
      </c>
      <c r="AF51" s="3">
        <v>0</v>
      </c>
      <c r="AG51" s="3">
        <v>574.867297</v>
      </c>
      <c r="AH51" s="3">
        <v>0.16</v>
      </c>
      <c r="AI51" s="3" t="s">
        <v>176</v>
      </c>
      <c r="AJ51" s="3" t="s">
        <v>177</v>
      </c>
    </row>
    <row r="52" spans="1:36">
      <c r="A52" s="6">
        <v>43288</v>
      </c>
      <c r="B52" s="3" t="s">
        <v>303</v>
      </c>
      <c r="C52" s="3" t="s">
        <v>304</v>
      </c>
      <c r="D52" s="3" t="s">
        <v>80</v>
      </c>
      <c r="E52" s="3" t="s">
        <v>81</v>
      </c>
      <c r="F52" s="3" t="s">
        <v>159</v>
      </c>
      <c r="G52" s="3">
        <v>40</v>
      </c>
      <c r="H52" s="3">
        <v>0</v>
      </c>
      <c r="I52" s="3">
        <v>2</v>
      </c>
      <c r="J52" s="3">
        <v>2</v>
      </c>
      <c r="K52" s="3">
        <v>36</v>
      </c>
      <c r="L52" s="3">
        <v>0</v>
      </c>
      <c r="M52" s="3">
        <v>0</v>
      </c>
      <c r="N52" s="3" t="s">
        <v>160</v>
      </c>
      <c r="O52" s="3">
        <v>37</v>
      </c>
      <c r="P52" s="3">
        <v>10.33</v>
      </c>
      <c r="Q52" s="3">
        <v>0</v>
      </c>
      <c r="R52" s="3">
        <v>0</v>
      </c>
      <c r="S52" s="3">
        <v>2</v>
      </c>
      <c r="T52" s="3">
        <v>8</v>
      </c>
      <c r="U52" s="3">
        <v>30</v>
      </c>
      <c r="V52" s="3">
        <v>38</v>
      </c>
      <c r="W52" s="3" t="s">
        <v>161</v>
      </c>
      <c r="X52" s="3">
        <v>75.07</v>
      </c>
      <c r="Y52" s="3">
        <v>75.07</v>
      </c>
      <c r="Z52" s="3">
        <v>49.99</v>
      </c>
      <c r="AA52" s="3">
        <v>0</v>
      </c>
      <c r="AB52" s="3" t="s">
        <v>194</v>
      </c>
      <c r="AC52" s="3">
        <v>41</v>
      </c>
      <c r="AD52" s="3">
        <v>49.99</v>
      </c>
      <c r="AE52" s="3">
        <v>0</v>
      </c>
      <c r="AF52" s="3">
        <v>0</v>
      </c>
      <c r="AG52" s="3">
        <v>0</v>
      </c>
      <c r="AH52" s="3">
        <v>0.617886178861788</v>
      </c>
      <c r="AI52" s="3" t="s">
        <v>200</v>
      </c>
      <c r="AJ52" s="3" t="s">
        <v>164</v>
      </c>
    </row>
    <row r="53" spans="1:36">
      <c r="A53" s="6">
        <v>43288</v>
      </c>
      <c r="B53" s="3" t="s">
        <v>305</v>
      </c>
      <c r="C53" s="3" t="s">
        <v>306</v>
      </c>
      <c r="D53" s="3" t="s">
        <v>306</v>
      </c>
      <c r="E53" s="3" t="s">
        <v>307</v>
      </c>
      <c r="F53" s="3" t="s">
        <v>159</v>
      </c>
      <c r="G53" s="3">
        <v>8</v>
      </c>
      <c r="H53" s="3">
        <v>0</v>
      </c>
      <c r="I53" s="3">
        <v>0</v>
      </c>
      <c r="J53" s="3">
        <v>8</v>
      </c>
      <c r="K53" s="3">
        <v>0</v>
      </c>
      <c r="L53" s="3">
        <v>0</v>
      </c>
      <c r="M53" s="3">
        <v>0</v>
      </c>
      <c r="N53" s="3" t="s">
        <v>160</v>
      </c>
      <c r="O53" s="3">
        <v>8</v>
      </c>
      <c r="P53" s="3">
        <v>99.83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174</v>
      </c>
      <c r="X53" s="3">
        <v>42.99</v>
      </c>
      <c r="Y53" s="3">
        <v>42.99</v>
      </c>
      <c r="Z53" s="3">
        <v>42.99</v>
      </c>
      <c r="AA53" s="3">
        <v>0</v>
      </c>
      <c r="AB53" s="3" t="s">
        <v>175</v>
      </c>
      <c r="AC53" s="3">
        <v>0</v>
      </c>
      <c r="AD53" s="3">
        <v>34.39</v>
      </c>
      <c r="AE53" s="3">
        <v>63</v>
      </c>
      <c r="AF53" s="3">
        <v>0</v>
      </c>
      <c r="AG53" s="3">
        <v>1060.46696</v>
      </c>
      <c r="AH53" s="3">
        <v>0</v>
      </c>
      <c r="AI53" s="3" t="s">
        <v>222</v>
      </c>
      <c r="AJ53" s="3" t="s">
        <v>285</v>
      </c>
    </row>
    <row r="54" spans="1:36">
      <c r="A54" s="6">
        <v>43288</v>
      </c>
      <c r="B54" s="3" t="s">
        <v>308</v>
      </c>
      <c r="C54" s="3" t="s">
        <v>309</v>
      </c>
      <c r="D54" s="3" t="s">
        <v>309</v>
      </c>
      <c r="E54" s="3" t="s">
        <v>310</v>
      </c>
      <c r="F54" s="3" t="s">
        <v>159</v>
      </c>
      <c r="G54" s="3">
        <v>8</v>
      </c>
      <c r="H54" s="3">
        <v>0</v>
      </c>
      <c r="I54" s="3">
        <v>0</v>
      </c>
      <c r="J54" s="3">
        <v>8</v>
      </c>
      <c r="K54" s="3">
        <v>0</v>
      </c>
      <c r="L54" s="3">
        <v>0</v>
      </c>
      <c r="M54" s="3">
        <v>0</v>
      </c>
      <c r="N54" s="3" t="s">
        <v>160</v>
      </c>
      <c r="O54" s="3">
        <v>8</v>
      </c>
      <c r="P54" s="3">
        <v>70.3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174</v>
      </c>
      <c r="X54" s="3">
        <v>34.39</v>
      </c>
      <c r="Y54" s="3">
        <v>34.39</v>
      </c>
      <c r="Z54" s="3">
        <v>34.39</v>
      </c>
      <c r="AA54" s="3">
        <v>0</v>
      </c>
      <c r="AB54" s="3" t="s">
        <v>175</v>
      </c>
      <c r="AC54" s="3">
        <v>0</v>
      </c>
      <c r="AD54" s="3">
        <v>27.51</v>
      </c>
      <c r="AE54" s="3">
        <v>63</v>
      </c>
      <c r="AF54" s="3">
        <v>0</v>
      </c>
      <c r="AG54" s="3">
        <v>749.467653</v>
      </c>
      <c r="AH54" s="3">
        <v>0</v>
      </c>
      <c r="AI54" s="3" t="s">
        <v>176</v>
      </c>
      <c r="AJ54" s="3" t="s">
        <v>177</v>
      </c>
    </row>
    <row r="55" spans="1:36">
      <c r="A55" s="6">
        <v>43288</v>
      </c>
      <c r="B55" s="3" t="s">
        <v>311</v>
      </c>
      <c r="C55" s="3" t="s">
        <v>312</v>
      </c>
      <c r="D55" s="3" t="s">
        <v>26</v>
      </c>
      <c r="E55" s="3" t="s">
        <v>27</v>
      </c>
      <c r="F55" s="3" t="s">
        <v>159</v>
      </c>
      <c r="G55" s="3">
        <v>106</v>
      </c>
      <c r="H55" s="3">
        <v>0</v>
      </c>
      <c r="I55" s="3">
        <v>106</v>
      </c>
      <c r="J55" s="3">
        <v>0</v>
      </c>
      <c r="K55" s="3">
        <v>0</v>
      </c>
      <c r="L55" s="3">
        <v>0</v>
      </c>
      <c r="M55" s="3">
        <v>0</v>
      </c>
      <c r="N55" s="3" t="s">
        <v>160</v>
      </c>
      <c r="O55" s="3">
        <v>0</v>
      </c>
      <c r="P55" s="3">
        <v>0</v>
      </c>
      <c r="Q55" s="3">
        <v>0</v>
      </c>
      <c r="R55" s="3">
        <v>0</v>
      </c>
      <c r="S55" s="3">
        <v>3</v>
      </c>
      <c r="T55" s="3">
        <v>5</v>
      </c>
      <c r="U55" s="3">
        <v>9</v>
      </c>
      <c r="V55" s="3">
        <v>9</v>
      </c>
      <c r="W55" s="3" t="s">
        <v>161</v>
      </c>
      <c r="X55" s="3">
        <v>16.99</v>
      </c>
      <c r="Y55" s="3">
        <v>16.99</v>
      </c>
      <c r="Z55" s="3">
        <v>16.39</v>
      </c>
      <c r="AA55" s="3">
        <v>0</v>
      </c>
      <c r="AB55" s="3" t="s">
        <v>162</v>
      </c>
      <c r="AC55" s="3">
        <v>108</v>
      </c>
      <c r="AD55" s="3">
        <v>17.39</v>
      </c>
      <c r="AE55" s="3">
        <v>0</v>
      </c>
      <c r="AF55" s="3">
        <v>0</v>
      </c>
      <c r="AG55" s="3">
        <v>0</v>
      </c>
      <c r="AH55" s="3">
        <v>0.275862068965517</v>
      </c>
      <c r="AI55" s="3" t="s">
        <v>204</v>
      </c>
      <c r="AJ55" s="3" t="s">
        <v>164</v>
      </c>
    </row>
    <row r="56" spans="1:36">
      <c r="A56" s="6">
        <v>43288</v>
      </c>
      <c r="B56" s="3" t="s">
        <v>313</v>
      </c>
      <c r="C56" s="3" t="s">
        <v>314</v>
      </c>
      <c r="D56" s="3" t="s">
        <v>192</v>
      </c>
      <c r="E56" s="3" t="s">
        <v>193</v>
      </c>
      <c r="F56" s="3" t="s">
        <v>159</v>
      </c>
      <c r="G56" s="3">
        <v>48</v>
      </c>
      <c r="H56" s="3">
        <v>0</v>
      </c>
      <c r="I56" s="3">
        <v>0</v>
      </c>
      <c r="J56" s="3">
        <v>48</v>
      </c>
      <c r="K56" s="3">
        <v>0</v>
      </c>
      <c r="L56" s="3">
        <v>0</v>
      </c>
      <c r="M56" s="3">
        <v>0</v>
      </c>
      <c r="N56" s="3" t="s">
        <v>160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161</v>
      </c>
      <c r="X56" s="3">
        <v>61.53</v>
      </c>
      <c r="Y56" s="3">
        <v>62.39</v>
      </c>
      <c r="Z56" s="3">
        <v>62.29</v>
      </c>
      <c r="AA56" s="3">
        <v>0</v>
      </c>
      <c r="AB56" s="3" t="s">
        <v>162</v>
      </c>
      <c r="AC56" s="3">
        <v>0</v>
      </c>
      <c r="AD56" s="3">
        <v>61.79</v>
      </c>
      <c r="AE56" s="3">
        <v>63</v>
      </c>
      <c r="AF56" s="3">
        <v>0</v>
      </c>
      <c r="AG56" s="3">
        <v>278.643336</v>
      </c>
      <c r="AH56" s="3">
        <v>0.0208333333333333</v>
      </c>
      <c r="AI56" s="3" t="s">
        <v>170</v>
      </c>
      <c r="AJ56" s="3" t="s">
        <v>164</v>
      </c>
    </row>
    <row r="57" spans="1:36">
      <c r="A57" s="6">
        <v>43288</v>
      </c>
      <c r="B57" s="3" t="s">
        <v>315</v>
      </c>
      <c r="C57" s="3" t="s">
        <v>316</v>
      </c>
      <c r="D57" s="3" t="s">
        <v>316</v>
      </c>
      <c r="E57" s="3" t="s">
        <v>317</v>
      </c>
      <c r="F57" s="3" t="s">
        <v>159</v>
      </c>
      <c r="G57" s="3">
        <v>12</v>
      </c>
      <c r="H57" s="3">
        <v>0</v>
      </c>
      <c r="I57" s="3">
        <v>0</v>
      </c>
      <c r="J57" s="3">
        <v>1</v>
      </c>
      <c r="K57" s="3">
        <v>11</v>
      </c>
      <c r="L57" s="3">
        <v>0</v>
      </c>
      <c r="M57" s="3">
        <v>0</v>
      </c>
      <c r="N57" s="3" t="s">
        <v>160</v>
      </c>
      <c r="O57" s="3">
        <v>11</v>
      </c>
      <c r="P57" s="3">
        <v>69.63</v>
      </c>
      <c r="Q57" s="3">
        <v>0</v>
      </c>
      <c r="R57" s="3">
        <v>0</v>
      </c>
      <c r="S57" s="3">
        <v>0</v>
      </c>
      <c r="T57" s="3">
        <v>0</v>
      </c>
      <c r="U57" s="3">
        <v>1</v>
      </c>
      <c r="V57" s="3">
        <v>2</v>
      </c>
      <c r="W57" s="3" t="s">
        <v>174</v>
      </c>
      <c r="X57" s="3">
        <v>42.99</v>
      </c>
      <c r="Y57" s="3">
        <v>42.99</v>
      </c>
      <c r="Z57" s="3">
        <v>42.99</v>
      </c>
      <c r="AA57" s="3">
        <v>0</v>
      </c>
      <c r="AB57" s="3" t="s">
        <v>175</v>
      </c>
      <c r="AC57" s="3">
        <v>0</v>
      </c>
      <c r="AD57" s="3">
        <v>34.39</v>
      </c>
      <c r="AE57" s="3">
        <v>364</v>
      </c>
      <c r="AF57" s="3">
        <v>0</v>
      </c>
      <c r="AG57" s="3">
        <v>796.830962</v>
      </c>
      <c r="AH57" s="3">
        <v>0.156862745098039</v>
      </c>
      <c r="AI57" s="3" t="s">
        <v>182</v>
      </c>
      <c r="AJ57" s="3" t="s">
        <v>177</v>
      </c>
    </row>
    <row r="58" spans="1:36">
      <c r="A58" s="6">
        <v>43288</v>
      </c>
      <c r="B58" s="3" t="s">
        <v>318</v>
      </c>
      <c r="C58" s="3" t="s">
        <v>319</v>
      </c>
      <c r="D58" s="3" t="s">
        <v>10</v>
      </c>
      <c r="E58" s="3" t="s">
        <v>11</v>
      </c>
      <c r="F58" s="3" t="s">
        <v>159</v>
      </c>
      <c r="G58" s="3">
        <v>61</v>
      </c>
      <c r="H58" s="3">
        <v>0</v>
      </c>
      <c r="I58" s="3">
        <v>19</v>
      </c>
      <c r="J58" s="3">
        <v>42</v>
      </c>
      <c r="K58" s="3">
        <v>0</v>
      </c>
      <c r="L58" s="3">
        <v>0</v>
      </c>
      <c r="M58" s="3">
        <v>0</v>
      </c>
      <c r="N58" s="3" t="s">
        <v>160</v>
      </c>
      <c r="O58" s="3">
        <v>0</v>
      </c>
      <c r="P58" s="3">
        <v>0</v>
      </c>
      <c r="Q58" s="3">
        <v>0</v>
      </c>
      <c r="R58" s="3">
        <v>0</v>
      </c>
      <c r="S58" s="3">
        <v>1</v>
      </c>
      <c r="T58" s="3">
        <v>5</v>
      </c>
      <c r="U58" s="3">
        <v>5</v>
      </c>
      <c r="V58" s="3">
        <v>29</v>
      </c>
      <c r="W58" s="3"/>
      <c r="X58" s="3">
        <v>47.99</v>
      </c>
      <c r="Y58" s="3">
        <v>47.99</v>
      </c>
      <c r="Z58" s="3">
        <v>46.22</v>
      </c>
      <c r="AA58" s="3">
        <v>0</v>
      </c>
      <c r="AB58" s="3" t="s">
        <v>181</v>
      </c>
      <c r="AC58" s="3">
        <v>62</v>
      </c>
      <c r="AD58" s="3">
        <v>47.99</v>
      </c>
      <c r="AE58" s="3">
        <v>0</v>
      </c>
      <c r="AF58" s="3">
        <v>0</v>
      </c>
      <c r="AG58" s="3">
        <v>0</v>
      </c>
      <c r="AH58" s="3">
        <v>0.473469387755102</v>
      </c>
      <c r="AI58" s="3" t="s">
        <v>320</v>
      </c>
      <c r="AJ58" s="3" t="s">
        <v>164</v>
      </c>
    </row>
    <row r="59" spans="1:36">
      <c r="A59" s="6">
        <v>43288</v>
      </c>
      <c r="B59" s="3" t="s">
        <v>90</v>
      </c>
      <c r="C59" s="3" t="s">
        <v>91</v>
      </c>
      <c r="D59" s="3" t="s">
        <v>92</v>
      </c>
      <c r="E59" s="3" t="s">
        <v>93</v>
      </c>
      <c r="F59" s="3" t="s">
        <v>159</v>
      </c>
      <c r="G59" s="3">
        <v>48</v>
      </c>
      <c r="H59" s="3">
        <v>0</v>
      </c>
      <c r="I59" s="3">
        <v>48</v>
      </c>
      <c r="J59" s="3">
        <v>0</v>
      </c>
      <c r="K59" s="3">
        <v>0</v>
      </c>
      <c r="L59" s="3">
        <v>0</v>
      </c>
      <c r="M59" s="3">
        <v>0</v>
      </c>
      <c r="N59" s="3" t="s">
        <v>160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 t="s">
        <v>161</v>
      </c>
      <c r="X59" s="3">
        <v>29.99</v>
      </c>
      <c r="Y59" s="3">
        <v>29.99</v>
      </c>
      <c r="Z59" s="3">
        <v>29.99</v>
      </c>
      <c r="AA59" s="3">
        <v>0</v>
      </c>
      <c r="AB59" s="3" t="s">
        <v>194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 t="s">
        <v>321</v>
      </c>
      <c r="AJ59" s="3" t="s">
        <v>164</v>
      </c>
    </row>
    <row r="60" spans="1:36">
      <c r="A60" s="6">
        <v>43288</v>
      </c>
      <c r="B60" s="3" t="s">
        <v>322</v>
      </c>
      <c r="C60" s="3" t="s">
        <v>323</v>
      </c>
      <c r="D60" s="3" t="s">
        <v>324</v>
      </c>
      <c r="E60" s="3" t="s">
        <v>325</v>
      </c>
      <c r="F60" s="3" t="s">
        <v>159</v>
      </c>
      <c r="G60" s="3">
        <v>74</v>
      </c>
      <c r="H60" s="3">
        <v>0</v>
      </c>
      <c r="I60" s="3">
        <v>1</v>
      </c>
      <c r="J60" s="3">
        <v>73</v>
      </c>
      <c r="K60" s="3">
        <v>0</v>
      </c>
      <c r="L60" s="3">
        <v>0</v>
      </c>
      <c r="M60" s="3">
        <v>0</v>
      </c>
      <c r="N60" s="3" t="s">
        <v>160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8</v>
      </c>
      <c r="U60" s="3">
        <v>8</v>
      </c>
      <c r="V60" s="3">
        <v>22</v>
      </c>
      <c r="W60" s="3" t="s">
        <v>161</v>
      </c>
      <c r="X60" s="3">
        <v>23.99</v>
      </c>
      <c r="Y60" s="3">
        <v>23.99</v>
      </c>
      <c r="Z60" s="3">
        <v>19.98</v>
      </c>
      <c r="AA60" s="3">
        <v>0</v>
      </c>
      <c r="AB60" s="3" t="s">
        <v>162</v>
      </c>
      <c r="AC60" s="3">
        <v>74</v>
      </c>
      <c r="AD60" s="3">
        <v>23.99</v>
      </c>
      <c r="AE60" s="3">
        <v>0</v>
      </c>
      <c r="AF60" s="3">
        <v>0</v>
      </c>
      <c r="AG60" s="3">
        <v>0</v>
      </c>
      <c r="AH60" s="3">
        <v>0.307692307692307</v>
      </c>
      <c r="AI60" s="3" t="s">
        <v>326</v>
      </c>
      <c r="AJ60" s="3" t="s">
        <v>164</v>
      </c>
    </row>
    <row r="61" spans="1:36">
      <c r="A61" s="6">
        <v>43288</v>
      </c>
      <c r="B61" s="3" t="s">
        <v>327</v>
      </c>
      <c r="C61" s="3" t="s">
        <v>328</v>
      </c>
      <c r="D61" s="3" t="s">
        <v>329</v>
      </c>
      <c r="E61" s="3" t="s">
        <v>330</v>
      </c>
      <c r="F61" s="3" t="s">
        <v>159</v>
      </c>
      <c r="G61" s="3">
        <v>80</v>
      </c>
      <c r="H61" s="3">
        <v>0</v>
      </c>
      <c r="I61" s="3">
        <v>80</v>
      </c>
      <c r="J61" s="3">
        <v>0</v>
      </c>
      <c r="K61" s="3">
        <v>0</v>
      </c>
      <c r="L61" s="3">
        <v>0</v>
      </c>
      <c r="M61" s="3">
        <v>0</v>
      </c>
      <c r="N61" s="3" t="s">
        <v>160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2</v>
      </c>
      <c r="U61" s="3">
        <v>6</v>
      </c>
      <c r="V61" s="3">
        <v>16</v>
      </c>
      <c r="W61" s="3" t="s">
        <v>161</v>
      </c>
      <c r="X61" s="3">
        <v>51.8</v>
      </c>
      <c r="Y61" s="3">
        <v>51.8</v>
      </c>
      <c r="Z61" s="3">
        <v>51.5</v>
      </c>
      <c r="AA61" s="3">
        <v>0</v>
      </c>
      <c r="AB61" s="3" t="s">
        <v>162</v>
      </c>
      <c r="AC61" s="3">
        <v>20</v>
      </c>
      <c r="AD61" s="3">
        <v>30.67</v>
      </c>
      <c r="AE61" s="3">
        <v>364</v>
      </c>
      <c r="AF61" s="3">
        <v>0</v>
      </c>
      <c r="AG61" s="3">
        <v>332.103903</v>
      </c>
      <c r="AH61" s="3">
        <v>0.258064516129032</v>
      </c>
      <c r="AI61" s="3" t="s">
        <v>331</v>
      </c>
      <c r="AJ61" s="3" t="s">
        <v>164</v>
      </c>
    </row>
    <row r="62" spans="1:36">
      <c r="A62" s="6">
        <v>43288</v>
      </c>
      <c r="B62" s="3" t="s">
        <v>44</v>
      </c>
      <c r="C62" s="3" t="s">
        <v>45</v>
      </c>
      <c r="D62" s="3" t="s">
        <v>46</v>
      </c>
      <c r="E62" s="3" t="s">
        <v>47</v>
      </c>
      <c r="F62" s="3" t="s">
        <v>159</v>
      </c>
      <c r="G62" s="3">
        <v>73</v>
      </c>
      <c r="H62" s="3">
        <v>0</v>
      </c>
      <c r="I62" s="3">
        <v>73</v>
      </c>
      <c r="J62" s="3">
        <v>0</v>
      </c>
      <c r="K62" s="3">
        <v>0</v>
      </c>
      <c r="L62" s="3">
        <v>0</v>
      </c>
      <c r="M62" s="3">
        <v>0</v>
      </c>
      <c r="N62" s="3" t="s">
        <v>160</v>
      </c>
      <c r="O62" s="3">
        <v>0</v>
      </c>
      <c r="P62" s="3">
        <v>0</v>
      </c>
      <c r="Q62" s="3">
        <v>0</v>
      </c>
      <c r="R62" s="3">
        <v>0</v>
      </c>
      <c r="S62" s="3">
        <v>10</v>
      </c>
      <c r="T62" s="3">
        <v>21</v>
      </c>
      <c r="U62" s="3">
        <v>24</v>
      </c>
      <c r="V62" s="3">
        <v>24</v>
      </c>
      <c r="W62" s="3" t="s">
        <v>161</v>
      </c>
      <c r="X62" s="3">
        <v>25.69</v>
      </c>
      <c r="Y62" s="3">
        <v>25.69</v>
      </c>
      <c r="Z62" s="3">
        <v>25.69</v>
      </c>
      <c r="AA62" s="3">
        <v>0</v>
      </c>
      <c r="AB62" s="3" t="s">
        <v>162</v>
      </c>
      <c r="AC62" s="3">
        <v>79</v>
      </c>
      <c r="AD62" s="3">
        <v>25.69</v>
      </c>
      <c r="AE62" s="3">
        <v>0</v>
      </c>
      <c r="AF62" s="3">
        <v>0</v>
      </c>
      <c r="AG62" s="3">
        <v>0</v>
      </c>
      <c r="AH62" s="3">
        <v>0.367816091954023</v>
      </c>
      <c r="AI62" s="3" t="s">
        <v>332</v>
      </c>
      <c r="AJ62" s="3" t="s">
        <v>164</v>
      </c>
    </row>
    <row r="63" spans="1:36">
      <c r="A63" s="6">
        <v>43288</v>
      </c>
      <c r="B63" s="3" t="s">
        <v>333</v>
      </c>
      <c r="C63" s="3" t="s">
        <v>334</v>
      </c>
      <c r="D63" s="3" t="s">
        <v>334</v>
      </c>
      <c r="E63" s="3" t="s">
        <v>335</v>
      </c>
      <c r="F63" s="3" t="s">
        <v>159</v>
      </c>
      <c r="G63" s="3">
        <v>6</v>
      </c>
      <c r="H63" s="3">
        <v>0</v>
      </c>
      <c r="I63" s="3">
        <v>0</v>
      </c>
      <c r="J63" s="3">
        <v>6</v>
      </c>
      <c r="K63" s="3">
        <v>0</v>
      </c>
      <c r="L63" s="3">
        <v>0</v>
      </c>
      <c r="M63" s="3">
        <v>0</v>
      </c>
      <c r="N63" s="3" t="s">
        <v>160</v>
      </c>
      <c r="O63" s="3">
        <v>6</v>
      </c>
      <c r="P63" s="3">
        <v>74.87</v>
      </c>
      <c r="Q63" s="3">
        <v>0</v>
      </c>
      <c r="R63" s="3">
        <v>0</v>
      </c>
      <c r="S63" s="3">
        <v>0</v>
      </c>
      <c r="T63" s="3">
        <v>2</v>
      </c>
      <c r="U63" s="3">
        <v>2</v>
      </c>
      <c r="V63" s="3">
        <v>2</v>
      </c>
      <c r="W63" s="3"/>
      <c r="X63" s="3">
        <v>34.39</v>
      </c>
      <c r="Y63" s="3">
        <v>34.39</v>
      </c>
      <c r="Z63" s="3">
        <v>34.39</v>
      </c>
      <c r="AA63" s="3">
        <v>0</v>
      </c>
      <c r="AB63" s="3" t="s">
        <v>175</v>
      </c>
      <c r="AC63" s="3">
        <v>4</v>
      </c>
      <c r="AD63" s="3">
        <v>27.51</v>
      </c>
      <c r="AE63" s="3">
        <v>63</v>
      </c>
      <c r="AF63" s="3">
        <v>0</v>
      </c>
      <c r="AG63" s="3">
        <v>5.178207</v>
      </c>
      <c r="AH63" s="3">
        <v>0.266666666666666</v>
      </c>
      <c r="AI63" s="3" t="s">
        <v>222</v>
      </c>
      <c r="AJ63" s="3" t="s">
        <v>177</v>
      </c>
    </row>
    <row r="64" spans="1:36">
      <c r="A64" s="6">
        <v>43288</v>
      </c>
      <c r="B64" s="3" t="s">
        <v>48</v>
      </c>
      <c r="C64" s="3" t="s">
        <v>49</v>
      </c>
      <c r="D64" s="3" t="s">
        <v>50</v>
      </c>
      <c r="E64" s="3" t="s">
        <v>51</v>
      </c>
      <c r="F64" s="3" t="s">
        <v>159</v>
      </c>
      <c r="G64" s="3">
        <v>70</v>
      </c>
      <c r="H64" s="3">
        <v>0</v>
      </c>
      <c r="I64" s="3">
        <v>70</v>
      </c>
      <c r="J64" s="3">
        <v>0</v>
      </c>
      <c r="K64" s="3">
        <v>0</v>
      </c>
      <c r="L64" s="3">
        <v>0</v>
      </c>
      <c r="M64" s="3">
        <v>0</v>
      </c>
      <c r="N64" s="3" t="s">
        <v>160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7</v>
      </c>
      <c r="U64" s="3">
        <v>76</v>
      </c>
      <c r="V64" s="3">
        <v>95</v>
      </c>
      <c r="W64" s="3" t="s">
        <v>161</v>
      </c>
      <c r="X64" s="3">
        <v>15.99</v>
      </c>
      <c r="Y64" s="3">
        <v>15.99</v>
      </c>
      <c r="Z64" s="3">
        <v>15.99</v>
      </c>
      <c r="AA64" s="3">
        <v>0</v>
      </c>
      <c r="AB64" s="3" t="s">
        <v>162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3.42857142857142</v>
      </c>
      <c r="AI64" s="3" t="s">
        <v>336</v>
      </c>
      <c r="AJ64" s="3" t="s">
        <v>164</v>
      </c>
    </row>
    <row r="65" spans="1:36">
      <c r="A65" s="6">
        <v>43288</v>
      </c>
      <c r="B65" s="3" t="s">
        <v>337</v>
      </c>
      <c r="C65" s="3" t="s">
        <v>338</v>
      </c>
      <c r="D65" s="3" t="s">
        <v>339</v>
      </c>
      <c r="E65" s="3" t="s">
        <v>340</v>
      </c>
      <c r="F65" s="3" t="s">
        <v>159</v>
      </c>
      <c r="G65" s="3">
        <v>77</v>
      </c>
      <c r="H65" s="3">
        <v>0</v>
      </c>
      <c r="I65" s="3">
        <v>77</v>
      </c>
      <c r="J65" s="3">
        <v>0</v>
      </c>
      <c r="K65" s="3">
        <v>0</v>
      </c>
      <c r="L65" s="3">
        <v>0</v>
      </c>
      <c r="M65" s="3">
        <v>0</v>
      </c>
      <c r="N65" s="3" t="s">
        <v>160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3</v>
      </c>
      <c r="U65" s="3">
        <v>4</v>
      </c>
      <c r="V65" s="3">
        <v>36</v>
      </c>
      <c r="W65" s="3" t="s">
        <v>161</v>
      </c>
      <c r="X65" s="3">
        <v>46.99</v>
      </c>
      <c r="Y65" s="3">
        <v>46.99</v>
      </c>
      <c r="Z65" s="3">
        <v>45.2</v>
      </c>
      <c r="AA65" s="3">
        <v>0</v>
      </c>
      <c r="AB65" s="3" t="s">
        <v>162</v>
      </c>
      <c r="AC65" s="3">
        <v>24</v>
      </c>
      <c r="AD65" s="3">
        <v>37.07</v>
      </c>
      <c r="AE65" s="3">
        <v>364</v>
      </c>
      <c r="AF65" s="3">
        <v>0</v>
      </c>
      <c r="AG65" s="3">
        <v>615.222375</v>
      </c>
      <c r="AH65" s="3">
        <v>0.545454545454545</v>
      </c>
      <c r="AI65" s="3" t="s">
        <v>341</v>
      </c>
      <c r="AJ65" s="3" t="s">
        <v>164</v>
      </c>
    </row>
    <row r="66" spans="1:36">
      <c r="A66" s="6">
        <v>43288</v>
      </c>
      <c r="B66" s="3" t="s">
        <v>82</v>
      </c>
      <c r="C66" s="3" t="s">
        <v>83</v>
      </c>
      <c r="D66" s="3" t="s">
        <v>84</v>
      </c>
      <c r="E66" s="3" t="s">
        <v>85</v>
      </c>
      <c r="F66" s="3" t="s">
        <v>159</v>
      </c>
      <c r="G66" s="3">
        <v>59</v>
      </c>
      <c r="H66" s="3">
        <v>0</v>
      </c>
      <c r="I66" s="3">
        <v>3</v>
      </c>
      <c r="J66" s="3">
        <v>1</v>
      </c>
      <c r="K66" s="3">
        <v>23</v>
      </c>
      <c r="L66" s="3">
        <v>32</v>
      </c>
      <c r="M66" s="3">
        <v>0</v>
      </c>
      <c r="N66" s="3" t="s">
        <v>160</v>
      </c>
      <c r="O66" s="3">
        <v>55</v>
      </c>
      <c r="P66" s="3">
        <v>6.53</v>
      </c>
      <c r="Q66" s="3">
        <v>0</v>
      </c>
      <c r="R66" s="3">
        <v>0</v>
      </c>
      <c r="S66" s="3">
        <v>19</v>
      </c>
      <c r="T66" s="3">
        <v>53</v>
      </c>
      <c r="U66" s="3">
        <v>88</v>
      </c>
      <c r="V66" s="3">
        <v>117</v>
      </c>
      <c r="W66" s="3" t="s">
        <v>161</v>
      </c>
      <c r="X66" s="3">
        <v>17.39</v>
      </c>
      <c r="Y66" s="3">
        <v>17.39</v>
      </c>
      <c r="Z66" s="3">
        <v>17.39</v>
      </c>
      <c r="AA66" s="3">
        <v>0</v>
      </c>
      <c r="AB66" s="3" t="s">
        <v>162</v>
      </c>
      <c r="AC66" s="3">
        <v>68</v>
      </c>
      <c r="AD66" s="3">
        <v>19.39</v>
      </c>
      <c r="AE66" s="3">
        <v>0</v>
      </c>
      <c r="AF66" s="3">
        <v>0</v>
      </c>
      <c r="AG66" s="3">
        <v>0</v>
      </c>
      <c r="AH66" s="3">
        <v>0.96694214876033</v>
      </c>
      <c r="AI66" s="3" t="s">
        <v>342</v>
      </c>
      <c r="AJ66" s="3" t="s">
        <v>164</v>
      </c>
    </row>
    <row r="67" spans="1:36">
      <c r="A67" s="6">
        <v>43288</v>
      </c>
      <c r="B67" s="3" t="s">
        <v>343</v>
      </c>
      <c r="C67" s="3" t="s">
        <v>344</v>
      </c>
      <c r="D67" s="3" t="s">
        <v>344</v>
      </c>
      <c r="E67" s="3" t="s">
        <v>345</v>
      </c>
      <c r="F67" s="3" t="s">
        <v>159</v>
      </c>
      <c r="G67" s="3">
        <v>11</v>
      </c>
      <c r="H67" s="3">
        <v>0</v>
      </c>
      <c r="I67" s="3">
        <v>0</v>
      </c>
      <c r="J67" s="3">
        <v>11</v>
      </c>
      <c r="K67" s="3">
        <v>0</v>
      </c>
      <c r="L67" s="3">
        <v>0</v>
      </c>
      <c r="M67" s="3">
        <v>0</v>
      </c>
      <c r="N67" s="3" t="s">
        <v>160</v>
      </c>
      <c r="O67" s="3">
        <v>11</v>
      </c>
      <c r="P67" s="3">
        <v>69.63</v>
      </c>
      <c r="Q67" s="3">
        <v>0</v>
      </c>
      <c r="R67" s="3">
        <v>0</v>
      </c>
      <c r="S67" s="3">
        <v>1</v>
      </c>
      <c r="T67" s="3">
        <v>2</v>
      </c>
      <c r="U67" s="3">
        <v>2</v>
      </c>
      <c r="V67" s="3">
        <v>4</v>
      </c>
      <c r="W67" s="3"/>
      <c r="X67" s="3">
        <v>34.39</v>
      </c>
      <c r="Y67" s="3">
        <v>34.39</v>
      </c>
      <c r="Z67" s="3">
        <v>34.39</v>
      </c>
      <c r="AA67" s="3">
        <v>0</v>
      </c>
      <c r="AB67" s="3" t="s">
        <v>175</v>
      </c>
      <c r="AC67" s="3">
        <v>7</v>
      </c>
      <c r="AD67" s="3">
        <v>28.06</v>
      </c>
      <c r="AE67" s="3">
        <v>35</v>
      </c>
      <c r="AF67" s="3">
        <v>0</v>
      </c>
      <c r="AG67" s="3">
        <v>12.084219</v>
      </c>
      <c r="AH67" s="3">
        <v>0.30188679245283</v>
      </c>
      <c r="AI67" s="3" t="s">
        <v>182</v>
      </c>
      <c r="AJ67" s="3" t="s">
        <v>177</v>
      </c>
    </row>
    <row r="68" spans="1:36">
      <c r="A68" s="6">
        <v>43288</v>
      </c>
      <c r="B68" s="3" t="s">
        <v>346</v>
      </c>
      <c r="C68" s="3" t="s">
        <v>347</v>
      </c>
      <c r="D68" s="3" t="s">
        <v>347</v>
      </c>
      <c r="E68" s="3" t="s">
        <v>348</v>
      </c>
      <c r="F68" s="3" t="s">
        <v>159</v>
      </c>
      <c r="G68" s="3">
        <v>14</v>
      </c>
      <c r="H68" s="3">
        <v>0</v>
      </c>
      <c r="I68" s="3">
        <v>0</v>
      </c>
      <c r="J68" s="3">
        <v>0</v>
      </c>
      <c r="K68" s="3">
        <v>14</v>
      </c>
      <c r="L68" s="3">
        <v>0</v>
      </c>
      <c r="M68" s="3">
        <v>0</v>
      </c>
      <c r="N68" s="3" t="s">
        <v>160</v>
      </c>
      <c r="O68" s="3">
        <v>14</v>
      </c>
      <c r="P68" s="3">
        <v>88.63</v>
      </c>
      <c r="Q68" s="3">
        <v>0</v>
      </c>
      <c r="R68" s="3">
        <v>0</v>
      </c>
      <c r="S68" s="3">
        <v>1</v>
      </c>
      <c r="T68" s="3">
        <v>1</v>
      </c>
      <c r="U68" s="3">
        <v>1</v>
      </c>
      <c r="V68" s="3">
        <v>1</v>
      </c>
      <c r="W68" s="3"/>
      <c r="X68" s="3">
        <v>38.8</v>
      </c>
      <c r="Y68" s="3">
        <v>38.8</v>
      </c>
      <c r="Z68" s="3">
        <v>38.8</v>
      </c>
      <c r="AA68" s="3">
        <v>0</v>
      </c>
      <c r="AB68" s="3" t="s">
        <v>175</v>
      </c>
      <c r="AC68" s="3">
        <v>0</v>
      </c>
      <c r="AD68" s="3">
        <v>31.04</v>
      </c>
      <c r="AE68" s="3">
        <v>231</v>
      </c>
      <c r="AF68" s="3">
        <v>0</v>
      </c>
      <c r="AG68" s="3">
        <v>1002.865045</v>
      </c>
      <c r="AH68" s="3">
        <v>0.0677966101694915</v>
      </c>
      <c r="AI68" s="3" t="s">
        <v>182</v>
      </c>
      <c r="AJ68" s="3" t="s">
        <v>177</v>
      </c>
    </row>
    <row r="69" spans="1:36">
      <c r="A69" s="6">
        <v>43288</v>
      </c>
      <c r="B69" s="3" t="s">
        <v>60</v>
      </c>
      <c r="C69" s="3" t="s">
        <v>61</v>
      </c>
      <c r="D69" s="3" t="s">
        <v>62</v>
      </c>
      <c r="E69" s="3" t="s">
        <v>63</v>
      </c>
      <c r="F69" s="3" t="s">
        <v>159</v>
      </c>
      <c r="G69" s="3">
        <v>86</v>
      </c>
      <c r="H69" s="3">
        <v>0</v>
      </c>
      <c r="I69" s="3">
        <v>86</v>
      </c>
      <c r="J69" s="3">
        <v>0</v>
      </c>
      <c r="K69" s="3">
        <v>0</v>
      </c>
      <c r="L69" s="3">
        <v>0</v>
      </c>
      <c r="M69" s="3">
        <v>0</v>
      </c>
      <c r="N69" s="3" t="s">
        <v>160</v>
      </c>
      <c r="O69" s="3">
        <v>0</v>
      </c>
      <c r="P69" s="3">
        <v>0</v>
      </c>
      <c r="Q69" s="3">
        <v>0</v>
      </c>
      <c r="R69" s="3">
        <v>0</v>
      </c>
      <c r="S69" s="3">
        <v>2</v>
      </c>
      <c r="T69" s="3">
        <v>8</v>
      </c>
      <c r="U69" s="3">
        <v>10</v>
      </c>
      <c r="V69" s="3">
        <v>10</v>
      </c>
      <c r="W69" s="3" t="s">
        <v>161</v>
      </c>
      <c r="X69" s="3">
        <v>35.99</v>
      </c>
      <c r="Y69" s="3">
        <v>35.99</v>
      </c>
      <c r="Z69" s="3">
        <v>35.99</v>
      </c>
      <c r="AA69" s="3">
        <v>0</v>
      </c>
      <c r="AB69" s="3" t="s">
        <v>162</v>
      </c>
      <c r="AC69" s="3">
        <v>88</v>
      </c>
      <c r="AD69" s="3">
        <v>39.21</v>
      </c>
      <c r="AE69" s="3">
        <v>0</v>
      </c>
      <c r="AF69" s="3">
        <v>0</v>
      </c>
      <c r="AG69" s="3">
        <v>0</v>
      </c>
      <c r="AH69" s="3">
        <v>0.78714859437751</v>
      </c>
      <c r="AI69" s="3" t="s">
        <v>212</v>
      </c>
      <c r="AJ69" s="3" t="s">
        <v>164</v>
      </c>
    </row>
    <row r="70" spans="1:36">
      <c r="A70" s="6">
        <v>43288</v>
      </c>
      <c r="B70" s="3" t="s">
        <v>349</v>
      </c>
      <c r="C70" s="3" t="s">
        <v>350</v>
      </c>
      <c r="D70" s="3" t="s">
        <v>351</v>
      </c>
      <c r="E70" s="3" t="s">
        <v>352</v>
      </c>
      <c r="F70" s="3" t="s">
        <v>159</v>
      </c>
      <c r="G70" s="3">
        <v>130</v>
      </c>
      <c r="H70" s="3">
        <v>0</v>
      </c>
      <c r="I70" s="3">
        <v>0</v>
      </c>
      <c r="J70" s="3">
        <v>0</v>
      </c>
      <c r="K70" s="3">
        <v>1</v>
      </c>
      <c r="L70" s="3">
        <v>129</v>
      </c>
      <c r="M70" s="3">
        <v>0</v>
      </c>
      <c r="N70" s="3" t="s">
        <v>160</v>
      </c>
      <c r="O70" s="3">
        <v>130</v>
      </c>
      <c r="P70" s="3">
        <v>14.21</v>
      </c>
      <c r="Q70" s="3">
        <v>0</v>
      </c>
      <c r="R70" s="3">
        <v>0</v>
      </c>
      <c r="S70" s="3">
        <v>0</v>
      </c>
      <c r="T70" s="3">
        <v>2</v>
      </c>
      <c r="U70" s="3">
        <v>6</v>
      </c>
      <c r="V70" s="3">
        <v>6</v>
      </c>
      <c r="W70" s="3" t="s">
        <v>161</v>
      </c>
      <c r="X70" s="3">
        <v>28.99</v>
      </c>
      <c r="Y70" s="3">
        <v>28.99</v>
      </c>
      <c r="Z70" s="3">
        <v>28.99</v>
      </c>
      <c r="AA70" s="3">
        <v>0</v>
      </c>
      <c r="AB70" s="3" t="s">
        <v>162</v>
      </c>
      <c r="AC70" s="3">
        <v>2</v>
      </c>
      <c r="AD70" s="3">
        <v>22.97</v>
      </c>
      <c r="AE70" s="3">
        <v>364</v>
      </c>
      <c r="AF70" s="3">
        <v>0</v>
      </c>
      <c r="AG70" s="3">
        <v>622.030501</v>
      </c>
      <c r="AH70" s="3">
        <v>0.0440366972477064</v>
      </c>
      <c r="AI70" s="3" t="s">
        <v>353</v>
      </c>
      <c r="AJ70" s="3" t="s">
        <v>164</v>
      </c>
    </row>
    <row r="71" spans="1:36">
      <c r="A71" s="6">
        <v>43288</v>
      </c>
      <c r="B71" s="3" t="s">
        <v>354</v>
      </c>
      <c r="C71" s="3" t="s">
        <v>355</v>
      </c>
      <c r="D71" s="3" t="s">
        <v>355</v>
      </c>
      <c r="E71" s="3" t="s">
        <v>356</v>
      </c>
      <c r="F71" s="3" t="s">
        <v>159</v>
      </c>
      <c r="G71" s="3">
        <v>7</v>
      </c>
      <c r="H71" s="3">
        <v>0</v>
      </c>
      <c r="I71" s="3">
        <v>0</v>
      </c>
      <c r="J71" s="3">
        <v>0</v>
      </c>
      <c r="K71" s="3">
        <v>7</v>
      </c>
      <c r="L71" s="3">
        <v>0</v>
      </c>
      <c r="M71" s="3">
        <v>0</v>
      </c>
      <c r="N71" s="3" t="s">
        <v>160</v>
      </c>
      <c r="O71" s="3">
        <v>7</v>
      </c>
      <c r="P71" s="3">
        <v>44.35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174</v>
      </c>
      <c r="X71" s="3">
        <v>40.6</v>
      </c>
      <c r="Y71" s="3">
        <v>40.6</v>
      </c>
      <c r="Z71" s="3">
        <v>40.6</v>
      </c>
      <c r="AA71" s="3">
        <v>0</v>
      </c>
      <c r="AB71" s="3" t="s">
        <v>175</v>
      </c>
      <c r="AC71" s="3">
        <v>0</v>
      </c>
      <c r="AD71" s="3">
        <v>36.22</v>
      </c>
      <c r="AE71" s="3">
        <v>35</v>
      </c>
      <c r="AF71" s="3">
        <v>0</v>
      </c>
      <c r="AG71" s="3">
        <v>569.251222</v>
      </c>
      <c r="AH71" s="3">
        <v>0</v>
      </c>
      <c r="AI71" s="3" t="s">
        <v>357</v>
      </c>
      <c r="AJ71" s="3" t="s">
        <v>177</v>
      </c>
    </row>
    <row r="72" spans="1:36">
      <c r="A72" s="6">
        <v>43288</v>
      </c>
      <c r="B72" s="3" t="s">
        <v>358</v>
      </c>
      <c r="C72" s="3" t="s">
        <v>359</v>
      </c>
      <c r="D72" s="3" t="s">
        <v>359</v>
      </c>
      <c r="E72" s="3" t="s">
        <v>360</v>
      </c>
      <c r="F72" s="3" t="s">
        <v>159</v>
      </c>
      <c r="G72" s="3">
        <v>5</v>
      </c>
      <c r="H72" s="3">
        <v>0</v>
      </c>
      <c r="I72" s="3">
        <v>0</v>
      </c>
      <c r="J72" s="3">
        <v>5</v>
      </c>
      <c r="K72" s="3">
        <v>0</v>
      </c>
      <c r="L72" s="3">
        <v>0</v>
      </c>
      <c r="M72" s="3">
        <v>0</v>
      </c>
      <c r="N72" s="3" t="s">
        <v>160</v>
      </c>
      <c r="O72" s="3">
        <v>5</v>
      </c>
      <c r="P72" s="3">
        <v>56.99</v>
      </c>
      <c r="Q72" s="3">
        <v>0</v>
      </c>
      <c r="R72" s="3">
        <v>0</v>
      </c>
      <c r="S72" s="3">
        <v>0</v>
      </c>
      <c r="T72" s="3">
        <v>0</v>
      </c>
      <c r="U72" s="3">
        <v>2</v>
      </c>
      <c r="V72" s="3">
        <v>3</v>
      </c>
      <c r="W72" s="3" t="s">
        <v>174</v>
      </c>
      <c r="X72" s="3">
        <v>42.49</v>
      </c>
      <c r="Y72" s="3">
        <v>42.49</v>
      </c>
      <c r="Z72" s="3">
        <v>42.49</v>
      </c>
      <c r="AA72" s="3">
        <v>0</v>
      </c>
      <c r="AB72" s="3" t="s">
        <v>175</v>
      </c>
      <c r="AC72" s="3">
        <v>1</v>
      </c>
      <c r="AD72" s="3">
        <v>29.48</v>
      </c>
      <c r="AE72" s="3">
        <v>35</v>
      </c>
      <c r="AF72" s="3">
        <v>0</v>
      </c>
      <c r="AG72" s="3">
        <v>72.201375</v>
      </c>
      <c r="AH72" s="3">
        <v>0.48</v>
      </c>
      <c r="AI72" s="3" t="s">
        <v>361</v>
      </c>
      <c r="AJ72" s="3" t="s">
        <v>285</v>
      </c>
    </row>
    <row r="73" spans="1:36">
      <c r="A73" s="6">
        <v>43288</v>
      </c>
      <c r="B73" s="3" t="s">
        <v>362</v>
      </c>
      <c r="C73" s="3" t="s">
        <v>363</v>
      </c>
      <c r="D73" s="3" t="s">
        <v>363</v>
      </c>
      <c r="E73" s="3" t="s">
        <v>364</v>
      </c>
      <c r="F73" s="3" t="s">
        <v>159</v>
      </c>
      <c r="G73" s="3">
        <v>13</v>
      </c>
      <c r="H73" s="3">
        <v>0</v>
      </c>
      <c r="I73" s="3">
        <v>0</v>
      </c>
      <c r="J73" s="3">
        <v>13</v>
      </c>
      <c r="K73" s="3">
        <v>0</v>
      </c>
      <c r="L73" s="3">
        <v>0</v>
      </c>
      <c r="M73" s="3">
        <v>0</v>
      </c>
      <c r="N73" s="3" t="s">
        <v>160</v>
      </c>
      <c r="O73" s="3">
        <v>13</v>
      </c>
      <c r="P73" s="3">
        <v>164.26</v>
      </c>
      <c r="Q73" s="3">
        <v>0</v>
      </c>
      <c r="R73" s="3">
        <v>0</v>
      </c>
      <c r="S73" s="3">
        <v>1</v>
      </c>
      <c r="T73" s="3">
        <v>2</v>
      </c>
      <c r="U73" s="3">
        <v>2</v>
      </c>
      <c r="V73" s="3">
        <v>2</v>
      </c>
      <c r="W73" s="3"/>
      <c r="X73" s="3">
        <v>39.05</v>
      </c>
      <c r="Y73" s="3">
        <v>39.05</v>
      </c>
      <c r="Z73" s="3">
        <v>39.05</v>
      </c>
      <c r="AA73" s="3">
        <v>0</v>
      </c>
      <c r="AB73" s="3" t="s">
        <v>175</v>
      </c>
      <c r="AC73" s="3">
        <v>0</v>
      </c>
      <c r="AD73" s="3">
        <v>28.98</v>
      </c>
      <c r="AE73" s="3">
        <v>56</v>
      </c>
      <c r="AF73" s="3">
        <v>0</v>
      </c>
      <c r="AG73" s="3">
        <v>112.069076</v>
      </c>
      <c r="AH73" s="3">
        <v>0.137931034482758</v>
      </c>
      <c r="AI73" s="3" t="s">
        <v>365</v>
      </c>
      <c r="AJ73" s="3" t="s">
        <v>177</v>
      </c>
    </row>
    <row r="74" spans="1:36">
      <c r="A74" s="6">
        <v>43288</v>
      </c>
      <c r="B74" s="3" t="s">
        <v>94</v>
      </c>
      <c r="C74" s="3" t="s">
        <v>95</v>
      </c>
      <c r="D74" s="3" t="s">
        <v>38</v>
      </c>
      <c r="E74" s="3" t="s">
        <v>39</v>
      </c>
      <c r="F74" s="3" t="s">
        <v>159</v>
      </c>
      <c r="G74" s="3">
        <v>110</v>
      </c>
      <c r="H74" s="3">
        <v>0</v>
      </c>
      <c r="I74" s="3">
        <v>110</v>
      </c>
      <c r="J74" s="3">
        <v>0</v>
      </c>
      <c r="K74" s="3">
        <v>0</v>
      </c>
      <c r="L74" s="3">
        <v>0</v>
      </c>
      <c r="M74" s="3">
        <v>0</v>
      </c>
      <c r="N74" s="3" t="s">
        <v>160</v>
      </c>
      <c r="O74" s="3">
        <v>0</v>
      </c>
      <c r="P74" s="3">
        <v>0</v>
      </c>
      <c r="Q74" s="3">
        <v>0</v>
      </c>
      <c r="R74" s="3">
        <v>0</v>
      </c>
      <c r="S74" s="3">
        <v>4</v>
      </c>
      <c r="T74" s="3">
        <v>28</v>
      </c>
      <c r="U74" s="3">
        <v>35</v>
      </c>
      <c r="V74" s="3">
        <v>66</v>
      </c>
      <c r="W74" s="3" t="s">
        <v>161</v>
      </c>
      <c r="X74" s="3">
        <v>25.99</v>
      </c>
      <c r="Y74" s="3">
        <v>29</v>
      </c>
      <c r="Z74" s="3">
        <v>28.94</v>
      </c>
      <c r="AA74" s="3">
        <v>0</v>
      </c>
      <c r="AB74" s="3" t="s">
        <v>162</v>
      </c>
      <c r="AC74" s="3">
        <v>56</v>
      </c>
      <c r="AD74" s="3">
        <v>29</v>
      </c>
      <c r="AE74" s="3">
        <v>0</v>
      </c>
      <c r="AF74" s="3">
        <v>0</v>
      </c>
      <c r="AG74" s="3">
        <v>0</v>
      </c>
      <c r="AH74" s="3">
        <v>1.16521739130434</v>
      </c>
      <c r="AI74" s="3" t="s">
        <v>266</v>
      </c>
      <c r="AJ74" s="3" t="s">
        <v>164</v>
      </c>
    </row>
    <row r="75" spans="1:36">
      <c r="A75" s="6">
        <v>43288</v>
      </c>
      <c r="B75" s="3" t="s">
        <v>366</v>
      </c>
      <c r="C75" s="3" t="s">
        <v>367</v>
      </c>
      <c r="D75" s="3" t="s">
        <v>367</v>
      </c>
      <c r="E75" s="3" t="s">
        <v>368</v>
      </c>
      <c r="F75" s="3" t="s">
        <v>159</v>
      </c>
      <c r="G75" s="3">
        <v>11</v>
      </c>
      <c r="H75" s="3">
        <v>0</v>
      </c>
      <c r="I75" s="3">
        <v>0</v>
      </c>
      <c r="J75" s="3">
        <v>11</v>
      </c>
      <c r="K75" s="3">
        <v>0</v>
      </c>
      <c r="L75" s="3">
        <v>0</v>
      </c>
      <c r="M75" s="3">
        <v>0</v>
      </c>
      <c r="N75" s="3" t="s">
        <v>160</v>
      </c>
      <c r="O75" s="3">
        <v>11</v>
      </c>
      <c r="P75" s="3">
        <v>141.86</v>
      </c>
      <c r="Q75" s="3">
        <v>0</v>
      </c>
      <c r="R75" s="3">
        <v>0</v>
      </c>
      <c r="S75" s="3">
        <v>1</v>
      </c>
      <c r="T75" s="3">
        <v>1</v>
      </c>
      <c r="U75" s="3">
        <v>2</v>
      </c>
      <c r="V75" s="3">
        <v>4</v>
      </c>
      <c r="W75" s="3"/>
      <c r="X75" s="3">
        <v>38.99</v>
      </c>
      <c r="Y75" s="3">
        <v>38.99</v>
      </c>
      <c r="Z75" s="3">
        <v>38.99</v>
      </c>
      <c r="AA75" s="3">
        <v>0</v>
      </c>
      <c r="AB75" s="3" t="s">
        <v>175</v>
      </c>
      <c r="AC75" s="3">
        <v>1</v>
      </c>
      <c r="AD75" s="3">
        <v>24.68</v>
      </c>
      <c r="AE75" s="3">
        <v>77</v>
      </c>
      <c r="AF75" s="3">
        <v>0</v>
      </c>
      <c r="AG75" s="3">
        <v>187.832691</v>
      </c>
      <c r="AH75" s="3">
        <v>0.29090909090909</v>
      </c>
      <c r="AI75" s="3" t="s">
        <v>369</v>
      </c>
      <c r="AJ75" s="3" t="s">
        <v>285</v>
      </c>
    </row>
    <row r="76" spans="1:36">
      <c r="A76" s="6">
        <v>43288</v>
      </c>
      <c r="B76" s="3" t="s">
        <v>370</v>
      </c>
      <c r="C76" s="3" t="s">
        <v>371</v>
      </c>
      <c r="D76" s="3" t="s">
        <v>371</v>
      </c>
      <c r="E76" s="3" t="s">
        <v>372</v>
      </c>
      <c r="F76" s="3" t="s">
        <v>159</v>
      </c>
      <c r="G76" s="3">
        <v>10</v>
      </c>
      <c r="H76" s="3">
        <v>0</v>
      </c>
      <c r="I76" s="3">
        <v>1</v>
      </c>
      <c r="J76" s="3">
        <v>9</v>
      </c>
      <c r="K76" s="3">
        <v>0</v>
      </c>
      <c r="L76" s="3">
        <v>0</v>
      </c>
      <c r="M76" s="3">
        <v>0</v>
      </c>
      <c r="N76" s="3" t="s">
        <v>160</v>
      </c>
      <c r="O76" s="3">
        <v>8</v>
      </c>
      <c r="P76" s="3">
        <v>95.2</v>
      </c>
      <c r="Q76" s="3">
        <v>0</v>
      </c>
      <c r="R76" s="3">
        <v>0</v>
      </c>
      <c r="S76" s="3">
        <v>0</v>
      </c>
      <c r="T76" s="3">
        <v>1</v>
      </c>
      <c r="U76" s="3">
        <v>1</v>
      </c>
      <c r="V76" s="3">
        <v>2</v>
      </c>
      <c r="W76" s="3"/>
      <c r="X76" s="3">
        <v>42.99</v>
      </c>
      <c r="Y76" s="3">
        <v>42.99</v>
      </c>
      <c r="Z76" s="3">
        <v>42.99</v>
      </c>
      <c r="AA76" s="3">
        <v>0</v>
      </c>
      <c r="AB76" s="3" t="s">
        <v>175</v>
      </c>
      <c r="AC76" s="3">
        <v>3</v>
      </c>
      <c r="AD76" s="3">
        <v>34.39</v>
      </c>
      <c r="AE76" s="3">
        <v>49</v>
      </c>
      <c r="AF76" s="3">
        <v>0</v>
      </c>
      <c r="AG76" s="3">
        <v>20.315331</v>
      </c>
      <c r="AH76" s="3">
        <v>0.186046511627906</v>
      </c>
      <c r="AI76" s="3" t="s">
        <v>373</v>
      </c>
      <c r="AJ76" s="3" t="s">
        <v>177</v>
      </c>
    </row>
    <row r="77" spans="1:36">
      <c r="A77" s="6">
        <v>43288</v>
      </c>
      <c r="B77" s="3" t="s">
        <v>374</v>
      </c>
      <c r="C77" s="3" t="s">
        <v>375</v>
      </c>
      <c r="D77" s="3" t="s">
        <v>375</v>
      </c>
      <c r="E77" s="3" t="s">
        <v>376</v>
      </c>
      <c r="F77" s="3" t="s">
        <v>159</v>
      </c>
      <c r="G77" s="3">
        <v>5</v>
      </c>
      <c r="H77" s="3">
        <v>0</v>
      </c>
      <c r="I77" s="3">
        <v>1</v>
      </c>
      <c r="J77" s="3">
        <v>4</v>
      </c>
      <c r="K77" s="3">
        <v>0</v>
      </c>
      <c r="L77" s="3">
        <v>0</v>
      </c>
      <c r="M77" s="3">
        <v>0</v>
      </c>
      <c r="N77" s="3" t="s">
        <v>160</v>
      </c>
      <c r="O77" s="3">
        <v>4</v>
      </c>
      <c r="P77" s="3">
        <v>49.92</v>
      </c>
      <c r="Q77" s="3">
        <v>0</v>
      </c>
      <c r="R77" s="3">
        <v>0</v>
      </c>
      <c r="S77" s="3">
        <v>1</v>
      </c>
      <c r="T77" s="3">
        <v>2</v>
      </c>
      <c r="U77" s="3">
        <v>2</v>
      </c>
      <c r="V77" s="3">
        <v>2</v>
      </c>
      <c r="W77" s="3"/>
      <c r="X77" s="3">
        <v>42.49</v>
      </c>
      <c r="Y77" s="3">
        <v>42.49</v>
      </c>
      <c r="Z77" s="3">
        <v>42.49</v>
      </c>
      <c r="AA77" s="3">
        <v>0</v>
      </c>
      <c r="AB77" s="3" t="s">
        <v>175</v>
      </c>
      <c r="AC77" s="3">
        <v>0</v>
      </c>
      <c r="AD77" s="3">
        <v>33.99</v>
      </c>
      <c r="AE77" s="3">
        <v>63</v>
      </c>
      <c r="AF77" s="3">
        <v>0</v>
      </c>
      <c r="AG77" s="3">
        <v>639.052969</v>
      </c>
      <c r="AH77" s="3">
        <v>0.32</v>
      </c>
      <c r="AI77" s="3" t="s">
        <v>222</v>
      </c>
      <c r="AJ77" s="3" t="s">
        <v>177</v>
      </c>
    </row>
    <row r="78" spans="1:36">
      <c r="A78" s="6">
        <v>43288</v>
      </c>
      <c r="B78" s="3" t="s">
        <v>40</v>
      </c>
      <c r="C78" s="3" t="s">
        <v>41</v>
      </c>
      <c r="D78" s="3" t="s">
        <v>42</v>
      </c>
      <c r="E78" s="3" t="s">
        <v>43</v>
      </c>
      <c r="F78" s="3" t="s">
        <v>159</v>
      </c>
      <c r="G78" s="3">
        <v>53</v>
      </c>
      <c r="H78" s="3">
        <v>0</v>
      </c>
      <c r="I78" s="3">
        <v>1</v>
      </c>
      <c r="J78" s="3">
        <v>1</v>
      </c>
      <c r="K78" s="3">
        <v>51</v>
      </c>
      <c r="L78" s="3">
        <v>0</v>
      </c>
      <c r="M78" s="3">
        <v>0</v>
      </c>
      <c r="N78" s="3" t="s">
        <v>160</v>
      </c>
      <c r="O78" s="3">
        <v>51</v>
      </c>
      <c r="P78" s="3">
        <v>11.52</v>
      </c>
      <c r="Q78" s="3">
        <v>0</v>
      </c>
      <c r="R78" s="3">
        <v>0</v>
      </c>
      <c r="S78" s="3">
        <v>4</v>
      </c>
      <c r="T78" s="3">
        <v>12</v>
      </c>
      <c r="U78" s="3">
        <v>36</v>
      </c>
      <c r="V78" s="3">
        <v>57</v>
      </c>
      <c r="W78" s="3" t="s">
        <v>161</v>
      </c>
      <c r="X78" s="3">
        <v>39.59</v>
      </c>
      <c r="Y78" s="3">
        <v>39.99</v>
      </c>
      <c r="Z78" s="3">
        <v>39.99</v>
      </c>
      <c r="AA78" s="3">
        <v>0</v>
      </c>
      <c r="AB78" s="3" t="s">
        <v>162</v>
      </c>
      <c r="AC78" s="3">
        <v>58</v>
      </c>
      <c r="AD78" s="3">
        <v>39.99</v>
      </c>
      <c r="AE78" s="3">
        <v>0</v>
      </c>
      <c r="AF78" s="3">
        <v>0</v>
      </c>
      <c r="AG78" s="3">
        <v>0</v>
      </c>
      <c r="AH78" s="3">
        <v>0.703703703703703</v>
      </c>
      <c r="AI78" s="3" t="s">
        <v>170</v>
      </c>
      <c r="AJ78" s="3" t="s">
        <v>164</v>
      </c>
    </row>
    <row r="79" spans="1:36">
      <c r="A79" s="6">
        <v>43288</v>
      </c>
      <c r="B79" s="3" t="s">
        <v>377</v>
      </c>
      <c r="C79" s="3" t="s">
        <v>378</v>
      </c>
      <c r="D79" s="3" t="s">
        <v>378</v>
      </c>
      <c r="E79" s="3" t="s">
        <v>379</v>
      </c>
      <c r="F79" s="3" t="s">
        <v>159</v>
      </c>
      <c r="G79" s="3">
        <v>1</v>
      </c>
      <c r="H79" s="3">
        <v>0</v>
      </c>
      <c r="I79" s="3">
        <v>1</v>
      </c>
      <c r="J79" s="3">
        <v>0</v>
      </c>
      <c r="K79" s="3">
        <v>0</v>
      </c>
      <c r="L79" s="3">
        <v>0</v>
      </c>
      <c r="M79" s="3">
        <v>0</v>
      </c>
      <c r="N79" s="3" t="s">
        <v>160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5</v>
      </c>
      <c r="V79" s="3">
        <v>5</v>
      </c>
      <c r="W79" s="3" t="s">
        <v>174</v>
      </c>
      <c r="X79" s="3">
        <v>42.99</v>
      </c>
      <c r="Y79" s="3">
        <v>42.99</v>
      </c>
      <c r="Z79" s="3">
        <v>42.99</v>
      </c>
      <c r="AA79" s="3">
        <v>0</v>
      </c>
      <c r="AB79" s="3" t="s">
        <v>181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3.33333333333333</v>
      </c>
      <c r="AI79" s="3" t="s">
        <v>222</v>
      </c>
      <c r="AJ79" s="3" t="s">
        <v>177</v>
      </c>
    </row>
    <row r="80" spans="1:36">
      <c r="A80" s="6">
        <v>43288</v>
      </c>
      <c r="B80" s="3" t="s">
        <v>117</v>
      </c>
      <c r="C80" s="3" t="s">
        <v>118</v>
      </c>
      <c r="D80" s="3" t="s">
        <v>119</v>
      </c>
      <c r="E80" s="3" t="s">
        <v>120</v>
      </c>
      <c r="F80" s="3" t="s">
        <v>159</v>
      </c>
      <c r="G80" s="3">
        <v>15</v>
      </c>
      <c r="H80" s="3">
        <v>0</v>
      </c>
      <c r="I80" s="3">
        <v>2</v>
      </c>
      <c r="J80" s="3">
        <v>1</v>
      </c>
      <c r="K80" s="3">
        <v>2</v>
      </c>
      <c r="L80" s="3">
        <v>10</v>
      </c>
      <c r="M80" s="3">
        <v>0</v>
      </c>
      <c r="N80" s="3" t="s">
        <v>160</v>
      </c>
      <c r="O80" s="3">
        <v>13</v>
      </c>
      <c r="P80" s="3">
        <v>2.59</v>
      </c>
      <c r="Q80" s="3">
        <v>0</v>
      </c>
      <c r="R80" s="3">
        <v>0</v>
      </c>
      <c r="S80" s="3">
        <v>6</v>
      </c>
      <c r="T80" s="3">
        <v>14</v>
      </c>
      <c r="U80" s="3">
        <v>24</v>
      </c>
      <c r="V80" s="3">
        <v>29</v>
      </c>
      <c r="W80" s="3" t="s">
        <v>161</v>
      </c>
      <c r="X80" s="3">
        <v>38.39</v>
      </c>
      <c r="Y80" s="3">
        <v>38.59</v>
      </c>
      <c r="Z80" s="3">
        <v>38.59</v>
      </c>
      <c r="AA80" s="3">
        <v>0</v>
      </c>
      <c r="AB80" s="3" t="s">
        <v>162</v>
      </c>
      <c r="AC80" s="3">
        <v>21</v>
      </c>
      <c r="AD80" s="3">
        <v>38.59</v>
      </c>
      <c r="AE80" s="3">
        <v>0</v>
      </c>
      <c r="AF80" s="3">
        <v>0</v>
      </c>
      <c r="AG80" s="3">
        <v>0</v>
      </c>
      <c r="AH80" s="3">
        <v>0.90625</v>
      </c>
      <c r="AI80" s="3" t="s">
        <v>380</v>
      </c>
      <c r="AJ80" s="3" t="s">
        <v>164</v>
      </c>
    </row>
    <row r="81" spans="1:36">
      <c r="A81" s="6">
        <v>43288</v>
      </c>
      <c r="B81" s="3" t="s">
        <v>32</v>
      </c>
      <c r="C81" s="3" t="s">
        <v>33</v>
      </c>
      <c r="D81" s="3" t="s">
        <v>34</v>
      </c>
      <c r="E81" s="3" t="s">
        <v>381</v>
      </c>
      <c r="F81" s="3" t="s">
        <v>159</v>
      </c>
      <c r="G81" s="3">
        <v>60</v>
      </c>
      <c r="H81" s="3">
        <v>0</v>
      </c>
      <c r="I81" s="3">
        <v>0</v>
      </c>
      <c r="J81" s="3">
        <v>0</v>
      </c>
      <c r="K81" s="3">
        <v>1</v>
      </c>
      <c r="L81" s="3">
        <v>59</v>
      </c>
      <c r="M81" s="3">
        <v>0</v>
      </c>
      <c r="N81" s="3" t="s">
        <v>160</v>
      </c>
      <c r="O81" s="3">
        <v>60</v>
      </c>
      <c r="P81" s="3">
        <v>13.94</v>
      </c>
      <c r="Q81" s="3">
        <v>0</v>
      </c>
      <c r="R81" s="3">
        <v>0</v>
      </c>
      <c r="S81" s="3">
        <v>1</v>
      </c>
      <c r="T81" s="3">
        <v>2</v>
      </c>
      <c r="U81" s="3">
        <v>2</v>
      </c>
      <c r="V81" s="3">
        <v>2</v>
      </c>
      <c r="W81" s="3" t="s">
        <v>161</v>
      </c>
      <c r="X81" s="3">
        <v>38.5</v>
      </c>
      <c r="Y81" s="3">
        <v>38.5</v>
      </c>
      <c r="Z81" s="3">
        <v>38.5</v>
      </c>
      <c r="AA81" s="3">
        <v>0</v>
      </c>
      <c r="AB81" s="3" t="s">
        <v>162</v>
      </c>
      <c r="AC81" s="3">
        <v>41</v>
      </c>
      <c r="AD81" s="3">
        <v>36.25</v>
      </c>
      <c r="AE81" s="3">
        <v>203</v>
      </c>
      <c r="AF81" s="3">
        <v>0</v>
      </c>
      <c r="AG81" s="3">
        <v>13.413257</v>
      </c>
      <c r="AH81" s="3">
        <v>0.032520325203252</v>
      </c>
      <c r="AI81" s="3" t="s">
        <v>274</v>
      </c>
      <c r="AJ81" s="3" t="s">
        <v>164</v>
      </c>
    </row>
    <row r="82" spans="1:36">
      <c r="A82" s="6">
        <v>43288</v>
      </c>
      <c r="B82" s="3" t="s">
        <v>382</v>
      </c>
      <c r="C82" s="3" t="s">
        <v>383</v>
      </c>
      <c r="D82" s="3" t="s">
        <v>383</v>
      </c>
      <c r="E82" s="3" t="s">
        <v>384</v>
      </c>
      <c r="F82" s="3" t="s">
        <v>159</v>
      </c>
      <c r="G82" s="3">
        <v>15</v>
      </c>
      <c r="H82" s="3">
        <v>0</v>
      </c>
      <c r="I82" s="3">
        <v>0</v>
      </c>
      <c r="J82" s="3">
        <v>15</v>
      </c>
      <c r="K82" s="3">
        <v>0</v>
      </c>
      <c r="L82" s="3">
        <v>0</v>
      </c>
      <c r="M82" s="3">
        <v>0</v>
      </c>
      <c r="N82" s="3" t="s">
        <v>160</v>
      </c>
      <c r="O82" s="3">
        <v>15</v>
      </c>
      <c r="P82" s="3">
        <v>131.81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1</v>
      </c>
      <c r="W82" s="3" t="s">
        <v>174</v>
      </c>
      <c r="X82" s="3">
        <v>34.39</v>
      </c>
      <c r="Y82" s="3">
        <v>34.39</v>
      </c>
      <c r="Z82" s="3">
        <v>34.39</v>
      </c>
      <c r="AA82" s="3">
        <v>0</v>
      </c>
      <c r="AB82" s="3" t="s">
        <v>175</v>
      </c>
      <c r="AC82" s="3">
        <v>0</v>
      </c>
      <c r="AD82" s="3">
        <v>28.32</v>
      </c>
      <c r="AE82" s="3">
        <v>35</v>
      </c>
      <c r="AF82" s="3">
        <v>0</v>
      </c>
      <c r="AG82" s="3">
        <v>1504.919701</v>
      </c>
      <c r="AH82" s="3">
        <v>0.0655737704918032</v>
      </c>
      <c r="AI82" s="3" t="s">
        <v>176</v>
      </c>
      <c r="AJ82" s="3" t="s">
        <v>177</v>
      </c>
    </row>
    <row r="83" spans="1:36">
      <c r="A83" s="6">
        <v>43288</v>
      </c>
      <c r="B83" s="3" t="s">
        <v>72</v>
      </c>
      <c r="C83" s="3" t="s">
        <v>73</v>
      </c>
      <c r="D83" s="3" t="s">
        <v>30</v>
      </c>
      <c r="E83" s="3" t="s">
        <v>31</v>
      </c>
      <c r="F83" s="3" t="s">
        <v>159</v>
      </c>
      <c r="G83" s="3">
        <v>110</v>
      </c>
      <c r="H83" s="3">
        <v>0</v>
      </c>
      <c r="I83" s="3">
        <v>1</v>
      </c>
      <c r="J83" s="3">
        <v>0</v>
      </c>
      <c r="K83" s="3">
        <v>0</v>
      </c>
      <c r="L83" s="3">
        <v>109</v>
      </c>
      <c r="M83" s="3">
        <v>0</v>
      </c>
      <c r="N83" s="3" t="s">
        <v>160</v>
      </c>
      <c r="O83" s="3">
        <v>1</v>
      </c>
      <c r="P83" s="3">
        <v>0.01</v>
      </c>
      <c r="Q83" s="3">
        <v>108</v>
      </c>
      <c r="R83" s="3">
        <v>54</v>
      </c>
      <c r="S83" s="3">
        <v>3</v>
      </c>
      <c r="T83" s="3">
        <v>18</v>
      </c>
      <c r="U83" s="3">
        <v>28</v>
      </c>
      <c r="V83" s="3">
        <v>36</v>
      </c>
      <c r="W83" s="3" t="s">
        <v>161</v>
      </c>
      <c r="X83" s="3">
        <v>15.61</v>
      </c>
      <c r="Y83" s="3">
        <v>15.61</v>
      </c>
      <c r="Z83" s="3">
        <v>15.61</v>
      </c>
      <c r="AA83" s="3">
        <v>0</v>
      </c>
      <c r="AB83" s="3" t="s">
        <v>194</v>
      </c>
      <c r="AC83" s="3">
        <v>112</v>
      </c>
      <c r="AD83" s="3">
        <v>15.99</v>
      </c>
      <c r="AE83" s="3">
        <v>0</v>
      </c>
      <c r="AF83" s="3">
        <v>0</v>
      </c>
      <c r="AG83" s="3">
        <v>0</v>
      </c>
      <c r="AH83" s="3">
        <v>0.193406593406593</v>
      </c>
      <c r="AI83" s="3" t="s">
        <v>199</v>
      </c>
      <c r="AJ83" s="3" t="s">
        <v>164</v>
      </c>
    </row>
    <row r="84" spans="1:36">
      <c r="A84" s="6">
        <v>43288</v>
      </c>
      <c r="B84" s="3" t="s">
        <v>385</v>
      </c>
      <c r="C84" s="3" t="s">
        <v>386</v>
      </c>
      <c r="D84" s="3" t="s">
        <v>70</v>
      </c>
      <c r="E84" s="3" t="s">
        <v>71</v>
      </c>
      <c r="F84" s="3" t="s">
        <v>159</v>
      </c>
      <c r="G84" s="3">
        <v>27</v>
      </c>
      <c r="H84" s="3">
        <v>0</v>
      </c>
      <c r="I84" s="3">
        <v>2</v>
      </c>
      <c r="J84" s="3">
        <v>25</v>
      </c>
      <c r="K84" s="3">
        <v>0</v>
      </c>
      <c r="L84" s="3">
        <v>0</v>
      </c>
      <c r="M84" s="3">
        <v>0</v>
      </c>
      <c r="N84" s="3" t="s">
        <v>160</v>
      </c>
      <c r="O84" s="3">
        <v>25</v>
      </c>
      <c r="P84" s="3">
        <v>7.17</v>
      </c>
      <c r="Q84" s="3">
        <v>0</v>
      </c>
      <c r="R84" s="3">
        <v>0</v>
      </c>
      <c r="S84" s="3">
        <v>0</v>
      </c>
      <c r="T84" s="3">
        <v>1</v>
      </c>
      <c r="U84" s="3">
        <v>10</v>
      </c>
      <c r="V84" s="3">
        <v>21</v>
      </c>
      <c r="W84" s="3" t="s">
        <v>161</v>
      </c>
      <c r="X84" s="3">
        <v>53.49</v>
      </c>
      <c r="Y84" s="3">
        <v>53.49</v>
      </c>
      <c r="Z84" s="3">
        <v>52.99</v>
      </c>
      <c r="AA84" s="3">
        <v>0</v>
      </c>
      <c r="AB84" s="3" t="s">
        <v>162</v>
      </c>
      <c r="AC84" s="3">
        <v>28</v>
      </c>
      <c r="AD84" s="3">
        <v>53.49</v>
      </c>
      <c r="AE84" s="3">
        <v>0</v>
      </c>
      <c r="AF84" s="3">
        <v>0</v>
      </c>
      <c r="AG84" s="3">
        <v>0</v>
      </c>
      <c r="AH84" s="3">
        <v>0.669201520912547</v>
      </c>
      <c r="AI84" s="3" t="s">
        <v>165</v>
      </c>
      <c r="AJ84" s="3" t="s">
        <v>164</v>
      </c>
    </row>
    <row r="85" spans="1:36">
      <c r="A85" s="6">
        <v>43288</v>
      </c>
      <c r="B85" s="3" t="s">
        <v>387</v>
      </c>
      <c r="C85" s="3" t="s">
        <v>388</v>
      </c>
      <c r="D85" s="3" t="s">
        <v>388</v>
      </c>
      <c r="E85" s="3" t="s">
        <v>389</v>
      </c>
      <c r="F85" s="3" t="s">
        <v>159</v>
      </c>
      <c r="G85" s="3">
        <v>15</v>
      </c>
      <c r="H85" s="3">
        <v>0</v>
      </c>
      <c r="I85" s="3">
        <v>1</v>
      </c>
      <c r="J85" s="3">
        <v>14</v>
      </c>
      <c r="K85" s="3">
        <v>0</v>
      </c>
      <c r="L85" s="3">
        <v>0</v>
      </c>
      <c r="M85" s="3">
        <v>0</v>
      </c>
      <c r="N85" s="3" t="s">
        <v>160</v>
      </c>
      <c r="O85" s="3">
        <v>13</v>
      </c>
      <c r="P85" s="3">
        <v>114.23</v>
      </c>
      <c r="Q85" s="3">
        <v>0</v>
      </c>
      <c r="R85" s="3">
        <v>0</v>
      </c>
      <c r="S85" s="3">
        <v>0</v>
      </c>
      <c r="T85" s="3">
        <v>0</v>
      </c>
      <c r="U85" s="3">
        <v>1</v>
      </c>
      <c r="V85" s="3">
        <v>3</v>
      </c>
      <c r="W85" s="3" t="s">
        <v>174</v>
      </c>
      <c r="X85" s="3">
        <v>42.99</v>
      </c>
      <c r="Y85" s="3">
        <v>42.99</v>
      </c>
      <c r="Z85" s="3">
        <v>42.99</v>
      </c>
      <c r="AA85" s="3">
        <v>0</v>
      </c>
      <c r="AB85" s="3" t="s">
        <v>175</v>
      </c>
      <c r="AC85" s="3">
        <v>0</v>
      </c>
      <c r="AD85" s="3">
        <v>34.39</v>
      </c>
      <c r="AE85" s="3">
        <v>364</v>
      </c>
      <c r="AF85" s="3">
        <v>0</v>
      </c>
      <c r="AG85" s="3">
        <v>1377.767008</v>
      </c>
      <c r="AH85" s="3">
        <v>0.1875</v>
      </c>
      <c r="AI85" s="3" t="s">
        <v>176</v>
      </c>
      <c r="AJ85" s="3" t="s">
        <v>177</v>
      </c>
    </row>
    <row r="86" spans="1:36">
      <c r="A86" s="6">
        <v>43288</v>
      </c>
      <c r="B86" s="3" t="s">
        <v>390</v>
      </c>
      <c r="C86" s="3" t="s">
        <v>391</v>
      </c>
      <c r="D86" s="3" t="s">
        <v>391</v>
      </c>
      <c r="E86" s="3" t="s">
        <v>392</v>
      </c>
      <c r="F86" s="3" t="s">
        <v>159</v>
      </c>
      <c r="G86" s="3">
        <v>12</v>
      </c>
      <c r="H86" s="3">
        <v>0</v>
      </c>
      <c r="I86" s="3">
        <v>1</v>
      </c>
      <c r="J86" s="3">
        <v>1</v>
      </c>
      <c r="K86" s="3">
        <v>10</v>
      </c>
      <c r="L86" s="3">
        <v>0</v>
      </c>
      <c r="M86" s="3">
        <v>0</v>
      </c>
      <c r="N86" s="3" t="s">
        <v>160</v>
      </c>
      <c r="O86" s="3">
        <v>10</v>
      </c>
      <c r="P86" s="3">
        <v>63.3</v>
      </c>
      <c r="Q86" s="3">
        <v>0</v>
      </c>
      <c r="R86" s="3">
        <v>0</v>
      </c>
      <c r="S86" s="3">
        <v>0</v>
      </c>
      <c r="T86" s="3">
        <v>0</v>
      </c>
      <c r="U86" s="3">
        <v>1</v>
      </c>
      <c r="V86" s="3">
        <v>2</v>
      </c>
      <c r="W86" s="3" t="s">
        <v>174</v>
      </c>
      <c r="X86" s="3">
        <v>39.99</v>
      </c>
      <c r="Y86" s="3">
        <v>39.99</v>
      </c>
      <c r="Z86" s="3">
        <v>39.99</v>
      </c>
      <c r="AA86" s="3">
        <v>0</v>
      </c>
      <c r="AB86" s="3" t="s">
        <v>175</v>
      </c>
      <c r="AC86" s="3">
        <v>0</v>
      </c>
      <c r="AD86" s="3">
        <v>31.99</v>
      </c>
      <c r="AE86" s="3">
        <v>364</v>
      </c>
      <c r="AF86" s="3">
        <v>0</v>
      </c>
      <c r="AG86" s="3">
        <v>809.785905</v>
      </c>
      <c r="AH86" s="3">
        <v>0.150943396226415</v>
      </c>
      <c r="AI86" s="3" t="s">
        <v>182</v>
      </c>
      <c r="AJ86" s="3" t="s">
        <v>285</v>
      </c>
    </row>
    <row r="87" spans="1:36">
      <c r="A87" s="6">
        <v>43288</v>
      </c>
      <c r="B87" s="3" t="s">
        <v>393</v>
      </c>
      <c r="C87" s="3" t="s">
        <v>394</v>
      </c>
      <c r="D87" s="3" t="s">
        <v>394</v>
      </c>
      <c r="E87" s="3" t="s">
        <v>395</v>
      </c>
      <c r="F87" s="3" t="s">
        <v>159</v>
      </c>
      <c r="G87" s="3">
        <v>7</v>
      </c>
      <c r="H87" s="3">
        <v>0</v>
      </c>
      <c r="I87" s="3">
        <v>0</v>
      </c>
      <c r="J87" s="3">
        <v>0</v>
      </c>
      <c r="K87" s="3">
        <v>7</v>
      </c>
      <c r="L87" s="3">
        <v>0</v>
      </c>
      <c r="M87" s="3">
        <v>0</v>
      </c>
      <c r="N87" s="3" t="s">
        <v>160</v>
      </c>
      <c r="O87" s="3">
        <v>7</v>
      </c>
      <c r="P87" s="3">
        <v>44.31</v>
      </c>
      <c r="Q87" s="3">
        <v>0</v>
      </c>
      <c r="R87" s="3">
        <v>0</v>
      </c>
      <c r="S87" s="3">
        <v>0</v>
      </c>
      <c r="T87" s="3">
        <v>1</v>
      </c>
      <c r="U87" s="3">
        <v>1</v>
      </c>
      <c r="V87" s="3">
        <v>1</v>
      </c>
      <c r="W87" s="3"/>
      <c r="X87" s="3">
        <v>34.39</v>
      </c>
      <c r="Y87" s="3">
        <v>34.39</v>
      </c>
      <c r="Z87" s="3">
        <v>34.39</v>
      </c>
      <c r="AA87" s="3">
        <v>0</v>
      </c>
      <c r="AB87" s="3" t="s">
        <v>181</v>
      </c>
      <c r="AC87" s="3">
        <v>7</v>
      </c>
      <c r="AD87" s="3">
        <v>34.39</v>
      </c>
      <c r="AE87" s="3">
        <v>0</v>
      </c>
      <c r="AF87" s="3">
        <v>0</v>
      </c>
      <c r="AG87" s="3">
        <v>0</v>
      </c>
      <c r="AH87" s="3">
        <v>0.129032258064516</v>
      </c>
      <c r="AI87" s="3" t="s">
        <v>182</v>
      </c>
      <c r="AJ87" s="3" t="s">
        <v>177</v>
      </c>
    </row>
    <row r="88" spans="1:33">
      <c r="A88" s="5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>
      <c r="A89" s="5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>
      <c r="A90" s="5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>
      <c r="A91" s="5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>
      <c r="A92" s="5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>
      <c r="A93" s="5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>
      <c r="A94" s="5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>
      <c r="A95" s="5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>
      <c r="A96" s="5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>
      <c r="A97" s="5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>
      <c r="A98" s="5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>
      <c r="A99" s="5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>
      <c r="A100" s="5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>
      <c r="A101" s="5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>
      <c r="A102" s="5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>
      <c r="A103" s="5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>
      <c r="A104" s="5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>
      <c r="A105" s="5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>
      <c r="A106" s="5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>
      <c r="A107" s="5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>
      <c r="A108" s="5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>
      <c r="A109" s="5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>
      <c r="A110" s="5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>
      <c r="A111" s="5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>
      <c r="A112" s="5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>
      <c r="A113" s="5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>
      <c r="A114" s="5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>
      <c r="A115" s="5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>
      <c r="A116" s="5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>
      <c r="A117" s="5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>
      <c r="A118" s="5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>
      <c r="A119" s="5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>
      <c r="A120" s="5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>
      <c r="A121" s="5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>
      <c r="A122" s="5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>
      <c r="A123" s="5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>
      <c r="A124" s="5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>
      <c r="A125" s="5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>
      <c r="A126" s="5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>
      <c r="A127" s="5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>
      <c r="A128" s="5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>
      <c r="A129" s="5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>
      <c r="A130" s="5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>
      <c r="A131" s="5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>
      <c r="A132" s="5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>
      <c r="A133" s="5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>
      <c r="A134" s="5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>
      <c r="A135" s="5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>
      <c r="A136" s="5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>
      <c r="A137" s="5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>
      <c r="A138" s="5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>
      <c r="A139" s="5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>
      <c r="A140" s="5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>
      <c r="A141" s="5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>
      <c r="A142" s="5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>
      <c r="A143" s="5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>
      <c r="A144" s="5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>
      <c r="A145" s="5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>
      <c r="A146" s="5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>
      <c r="A147" s="5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A1" sqref="A1:R151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126</v>
      </c>
      <c r="F1" s="3" t="s">
        <v>144</v>
      </c>
      <c r="G1" s="3" t="s">
        <v>396</v>
      </c>
      <c r="H1" s="3" t="s">
        <v>397</v>
      </c>
      <c r="I1" s="3" t="s">
        <v>398</v>
      </c>
      <c r="J1" s="3" t="s">
        <v>399</v>
      </c>
      <c r="K1" s="3" t="s">
        <v>400</v>
      </c>
      <c r="L1" s="3" t="s">
        <v>401</v>
      </c>
      <c r="M1" s="3" t="s">
        <v>402</v>
      </c>
      <c r="N1" s="3" t="s">
        <v>403</v>
      </c>
      <c r="O1" s="3" t="s">
        <v>404</v>
      </c>
      <c r="P1" s="3" t="s">
        <v>405</v>
      </c>
      <c r="Q1" s="3" t="s">
        <v>406</v>
      </c>
      <c r="R1" s="3" t="s">
        <v>407</v>
      </c>
    </row>
    <row r="2" spans="1:18">
      <c r="A2" s="3" t="s">
        <v>408</v>
      </c>
      <c r="B2" s="3" t="s">
        <v>409</v>
      </c>
      <c r="C2" s="3" t="s">
        <v>324</v>
      </c>
      <c r="D2" s="3"/>
      <c r="E2" s="3" t="s">
        <v>410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261</v>
      </c>
      <c r="B3" s="3" t="s">
        <v>262</v>
      </c>
      <c r="C3" s="3" t="s">
        <v>263</v>
      </c>
      <c r="D3" s="3" t="s">
        <v>264</v>
      </c>
      <c r="E3" s="3" t="s">
        <v>159</v>
      </c>
      <c r="F3" s="3">
        <v>10.09</v>
      </c>
      <c r="G3" s="3" t="s">
        <v>411</v>
      </c>
      <c r="H3" s="3"/>
      <c r="I3" s="3" t="s">
        <v>412</v>
      </c>
      <c r="J3" s="3">
        <v>187</v>
      </c>
      <c r="K3" s="3">
        <v>186</v>
      </c>
      <c r="L3" s="3">
        <v>1</v>
      </c>
      <c r="M3" s="3">
        <v>0</v>
      </c>
      <c r="N3" s="3">
        <v>187</v>
      </c>
      <c r="O3" s="3">
        <v>0.01</v>
      </c>
      <c r="P3" s="3">
        <v>0</v>
      </c>
      <c r="Q3" s="3">
        <v>0</v>
      </c>
      <c r="R3" s="3">
        <v>0</v>
      </c>
    </row>
    <row r="4" spans="1:18">
      <c r="A4" s="3" t="s">
        <v>157</v>
      </c>
      <c r="B4" s="3" t="s">
        <v>158</v>
      </c>
      <c r="C4" s="3" t="s">
        <v>22</v>
      </c>
      <c r="D4" s="3" t="s">
        <v>23</v>
      </c>
      <c r="E4" s="3" t="s">
        <v>159</v>
      </c>
      <c r="F4" s="3">
        <v>19.99</v>
      </c>
      <c r="G4" s="3" t="s">
        <v>411</v>
      </c>
      <c r="H4" s="3"/>
      <c r="I4" s="3" t="s">
        <v>412</v>
      </c>
      <c r="J4" s="3">
        <v>111</v>
      </c>
      <c r="K4" s="3">
        <v>111</v>
      </c>
      <c r="L4" s="3">
        <v>0</v>
      </c>
      <c r="M4" s="3">
        <v>0</v>
      </c>
      <c r="N4" s="3">
        <v>111</v>
      </c>
      <c r="O4" s="3">
        <v>0.09</v>
      </c>
      <c r="P4" s="3">
        <v>0</v>
      </c>
      <c r="Q4" s="3">
        <v>0</v>
      </c>
      <c r="R4" s="3">
        <v>0</v>
      </c>
    </row>
    <row r="5" spans="1:18">
      <c r="A5" s="3" t="s">
        <v>413</v>
      </c>
      <c r="B5" s="3" t="s">
        <v>414</v>
      </c>
      <c r="C5" s="3" t="s">
        <v>26</v>
      </c>
      <c r="D5" s="3" t="s">
        <v>27</v>
      </c>
      <c r="E5" s="3" t="s">
        <v>159</v>
      </c>
      <c r="F5" s="3">
        <v>17.39</v>
      </c>
      <c r="G5" s="3" t="s">
        <v>411</v>
      </c>
      <c r="H5" s="3"/>
      <c r="I5" s="3" t="s">
        <v>412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0.01</v>
      </c>
      <c r="P5" s="3">
        <v>0</v>
      </c>
      <c r="Q5" s="3">
        <v>0</v>
      </c>
      <c r="R5" s="3">
        <v>0</v>
      </c>
    </row>
    <row r="6" spans="1:18">
      <c r="A6" s="3" t="s">
        <v>415</v>
      </c>
      <c r="B6" s="3" t="s">
        <v>416</v>
      </c>
      <c r="C6" s="3" t="s">
        <v>417</v>
      </c>
      <c r="D6" s="3" t="s">
        <v>418</v>
      </c>
      <c r="E6" s="3" t="s">
        <v>159</v>
      </c>
      <c r="F6" s="3">
        <v>25.99</v>
      </c>
      <c r="G6" s="3" t="s">
        <v>411</v>
      </c>
      <c r="H6" s="3"/>
      <c r="I6" s="3" t="s">
        <v>412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</row>
    <row r="7" spans="1:18">
      <c r="A7" s="3" t="s">
        <v>28</v>
      </c>
      <c r="B7" s="3" t="s">
        <v>29</v>
      </c>
      <c r="C7" s="3" t="s">
        <v>30</v>
      </c>
      <c r="D7" s="3" t="s">
        <v>31</v>
      </c>
      <c r="E7" s="3" t="s">
        <v>159</v>
      </c>
      <c r="F7" s="3">
        <v>15.61</v>
      </c>
      <c r="G7" s="3" t="s">
        <v>411</v>
      </c>
      <c r="H7" s="3"/>
      <c r="I7" s="3" t="s">
        <v>412</v>
      </c>
      <c r="J7" s="3">
        <v>36</v>
      </c>
      <c r="K7" s="3">
        <v>35</v>
      </c>
      <c r="L7" s="3">
        <v>0</v>
      </c>
      <c r="M7" s="3">
        <v>1</v>
      </c>
      <c r="N7" s="3">
        <v>36</v>
      </c>
      <c r="O7" s="3">
        <v>0</v>
      </c>
      <c r="P7" s="3">
        <v>0</v>
      </c>
      <c r="Q7" s="3">
        <v>0</v>
      </c>
      <c r="R7" s="3">
        <v>0</v>
      </c>
    </row>
    <row r="8" spans="1:18">
      <c r="A8" s="3" t="s">
        <v>40</v>
      </c>
      <c r="B8" s="3" t="s">
        <v>41</v>
      </c>
      <c r="C8" s="3" t="s">
        <v>42</v>
      </c>
      <c r="D8" s="3" t="s">
        <v>43</v>
      </c>
      <c r="E8" s="3" t="s">
        <v>159</v>
      </c>
      <c r="F8" s="3">
        <v>39.59</v>
      </c>
      <c r="G8" s="3" t="s">
        <v>411</v>
      </c>
      <c r="H8" s="3"/>
      <c r="I8" s="3" t="s">
        <v>412</v>
      </c>
      <c r="J8" s="3">
        <v>54</v>
      </c>
      <c r="K8" s="3">
        <v>51</v>
      </c>
      <c r="L8" s="3">
        <v>1</v>
      </c>
      <c r="M8" s="3">
        <v>2</v>
      </c>
      <c r="N8" s="3">
        <v>54</v>
      </c>
      <c r="O8" s="3">
        <v>0.02</v>
      </c>
      <c r="P8" s="3">
        <v>0</v>
      </c>
      <c r="Q8" s="3">
        <v>0</v>
      </c>
      <c r="R8" s="3">
        <v>0</v>
      </c>
    </row>
    <row r="9" spans="1:18">
      <c r="A9" s="3" t="s">
        <v>303</v>
      </c>
      <c r="B9" s="3" t="s">
        <v>304</v>
      </c>
      <c r="C9" s="3" t="s">
        <v>80</v>
      </c>
      <c r="D9" s="3" t="s">
        <v>81</v>
      </c>
      <c r="E9" s="3" t="s">
        <v>159</v>
      </c>
      <c r="F9" s="3">
        <v>75.07</v>
      </c>
      <c r="G9" s="3" t="s">
        <v>411</v>
      </c>
      <c r="H9" s="3"/>
      <c r="I9" s="3" t="s">
        <v>412</v>
      </c>
      <c r="J9" s="3">
        <v>40</v>
      </c>
      <c r="K9" s="3">
        <v>39</v>
      </c>
      <c r="L9" s="3">
        <v>1</v>
      </c>
      <c r="M9" s="3">
        <v>0</v>
      </c>
      <c r="N9" s="3">
        <v>40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419</v>
      </c>
      <c r="B10" s="3" t="s">
        <v>420</v>
      </c>
      <c r="C10" s="3" t="s">
        <v>421</v>
      </c>
      <c r="D10" s="3" t="s">
        <v>422</v>
      </c>
      <c r="E10" s="3" t="s">
        <v>159</v>
      </c>
      <c r="F10" s="3">
        <v>55.99</v>
      </c>
      <c r="G10" s="3" t="s">
        <v>411</v>
      </c>
      <c r="H10" s="3"/>
      <c r="I10" s="3" t="s">
        <v>412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8</v>
      </c>
      <c r="B11" s="3" t="s">
        <v>9</v>
      </c>
      <c r="C11" s="3" t="s">
        <v>10</v>
      </c>
      <c r="D11" s="3"/>
      <c r="E11" s="3" t="s">
        <v>410</v>
      </c>
      <c r="F11" s="3"/>
      <c r="G11" s="3"/>
      <c r="H11" s="3"/>
      <c r="I11" s="3"/>
      <c r="J11" s="3">
        <v>9</v>
      </c>
      <c r="K11" s="3">
        <v>0</v>
      </c>
      <c r="L11" s="3">
        <v>0</v>
      </c>
      <c r="M11" s="3">
        <v>9</v>
      </c>
      <c r="N11" s="3">
        <v>9</v>
      </c>
      <c r="O11" s="3"/>
      <c r="P11" s="3">
        <v>0</v>
      </c>
      <c r="Q11" s="3">
        <v>0</v>
      </c>
      <c r="R11" s="3">
        <v>0</v>
      </c>
    </row>
    <row r="12" spans="1:18">
      <c r="A12" s="3" t="s">
        <v>32</v>
      </c>
      <c r="B12" s="3" t="s">
        <v>33</v>
      </c>
      <c r="C12" s="3" t="s">
        <v>34</v>
      </c>
      <c r="D12" s="3" t="s">
        <v>35</v>
      </c>
      <c r="E12" s="3" t="s">
        <v>159</v>
      </c>
      <c r="F12" s="3">
        <v>38.5</v>
      </c>
      <c r="G12" s="3" t="s">
        <v>411</v>
      </c>
      <c r="H12" s="3"/>
      <c r="I12" s="3" t="s">
        <v>412</v>
      </c>
      <c r="J12" s="3">
        <v>60</v>
      </c>
      <c r="K12" s="3">
        <v>59</v>
      </c>
      <c r="L12" s="3">
        <v>0</v>
      </c>
      <c r="M12" s="3">
        <v>1</v>
      </c>
      <c r="N12" s="3">
        <v>60</v>
      </c>
      <c r="O12" s="3">
        <v>0.02</v>
      </c>
      <c r="P12" s="3">
        <v>0</v>
      </c>
      <c r="Q12" s="3">
        <v>0</v>
      </c>
      <c r="R12" s="3">
        <v>0</v>
      </c>
    </row>
    <row r="13" spans="1:18">
      <c r="A13" s="3" t="s">
        <v>190</v>
      </c>
      <c r="B13" s="3" t="s">
        <v>191</v>
      </c>
      <c r="C13" s="3" t="s">
        <v>192</v>
      </c>
      <c r="D13" s="3" t="s">
        <v>193</v>
      </c>
      <c r="E13" s="3" t="s">
        <v>159</v>
      </c>
      <c r="F13" s="3">
        <v>61.53</v>
      </c>
      <c r="G13" s="3" t="s">
        <v>411</v>
      </c>
      <c r="H13" s="3"/>
      <c r="I13" s="3" t="s">
        <v>412</v>
      </c>
      <c r="J13" s="3">
        <v>2</v>
      </c>
      <c r="K13" s="3">
        <v>2</v>
      </c>
      <c r="L13" s="3">
        <v>0</v>
      </c>
      <c r="M13" s="3">
        <v>0</v>
      </c>
      <c r="N13" s="3">
        <v>2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423</v>
      </c>
      <c r="B14" s="3" t="s">
        <v>424</v>
      </c>
      <c r="C14" s="3" t="s">
        <v>424</v>
      </c>
      <c r="D14" s="3"/>
      <c r="E14" s="3" t="s">
        <v>410</v>
      </c>
      <c r="F14" s="3"/>
      <c r="G14" s="3"/>
      <c r="H14" s="3"/>
      <c r="I14" s="3"/>
      <c r="J14" s="3">
        <v>1</v>
      </c>
      <c r="K14" s="3">
        <v>0</v>
      </c>
      <c r="L14" s="3">
        <v>1</v>
      </c>
      <c r="M14" s="3">
        <v>0</v>
      </c>
      <c r="N14" s="3">
        <v>1</v>
      </c>
      <c r="O14" s="3"/>
      <c r="P14" s="3">
        <v>0</v>
      </c>
      <c r="Q14" s="3">
        <v>0</v>
      </c>
      <c r="R14" s="3">
        <v>0</v>
      </c>
    </row>
    <row r="15" spans="1:18">
      <c r="A15" s="3" t="s">
        <v>24</v>
      </c>
      <c r="B15" s="3" t="s">
        <v>25</v>
      </c>
      <c r="C15" s="3" t="s">
        <v>26</v>
      </c>
      <c r="D15" s="3" t="s">
        <v>27</v>
      </c>
      <c r="E15" s="3" t="s">
        <v>159</v>
      </c>
      <c r="F15" s="3">
        <v>16.39</v>
      </c>
      <c r="G15" s="3" t="s">
        <v>411</v>
      </c>
      <c r="H15" s="3"/>
      <c r="I15" s="3" t="s">
        <v>412</v>
      </c>
      <c r="J15" s="3">
        <v>15</v>
      </c>
      <c r="K15" s="3">
        <v>13</v>
      </c>
      <c r="L15" s="3">
        <v>0</v>
      </c>
      <c r="M15" s="3">
        <v>2</v>
      </c>
      <c r="N15" s="3">
        <v>15</v>
      </c>
      <c r="O15" s="3">
        <v>0.01</v>
      </c>
      <c r="P15" s="3">
        <v>0</v>
      </c>
      <c r="Q15" s="3">
        <v>0</v>
      </c>
      <c r="R15" s="3">
        <v>0</v>
      </c>
    </row>
    <row r="16" spans="1:18">
      <c r="A16" s="3" t="s">
        <v>36</v>
      </c>
      <c r="B16" s="3" t="s">
        <v>37</v>
      </c>
      <c r="C16" s="3" t="s">
        <v>38</v>
      </c>
      <c r="D16" s="3" t="s">
        <v>39</v>
      </c>
      <c r="E16" s="3" t="s">
        <v>159</v>
      </c>
      <c r="F16" s="3">
        <v>24.59</v>
      </c>
      <c r="G16" s="3" t="s">
        <v>411</v>
      </c>
      <c r="H16" s="3"/>
      <c r="I16" s="3" t="s">
        <v>412</v>
      </c>
      <c r="J16" s="3">
        <v>2</v>
      </c>
      <c r="K16" s="3">
        <v>0</v>
      </c>
      <c r="L16" s="3">
        <v>0</v>
      </c>
      <c r="M16" s="3">
        <v>2</v>
      </c>
      <c r="N16" s="3">
        <v>2</v>
      </c>
      <c r="O16" s="3">
        <v>0.05</v>
      </c>
      <c r="P16" s="3">
        <v>0</v>
      </c>
      <c r="Q16" s="3">
        <v>0</v>
      </c>
      <c r="R16" s="3">
        <v>0</v>
      </c>
    </row>
    <row r="17" spans="1:18">
      <c r="A17" s="3" t="s">
        <v>425</v>
      </c>
      <c r="B17" s="3" t="s">
        <v>424</v>
      </c>
      <c r="C17" s="3" t="s">
        <v>424</v>
      </c>
      <c r="D17" s="3"/>
      <c r="E17" s="3" t="s">
        <v>410</v>
      </c>
      <c r="F17" s="3"/>
      <c r="G17" s="3"/>
      <c r="H17" s="3"/>
      <c r="I17" s="3"/>
      <c r="J17" s="3">
        <v>1</v>
      </c>
      <c r="K17" s="3">
        <v>0</v>
      </c>
      <c r="L17" s="3">
        <v>1</v>
      </c>
      <c r="M17" s="3">
        <v>0</v>
      </c>
      <c r="N17" s="3">
        <v>1</v>
      </c>
      <c r="O17" s="3"/>
      <c r="P17" s="3">
        <v>0</v>
      </c>
      <c r="Q17" s="3">
        <v>0</v>
      </c>
      <c r="R17" s="3">
        <v>0</v>
      </c>
    </row>
    <row r="18" spans="1:18">
      <c r="A18" s="3" t="s">
        <v>426</v>
      </c>
      <c r="B18" s="3" t="s">
        <v>427</v>
      </c>
      <c r="C18" s="3" t="s">
        <v>76</v>
      </c>
      <c r="D18" s="3"/>
      <c r="E18" s="3" t="s">
        <v>410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428</v>
      </c>
      <c r="B19" s="3" t="s">
        <v>429</v>
      </c>
      <c r="C19" s="3" t="s">
        <v>58</v>
      </c>
      <c r="D19" s="3"/>
      <c r="E19" s="3" t="s">
        <v>410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430</v>
      </c>
      <c r="B20" s="3" t="s">
        <v>431</v>
      </c>
      <c r="C20" s="3" t="s">
        <v>70</v>
      </c>
      <c r="D20" s="3" t="s">
        <v>71</v>
      </c>
      <c r="E20" s="3" t="s">
        <v>159</v>
      </c>
      <c r="F20" s="3">
        <v>53.49</v>
      </c>
      <c r="G20" s="3" t="s">
        <v>411</v>
      </c>
      <c r="H20" s="3"/>
      <c r="I20" s="3" t="s">
        <v>412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0.03</v>
      </c>
      <c r="P20" s="3">
        <v>0</v>
      </c>
      <c r="Q20" s="3">
        <v>0</v>
      </c>
      <c r="R20" s="3">
        <v>0</v>
      </c>
    </row>
    <row r="21" spans="1:18">
      <c r="A21" s="3" t="s">
        <v>210</v>
      </c>
      <c r="B21" s="3" t="s">
        <v>211</v>
      </c>
      <c r="C21" s="3" t="s">
        <v>62</v>
      </c>
      <c r="D21" s="3" t="s">
        <v>63</v>
      </c>
      <c r="E21" s="3" t="s">
        <v>159</v>
      </c>
      <c r="F21" s="3">
        <v>39.21</v>
      </c>
      <c r="G21" s="3" t="s">
        <v>411</v>
      </c>
      <c r="H21" s="3"/>
      <c r="I21" s="3" t="s">
        <v>412</v>
      </c>
      <c r="J21" s="3">
        <v>1</v>
      </c>
      <c r="K21" s="3">
        <v>1</v>
      </c>
      <c r="L21" s="3">
        <v>0</v>
      </c>
      <c r="M21" s="3">
        <v>0</v>
      </c>
      <c r="N21" s="3">
        <v>1</v>
      </c>
      <c r="O21" s="3">
        <v>0.02</v>
      </c>
      <c r="P21" s="3">
        <v>0</v>
      </c>
      <c r="Q21" s="3">
        <v>0</v>
      </c>
      <c r="R21" s="3">
        <v>0</v>
      </c>
    </row>
    <row r="22" spans="1:18">
      <c r="A22" s="3" t="s">
        <v>424</v>
      </c>
      <c r="B22" s="3" t="s">
        <v>424</v>
      </c>
      <c r="C22" s="3" t="s">
        <v>424</v>
      </c>
      <c r="D22" s="3"/>
      <c r="E22" s="3" t="s">
        <v>410</v>
      </c>
      <c r="F22" s="3"/>
      <c r="G22" s="3"/>
      <c r="H22" s="3"/>
      <c r="I22" s="3"/>
      <c r="J22" s="3">
        <v>1</v>
      </c>
      <c r="K22" s="3">
        <v>0</v>
      </c>
      <c r="L22" s="3">
        <v>1</v>
      </c>
      <c r="M22" s="3">
        <v>0</v>
      </c>
      <c r="N22" s="3">
        <v>1</v>
      </c>
      <c r="O22" s="3"/>
      <c r="P22" s="3">
        <v>0</v>
      </c>
      <c r="Q22" s="3">
        <v>0</v>
      </c>
      <c r="R22" s="3">
        <v>0</v>
      </c>
    </row>
    <row r="23" spans="1:18">
      <c r="A23" s="3" t="s">
        <v>432</v>
      </c>
      <c r="B23" s="3" t="s">
        <v>433</v>
      </c>
      <c r="C23" s="3" t="s">
        <v>434</v>
      </c>
      <c r="D23" s="3"/>
      <c r="E23" s="3" t="s">
        <v>410</v>
      </c>
      <c r="F23" s="3"/>
      <c r="G23" s="3"/>
      <c r="H23" s="3"/>
      <c r="I23" s="3"/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/>
      <c r="P23" s="3">
        <v>0</v>
      </c>
      <c r="Q23" s="3">
        <v>0</v>
      </c>
      <c r="R23" s="3">
        <v>0</v>
      </c>
    </row>
    <row r="24" spans="1:18">
      <c r="A24" s="3" t="s">
        <v>435</v>
      </c>
      <c r="B24" s="3" t="s">
        <v>436</v>
      </c>
      <c r="C24" s="3" t="s">
        <v>437</v>
      </c>
      <c r="D24" s="3"/>
      <c r="E24" s="3" t="s">
        <v>410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438</v>
      </c>
      <c r="B25" s="3" t="s">
        <v>439</v>
      </c>
      <c r="C25" s="3" t="s">
        <v>10</v>
      </c>
      <c r="D25" s="3"/>
      <c r="E25" s="3" t="s">
        <v>410</v>
      </c>
      <c r="F25" s="3"/>
      <c r="G25" s="3"/>
      <c r="H25" s="3"/>
      <c r="I25" s="3"/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205</v>
      </c>
      <c r="B26" s="3" t="s">
        <v>206</v>
      </c>
      <c r="C26" s="3" t="s">
        <v>207</v>
      </c>
      <c r="D26" s="3" t="s">
        <v>208</v>
      </c>
      <c r="E26" s="3" t="s">
        <v>159</v>
      </c>
      <c r="F26" s="3">
        <v>50.99</v>
      </c>
      <c r="G26" s="3" t="s">
        <v>411</v>
      </c>
      <c r="H26" s="3"/>
      <c r="I26" s="3" t="s">
        <v>412</v>
      </c>
      <c r="J26" s="3">
        <v>92</v>
      </c>
      <c r="K26" s="3">
        <v>92</v>
      </c>
      <c r="L26" s="3">
        <v>0</v>
      </c>
      <c r="M26" s="3">
        <v>0</v>
      </c>
      <c r="N26" s="3">
        <v>92</v>
      </c>
      <c r="O26" s="3">
        <v>0.02</v>
      </c>
      <c r="P26" s="3">
        <v>0</v>
      </c>
      <c r="Q26" s="3">
        <v>0</v>
      </c>
      <c r="R26" s="3">
        <v>0</v>
      </c>
    </row>
    <row r="27" spans="1:18">
      <c r="A27" s="3" t="s">
        <v>440</v>
      </c>
      <c r="B27" s="3" t="s">
        <v>441</v>
      </c>
      <c r="C27" s="3" t="s">
        <v>442</v>
      </c>
      <c r="D27" s="3"/>
      <c r="E27" s="3" t="s">
        <v>410</v>
      </c>
      <c r="F27" s="3"/>
      <c r="G27" s="3"/>
      <c r="H27" s="3"/>
      <c r="I27" s="3"/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/>
      <c r="P27" s="3">
        <v>0</v>
      </c>
      <c r="Q27" s="3">
        <v>0</v>
      </c>
      <c r="R27" s="3">
        <v>0</v>
      </c>
    </row>
    <row r="28" spans="1:18">
      <c r="A28" s="3" t="s">
        <v>443</v>
      </c>
      <c r="B28" s="3" t="s">
        <v>444</v>
      </c>
      <c r="C28" s="3" t="s">
        <v>14</v>
      </c>
      <c r="D28" s="3"/>
      <c r="E28" s="3" t="s">
        <v>410</v>
      </c>
      <c r="F28" s="3"/>
      <c r="G28" s="3"/>
      <c r="H28" s="3"/>
      <c r="I28" s="3"/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/>
      <c r="P28" s="3">
        <v>0</v>
      </c>
      <c r="Q28" s="3">
        <v>0</v>
      </c>
      <c r="R28" s="3">
        <v>0</v>
      </c>
    </row>
    <row r="29" spans="1:18">
      <c r="A29" s="3" t="s">
        <v>445</v>
      </c>
      <c r="B29" s="3" t="s">
        <v>446</v>
      </c>
      <c r="C29" s="3" t="s">
        <v>447</v>
      </c>
      <c r="D29" s="3" t="s">
        <v>448</v>
      </c>
      <c r="E29" s="3" t="s">
        <v>159</v>
      </c>
      <c r="F29" s="3">
        <v>55.99</v>
      </c>
      <c r="G29" s="3" t="s">
        <v>411</v>
      </c>
      <c r="H29" s="3"/>
      <c r="I29" s="3" t="s">
        <v>412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0.02</v>
      </c>
      <c r="P29" s="3">
        <v>0</v>
      </c>
      <c r="Q29" s="3">
        <v>0</v>
      </c>
      <c r="R29" s="3">
        <v>0</v>
      </c>
    </row>
    <row r="30" spans="1:18">
      <c r="A30" s="3" t="s">
        <v>20</v>
      </c>
      <c r="B30" s="3" t="s">
        <v>21</v>
      </c>
      <c r="C30" s="3" t="s">
        <v>22</v>
      </c>
      <c r="D30" s="3" t="s">
        <v>23</v>
      </c>
      <c r="E30" s="3" t="s">
        <v>159</v>
      </c>
      <c r="F30" s="3">
        <v>19.99</v>
      </c>
      <c r="G30" s="3" t="s">
        <v>411</v>
      </c>
      <c r="H30" s="3"/>
      <c r="I30" s="3" t="s">
        <v>412</v>
      </c>
      <c r="J30" s="3">
        <v>1</v>
      </c>
      <c r="K30" s="3">
        <v>0</v>
      </c>
      <c r="L30" s="3">
        <v>0</v>
      </c>
      <c r="M30" s="3">
        <v>1</v>
      </c>
      <c r="N30" s="3">
        <v>1</v>
      </c>
      <c r="O30" s="3">
        <v>0.09</v>
      </c>
      <c r="P30" s="3">
        <v>0</v>
      </c>
      <c r="Q30" s="3">
        <v>0</v>
      </c>
      <c r="R30" s="3">
        <v>0</v>
      </c>
    </row>
    <row r="31" spans="1:18">
      <c r="A31" s="3" t="s">
        <v>449</v>
      </c>
      <c r="B31" s="3" t="s">
        <v>450</v>
      </c>
      <c r="C31" s="3" t="s">
        <v>437</v>
      </c>
      <c r="D31" s="3" t="s">
        <v>451</v>
      </c>
      <c r="E31" s="3" t="s">
        <v>159</v>
      </c>
      <c r="F31" s="3">
        <v>36</v>
      </c>
      <c r="G31" s="3" t="s">
        <v>411</v>
      </c>
      <c r="H31" s="3"/>
      <c r="I31" s="3" t="s">
        <v>412</v>
      </c>
      <c r="J31" s="3">
        <v>48</v>
      </c>
      <c r="K31" s="3">
        <v>0</v>
      </c>
      <c r="L31" s="3">
        <v>48</v>
      </c>
      <c r="M31" s="3">
        <v>0</v>
      </c>
      <c r="N31" s="3">
        <v>48</v>
      </c>
      <c r="O31" s="3">
        <v>0.1</v>
      </c>
      <c r="P31" s="3">
        <v>0</v>
      </c>
      <c r="Q31" s="3">
        <v>0</v>
      </c>
      <c r="R31" s="3">
        <v>0</v>
      </c>
    </row>
    <row r="32" spans="1:18">
      <c r="A32" s="3" t="s">
        <v>452</v>
      </c>
      <c r="B32" s="3" t="s">
        <v>453</v>
      </c>
      <c r="C32" s="3" t="s">
        <v>454</v>
      </c>
      <c r="D32" s="3" t="s">
        <v>455</v>
      </c>
      <c r="E32" s="3" t="s">
        <v>410</v>
      </c>
      <c r="F32" s="3">
        <v>0</v>
      </c>
      <c r="G32" s="3" t="s">
        <v>411</v>
      </c>
      <c r="H32" s="3"/>
      <c r="I32" s="3" t="s">
        <v>412</v>
      </c>
      <c r="J32" s="3">
        <v>0</v>
      </c>
      <c r="K32" s="3">
        <v>0</v>
      </c>
      <c r="L32" s="3">
        <v>0</v>
      </c>
      <c r="M32" s="3">
        <v>0</v>
      </c>
      <c r="N32" s="3">
        <v>24</v>
      </c>
      <c r="O32" s="3">
        <v>0.01</v>
      </c>
      <c r="P32" s="3">
        <v>24</v>
      </c>
      <c r="Q32" s="3">
        <v>0</v>
      </c>
      <c r="R32" s="3">
        <v>0</v>
      </c>
    </row>
    <row r="33" spans="1:18">
      <c r="A33" s="3" t="s">
        <v>456</v>
      </c>
      <c r="B33" s="3" t="s">
        <v>457</v>
      </c>
      <c r="C33" s="3" t="s">
        <v>58</v>
      </c>
      <c r="D33" s="3"/>
      <c r="E33" s="3" t="s">
        <v>410</v>
      </c>
      <c r="F33" s="3"/>
      <c r="G33" s="3"/>
      <c r="H33" s="3"/>
      <c r="I33" s="3"/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/>
      <c r="P33" s="3">
        <v>0</v>
      </c>
      <c r="Q33" s="3">
        <v>0</v>
      </c>
      <c r="R33" s="3">
        <v>0</v>
      </c>
    </row>
    <row r="34" spans="1:18">
      <c r="A34" s="3" t="s">
        <v>458</v>
      </c>
      <c r="B34" s="3" t="s">
        <v>459</v>
      </c>
      <c r="C34" s="3" t="s">
        <v>460</v>
      </c>
      <c r="D34" s="3"/>
      <c r="E34" s="3" t="s">
        <v>410</v>
      </c>
      <c r="F34" s="3"/>
      <c r="G34" s="3"/>
      <c r="H34" s="3"/>
      <c r="I34" s="3"/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/>
      <c r="P34" s="3">
        <v>0</v>
      </c>
      <c r="Q34" s="3">
        <v>0</v>
      </c>
      <c r="R34" s="3">
        <v>0</v>
      </c>
    </row>
    <row r="35" spans="1:18">
      <c r="A35" s="3" t="s">
        <v>16</v>
      </c>
      <c r="B35" s="3" t="s">
        <v>17</v>
      </c>
      <c r="C35" s="3" t="s">
        <v>18</v>
      </c>
      <c r="D35" s="3" t="s">
        <v>19</v>
      </c>
      <c r="E35" s="3" t="s">
        <v>159</v>
      </c>
      <c r="F35" s="3">
        <v>60.99</v>
      </c>
      <c r="G35" s="3" t="s">
        <v>411</v>
      </c>
      <c r="H35" s="3"/>
      <c r="I35" s="3" t="s">
        <v>412</v>
      </c>
      <c r="J35" s="3">
        <v>79</v>
      </c>
      <c r="K35" s="3">
        <v>67</v>
      </c>
      <c r="L35" s="3">
        <v>2</v>
      </c>
      <c r="M35" s="3">
        <v>10</v>
      </c>
      <c r="N35" s="3">
        <v>79</v>
      </c>
      <c r="O35" s="3">
        <v>0.02</v>
      </c>
      <c r="P35" s="3">
        <v>0</v>
      </c>
      <c r="Q35" s="3">
        <v>0</v>
      </c>
      <c r="R35" s="3">
        <v>0</v>
      </c>
    </row>
    <row r="36" spans="1:18">
      <c r="A36" s="3" t="s">
        <v>385</v>
      </c>
      <c r="B36" s="3" t="s">
        <v>386</v>
      </c>
      <c r="C36" s="3" t="s">
        <v>70</v>
      </c>
      <c r="D36" s="3" t="s">
        <v>71</v>
      </c>
      <c r="E36" s="3" t="s">
        <v>159</v>
      </c>
      <c r="F36" s="3">
        <v>53.49</v>
      </c>
      <c r="G36" s="3" t="s">
        <v>411</v>
      </c>
      <c r="H36" s="3"/>
      <c r="I36" s="3" t="s">
        <v>412</v>
      </c>
      <c r="J36" s="3">
        <v>27</v>
      </c>
      <c r="K36" s="3">
        <v>27</v>
      </c>
      <c r="L36" s="3">
        <v>0</v>
      </c>
      <c r="M36" s="3">
        <v>0</v>
      </c>
      <c r="N36" s="3">
        <v>75</v>
      </c>
      <c r="O36" s="3">
        <v>0.03</v>
      </c>
      <c r="P36" s="3">
        <v>48</v>
      </c>
      <c r="Q36" s="3">
        <v>0</v>
      </c>
      <c r="R36" s="3">
        <v>0</v>
      </c>
    </row>
    <row r="37" spans="1:18">
      <c r="A37" s="3" t="s">
        <v>12</v>
      </c>
      <c r="B37" s="3" t="s">
        <v>13</v>
      </c>
      <c r="C37" s="3" t="s">
        <v>14</v>
      </c>
      <c r="D37" s="3" t="s">
        <v>15</v>
      </c>
      <c r="E37" s="3" t="s">
        <v>159</v>
      </c>
      <c r="F37" s="3">
        <v>39.09</v>
      </c>
      <c r="G37" s="3" t="s">
        <v>411</v>
      </c>
      <c r="H37" s="3"/>
      <c r="I37" s="3" t="s">
        <v>412</v>
      </c>
      <c r="J37" s="3">
        <v>71</v>
      </c>
      <c r="K37" s="3">
        <v>36</v>
      </c>
      <c r="L37" s="3">
        <v>0</v>
      </c>
      <c r="M37" s="3">
        <v>35</v>
      </c>
      <c r="N37" s="3">
        <v>72</v>
      </c>
      <c r="O37" s="3">
        <v>0.07</v>
      </c>
      <c r="P37" s="3">
        <v>0</v>
      </c>
      <c r="Q37" s="3">
        <v>0</v>
      </c>
      <c r="R37" s="3">
        <v>1</v>
      </c>
    </row>
    <row r="38" spans="1:18">
      <c r="A38" s="3" t="s">
        <v>461</v>
      </c>
      <c r="B38" s="3" t="s">
        <v>462</v>
      </c>
      <c r="C38" s="3" t="s">
        <v>454</v>
      </c>
      <c r="D38" s="3" t="s">
        <v>455</v>
      </c>
      <c r="E38" s="3" t="s">
        <v>159</v>
      </c>
      <c r="F38" s="3">
        <v>15.98</v>
      </c>
      <c r="G38" s="3" t="s">
        <v>411</v>
      </c>
      <c r="H38" s="3"/>
      <c r="I38" s="3" t="s">
        <v>412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0.01</v>
      </c>
      <c r="P38" s="3">
        <v>0</v>
      </c>
      <c r="Q38" s="3">
        <v>0</v>
      </c>
      <c r="R38" s="3">
        <v>0</v>
      </c>
    </row>
    <row r="39" spans="1:18">
      <c r="A39" s="3" t="s">
        <v>463</v>
      </c>
      <c r="B39" s="3" t="s">
        <v>464</v>
      </c>
      <c r="C39" s="3" t="s">
        <v>465</v>
      </c>
      <c r="D39" s="3" t="s">
        <v>466</v>
      </c>
      <c r="E39" s="3" t="s">
        <v>159</v>
      </c>
      <c r="F39" s="3">
        <v>52.99</v>
      </c>
      <c r="G39" s="3" t="s">
        <v>411</v>
      </c>
      <c r="H39" s="3"/>
      <c r="I39" s="3" t="s">
        <v>412</v>
      </c>
      <c r="J39" s="3">
        <v>0</v>
      </c>
      <c r="K39" s="3">
        <v>0</v>
      </c>
      <c r="L39" s="3">
        <v>0</v>
      </c>
      <c r="M39" s="3">
        <v>0</v>
      </c>
      <c r="N39" s="3">
        <v>48</v>
      </c>
      <c r="O39" s="3">
        <v>0.04</v>
      </c>
      <c r="P39" s="3">
        <v>0</v>
      </c>
      <c r="Q39" s="3">
        <v>0</v>
      </c>
      <c r="R39" s="3">
        <v>48</v>
      </c>
    </row>
    <row r="40" spans="1:18">
      <c r="A40" s="3" t="s">
        <v>467</v>
      </c>
      <c r="B40" s="3" t="s">
        <v>468</v>
      </c>
      <c r="C40" s="3" t="s">
        <v>421</v>
      </c>
      <c r="D40" s="3" t="s">
        <v>422</v>
      </c>
      <c r="E40" s="3" t="s">
        <v>159</v>
      </c>
      <c r="F40" s="3">
        <v>55.99</v>
      </c>
      <c r="G40" s="3" t="s">
        <v>411</v>
      </c>
      <c r="H40" s="3"/>
      <c r="I40" s="3" t="s">
        <v>412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0.02</v>
      </c>
      <c r="P40" s="3">
        <v>0</v>
      </c>
      <c r="Q40" s="3">
        <v>0</v>
      </c>
      <c r="R40" s="3">
        <v>0</v>
      </c>
    </row>
    <row r="41" spans="1:18">
      <c r="A41" s="3" t="s">
        <v>94</v>
      </c>
      <c r="B41" s="3" t="s">
        <v>95</v>
      </c>
      <c r="C41" s="3" t="s">
        <v>38</v>
      </c>
      <c r="D41" s="3" t="s">
        <v>39</v>
      </c>
      <c r="E41" s="3" t="s">
        <v>159</v>
      </c>
      <c r="F41" s="3">
        <v>25.99</v>
      </c>
      <c r="G41" s="3" t="s">
        <v>411</v>
      </c>
      <c r="H41" s="3"/>
      <c r="I41" s="3" t="s">
        <v>412</v>
      </c>
      <c r="J41" s="3">
        <v>110</v>
      </c>
      <c r="K41" s="3">
        <v>102</v>
      </c>
      <c r="L41" s="3">
        <v>0</v>
      </c>
      <c r="M41" s="3">
        <v>8</v>
      </c>
      <c r="N41" s="3">
        <v>110</v>
      </c>
      <c r="O41" s="3">
        <v>0.05</v>
      </c>
      <c r="P41" s="3">
        <v>0</v>
      </c>
      <c r="Q41" s="3">
        <v>0</v>
      </c>
      <c r="R41" s="3">
        <v>0</v>
      </c>
    </row>
    <row r="42" spans="1:18">
      <c r="A42" s="3" t="s">
        <v>243</v>
      </c>
      <c r="B42" s="3" t="s">
        <v>244</v>
      </c>
      <c r="C42" s="3" t="s">
        <v>245</v>
      </c>
      <c r="D42" s="3" t="s">
        <v>246</v>
      </c>
      <c r="E42" s="3" t="s">
        <v>159</v>
      </c>
      <c r="F42" s="3">
        <v>17.39</v>
      </c>
      <c r="G42" s="3" t="s">
        <v>411</v>
      </c>
      <c r="H42" s="3"/>
      <c r="I42" s="3" t="s">
        <v>412</v>
      </c>
      <c r="J42" s="3">
        <v>36</v>
      </c>
      <c r="K42" s="3">
        <v>36</v>
      </c>
      <c r="L42" s="3">
        <v>0</v>
      </c>
      <c r="M42" s="3">
        <v>0</v>
      </c>
      <c r="N42" s="3">
        <v>36</v>
      </c>
      <c r="O42" s="3">
        <v>0.02</v>
      </c>
      <c r="P42" s="3">
        <v>0</v>
      </c>
      <c r="Q42" s="3">
        <v>0</v>
      </c>
      <c r="R42" s="3">
        <v>0</v>
      </c>
    </row>
    <row r="43" spans="1:18">
      <c r="A43" s="3" t="s">
        <v>469</v>
      </c>
      <c r="B43" s="3" t="s">
        <v>470</v>
      </c>
      <c r="C43" s="3" t="s">
        <v>263</v>
      </c>
      <c r="D43" s="3" t="s">
        <v>264</v>
      </c>
      <c r="E43" s="3" t="s">
        <v>159</v>
      </c>
      <c r="F43" s="3">
        <v>22.99</v>
      </c>
      <c r="G43" s="3" t="s">
        <v>412</v>
      </c>
      <c r="H43" s="3">
        <v>0</v>
      </c>
      <c r="I43" s="3" t="s">
        <v>411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0.01</v>
      </c>
      <c r="P43" s="3">
        <v>0</v>
      </c>
      <c r="Q43" s="3">
        <v>0</v>
      </c>
      <c r="R43" s="3">
        <v>0</v>
      </c>
    </row>
    <row r="44" spans="1:18">
      <c r="A44" s="3" t="s">
        <v>471</v>
      </c>
      <c r="B44" s="3" t="s">
        <v>472</v>
      </c>
      <c r="C44" s="3" t="s">
        <v>351</v>
      </c>
      <c r="D44" s="3" t="s">
        <v>352</v>
      </c>
      <c r="E44" s="3" t="s">
        <v>159</v>
      </c>
      <c r="F44" s="3">
        <v>25.99</v>
      </c>
      <c r="G44" s="3" t="s">
        <v>412</v>
      </c>
      <c r="H44" s="3">
        <v>0</v>
      </c>
      <c r="I44" s="3" t="s">
        <v>411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0.01</v>
      </c>
      <c r="P44" s="3">
        <v>0</v>
      </c>
      <c r="Q44" s="3">
        <v>0</v>
      </c>
      <c r="R44" s="3">
        <v>0</v>
      </c>
    </row>
    <row r="45" spans="1:18">
      <c r="A45" s="3" t="s">
        <v>295</v>
      </c>
      <c r="B45" s="3" t="s">
        <v>296</v>
      </c>
      <c r="C45" s="3" t="s">
        <v>297</v>
      </c>
      <c r="D45" s="3" t="s">
        <v>298</v>
      </c>
      <c r="E45" s="3" t="s">
        <v>159</v>
      </c>
      <c r="F45" s="3">
        <v>15.99</v>
      </c>
      <c r="G45" s="3" t="s">
        <v>411</v>
      </c>
      <c r="H45" s="3"/>
      <c r="I45" s="3" t="s">
        <v>412</v>
      </c>
      <c r="J45" s="3">
        <v>57</v>
      </c>
      <c r="K45" s="3">
        <v>57</v>
      </c>
      <c r="L45" s="3">
        <v>0</v>
      </c>
      <c r="M45" s="3">
        <v>0</v>
      </c>
      <c r="N45" s="3">
        <v>57</v>
      </c>
      <c r="O45" s="3">
        <v>0.01</v>
      </c>
      <c r="P45" s="3">
        <v>0</v>
      </c>
      <c r="Q45" s="3">
        <v>0</v>
      </c>
      <c r="R45" s="3">
        <v>0</v>
      </c>
    </row>
    <row r="46" spans="1:18">
      <c r="A46" s="3" t="s">
        <v>473</v>
      </c>
      <c r="B46" s="3" t="s">
        <v>474</v>
      </c>
      <c r="C46" s="3" t="s">
        <v>66</v>
      </c>
      <c r="D46" s="3" t="s">
        <v>67</v>
      </c>
      <c r="E46" s="3" t="s">
        <v>159</v>
      </c>
      <c r="F46" s="3">
        <v>17.49</v>
      </c>
      <c r="G46" s="3" t="s">
        <v>412</v>
      </c>
      <c r="H46" s="3">
        <v>0</v>
      </c>
      <c r="I46" s="3" t="s">
        <v>411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0.01</v>
      </c>
      <c r="P46" s="3">
        <v>0</v>
      </c>
      <c r="Q46" s="3">
        <v>0</v>
      </c>
      <c r="R46" s="3">
        <v>0</v>
      </c>
    </row>
    <row r="47" spans="1:18">
      <c r="A47" s="3" t="s">
        <v>322</v>
      </c>
      <c r="B47" s="3" t="s">
        <v>323</v>
      </c>
      <c r="C47" s="3" t="s">
        <v>324</v>
      </c>
      <c r="D47" s="3" t="s">
        <v>325</v>
      </c>
      <c r="E47" s="3" t="s">
        <v>159</v>
      </c>
      <c r="F47" s="3">
        <v>17.99</v>
      </c>
      <c r="G47" s="3" t="s">
        <v>411</v>
      </c>
      <c r="H47" s="3"/>
      <c r="I47" s="3" t="s">
        <v>412</v>
      </c>
      <c r="J47" s="3">
        <v>74</v>
      </c>
      <c r="K47" s="3">
        <v>74</v>
      </c>
      <c r="L47" s="3">
        <v>0</v>
      </c>
      <c r="M47" s="3">
        <v>0</v>
      </c>
      <c r="N47" s="3">
        <v>74</v>
      </c>
      <c r="O47" s="3">
        <v>0.01</v>
      </c>
      <c r="P47" s="3">
        <v>0</v>
      </c>
      <c r="Q47" s="3">
        <v>0</v>
      </c>
      <c r="R47" s="3">
        <v>0</v>
      </c>
    </row>
    <row r="48" spans="1:18">
      <c r="A48" s="3" t="s">
        <v>475</v>
      </c>
      <c r="B48" s="3" t="s">
        <v>476</v>
      </c>
      <c r="C48" s="3" t="s">
        <v>477</v>
      </c>
      <c r="D48" s="3" t="s">
        <v>478</v>
      </c>
      <c r="E48" s="3" t="s">
        <v>159</v>
      </c>
      <c r="F48" s="3">
        <v>60.99</v>
      </c>
      <c r="G48" s="3" t="s">
        <v>411</v>
      </c>
      <c r="H48" s="3"/>
      <c r="I48" s="3" t="s">
        <v>412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0.04</v>
      </c>
      <c r="P48" s="3">
        <v>0</v>
      </c>
      <c r="Q48" s="3">
        <v>0</v>
      </c>
      <c r="R48" s="3">
        <v>0</v>
      </c>
    </row>
    <row r="49" spans="1:18">
      <c r="A49" s="3" t="s">
        <v>479</v>
      </c>
      <c r="B49" s="3" t="s">
        <v>480</v>
      </c>
      <c r="C49" s="3" t="s">
        <v>34</v>
      </c>
      <c r="D49" s="3" t="s">
        <v>35</v>
      </c>
      <c r="E49" s="3" t="s">
        <v>159</v>
      </c>
      <c r="F49" s="3">
        <v>39.49</v>
      </c>
      <c r="G49" s="3" t="s">
        <v>412</v>
      </c>
      <c r="H49" s="3">
        <v>0</v>
      </c>
      <c r="I49" s="3" t="s">
        <v>411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318</v>
      </c>
      <c r="B50" s="3" t="s">
        <v>319</v>
      </c>
      <c r="C50" s="3" t="s">
        <v>10</v>
      </c>
      <c r="D50" s="3" t="s">
        <v>11</v>
      </c>
      <c r="E50" s="3" t="s">
        <v>159</v>
      </c>
      <c r="F50" s="3">
        <v>45.89</v>
      </c>
      <c r="G50" s="3" t="s">
        <v>411</v>
      </c>
      <c r="H50" s="3"/>
      <c r="I50" s="3" t="s">
        <v>412</v>
      </c>
      <c r="J50" s="3">
        <v>61</v>
      </c>
      <c r="K50" s="3">
        <v>61</v>
      </c>
      <c r="L50" s="3">
        <v>0</v>
      </c>
      <c r="M50" s="3">
        <v>0</v>
      </c>
      <c r="N50" s="3">
        <v>85</v>
      </c>
      <c r="O50" s="3">
        <v>0.02</v>
      </c>
      <c r="P50" s="3">
        <v>24</v>
      </c>
      <c r="Q50" s="3">
        <v>0</v>
      </c>
      <c r="R50" s="3">
        <v>0</v>
      </c>
    </row>
    <row r="51" spans="1:18">
      <c r="A51" s="3" t="s">
        <v>48</v>
      </c>
      <c r="B51" s="3" t="s">
        <v>49</v>
      </c>
      <c r="C51" s="3" t="s">
        <v>50</v>
      </c>
      <c r="D51" s="3" t="s">
        <v>51</v>
      </c>
      <c r="E51" s="3" t="s">
        <v>159</v>
      </c>
      <c r="F51" s="3">
        <v>15.99</v>
      </c>
      <c r="G51" s="3" t="s">
        <v>411</v>
      </c>
      <c r="H51" s="3"/>
      <c r="I51" s="3" t="s">
        <v>412</v>
      </c>
      <c r="J51" s="3">
        <v>68</v>
      </c>
      <c r="K51" s="3">
        <v>22</v>
      </c>
      <c r="L51" s="3">
        <v>0</v>
      </c>
      <c r="M51" s="3">
        <v>46</v>
      </c>
      <c r="N51" s="3">
        <v>68</v>
      </c>
      <c r="O51" s="3">
        <v>0.05</v>
      </c>
      <c r="P51" s="3">
        <v>0</v>
      </c>
      <c r="Q51" s="3">
        <v>0</v>
      </c>
      <c r="R51" s="3">
        <v>0</v>
      </c>
    </row>
    <row r="52" spans="1:18">
      <c r="A52" s="3" t="s">
        <v>44</v>
      </c>
      <c r="B52" s="3" t="s">
        <v>45</v>
      </c>
      <c r="C52" s="3" t="s">
        <v>46</v>
      </c>
      <c r="D52" s="3" t="s">
        <v>47</v>
      </c>
      <c r="E52" s="3" t="s">
        <v>159</v>
      </c>
      <c r="F52" s="3">
        <v>25.49</v>
      </c>
      <c r="G52" s="3" t="s">
        <v>411</v>
      </c>
      <c r="H52" s="3"/>
      <c r="I52" s="3" t="s">
        <v>412</v>
      </c>
      <c r="J52" s="3">
        <v>74</v>
      </c>
      <c r="K52" s="3">
        <v>70</v>
      </c>
      <c r="L52" s="3">
        <v>1</v>
      </c>
      <c r="M52" s="3">
        <v>3</v>
      </c>
      <c r="N52" s="3">
        <v>74</v>
      </c>
      <c r="O52" s="3">
        <v>0.01</v>
      </c>
      <c r="P52" s="3">
        <v>0</v>
      </c>
      <c r="Q52" s="3">
        <v>0</v>
      </c>
      <c r="R52" s="3">
        <v>0</v>
      </c>
    </row>
    <row r="53" spans="1:18">
      <c r="A53" s="3" t="s">
        <v>481</v>
      </c>
      <c r="B53" s="3" t="s">
        <v>482</v>
      </c>
      <c r="C53" s="3" t="s">
        <v>483</v>
      </c>
      <c r="D53" s="3" t="s">
        <v>484</v>
      </c>
      <c r="E53" s="3" t="s">
        <v>159</v>
      </c>
      <c r="F53" s="3">
        <v>29.79</v>
      </c>
      <c r="G53" s="3" t="s">
        <v>411</v>
      </c>
      <c r="H53" s="3"/>
      <c r="I53" s="3" t="s">
        <v>412</v>
      </c>
      <c r="J53" s="3">
        <v>0</v>
      </c>
      <c r="K53" s="3">
        <v>0</v>
      </c>
      <c r="L53" s="3">
        <v>0</v>
      </c>
      <c r="M53" s="3">
        <v>0</v>
      </c>
      <c r="N53" s="3">
        <v>48</v>
      </c>
      <c r="O53" s="3">
        <v>0.06</v>
      </c>
      <c r="P53" s="3">
        <v>48</v>
      </c>
      <c r="Q53" s="3">
        <v>0</v>
      </c>
      <c r="R53" s="3">
        <v>0</v>
      </c>
    </row>
    <row r="54" spans="1:18">
      <c r="A54" s="3" t="s">
        <v>311</v>
      </c>
      <c r="B54" s="3" t="s">
        <v>312</v>
      </c>
      <c r="C54" s="3" t="s">
        <v>26</v>
      </c>
      <c r="D54" s="3" t="s">
        <v>27</v>
      </c>
      <c r="E54" s="3" t="s">
        <v>159</v>
      </c>
      <c r="F54" s="3">
        <v>16.99</v>
      </c>
      <c r="G54" s="3" t="s">
        <v>411</v>
      </c>
      <c r="H54" s="3"/>
      <c r="I54" s="3" t="s">
        <v>412</v>
      </c>
      <c r="J54" s="3">
        <v>106</v>
      </c>
      <c r="K54" s="3">
        <v>106</v>
      </c>
      <c r="L54" s="3">
        <v>0</v>
      </c>
      <c r="M54" s="3">
        <v>0</v>
      </c>
      <c r="N54" s="3">
        <v>226</v>
      </c>
      <c r="O54" s="3">
        <v>0.01</v>
      </c>
      <c r="P54" s="3">
        <v>120</v>
      </c>
      <c r="Q54" s="3">
        <v>0</v>
      </c>
      <c r="R54" s="3">
        <v>0</v>
      </c>
    </row>
    <row r="55" spans="1:18">
      <c r="A55" s="3" t="s">
        <v>485</v>
      </c>
      <c r="B55" s="3" t="s">
        <v>486</v>
      </c>
      <c r="C55" s="3" t="s">
        <v>487</v>
      </c>
      <c r="D55" s="3" t="s">
        <v>488</v>
      </c>
      <c r="E55" s="3" t="s">
        <v>159</v>
      </c>
      <c r="F55" s="3">
        <v>16.99</v>
      </c>
      <c r="G55" s="3" t="s">
        <v>411</v>
      </c>
      <c r="H55" s="3"/>
      <c r="I55" s="3" t="s">
        <v>412</v>
      </c>
      <c r="J55" s="3">
        <v>0</v>
      </c>
      <c r="K55" s="3">
        <v>0</v>
      </c>
      <c r="L55" s="3">
        <v>0</v>
      </c>
      <c r="M55" s="3">
        <v>0</v>
      </c>
      <c r="N55" s="3">
        <v>48</v>
      </c>
      <c r="O55" s="3">
        <v>0.01</v>
      </c>
      <c r="P55" s="3">
        <v>48</v>
      </c>
      <c r="Q55" s="3">
        <v>0</v>
      </c>
      <c r="R55" s="3">
        <v>0</v>
      </c>
    </row>
    <row r="56" spans="1:18">
      <c r="A56" s="3" t="s">
        <v>52</v>
      </c>
      <c r="B56" s="3" t="s">
        <v>53</v>
      </c>
      <c r="C56" s="3" t="s">
        <v>54</v>
      </c>
      <c r="D56" s="3" t="s">
        <v>55</v>
      </c>
      <c r="E56" s="3" t="s">
        <v>159</v>
      </c>
      <c r="F56" s="3">
        <v>17.98</v>
      </c>
      <c r="G56" s="3" t="s">
        <v>411</v>
      </c>
      <c r="H56" s="3"/>
      <c r="I56" s="3" t="s">
        <v>412</v>
      </c>
      <c r="J56" s="3">
        <v>3</v>
      </c>
      <c r="K56" s="3">
        <v>0</v>
      </c>
      <c r="L56" s="3">
        <v>1</v>
      </c>
      <c r="M56" s="3">
        <v>2</v>
      </c>
      <c r="N56" s="3">
        <v>3</v>
      </c>
      <c r="O56" s="3">
        <v>0.02</v>
      </c>
      <c r="P56" s="3">
        <v>0</v>
      </c>
      <c r="Q56" s="3">
        <v>0</v>
      </c>
      <c r="R56" s="3">
        <v>0</v>
      </c>
    </row>
    <row r="57" spans="1:18">
      <c r="A57" s="3" t="s">
        <v>68</v>
      </c>
      <c r="B57" s="3" t="s">
        <v>69</v>
      </c>
      <c r="C57" s="3" t="s">
        <v>70</v>
      </c>
      <c r="D57" s="3" t="s">
        <v>71</v>
      </c>
      <c r="E57" s="3" t="s">
        <v>159</v>
      </c>
      <c r="F57" s="3">
        <v>52.99</v>
      </c>
      <c r="G57" s="3" t="s">
        <v>411</v>
      </c>
      <c r="H57" s="3"/>
      <c r="I57" s="3" t="s">
        <v>412</v>
      </c>
      <c r="J57" s="3">
        <v>52</v>
      </c>
      <c r="K57" s="3">
        <v>51</v>
      </c>
      <c r="L57" s="3">
        <v>0</v>
      </c>
      <c r="M57" s="3">
        <v>1</v>
      </c>
      <c r="N57" s="3">
        <v>52</v>
      </c>
      <c r="O57" s="3">
        <v>0.03</v>
      </c>
      <c r="P57" s="3">
        <v>0</v>
      </c>
      <c r="Q57" s="3">
        <v>0</v>
      </c>
      <c r="R57" s="3">
        <v>0</v>
      </c>
    </row>
    <row r="58" spans="1:18">
      <c r="A58" s="3" t="s">
        <v>489</v>
      </c>
      <c r="B58" s="3" t="s">
        <v>490</v>
      </c>
      <c r="C58" s="3" t="s">
        <v>490</v>
      </c>
      <c r="D58" s="3" t="s">
        <v>451</v>
      </c>
      <c r="E58" s="3" t="s">
        <v>159</v>
      </c>
      <c r="F58" s="3">
        <v>31.99</v>
      </c>
      <c r="G58" s="3" t="s">
        <v>411</v>
      </c>
      <c r="H58" s="3"/>
      <c r="I58" s="3" t="s">
        <v>412</v>
      </c>
      <c r="J58" s="3">
        <v>0</v>
      </c>
      <c r="K58" s="3">
        <v>0</v>
      </c>
      <c r="L58" s="3">
        <v>0</v>
      </c>
      <c r="M58" s="3">
        <v>0</v>
      </c>
      <c r="N58" s="3">
        <v>24</v>
      </c>
      <c r="O58" s="3">
        <v>0</v>
      </c>
      <c r="P58" s="3">
        <v>0</v>
      </c>
      <c r="Q58" s="3">
        <v>0</v>
      </c>
      <c r="R58" s="3">
        <v>24</v>
      </c>
    </row>
    <row r="59" spans="1:18">
      <c r="A59" s="3" t="s">
        <v>491</v>
      </c>
      <c r="B59" s="3" t="s">
        <v>492</v>
      </c>
      <c r="C59" s="3" t="s">
        <v>98</v>
      </c>
      <c r="D59" s="3" t="s">
        <v>99</v>
      </c>
      <c r="E59" s="3" t="s">
        <v>159</v>
      </c>
      <c r="F59" s="3">
        <v>20.99</v>
      </c>
      <c r="G59" s="3" t="s">
        <v>411</v>
      </c>
      <c r="H59" s="3"/>
      <c r="I59" s="3" t="s">
        <v>412</v>
      </c>
      <c r="J59" s="3">
        <v>0</v>
      </c>
      <c r="K59" s="3">
        <v>0</v>
      </c>
      <c r="L59" s="3">
        <v>0</v>
      </c>
      <c r="M59" s="3">
        <v>0</v>
      </c>
      <c r="N59" s="3">
        <v>72</v>
      </c>
      <c r="O59" s="3">
        <v>0.02</v>
      </c>
      <c r="P59" s="3">
        <v>0</v>
      </c>
      <c r="Q59" s="3">
        <v>0</v>
      </c>
      <c r="R59" s="3">
        <v>72</v>
      </c>
    </row>
    <row r="60" spans="1:18">
      <c r="A60" s="3" t="s">
        <v>337</v>
      </c>
      <c r="B60" s="3" t="s">
        <v>338</v>
      </c>
      <c r="C60" s="3" t="s">
        <v>339</v>
      </c>
      <c r="D60" s="3" t="s">
        <v>340</v>
      </c>
      <c r="E60" s="3" t="s">
        <v>159</v>
      </c>
      <c r="F60" s="3">
        <v>44.99</v>
      </c>
      <c r="G60" s="3" t="s">
        <v>411</v>
      </c>
      <c r="H60" s="3"/>
      <c r="I60" s="3" t="s">
        <v>412</v>
      </c>
      <c r="J60" s="3">
        <v>77</v>
      </c>
      <c r="K60" s="3">
        <v>77</v>
      </c>
      <c r="L60" s="3">
        <v>0</v>
      </c>
      <c r="M60" s="3">
        <v>0</v>
      </c>
      <c r="N60" s="3">
        <v>77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313</v>
      </c>
      <c r="B61" s="3" t="s">
        <v>314</v>
      </c>
      <c r="C61" s="3" t="s">
        <v>192</v>
      </c>
      <c r="D61" s="3" t="s">
        <v>193</v>
      </c>
      <c r="E61" s="3" t="s">
        <v>159</v>
      </c>
      <c r="F61" s="3">
        <v>61.53</v>
      </c>
      <c r="G61" s="3" t="s">
        <v>411</v>
      </c>
      <c r="H61" s="3"/>
      <c r="I61" s="3" t="s">
        <v>412</v>
      </c>
      <c r="J61" s="3">
        <v>48</v>
      </c>
      <c r="K61" s="3">
        <v>48</v>
      </c>
      <c r="L61" s="3">
        <v>0</v>
      </c>
      <c r="M61" s="3">
        <v>0</v>
      </c>
      <c r="N61" s="3">
        <v>48</v>
      </c>
      <c r="O61" s="3">
        <v>0.02</v>
      </c>
      <c r="P61" s="3">
        <v>0</v>
      </c>
      <c r="Q61" s="3">
        <v>0</v>
      </c>
      <c r="R61" s="3">
        <v>0</v>
      </c>
    </row>
    <row r="62" spans="1:18">
      <c r="A62" s="3" t="s">
        <v>166</v>
      </c>
      <c r="B62" s="3" t="s">
        <v>167</v>
      </c>
      <c r="C62" s="3" t="s">
        <v>168</v>
      </c>
      <c r="D62" s="3" t="s">
        <v>169</v>
      </c>
      <c r="E62" s="3" t="s">
        <v>159</v>
      </c>
      <c r="F62" s="3">
        <v>32.99</v>
      </c>
      <c r="G62" s="3" t="s">
        <v>411</v>
      </c>
      <c r="H62" s="3"/>
      <c r="I62" s="3" t="s">
        <v>412</v>
      </c>
      <c r="J62" s="3">
        <v>36</v>
      </c>
      <c r="K62" s="3">
        <v>36</v>
      </c>
      <c r="L62" s="3">
        <v>0</v>
      </c>
      <c r="M62" s="3">
        <v>0</v>
      </c>
      <c r="N62" s="3">
        <v>36</v>
      </c>
      <c r="O62" s="3">
        <v>0.02</v>
      </c>
      <c r="P62" s="3">
        <v>0</v>
      </c>
      <c r="Q62" s="3">
        <v>0</v>
      </c>
      <c r="R62" s="3">
        <v>0</v>
      </c>
    </row>
    <row r="63" spans="1:18">
      <c r="A63" s="3" t="s">
        <v>60</v>
      </c>
      <c r="B63" s="3" t="s">
        <v>61</v>
      </c>
      <c r="C63" s="3" t="s">
        <v>62</v>
      </c>
      <c r="D63" s="3" t="s">
        <v>63</v>
      </c>
      <c r="E63" s="3" t="s">
        <v>159</v>
      </c>
      <c r="F63" s="3">
        <v>35.99</v>
      </c>
      <c r="G63" s="3" t="s">
        <v>411</v>
      </c>
      <c r="H63" s="3"/>
      <c r="I63" s="3" t="s">
        <v>412</v>
      </c>
      <c r="J63" s="3">
        <v>87</v>
      </c>
      <c r="K63" s="3">
        <v>85</v>
      </c>
      <c r="L63" s="3">
        <v>1</v>
      </c>
      <c r="M63" s="3">
        <v>1</v>
      </c>
      <c r="N63" s="3">
        <v>183</v>
      </c>
      <c r="O63" s="3">
        <v>0.02</v>
      </c>
      <c r="P63" s="3">
        <v>96</v>
      </c>
      <c r="Q63" s="3">
        <v>0</v>
      </c>
      <c r="R63" s="3">
        <v>0</v>
      </c>
    </row>
    <row r="64" spans="1:18">
      <c r="A64" s="3" t="s">
        <v>493</v>
      </c>
      <c r="B64" s="3" t="s">
        <v>494</v>
      </c>
      <c r="C64" s="3" t="s">
        <v>123</v>
      </c>
      <c r="D64" s="3" t="s">
        <v>124</v>
      </c>
      <c r="E64" s="3" t="s">
        <v>159</v>
      </c>
      <c r="F64" s="3">
        <v>11.59</v>
      </c>
      <c r="G64" s="3" t="s">
        <v>411</v>
      </c>
      <c r="H64" s="3"/>
      <c r="I64" s="3" t="s">
        <v>412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</row>
    <row r="65" spans="1:18">
      <c r="A65" s="3" t="s">
        <v>56</v>
      </c>
      <c r="B65" s="3" t="s">
        <v>57</v>
      </c>
      <c r="C65" s="3" t="s">
        <v>58</v>
      </c>
      <c r="D65" s="3" t="s">
        <v>59</v>
      </c>
      <c r="E65" s="3" t="s">
        <v>159</v>
      </c>
      <c r="F65" s="3">
        <v>20.99</v>
      </c>
      <c r="G65" s="3" t="s">
        <v>411</v>
      </c>
      <c r="H65" s="3"/>
      <c r="I65" s="3" t="s">
        <v>412</v>
      </c>
      <c r="J65" s="3">
        <v>40</v>
      </c>
      <c r="K65" s="3">
        <v>26</v>
      </c>
      <c r="L65" s="3">
        <v>0</v>
      </c>
      <c r="M65" s="3">
        <v>14</v>
      </c>
      <c r="N65" s="3">
        <v>40</v>
      </c>
      <c r="O65" s="3">
        <v>0.01</v>
      </c>
      <c r="P65" s="3">
        <v>0</v>
      </c>
      <c r="Q65" s="3">
        <v>0</v>
      </c>
      <c r="R65" s="3">
        <v>0</v>
      </c>
    </row>
    <row r="66" spans="1:18">
      <c r="A66" s="3" t="s">
        <v>495</v>
      </c>
      <c r="B66" s="3" t="s">
        <v>496</v>
      </c>
      <c r="C66" s="3" t="s">
        <v>497</v>
      </c>
      <c r="D66" s="3" t="s">
        <v>498</v>
      </c>
      <c r="E66" s="3" t="s">
        <v>159</v>
      </c>
      <c r="F66" s="3">
        <v>33</v>
      </c>
      <c r="G66" s="3" t="s">
        <v>411</v>
      </c>
      <c r="H66" s="3"/>
      <c r="I66" s="3" t="s">
        <v>412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0.02</v>
      </c>
      <c r="P66" s="3">
        <v>0</v>
      </c>
      <c r="Q66" s="3">
        <v>0</v>
      </c>
      <c r="R66" s="3">
        <v>0</v>
      </c>
    </row>
    <row r="67" spans="1:18">
      <c r="A67" s="3" t="s">
        <v>499</v>
      </c>
      <c r="B67" s="3" t="s">
        <v>500</v>
      </c>
      <c r="C67" s="3" t="s">
        <v>104</v>
      </c>
      <c r="D67" s="3" t="s">
        <v>105</v>
      </c>
      <c r="E67" s="3" t="s">
        <v>159</v>
      </c>
      <c r="F67" s="3">
        <v>28.99</v>
      </c>
      <c r="G67" s="3" t="s">
        <v>411</v>
      </c>
      <c r="H67" s="3"/>
      <c r="I67" s="3" t="s">
        <v>412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0.02</v>
      </c>
      <c r="P67" s="3">
        <v>0</v>
      </c>
      <c r="Q67" s="3">
        <v>0</v>
      </c>
      <c r="R67" s="3">
        <v>0</v>
      </c>
    </row>
    <row r="68" spans="1:18">
      <c r="A68" s="3" t="s">
        <v>90</v>
      </c>
      <c r="B68" s="3" t="s">
        <v>91</v>
      </c>
      <c r="C68" s="3" t="s">
        <v>92</v>
      </c>
      <c r="D68" s="3" t="s">
        <v>93</v>
      </c>
      <c r="E68" s="3" t="s">
        <v>159</v>
      </c>
      <c r="F68" s="3">
        <v>29.99</v>
      </c>
      <c r="G68" s="3" t="s">
        <v>411</v>
      </c>
      <c r="H68" s="3"/>
      <c r="I68" s="3" t="s">
        <v>412</v>
      </c>
      <c r="J68" s="3">
        <v>47</v>
      </c>
      <c r="K68" s="3">
        <v>30</v>
      </c>
      <c r="L68" s="3">
        <v>0</v>
      </c>
      <c r="M68" s="3">
        <v>17</v>
      </c>
      <c r="N68" s="3">
        <v>47</v>
      </c>
      <c r="O68" s="3">
        <v>0.02</v>
      </c>
      <c r="P68" s="3">
        <v>0</v>
      </c>
      <c r="Q68" s="3">
        <v>0</v>
      </c>
      <c r="R68" s="3">
        <v>0</v>
      </c>
    </row>
    <row r="69" spans="1:18">
      <c r="A69" s="3" t="s">
        <v>501</v>
      </c>
      <c r="B69" s="3" t="s">
        <v>502</v>
      </c>
      <c r="C69" s="3" t="s">
        <v>112</v>
      </c>
      <c r="D69" s="3" t="s">
        <v>113</v>
      </c>
      <c r="E69" s="3" t="s">
        <v>159</v>
      </c>
      <c r="F69" s="3">
        <v>30.99</v>
      </c>
      <c r="G69" s="3" t="s">
        <v>412</v>
      </c>
      <c r="H69" s="3">
        <v>0</v>
      </c>
      <c r="I69" s="3" t="s">
        <v>411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0.03</v>
      </c>
      <c r="P69" s="3">
        <v>0</v>
      </c>
      <c r="Q69" s="3">
        <v>0</v>
      </c>
      <c r="R69" s="3">
        <v>0</v>
      </c>
    </row>
    <row r="70" spans="1:18">
      <c r="A70" s="3" t="s">
        <v>503</v>
      </c>
      <c r="B70" s="3" t="s">
        <v>504</v>
      </c>
      <c r="C70" s="3" t="s">
        <v>505</v>
      </c>
      <c r="D70" s="3" t="s">
        <v>506</v>
      </c>
      <c r="E70" s="3" t="s">
        <v>159</v>
      </c>
      <c r="F70" s="3">
        <v>29.45</v>
      </c>
      <c r="G70" s="3" t="s">
        <v>411</v>
      </c>
      <c r="H70" s="3"/>
      <c r="I70" s="3" t="s">
        <v>412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0.01</v>
      </c>
      <c r="P70" s="3">
        <v>0</v>
      </c>
      <c r="Q70" s="3">
        <v>0</v>
      </c>
      <c r="R70" s="3">
        <v>0</v>
      </c>
    </row>
    <row r="71" spans="1:18">
      <c r="A71" s="3" t="s">
        <v>507</v>
      </c>
      <c r="B71" s="3" t="s">
        <v>508</v>
      </c>
      <c r="C71" s="3" t="s">
        <v>509</v>
      </c>
      <c r="D71" s="3" t="s">
        <v>510</v>
      </c>
      <c r="E71" s="3" t="s">
        <v>159</v>
      </c>
      <c r="F71" s="3">
        <v>9.5</v>
      </c>
      <c r="G71" s="3" t="s">
        <v>411</v>
      </c>
      <c r="H71" s="3"/>
      <c r="I71" s="3" t="s">
        <v>412</v>
      </c>
      <c r="J71" s="3">
        <v>0</v>
      </c>
      <c r="K71" s="3">
        <v>0</v>
      </c>
      <c r="L71" s="3">
        <v>0</v>
      </c>
      <c r="M71" s="3">
        <v>0</v>
      </c>
      <c r="N71" s="3">
        <v>24</v>
      </c>
      <c r="O71" s="3">
        <v>0.02</v>
      </c>
      <c r="P71" s="3">
        <v>24</v>
      </c>
      <c r="Q71" s="3">
        <v>0</v>
      </c>
      <c r="R71" s="3">
        <v>0</v>
      </c>
    </row>
    <row r="72" spans="1:18">
      <c r="A72" s="3" t="s">
        <v>86</v>
      </c>
      <c r="B72" s="3" t="s">
        <v>87</v>
      </c>
      <c r="C72" s="3" t="s">
        <v>88</v>
      </c>
      <c r="D72" s="3" t="s">
        <v>89</v>
      </c>
      <c r="E72" s="3" t="s">
        <v>159</v>
      </c>
      <c r="F72" s="3">
        <v>61.79</v>
      </c>
      <c r="G72" s="3" t="s">
        <v>411</v>
      </c>
      <c r="H72" s="3"/>
      <c r="I72" s="3" t="s">
        <v>412</v>
      </c>
      <c r="J72" s="3">
        <v>58</v>
      </c>
      <c r="K72" s="3">
        <v>23</v>
      </c>
      <c r="L72" s="3">
        <v>0</v>
      </c>
      <c r="M72" s="3">
        <v>35</v>
      </c>
      <c r="N72" s="3">
        <v>106</v>
      </c>
      <c r="O72" s="3">
        <v>0.05</v>
      </c>
      <c r="P72" s="3">
        <v>48</v>
      </c>
      <c r="Q72" s="3">
        <v>0</v>
      </c>
      <c r="R72" s="3">
        <v>0</v>
      </c>
    </row>
    <row r="73" spans="1:18">
      <c r="A73" s="3" t="s">
        <v>511</v>
      </c>
      <c r="B73" s="3" t="s">
        <v>512</v>
      </c>
      <c r="C73" s="3" t="s">
        <v>513</v>
      </c>
      <c r="D73" s="3" t="s">
        <v>514</v>
      </c>
      <c r="E73" s="3" t="s">
        <v>159</v>
      </c>
      <c r="F73" s="3">
        <v>39.19</v>
      </c>
      <c r="G73" s="3" t="s">
        <v>411</v>
      </c>
      <c r="H73" s="3"/>
      <c r="I73" s="3" t="s">
        <v>412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0.08</v>
      </c>
      <c r="P73" s="3">
        <v>0</v>
      </c>
      <c r="Q73" s="3">
        <v>0</v>
      </c>
      <c r="R73" s="3">
        <v>0</v>
      </c>
    </row>
    <row r="74" spans="1:18">
      <c r="A74" s="3" t="s">
        <v>78</v>
      </c>
      <c r="B74" s="3" t="s">
        <v>79</v>
      </c>
      <c r="C74" s="3" t="s">
        <v>80</v>
      </c>
      <c r="D74" s="3" t="s">
        <v>81</v>
      </c>
      <c r="E74" s="3" t="s">
        <v>159</v>
      </c>
      <c r="F74" s="3">
        <v>49.99</v>
      </c>
      <c r="G74" s="3" t="s">
        <v>411</v>
      </c>
      <c r="H74" s="3"/>
      <c r="I74" s="3" t="s">
        <v>412</v>
      </c>
      <c r="J74" s="3">
        <v>24</v>
      </c>
      <c r="K74" s="3">
        <v>8</v>
      </c>
      <c r="L74" s="3">
        <v>0</v>
      </c>
      <c r="M74" s="3">
        <v>16</v>
      </c>
      <c r="N74" s="3">
        <v>24</v>
      </c>
      <c r="O74" s="3">
        <v>0.02</v>
      </c>
      <c r="P74" s="3">
        <v>0</v>
      </c>
      <c r="Q74" s="3">
        <v>0</v>
      </c>
      <c r="R74" s="3">
        <v>0</v>
      </c>
    </row>
    <row r="75" spans="1:18">
      <c r="A75" s="3" t="s">
        <v>327</v>
      </c>
      <c r="B75" s="3" t="s">
        <v>328</v>
      </c>
      <c r="C75" s="3" t="s">
        <v>329</v>
      </c>
      <c r="D75" s="3" t="s">
        <v>330</v>
      </c>
      <c r="E75" s="3" t="s">
        <v>159</v>
      </c>
      <c r="F75" s="3">
        <v>48.99</v>
      </c>
      <c r="G75" s="3" t="s">
        <v>411</v>
      </c>
      <c r="H75" s="3"/>
      <c r="I75" s="3" t="s">
        <v>412</v>
      </c>
      <c r="J75" s="3">
        <v>80</v>
      </c>
      <c r="K75" s="3">
        <v>80</v>
      </c>
      <c r="L75" s="3">
        <v>0</v>
      </c>
      <c r="M75" s="3">
        <v>0</v>
      </c>
      <c r="N75" s="3">
        <v>80</v>
      </c>
      <c r="O75" s="3">
        <v>0.01</v>
      </c>
      <c r="P75" s="3">
        <v>0</v>
      </c>
      <c r="Q75" s="3">
        <v>0</v>
      </c>
      <c r="R75" s="3">
        <v>0</v>
      </c>
    </row>
    <row r="76" spans="1:18">
      <c r="A76" s="3" t="s">
        <v>74</v>
      </c>
      <c r="B76" s="3" t="s">
        <v>75</v>
      </c>
      <c r="C76" s="3" t="s">
        <v>76</v>
      </c>
      <c r="D76" s="3" t="s">
        <v>77</v>
      </c>
      <c r="E76" s="3" t="s">
        <v>159</v>
      </c>
      <c r="F76" s="3">
        <v>25.99</v>
      </c>
      <c r="G76" s="3" t="s">
        <v>411</v>
      </c>
      <c r="H76" s="3"/>
      <c r="I76" s="3" t="s">
        <v>412</v>
      </c>
      <c r="J76" s="3">
        <v>49</v>
      </c>
      <c r="K76" s="3">
        <v>34</v>
      </c>
      <c r="L76" s="3">
        <v>0</v>
      </c>
      <c r="M76" s="3">
        <v>15</v>
      </c>
      <c r="N76" s="3">
        <v>49</v>
      </c>
      <c r="O76" s="3">
        <v>0.08</v>
      </c>
      <c r="P76" s="3">
        <v>0</v>
      </c>
      <c r="Q76" s="3">
        <v>0</v>
      </c>
      <c r="R76" s="3">
        <v>0</v>
      </c>
    </row>
    <row r="77" spans="1:18">
      <c r="A77" s="3" t="s">
        <v>515</v>
      </c>
      <c r="B77" s="3" t="s">
        <v>516</v>
      </c>
      <c r="C77" s="3" t="s">
        <v>517</v>
      </c>
      <c r="D77" s="3" t="s">
        <v>518</v>
      </c>
      <c r="E77" s="3" t="s">
        <v>159</v>
      </c>
      <c r="F77" s="3">
        <v>40.99</v>
      </c>
      <c r="G77" s="3" t="s">
        <v>411</v>
      </c>
      <c r="H77" s="3"/>
      <c r="I77" s="3" t="s">
        <v>412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0.02</v>
      </c>
      <c r="P77" s="3">
        <v>0</v>
      </c>
      <c r="Q77" s="3">
        <v>0</v>
      </c>
      <c r="R77" s="3">
        <v>0</v>
      </c>
    </row>
    <row r="78" spans="1:18">
      <c r="A78" s="3" t="s">
        <v>72</v>
      </c>
      <c r="B78" s="3" t="s">
        <v>73</v>
      </c>
      <c r="C78" s="3" t="s">
        <v>30</v>
      </c>
      <c r="D78" s="3" t="s">
        <v>31</v>
      </c>
      <c r="E78" s="3" t="s">
        <v>159</v>
      </c>
      <c r="F78" s="3">
        <v>15.61</v>
      </c>
      <c r="G78" s="3" t="s">
        <v>411</v>
      </c>
      <c r="H78" s="3"/>
      <c r="I78" s="3" t="s">
        <v>412</v>
      </c>
      <c r="J78" s="3">
        <v>110</v>
      </c>
      <c r="K78" s="3">
        <v>108</v>
      </c>
      <c r="L78" s="3">
        <v>0</v>
      </c>
      <c r="M78" s="3">
        <v>2</v>
      </c>
      <c r="N78" s="3">
        <v>110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226</v>
      </c>
      <c r="B79" s="3" t="s">
        <v>227</v>
      </c>
      <c r="C79" s="3" t="s">
        <v>228</v>
      </c>
      <c r="D79" s="3" t="s">
        <v>229</v>
      </c>
      <c r="E79" s="3" t="s">
        <v>159</v>
      </c>
      <c r="F79" s="3">
        <v>46.99</v>
      </c>
      <c r="G79" s="3" t="s">
        <v>411</v>
      </c>
      <c r="H79" s="3"/>
      <c r="I79" s="3" t="s">
        <v>412</v>
      </c>
      <c r="J79" s="3">
        <v>37</v>
      </c>
      <c r="K79" s="3">
        <v>37</v>
      </c>
      <c r="L79" s="3">
        <v>0</v>
      </c>
      <c r="M79" s="3">
        <v>0</v>
      </c>
      <c r="N79" s="3">
        <v>37</v>
      </c>
      <c r="O79" s="3">
        <v>0.02</v>
      </c>
      <c r="P79" s="3">
        <v>0</v>
      </c>
      <c r="Q79" s="3">
        <v>0</v>
      </c>
      <c r="R79" s="3">
        <v>0</v>
      </c>
    </row>
    <row r="80" spans="1:18">
      <c r="A80" s="3" t="s">
        <v>519</v>
      </c>
      <c r="B80" s="3" t="s">
        <v>520</v>
      </c>
      <c r="C80" s="3" t="s">
        <v>58</v>
      </c>
      <c r="D80" s="3"/>
      <c r="E80" s="3" t="s">
        <v>410</v>
      </c>
      <c r="F80" s="3"/>
      <c r="G80" s="3"/>
      <c r="H80" s="3"/>
      <c r="I80" s="3"/>
      <c r="J80" s="3">
        <v>1</v>
      </c>
      <c r="K80" s="3">
        <v>0</v>
      </c>
      <c r="L80" s="3">
        <v>1</v>
      </c>
      <c r="M80" s="3">
        <v>0</v>
      </c>
      <c r="N80" s="3">
        <v>1</v>
      </c>
      <c r="O80" s="3"/>
      <c r="P80" s="3">
        <v>0</v>
      </c>
      <c r="Q80" s="3">
        <v>0</v>
      </c>
      <c r="R80" s="3">
        <v>0</v>
      </c>
    </row>
    <row r="81" spans="1:18">
      <c r="A81" s="3" t="s">
        <v>82</v>
      </c>
      <c r="B81" s="3" t="s">
        <v>83</v>
      </c>
      <c r="C81" s="3" t="s">
        <v>84</v>
      </c>
      <c r="D81" s="3" t="s">
        <v>85</v>
      </c>
      <c r="E81" s="3" t="s">
        <v>159</v>
      </c>
      <c r="F81" s="3">
        <v>16.89</v>
      </c>
      <c r="G81" s="3" t="s">
        <v>411</v>
      </c>
      <c r="H81" s="3"/>
      <c r="I81" s="3" t="s">
        <v>412</v>
      </c>
      <c r="J81" s="3">
        <v>61</v>
      </c>
      <c r="K81" s="3">
        <v>51</v>
      </c>
      <c r="L81" s="3">
        <v>1</v>
      </c>
      <c r="M81" s="3">
        <v>9</v>
      </c>
      <c r="N81" s="3">
        <v>61</v>
      </c>
      <c r="O81" s="3">
        <v>0.01</v>
      </c>
      <c r="P81" s="3">
        <v>0</v>
      </c>
      <c r="Q81" s="3">
        <v>0</v>
      </c>
      <c r="R81" s="3">
        <v>0</v>
      </c>
    </row>
    <row r="82" spans="1:18">
      <c r="A82" s="3" t="s">
        <v>96</v>
      </c>
      <c r="B82" s="3" t="s">
        <v>97</v>
      </c>
      <c r="C82" s="3" t="s">
        <v>98</v>
      </c>
      <c r="D82" s="3" t="s">
        <v>99</v>
      </c>
      <c r="E82" s="3" t="s">
        <v>159</v>
      </c>
      <c r="F82" s="3">
        <v>20.99</v>
      </c>
      <c r="G82" s="3" t="s">
        <v>411</v>
      </c>
      <c r="H82" s="3"/>
      <c r="I82" s="3" t="s">
        <v>412</v>
      </c>
      <c r="J82" s="3">
        <v>34</v>
      </c>
      <c r="K82" s="3">
        <v>30</v>
      </c>
      <c r="L82" s="3">
        <v>2</v>
      </c>
      <c r="M82" s="3">
        <v>2</v>
      </c>
      <c r="N82" s="3">
        <v>34</v>
      </c>
      <c r="O82" s="3">
        <v>0.02</v>
      </c>
      <c r="P82" s="3">
        <v>0</v>
      </c>
      <c r="Q82" s="3">
        <v>0</v>
      </c>
      <c r="R82" s="3">
        <v>0</v>
      </c>
    </row>
    <row r="83" spans="1:18">
      <c r="A83" s="3" t="s">
        <v>64</v>
      </c>
      <c r="B83" s="3" t="s">
        <v>65</v>
      </c>
      <c r="C83" s="3" t="s">
        <v>66</v>
      </c>
      <c r="D83" s="3" t="s">
        <v>67</v>
      </c>
      <c r="E83" s="3" t="s">
        <v>159</v>
      </c>
      <c r="F83" s="3">
        <v>15.79</v>
      </c>
      <c r="G83" s="3" t="s">
        <v>411</v>
      </c>
      <c r="H83" s="3"/>
      <c r="I83" s="3" t="s">
        <v>412</v>
      </c>
      <c r="J83" s="3">
        <v>163</v>
      </c>
      <c r="K83" s="3">
        <v>161</v>
      </c>
      <c r="L83" s="3">
        <v>0</v>
      </c>
      <c r="M83" s="3">
        <v>2</v>
      </c>
      <c r="N83" s="3">
        <v>163</v>
      </c>
      <c r="O83" s="3">
        <v>0.01</v>
      </c>
      <c r="P83" s="3">
        <v>0</v>
      </c>
      <c r="Q83" s="3">
        <v>0</v>
      </c>
      <c r="R83" s="3">
        <v>0</v>
      </c>
    </row>
    <row r="84" spans="1:18">
      <c r="A84" s="3" t="s">
        <v>521</v>
      </c>
      <c r="B84" s="3" t="s">
        <v>522</v>
      </c>
      <c r="C84" s="3" t="s">
        <v>434</v>
      </c>
      <c r="D84" s="3"/>
      <c r="E84" s="3" t="s">
        <v>410</v>
      </c>
      <c r="F84" s="3"/>
      <c r="G84" s="3"/>
      <c r="H84" s="3"/>
      <c r="I84" s="3"/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/>
      <c r="P84" s="3">
        <v>0</v>
      </c>
      <c r="Q84" s="3">
        <v>0</v>
      </c>
      <c r="R84" s="3">
        <v>0</v>
      </c>
    </row>
    <row r="85" spans="1:18">
      <c r="A85" s="3" t="s">
        <v>523</v>
      </c>
      <c r="B85" s="3" t="s">
        <v>524</v>
      </c>
      <c r="C85" s="3" t="s">
        <v>50</v>
      </c>
      <c r="D85" s="3"/>
      <c r="E85" s="3" t="s">
        <v>410</v>
      </c>
      <c r="F85" s="3"/>
      <c r="G85" s="3"/>
      <c r="H85" s="3"/>
      <c r="I85" s="3"/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/>
      <c r="P85" s="3">
        <v>0</v>
      </c>
      <c r="Q85" s="3">
        <v>0</v>
      </c>
      <c r="R85" s="3">
        <v>0</v>
      </c>
    </row>
    <row r="86" spans="1:18">
      <c r="A86" s="3" t="s">
        <v>525</v>
      </c>
      <c r="B86" s="3" t="s">
        <v>424</v>
      </c>
      <c r="C86" s="3" t="s">
        <v>424</v>
      </c>
      <c r="D86" s="3"/>
      <c r="E86" s="3" t="s">
        <v>410</v>
      </c>
      <c r="F86" s="3"/>
      <c r="G86" s="3"/>
      <c r="H86" s="3"/>
      <c r="I86" s="3"/>
      <c r="J86" s="3">
        <v>1</v>
      </c>
      <c r="K86" s="3">
        <v>0</v>
      </c>
      <c r="L86" s="3">
        <v>1</v>
      </c>
      <c r="M86" s="3">
        <v>0</v>
      </c>
      <c r="N86" s="3">
        <v>1</v>
      </c>
      <c r="O86" s="3"/>
      <c r="P86" s="3">
        <v>0</v>
      </c>
      <c r="Q86" s="3">
        <v>0</v>
      </c>
      <c r="R86" s="3">
        <v>0</v>
      </c>
    </row>
    <row r="87" spans="1:18">
      <c r="A87" s="3" t="s">
        <v>526</v>
      </c>
      <c r="B87" s="3" t="s">
        <v>527</v>
      </c>
      <c r="C87" s="3" t="s">
        <v>88</v>
      </c>
      <c r="D87" s="3" t="s">
        <v>89</v>
      </c>
      <c r="E87" s="3" t="s">
        <v>159</v>
      </c>
      <c r="F87" s="3">
        <v>38.99</v>
      </c>
      <c r="G87" s="3" t="s">
        <v>411</v>
      </c>
      <c r="H87" s="3"/>
      <c r="I87" s="3" t="s">
        <v>412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0.05</v>
      </c>
      <c r="P87" s="3">
        <v>0</v>
      </c>
      <c r="Q87" s="3">
        <v>0</v>
      </c>
      <c r="R87" s="3">
        <v>0</v>
      </c>
    </row>
    <row r="88" spans="1:18">
      <c r="A88" s="3" t="s">
        <v>528</v>
      </c>
      <c r="B88" s="3" t="s">
        <v>529</v>
      </c>
      <c r="C88" s="3" t="s">
        <v>530</v>
      </c>
      <c r="D88" s="3"/>
      <c r="E88" s="3" t="s">
        <v>410</v>
      </c>
      <c r="F88" s="3"/>
      <c r="G88" s="3"/>
      <c r="H88" s="3"/>
      <c r="I88" s="3"/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/>
      <c r="P88" s="3">
        <v>0</v>
      </c>
      <c r="Q88" s="3">
        <v>0</v>
      </c>
      <c r="R88" s="3">
        <v>0</v>
      </c>
    </row>
    <row r="89" spans="1:18">
      <c r="A89" s="3" t="s">
        <v>343</v>
      </c>
      <c r="B89" s="3" t="s">
        <v>344</v>
      </c>
      <c r="C89" s="3" t="s">
        <v>344</v>
      </c>
      <c r="D89" s="3" t="s">
        <v>345</v>
      </c>
      <c r="E89" s="3" t="s">
        <v>159</v>
      </c>
      <c r="F89" s="3">
        <v>34.39</v>
      </c>
      <c r="G89" s="3" t="s">
        <v>411</v>
      </c>
      <c r="H89" s="3"/>
      <c r="I89" s="3" t="s">
        <v>412</v>
      </c>
      <c r="J89" s="3">
        <v>11</v>
      </c>
      <c r="K89" s="3">
        <v>11</v>
      </c>
      <c r="L89" s="3">
        <v>0</v>
      </c>
      <c r="M89" s="3">
        <v>0</v>
      </c>
      <c r="N89" s="3">
        <v>11</v>
      </c>
      <c r="O89" s="3">
        <v>0.56</v>
      </c>
      <c r="P89" s="3">
        <v>0</v>
      </c>
      <c r="Q89" s="3">
        <v>0</v>
      </c>
      <c r="R89" s="3">
        <v>0</v>
      </c>
    </row>
    <row r="90" spans="1:18">
      <c r="A90" s="3" t="s">
        <v>315</v>
      </c>
      <c r="B90" s="3" t="s">
        <v>316</v>
      </c>
      <c r="C90" s="3" t="s">
        <v>316</v>
      </c>
      <c r="D90" s="3" t="s">
        <v>317</v>
      </c>
      <c r="E90" s="3" t="s">
        <v>159</v>
      </c>
      <c r="F90" s="3">
        <v>42.99</v>
      </c>
      <c r="G90" s="3" t="s">
        <v>411</v>
      </c>
      <c r="H90" s="3"/>
      <c r="I90" s="3" t="s">
        <v>412</v>
      </c>
      <c r="J90" s="3">
        <v>12</v>
      </c>
      <c r="K90" s="3">
        <v>12</v>
      </c>
      <c r="L90" s="3">
        <v>0</v>
      </c>
      <c r="M90" s="3">
        <v>0</v>
      </c>
      <c r="N90" s="3">
        <v>12</v>
      </c>
      <c r="O90" s="3">
        <v>0.56</v>
      </c>
      <c r="P90" s="3">
        <v>0</v>
      </c>
      <c r="Q90" s="3">
        <v>0</v>
      </c>
      <c r="R90" s="3">
        <v>0</v>
      </c>
    </row>
    <row r="91" spans="1:18">
      <c r="A91" s="3" t="s">
        <v>346</v>
      </c>
      <c r="B91" s="3" t="s">
        <v>347</v>
      </c>
      <c r="C91" s="3" t="s">
        <v>347</v>
      </c>
      <c r="D91" s="3" t="s">
        <v>348</v>
      </c>
      <c r="E91" s="3" t="s">
        <v>159</v>
      </c>
      <c r="F91" s="3">
        <v>38.8</v>
      </c>
      <c r="G91" s="3" t="s">
        <v>411</v>
      </c>
      <c r="H91" s="3"/>
      <c r="I91" s="3" t="s">
        <v>412</v>
      </c>
      <c r="J91" s="3">
        <v>14</v>
      </c>
      <c r="K91" s="3">
        <v>14</v>
      </c>
      <c r="L91" s="3">
        <v>0</v>
      </c>
      <c r="M91" s="3">
        <v>0</v>
      </c>
      <c r="N91" s="3">
        <v>14</v>
      </c>
      <c r="O91" s="3">
        <v>0.56</v>
      </c>
      <c r="P91" s="3">
        <v>0</v>
      </c>
      <c r="Q91" s="3">
        <v>0</v>
      </c>
      <c r="R91" s="3">
        <v>0</v>
      </c>
    </row>
    <row r="92" spans="1:18">
      <c r="A92" s="3" t="s">
        <v>390</v>
      </c>
      <c r="B92" s="3" t="s">
        <v>391</v>
      </c>
      <c r="C92" s="3" t="s">
        <v>391</v>
      </c>
      <c r="D92" s="3" t="s">
        <v>392</v>
      </c>
      <c r="E92" s="3" t="s">
        <v>159</v>
      </c>
      <c r="F92" s="3">
        <v>39.99</v>
      </c>
      <c r="G92" s="3" t="s">
        <v>411</v>
      </c>
      <c r="H92" s="3"/>
      <c r="I92" s="3" t="s">
        <v>412</v>
      </c>
      <c r="J92" s="3">
        <v>12</v>
      </c>
      <c r="K92" s="3">
        <v>12</v>
      </c>
      <c r="L92" s="3">
        <v>0</v>
      </c>
      <c r="M92" s="3">
        <v>0</v>
      </c>
      <c r="N92" s="3">
        <v>12</v>
      </c>
      <c r="O92" s="3">
        <v>0.56</v>
      </c>
      <c r="P92" s="3">
        <v>0</v>
      </c>
      <c r="Q92" s="3">
        <v>0</v>
      </c>
      <c r="R92" s="3">
        <v>0</v>
      </c>
    </row>
    <row r="93" spans="1:18">
      <c r="A93" s="3" t="s">
        <v>237</v>
      </c>
      <c r="B93" s="3" t="s">
        <v>238</v>
      </c>
      <c r="C93" s="3" t="s">
        <v>238</v>
      </c>
      <c r="D93" s="3" t="s">
        <v>239</v>
      </c>
      <c r="E93" s="3" t="s">
        <v>159</v>
      </c>
      <c r="F93" s="3">
        <v>34.39</v>
      </c>
      <c r="G93" s="3" t="s">
        <v>411</v>
      </c>
      <c r="H93" s="3"/>
      <c r="I93" s="3" t="s">
        <v>412</v>
      </c>
      <c r="J93" s="3">
        <v>14</v>
      </c>
      <c r="K93" s="3">
        <v>14</v>
      </c>
      <c r="L93" s="3">
        <v>0</v>
      </c>
      <c r="M93" s="3">
        <v>0</v>
      </c>
      <c r="N93" s="3">
        <v>14</v>
      </c>
      <c r="O93" s="3">
        <v>0.56</v>
      </c>
      <c r="P93" s="3">
        <v>0</v>
      </c>
      <c r="Q93" s="3">
        <v>0</v>
      </c>
      <c r="R93" s="3">
        <v>0</v>
      </c>
    </row>
    <row r="94" spans="1:18">
      <c r="A94" s="3" t="s">
        <v>178</v>
      </c>
      <c r="B94" s="3" t="s">
        <v>179</v>
      </c>
      <c r="C94" s="3" t="s">
        <v>179</v>
      </c>
      <c r="D94" s="3" t="s">
        <v>180</v>
      </c>
      <c r="E94" s="3" t="s">
        <v>159</v>
      </c>
      <c r="F94" s="3">
        <v>42.99</v>
      </c>
      <c r="G94" s="3" t="s">
        <v>411</v>
      </c>
      <c r="H94" s="3"/>
      <c r="I94" s="3" t="s">
        <v>412</v>
      </c>
      <c r="J94" s="3">
        <v>6</v>
      </c>
      <c r="K94" s="3">
        <v>6</v>
      </c>
      <c r="L94" s="3">
        <v>0</v>
      </c>
      <c r="M94" s="3">
        <v>0</v>
      </c>
      <c r="N94" s="3">
        <v>6</v>
      </c>
      <c r="O94" s="3">
        <v>0.56</v>
      </c>
      <c r="P94" s="3">
        <v>0</v>
      </c>
      <c r="Q94" s="3">
        <v>0</v>
      </c>
      <c r="R94" s="3">
        <v>0</v>
      </c>
    </row>
    <row r="95" spans="1:18">
      <c r="A95" s="3" t="s">
        <v>184</v>
      </c>
      <c r="B95" s="3" t="s">
        <v>185</v>
      </c>
      <c r="C95" s="3" t="s">
        <v>185</v>
      </c>
      <c r="D95" s="3" t="s">
        <v>186</v>
      </c>
      <c r="E95" s="3" t="s">
        <v>159</v>
      </c>
      <c r="F95" s="3">
        <v>38.39</v>
      </c>
      <c r="G95" s="3" t="s">
        <v>411</v>
      </c>
      <c r="H95" s="3"/>
      <c r="I95" s="3" t="s">
        <v>412</v>
      </c>
      <c r="J95" s="3">
        <v>8</v>
      </c>
      <c r="K95" s="3">
        <v>8</v>
      </c>
      <c r="L95" s="3">
        <v>0</v>
      </c>
      <c r="M95" s="3">
        <v>0</v>
      </c>
      <c r="N95" s="3">
        <v>8</v>
      </c>
      <c r="O95" s="3">
        <v>0.56</v>
      </c>
      <c r="P95" s="3">
        <v>0</v>
      </c>
      <c r="Q95" s="3">
        <v>0</v>
      </c>
      <c r="R95" s="3">
        <v>0</v>
      </c>
    </row>
    <row r="96" spans="1:18">
      <c r="A96" s="3" t="s">
        <v>215</v>
      </c>
      <c r="B96" s="3" t="s">
        <v>216</v>
      </c>
      <c r="C96" s="3" t="s">
        <v>216</v>
      </c>
      <c r="D96" s="3" t="s">
        <v>217</v>
      </c>
      <c r="E96" s="3" t="s">
        <v>159</v>
      </c>
      <c r="F96" s="3">
        <v>42.49</v>
      </c>
      <c r="G96" s="3" t="s">
        <v>411</v>
      </c>
      <c r="H96" s="3"/>
      <c r="I96" s="3" t="s">
        <v>412</v>
      </c>
      <c r="J96" s="3">
        <v>7</v>
      </c>
      <c r="K96" s="3">
        <v>7</v>
      </c>
      <c r="L96" s="3">
        <v>0</v>
      </c>
      <c r="M96" s="3">
        <v>0</v>
      </c>
      <c r="N96" s="3">
        <v>7</v>
      </c>
      <c r="O96" s="3">
        <v>0.56</v>
      </c>
      <c r="P96" s="3">
        <v>0</v>
      </c>
      <c r="Q96" s="3">
        <v>0</v>
      </c>
      <c r="R96" s="3">
        <v>0</v>
      </c>
    </row>
    <row r="97" spans="1:18">
      <c r="A97" s="3" t="s">
        <v>201</v>
      </c>
      <c r="B97" s="3" t="s">
        <v>202</v>
      </c>
      <c r="C97" s="3" t="s">
        <v>202</v>
      </c>
      <c r="D97" s="3" t="s">
        <v>203</v>
      </c>
      <c r="E97" s="3" t="s">
        <v>159</v>
      </c>
      <c r="F97" s="3">
        <v>42.99</v>
      </c>
      <c r="G97" s="3" t="s">
        <v>411</v>
      </c>
      <c r="H97" s="3"/>
      <c r="I97" s="3" t="s">
        <v>412</v>
      </c>
      <c r="J97" s="3">
        <v>7</v>
      </c>
      <c r="K97" s="3">
        <v>7</v>
      </c>
      <c r="L97" s="3">
        <v>0</v>
      </c>
      <c r="M97" s="3">
        <v>0</v>
      </c>
      <c r="N97" s="3">
        <v>7</v>
      </c>
      <c r="O97" s="3">
        <v>0.56</v>
      </c>
      <c r="P97" s="3">
        <v>0</v>
      </c>
      <c r="Q97" s="3">
        <v>0</v>
      </c>
      <c r="R97" s="3">
        <v>0</v>
      </c>
    </row>
    <row r="98" spans="1:18">
      <c r="A98" s="3" t="s">
        <v>354</v>
      </c>
      <c r="B98" s="3" t="s">
        <v>355</v>
      </c>
      <c r="C98" s="3" t="s">
        <v>355</v>
      </c>
      <c r="D98" s="3" t="s">
        <v>356</v>
      </c>
      <c r="E98" s="3" t="s">
        <v>159</v>
      </c>
      <c r="F98" s="3">
        <v>40.6</v>
      </c>
      <c r="G98" s="3" t="s">
        <v>411</v>
      </c>
      <c r="H98" s="3"/>
      <c r="I98" s="3" t="s">
        <v>412</v>
      </c>
      <c r="J98" s="3">
        <v>7</v>
      </c>
      <c r="K98" s="3">
        <v>7</v>
      </c>
      <c r="L98" s="3">
        <v>0</v>
      </c>
      <c r="M98" s="3">
        <v>0</v>
      </c>
      <c r="N98" s="3">
        <v>7</v>
      </c>
      <c r="O98" s="3">
        <v>0.56</v>
      </c>
      <c r="P98" s="3">
        <v>0</v>
      </c>
      <c r="Q98" s="3">
        <v>0</v>
      </c>
      <c r="R98" s="3">
        <v>0</v>
      </c>
    </row>
    <row r="99" spans="1:18">
      <c r="A99" s="3" t="s">
        <v>531</v>
      </c>
      <c r="B99" s="3" t="s">
        <v>532</v>
      </c>
      <c r="C99" s="3" t="s">
        <v>532</v>
      </c>
      <c r="D99" s="3" t="s">
        <v>533</v>
      </c>
      <c r="E99" s="3" t="s">
        <v>159</v>
      </c>
      <c r="F99" s="3">
        <v>42.49</v>
      </c>
      <c r="G99" s="3" t="s">
        <v>411</v>
      </c>
      <c r="H99" s="3"/>
      <c r="I99" s="3" t="s">
        <v>412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0.56</v>
      </c>
      <c r="P99" s="3">
        <v>0</v>
      </c>
      <c r="Q99" s="3">
        <v>0</v>
      </c>
      <c r="R99" s="3">
        <v>0</v>
      </c>
    </row>
    <row r="100" spans="1:18">
      <c r="A100" s="3" t="s">
        <v>534</v>
      </c>
      <c r="B100" s="3" t="s">
        <v>535</v>
      </c>
      <c r="C100" s="3" t="s">
        <v>535</v>
      </c>
      <c r="D100" s="3" t="s">
        <v>536</v>
      </c>
      <c r="E100" s="3" t="s">
        <v>159</v>
      </c>
      <c r="F100" s="3">
        <v>42.99</v>
      </c>
      <c r="G100" s="3" t="s">
        <v>411</v>
      </c>
      <c r="H100" s="3"/>
      <c r="I100" s="3" t="s">
        <v>412</v>
      </c>
      <c r="J100" s="3">
        <v>1</v>
      </c>
      <c r="K100" s="3">
        <v>0</v>
      </c>
      <c r="L100" s="3">
        <v>1</v>
      </c>
      <c r="M100" s="3">
        <v>0</v>
      </c>
      <c r="N100" s="3">
        <v>1</v>
      </c>
      <c r="O100" s="3">
        <v>0.56</v>
      </c>
      <c r="P100" s="3">
        <v>0</v>
      </c>
      <c r="Q100" s="3">
        <v>0</v>
      </c>
      <c r="R100" s="3">
        <v>0</v>
      </c>
    </row>
    <row r="101" spans="1:18">
      <c r="A101" s="3" t="s">
        <v>393</v>
      </c>
      <c r="B101" s="3" t="s">
        <v>394</v>
      </c>
      <c r="C101" s="3" t="s">
        <v>394</v>
      </c>
      <c r="D101" s="3" t="s">
        <v>395</v>
      </c>
      <c r="E101" s="3" t="s">
        <v>159</v>
      </c>
      <c r="F101" s="3">
        <v>34.39</v>
      </c>
      <c r="G101" s="3" t="s">
        <v>411</v>
      </c>
      <c r="H101" s="3"/>
      <c r="I101" s="3" t="s">
        <v>412</v>
      </c>
      <c r="J101" s="3">
        <v>7</v>
      </c>
      <c r="K101" s="3">
        <v>7</v>
      </c>
      <c r="L101" s="3">
        <v>0</v>
      </c>
      <c r="M101" s="3">
        <v>0</v>
      </c>
      <c r="N101" s="3">
        <v>7</v>
      </c>
      <c r="O101" s="3">
        <v>0.56</v>
      </c>
      <c r="P101" s="3">
        <v>0</v>
      </c>
      <c r="Q101" s="3">
        <v>0</v>
      </c>
      <c r="R101" s="3">
        <v>0</v>
      </c>
    </row>
    <row r="102" spans="1:18">
      <c r="A102" s="3" t="s">
        <v>289</v>
      </c>
      <c r="B102" s="3" t="s">
        <v>290</v>
      </c>
      <c r="C102" s="3" t="s">
        <v>290</v>
      </c>
      <c r="D102" s="3" t="s">
        <v>291</v>
      </c>
      <c r="E102" s="3" t="s">
        <v>159</v>
      </c>
      <c r="F102" s="3">
        <v>34.39</v>
      </c>
      <c r="G102" s="3" t="s">
        <v>411</v>
      </c>
      <c r="H102" s="3"/>
      <c r="I102" s="3" t="s">
        <v>412</v>
      </c>
      <c r="J102" s="3">
        <v>6</v>
      </c>
      <c r="K102" s="3">
        <v>6</v>
      </c>
      <c r="L102" s="3">
        <v>0</v>
      </c>
      <c r="M102" s="3">
        <v>0</v>
      </c>
      <c r="N102" s="3">
        <v>6</v>
      </c>
      <c r="O102" s="3">
        <v>0.56</v>
      </c>
      <c r="P102" s="3">
        <v>0</v>
      </c>
      <c r="Q102" s="3">
        <v>0</v>
      </c>
      <c r="R102" s="3">
        <v>0</v>
      </c>
    </row>
    <row r="103" spans="1:18">
      <c r="A103" s="3" t="s">
        <v>286</v>
      </c>
      <c r="B103" s="3" t="s">
        <v>287</v>
      </c>
      <c r="C103" s="3" t="s">
        <v>287</v>
      </c>
      <c r="D103" s="3" t="s">
        <v>288</v>
      </c>
      <c r="E103" s="3" t="s">
        <v>159</v>
      </c>
      <c r="F103" s="3">
        <v>42.49</v>
      </c>
      <c r="G103" s="3" t="s">
        <v>411</v>
      </c>
      <c r="H103" s="3"/>
      <c r="I103" s="3" t="s">
        <v>412</v>
      </c>
      <c r="J103" s="3">
        <v>4</v>
      </c>
      <c r="K103" s="3">
        <v>4</v>
      </c>
      <c r="L103" s="3">
        <v>0</v>
      </c>
      <c r="M103" s="3">
        <v>0</v>
      </c>
      <c r="N103" s="3">
        <v>4</v>
      </c>
      <c r="O103" s="3">
        <v>0.56</v>
      </c>
      <c r="P103" s="3">
        <v>0</v>
      </c>
      <c r="Q103" s="3">
        <v>0</v>
      </c>
      <c r="R103" s="3">
        <v>0</v>
      </c>
    </row>
    <row r="104" spans="1:18">
      <c r="A104" s="3" t="s">
        <v>366</v>
      </c>
      <c r="B104" s="3" t="s">
        <v>367</v>
      </c>
      <c r="C104" s="3" t="s">
        <v>367</v>
      </c>
      <c r="D104" s="3" t="s">
        <v>368</v>
      </c>
      <c r="E104" s="3" t="s">
        <v>159</v>
      </c>
      <c r="F104" s="3">
        <v>38.99</v>
      </c>
      <c r="G104" s="3" t="s">
        <v>411</v>
      </c>
      <c r="H104" s="3"/>
      <c r="I104" s="3" t="s">
        <v>412</v>
      </c>
      <c r="J104" s="3">
        <v>12</v>
      </c>
      <c r="K104" s="3">
        <v>11</v>
      </c>
      <c r="L104" s="3">
        <v>1</v>
      </c>
      <c r="M104" s="3">
        <v>0</v>
      </c>
      <c r="N104" s="3">
        <v>12</v>
      </c>
      <c r="O104" s="3">
        <v>1.15</v>
      </c>
      <c r="P104" s="3">
        <v>0</v>
      </c>
      <c r="Q104" s="3">
        <v>0</v>
      </c>
      <c r="R104" s="3">
        <v>0</v>
      </c>
    </row>
    <row r="105" spans="1:18">
      <c r="A105" s="3" t="s">
        <v>370</v>
      </c>
      <c r="B105" s="3" t="s">
        <v>371</v>
      </c>
      <c r="C105" s="3" t="s">
        <v>371</v>
      </c>
      <c r="D105" s="3" t="s">
        <v>372</v>
      </c>
      <c r="E105" s="3" t="s">
        <v>159</v>
      </c>
      <c r="F105" s="3">
        <v>42.99</v>
      </c>
      <c r="G105" s="3" t="s">
        <v>411</v>
      </c>
      <c r="H105" s="3"/>
      <c r="I105" s="3" t="s">
        <v>412</v>
      </c>
      <c r="J105" s="3">
        <v>10</v>
      </c>
      <c r="K105" s="3">
        <v>10</v>
      </c>
      <c r="L105" s="3">
        <v>0</v>
      </c>
      <c r="M105" s="3">
        <v>0</v>
      </c>
      <c r="N105" s="3">
        <v>10</v>
      </c>
      <c r="O105" s="3">
        <v>1.06</v>
      </c>
      <c r="P105" s="3">
        <v>0</v>
      </c>
      <c r="Q105" s="3">
        <v>0</v>
      </c>
      <c r="R105" s="3">
        <v>0</v>
      </c>
    </row>
    <row r="106" spans="1:18">
      <c r="A106" s="3" t="s">
        <v>362</v>
      </c>
      <c r="B106" s="3" t="s">
        <v>363</v>
      </c>
      <c r="C106" s="3" t="s">
        <v>363</v>
      </c>
      <c r="D106" s="3" t="s">
        <v>364</v>
      </c>
      <c r="E106" s="3" t="s">
        <v>159</v>
      </c>
      <c r="F106" s="3">
        <v>39.05</v>
      </c>
      <c r="G106" s="3" t="s">
        <v>411</v>
      </c>
      <c r="H106" s="3"/>
      <c r="I106" s="3" t="s">
        <v>412</v>
      </c>
      <c r="J106" s="3">
        <v>13</v>
      </c>
      <c r="K106" s="3">
        <v>13</v>
      </c>
      <c r="L106" s="3">
        <v>0</v>
      </c>
      <c r="M106" s="3">
        <v>0</v>
      </c>
      <c r="N106" s="3">
        <v>13</v>
      </c>
      <c r="O106" s="3">
        <v>1.12</v>
      </c>
      <c r="P106" s="3">
        <v>0</v>
      </c>
      <c r="Q106" s="3">
        <v>0</v>
      </c>
      <c r="R106" s="3">
        <v>0</v>
      </c>
    </row>
    <row r="107" spans="1:18">
      <c r="A107" s="3" t="s">
        <v>234</v>
      </c>
      <c r="B107" s="3" t="s">
        <v>235</v>
      </c>
      <c r="C107" s="3" t="s">
        <v>235</v>
      </c>
      <c r="D107" s="3" t="s">
        <v>236</v>
      </c>
      <c r="E107" s="3" t="s">
        <v>159</v>
      </c>
      <c r="F107" s="3">
        <v>42.99</v>
      </c>
      <c r="G107" s="3" t="s">
        <v>411</v>
      </c>
      <c r="H107" s="3"/>
      <c r="I107" s="3" t="s">
        <v>412</v>
      </c>
      <c r="J107" s="3">
        <v>8</v>
      </c>
      <c r="K107" s="3">
        <v>7</v>
      </c>
      <c r="L107" s="3">
        <v>1</v>
      </c>
      <c r="M107" s="3">
        <v>0</v>
      </c>
      <c r="N107" s="3">
        <v>8</v>
      </c>
      <c r="O107" s="3">
        <v>1.11</v>
      </c>
      <c r="P107" s="3">
        <v>0</v>
      </c>
      <c r="Q107" s="3">
        <v>0</v>
      </c>
      <c r="R107" s="3">
        <v>0</v>
      </c>
    </row>
    <row r="108" spans="1:18">
      <c r="A108" s="3" t="s">
        <v>268</v>
      </c>
      <c r="B108" s="3" t="s">
        <v>269</v>
      </c>
      <c r="C108" s="3" t="s">
        <v>269</v>
      </c>
      <c r="D108" s="3" t="s">
        <v>270</v>
      </c>
      <c r="E108" s="3" t="s">
        <v>159</v>
      </c>
      <c r="F108" s="3">
        <v>42.99</v>
      </c>
      <c r="G108" s="3" t="s">
        <v>411</v>
      </c>
      <c r="H108" s="3"/>
      <c r="I108" s="3" t="s">
        <v>412</v>
      </c>
      <c r="J108" s="3">
        <v>1</v>
      </c>
      <c r="K108" s="3">
        <v>1</v>
      </c>
      <c r="L108" s="3">
        <v>0</v>
      </c>
      <c r="M108" s="3">
        <v>0</v>
      </c>
      <c r="N108" s="3">
        <v>1</v>
      </c>
      <c r="O108" s="3">
        <v>1.11</v>
      </c>
      <c r="P108" s="3">
        <v>0</v>
      </c>
      <c r="Q108" s="3">
        <v>0</v>
      </c>
      <c r="R108" s="3">
        <v>0</v>
      </c>
    </row>
    <row r="109" spans="1:18">
      <c r="A109" s="3" t="s">
        <v>333</v>
      </c>
      <c r="B109" s="3" t="s">
        <v>334</v>
      </c>
      <c r="C109" s="3" t="s">
        <v>334</v>
      </c>
      <c r="D109" s="3" t="s">
        <v>335</v>
      </c>
      <c r="E109" s="3" t="s">
        <v>159</v>
      </c>
      <c r="F109" s="3">
        <v>34.39</v>
      </c>
      <c r="G109" s="3" t="s">
        <v>411</v>
      </c>
      <c r="H109" s="3"/>
      <c r="I109" s="3" t="s">
        <v>412</v>
      </c>
      <c r="J109" s="3">
        <v>6</v>
      </c>
      <c r="K109" s="3">
        <v>6</v>
      </c>
      <c r="L109" s="3">
        <v>0</v>
      </c>
      <c r="M109" s="3">
        <v>0</v>
      </c>
      <c r="N109" s="3">
        <v>6</v>
      </c>
      <c r="O109" s="3">
        <v>1.11</v>
      </c>
      <c r="P109" s="3">
        <v>0</v>
      </c>
      <c r="Q109" s="3">
        <v>0</v>
      </c>
      <c r="R109" s="3">
        <v>0</v>
      </c>
    </row>
    <row r="110" spans="1:18">
      <c r="A110" s="3" t="s">
        <v>219</v>
      </c>
      <c r="B110" s="3" t="s">
        <v>220</v>
      </c>
      <c r="C110" s="3" t="s">
        <v>220</v>
      </c>
      <c r="D110" s="3" t="s">
        <v>221</v>
      </c>
      <c r="E110" s="3" t="s">
        <v>159</v>
      </c>
      <c r="F110" s="3">
        <v>42.99</v>
      </c>
      <c r="G110" s="3" t="s">
        <v>411</v>
      </c>
      <c r="H110" s="3"/>
      <c r="I110" s="3" t="s">
        <v>412</v>
      </c>
      <c r="J110" s="3">
        <v>6</v>
      </c>
      <c r="K110" s="3">
        <v>6</v>
      </c>
      <c r="L110" s="3">
        <v>0</v>
      </c>
      <c r="M110" s="3">
        <v>0</v>
      </c>
      <c r="N110" s="3">
        <v>6</v>
      </c>
      <c r="O110" s="3">
        <v>1.11</v>
      </c>
      <c r="P110" s="3">
        <v>0</v>
      </c>
      <c r="Q110" s="3">
        <v>0</v>
      </c>
      <c r="R110" s="3">
        <v>0</v>
      </c>
    </row>
    <row r="111" spans="1:18">
      <c r="A111" s="3" t="s">
        <v>374</v>
      </c>
      <c r="B111" s="3" t="s">
        <v>375</v>
      </c>
      <c r="C111" s="3" t="s">
        <v>375</v>
      </c>
      <c r="D111" s="3" t="s">
        <v>376</v>
      </c>
      <c r="E111" s="3" t="s">
        <v>159</v>
      </c>
      <c r="F111" s="3">
        <v>42.49</v>
      </c>
      <c r="G111" s="3" t="s">
        <v>411</v>
      </c>
      <c r="H111" s="3"/>
      <c r="I111" s="3" t="s">
        <v>412</v>
      </c>
      <c r="J111" s="3">
        <v>5</v>
      </c>
      <c r="K111" s="3">
        <v>5</v>
      </c>
      <c r="L111" s="3">
        <v>0</v>
      </c>
      <c r="M111" s="3">
        <v>0</v>
      </c>
      <c r="N111" s="3">
        <v>5</v>
      </c>
      <c r="O111" s="3">
        <v>1.11</v>
      </c>
      <c r="P111" s="3">
        <v>0</v>
      </c>
      <c r="Q111" s="3">
        <v>0</v>
      </c>
      <c r="R111" s="3">
        <v>0</v>
      </c>
    </row>
    <row r="112" spans="1:18">
      <c r="A112" s="3" t="s">
        <v>231</v>
      </c>
      <c r="B112" s="3" t="s">
        <v>232</v>
      </c>
      <c r="C112" s="3" t="s">
        <v>232</v>
      </c>
      <c r="D112" s="3" t="s">
        <v>233</v>
      </c>
      <c r="E112" s="3" t="s">
        <v>159</v>
      </c>
      <c r="F112" s="3">
        <v>42.99</v>
      </c>
      <c r="G112" s="3" t="s">
        <v>411</v>
      </c>
      <c r="H112" s="3"/>
      <c r="I112" s="3" t="s">
        <v>412</v>
      </c>
      <c r="J112" s="3">
        <v>4</v>
      </c>
      <c r="K112" s="3">
        <v>4</v>
      </c>
      <c r="L112" s="3">
        <v>0</v>
      </c>
      <c r="M112" s="3">
        <v>0</v>
      </c>
      <c r="N112" s="3">
        <v>4</v>
      </c>
      <c r="O112" s="3">
        <v>1.11</v>
      </c>
      <c r="P112" s="3">
        <v>0</v>
      </c>
      <c r="Q112" s="3">
        <v>0</v>
      </c>
      <c r="R112" s="3">
        <v>0</v>
      </c>
    </row>
    <row r="113" spans="1:18">
      <c r="A113" s="3" t="s">
        <v>279</v>
      </c>
      <c r="B113" s="3" t="s">
        <v>280</v>
      </c>
      <c r="C113" s="3" t="s">
        <v>280</v>
      </c>
      <c r="D113" s="3" t="s">
        <v>281</v>
      </c>
      <c r="E113" s="3" t="s">
        <v>159</v>
      </c>
      <c r="F113" s="3">
        <v>42.99</v>
      </c>
      <c r="G113" s="3" t="s">
        <v>411</v>
      </c>
      <c r="H113" s="3"/>
      <c r="I113" s="3" t="s">
        <v>412</v>
      </c>
      <c r="J113" s="3">
        <v>1</v>
      </c>
      <c r="K113" s="3">
        <v>1</v>
      </c>
      <c r="L113" s="3">
        <v>0</v>
      </c>
      <c r="M113" s="3">
        <v>0</v>
      </c>
      <c r="N113" s="3">
        <v>1</v>
      </c>
      <c r="O113" s="3">
        <v>1.11</v>
      </c>
      <c r="P113" s="3">
        <v>0</v>
      </c>
      <c r="Q113" s="3">
        <v>0</v>
      </c>
      <c r="R113" s="3">
        <v>0</v>
      </c>
    </row>
    <row r="114" spans="1:18">
      <c r="A114" s="3" t="s">
        <v>248</v>
      </c>
      <c r="B114" s="3" t="s">
        <v>249</v>
      </c>
      <c r="C114" s="3" t="s">
        <v>249</v>
      </c>
      <c r="D114" s="3" t="s">
        <v>250</v>
      </c>
      <c r="E114" s="3" t="s">
        <v>159</v>
      </c>
      <c r="F114" s="3">
        <v>42.99</v>
      </c>
      <c r="G114" s="3" t="s">
        <v>411</v>
      </c>
      <c r="H114" s="3"/>
      <c r="I114" s="3" t="s">
        <v>412</v>
      </c>
      <c r="J114" s="3">
        <v>1</v>
      </c>
      <c r="K114" s="3">
        <v>1</v>
      </c>
      <c r="L114" s="3">
        <v>0</v>
      </c>
      <c r="M114" s="3">
        <v>0</v>
      </c>
      <c r="N114" s="3">
        <v>1</v>
      </c>
      <c r="O114" s="3">
        <v>1.11</v>
      </c>
      <c r="P114" s="3">
        <v>0</v>
      </c>
      <c r="Q114" s="3">
        <v>0</v>
      </c>
      <c r="R114" s="3">
        <v>0</v>
      </c>
    </row>
    <row r="115" spans="1:18">
      <c r="A115" s="3" t="s">
        <v>358</v>
      </c>
      <c r="B115" s="3" t="s">
        <v>359</v>
      </c>
      <c r="C115" s="3" t="s">
        <v>359</v>
      </c>
      <c r="D115" s="3" t="s">
        <v>360</v>
      </c>
      <c r="E115" s="3" t="s">
        <v>159</v>
      </c>
      <c r="F115" s="3">
        <v>42.49</v>
      </c>
      <c r="G115" s="3" t="s">
        <v>411</v>
      </c>
      <c r="H115" s="3"/>
      <c r="I115" s="3" t="s">
        <v>412</v>
      </c>
      <c r="J115" s="3">
        <v>5</v>
      </c>
      <c r="K115" s="3">
        <v>5</v>
      </c>
      <c r="L115" s="3">
        <v>0</v>
      </c>
      <c r="M115" s="3">
        <v>0</v>
      </c>
      <c r="N115" s="3">
        <v>5</v>
      </c>
      <c r="O115" s="3">
        <v>1.01</v>
      </c>
      <c r="P115" s="3">
        <v>0</v>
      </c>
      <c r="Q115" s="3">
        <v>0</v>
      </c>
      <c r="R115" s="3">
        <v>0</v>
      </c>
    </row>
    <row r="116" spans="1:18">
      <c r="A116" s="3" t="s">
        <v>305</v>
      </c>
      <c r="B116" s="3" t="s">
        <v>306</v>
      </c>
      <c r="C116" s="3" t="s">
        <v>306</v>
      </c>
      <c r="D116" s="3" t="s">
        <v>307</v>
      </c>
      <c r="E116" s="3" t="s">
        <v>159</v>
      </c>
      <c r="F116" s="3">
        <v>42.99</v>
      </c>
      <c r="G116" s="3" t="s">
        <v>411</v>
      </c>
      <c r="H116" s="3"/>
      <c r="I116" s="3" t="s">
        <v>412</v>
      </c>
      <c r="J116" s="3">
        <v>8</v>
      </c>
      <c r="K116" s="3">
        <v>8</v>
      </c>
      <c r="L116" s="3">
        <v>0</v>
      </c>
      <c r="M116" s="3">
        <v>0</v>
      </c>
      <c r="N116" s="3">
        <v>8</v>
      </c>
      <c r="O116" s="3">
        <v>1.11</v>
      </c>
      <c r="P116" s="3">
        <v>0</v>
      </c>
      <c r="Q116" s="3">
        <v>0</v>
      </c>
      <c r="R116" s="3">
        <v>0</v>
      </c>
    </row>
    <row r="117" spans="1:18">
      <c r="A117" s="3" t="s">
        <v>292</v>
      </c>
      <c r="B117" s="3" t="s">
        <v>293</v>
      </c>
      <c r="C117" s="3" t="s">
        <v>293</v>
      </c>
      <c r="D117" s="3" t="s">
        <v>294</v>
      </c>
      <c r="E117" s="3" t="s">
        <v>159</v>
      </c>
      <c r="F117" s="3">
        <v>42.99</v>
      </c>
      <c r="G117" s="3" t="s">
        <v>411</v>
      </c>
      <c r="H117" s="3"/>
      <c r="I117" s="3" t="s">
        <v>412</v>
      </c>
      <c r="J117" s="3">
        <v>1</v>
      </c>
      <c r="K117" s="3">
        <v>1</v>
      </c>
      <c r="L117" s="3">
        <v>0</v>
      </c>
      <c r="M117" s="3">
        <v>0</v>
      </c>
      <c r="N117" s="3">
        <v>1</v>
      </c>
      <c r="O117" s="3">
        <v>1.11</v>
      </c>
      <c r="P117" s="3">
        <v>0</v>
      </c>
      <c r="Q117" s="3">
        <v>0</v>
      </c>
      <c r="R117" s="3">
        <v>0</v>
      </c>
    </row>
    <row r="118" spans="1:18">
      <c r="A118" s="3" t="s">
        <v>377</v>
      </c>
      <c r="B118" s="3" t="s">
        <v>378</v>
      </c>
      <c r="C118" s="3" t="s">
        <v>378</v>
      </c>
      <c r="D118" s="3" t="s">
        <v>379</v>
      </c>
      <c r="E118" s="3" t="s">
        <v>159</v>
      </c>
      <c r="F118" s="3">
        <v>42.99</v>
      </c>
      <c r="G118" s="3" t="s">
        <v>411</v>
      </c>
      <c r="H118" s="3"/>
      <c r="I118" s="3" t="s">
        <v>412</v>
      </c>
      <c r="J118" s="3">
        <v>1</v>
      </c>
      <c r="K118" s="3">
        <v>1</v>
      </c>
      <c r="L118" s="3">
        <v>0</v>
      </c>
      <c r="M118" s="3">
        <v>0</v>
      </c>
      <c r="N118" s="3">
        <v>1</v>
      </c>
      <c r="O118" s="3">
        <v>1.11</v>
      </c>
      <c r="P118" s="3">
        <v>0</v>
      </c>
      <c r="Q118" s="3">
        <v>0</v>
      </c>
      <c r="R118" s="3">
        <v>0</v>
      </c>
    </row>
    <row r="119" spans="1:18">
      <c r="A119" s="3" t="s">
        <v>282</v>
      </c>
      <c r="B119" s="3" t="s">
        <v>283</v>
      </c>
      <c r="C119" s="3" t="s">
        <v>283</v>
      </c>
      <c r="D119" s="3" t="s">
        <v>284</v>
      </c>
      <c r="E119" s="3" t="s">
        <v>159</v>
      </c>
      <c r="F119" s="3">
        <v>39.99</v>
      </c>
      <c r="G119" s="3" t="s">
        <v>411</v>
      </c>
      <c r="H119" s="3"/>
      <c r="I119" s="3" t="s">
        <v>412</v>
      </c>
      <c r="J119" s="3">
        <v>11</v>
      </c>
      <c r="K119" s="3">
        <v>11</v>
      </c>
      <c r="L119" s="3">
        <v>0</v>
      </c>
      <c r="M119" s="3">
        <v>0</v>
      </c>
      <c r="N119" s="3">
        <v>11</v>
      </c>
      <c r="O119" s="3">
        <v>0.78</v>
      </c>
      <c r="P119" s="3">
        <v>0</v>
      </c>
      <c r="Q119" s="3">
        <v>0</v>
      </c>
      <c r="R119" s="3">
        <v>0</v>
      </c>
    </row>
    <row r="120" spans="1:18">
      <c r="A120" s="3" t="s">
        <v>275</v>
      </c>
      <c r="B120" s="3" t="s">
        <v>276</v>
      </c>
      <c r="C120" s="3" t="s">
        <v>276</v>
      </c>
      <c r="D120" s="3" t="s">
        <v>277</v>
      </c>
      <c r="E120" s="3" t="s">
        <v>159</v>
      </c>
      <c r="F120" s="3">
        <v>34.39</v>
      </c>
      <c r="G120" s="3" t="s">
        <v>411</v>
      </c>
      <c r="H120" s="3"/>
      <c r="I120" s="3" t="s">
        <v>412</v>
      </c>
      <c r="J120" s="3">
        <v>12</v>
      </c>
      <c r="K120" s="3">
        <v>12</v>
      </c>
      <c r="L120" s="3">
        <v>0</v>
      </c>
      <c r="M120" s="3">
        <v>0</v>
      </c>
      <c r="N120" s="3">
        <v>12</v>
      </c>
      <c r="O120" s="3">
        <v>0.78</v>
      </c>
      <c r="P120" s="3">
        <v>0</v>
      </c>
      <c r="Q120" s="3">
        <v>0</v>
      </c>
      <c r="R120" s="3">
        <v>0</v>
      </c>
    </row>
    <row r="121" spans="1:18">
      <c r="A121" s="3" t="s">
        <v>382</v>
      </c>
      <c r="B121" s="3" t="s">
        <v>383</v>
      </c>
      <c r="C121" s="3" t="s">
        <v>383</v>
      </c>
      <c r="D121" s="3" t="s">
        <v>384</v>
      </c>
      <c r="E121" s="3" t="s">
        <v>159</v>
      </c>
      <c r="F121" s="3">
        <v>34.39</v>
      </c>
      <c r="G121" s="3" t="s">
        <v>411</v>
      </c>
      <c r="H121" s="3"/>
      <c r="I121" s="3" t="s">
        <v>412</v>
      </c>
      <c r="J121" s="3">
        <v>15</v>
      </c>
      <c r="K121" s="3">
        <v>15</v>
      </c>
      <c r="L121" s="3">
        <v>0</v>
      </c>
      <c r="M121" s="3">
        <v>0</v>
      </c>
      <c r="N121" s="3">
        <v>15</v>
      </c>
      <c r="O121" s="3">
        <v>0.78</v>
      </c>
      <c r="P121" s="3">
        <v>0</v>
      </c>
      <c r="Q121" s="3">
        <v>0</v>
      </c>
      <c r="R121" s="3">
        <v>0</v>
      </c>
    </row>
    <row r="122" spans="1:18">
      <c r="A122" s="3" t="s">
        <v>387</v>
      </c>
      <c r="B122" s="3" t="s">
        <v>388</v>
      </c>
      <c r="C122" s="3" t="s">
        <v>388</v>
      </c>
      <c r="D122" s="3" t="s">
        <v>389</v>
      </c>
      <c r="E122" s="3" t="s">
        <v>159</v>
      </c>
      <c r="F122" s="3">
        <v>42.99</v>
      </c>
      <c r="G122" s="3" t="s">
        <v>411</v>
      </c>
      <c r="H122" s="3"/>
      <c r="I122" s="3" t="s">
        <v>412</v>
      </c>
      <c r="J122" s="3">
        <v>15</v>
      </c>
      <c r="K122" s="3">
        <v>15</v>
      </c>
      <c r="L122" s="3">
        <v>0</v>
      </c>
      <c r="M122" s="3">
        <v>0</v>
      </c>
      <c r="N122" s="3">
        <v>15</v>
      </c>
      <c r="O122" s="3">
        <v>0.78</v>
      </c>
      <c r="P122" s="3">
        <v>0</v>
      </c>
      <c r="Q122" s="3">
        <v>0</v>
      </c>
      <c r="R122" s="3">
        <v>0</v>
      </c>
    </row>
    <row r="123" spans="1:18">
      <c r="A123" s="3" t="s">
        <v>114</v>
      </c>
      <c r="B123" s="3" t="s">
        <v>115</v>
      </c>
      <c r="C123" s="3" t="s">
        <v>115</v>
      </c>
      <c r="D123" s="3" t="s">
        <v>116</v>
      </c>
      <c r="E123" s="3" t="s">
        <v>159</v>
      </c>
      <c r="F123" s="3">
        <v>42.99</v>
      </c>
      <c r="G123" s="3" t="s">
        <v>411</v>
      </c>
      <c r="H123" s="3"/>
      <c r="I123" s="3" t="s">
        <v>412</v>
      </c>
      <c r="J123" s="3">
        <v>13</v>
      </c>
      <c r="K123" s="3">
        <v>12</v>
      </c>
      <c r="L123" s="3">
        <v>0</v>
      </c>
      <c r="M123" s="3">
        <v>1</v>
      </c>
      <c r="N123" s="3">
        <v>13</v>
      </c>
      <c r="O123" s="3">
        <v>0.78</v>
      </c>
      <c r="P123" s="3">
        <v>0</v>
      </c>
      <c r="Q123" s="3">
        <v>0</v>
      </c>
      <c r="R123" s="3">
        <v>0</v>
      </c>
    </row>
    <row r="124" spans="1:18">
      <c r="A124" s="3" t="s">
        <v>240</v>
      </c>
      <c r="B124" s="3" t="s">
        <v>241</v>
      </c>
      <c r="C124" s="3" t="s">
        <v>241</v>
      </c>
      <c r="D124" s="3" t="s">
        <v>242</v>
      </c>
      <c r="E124" s="3" t="s">
        <v>159</v>
      </c>
      <c r="F124" s="3">
        <v>34.39</v>
      </c>
      <c r="G124" s="3" t="s">
        <v>411</v>
      </c>
      <c r="H124" s="3"/>
      <c r="I124" s="3" t="s">
        <v>412</v>
      </c>
      <c r="J124" s="3">
        <v>8</v>
      </c>
      <c r="K124" s="3">
        <v>8</v>
      </c>
      <c r="L124" s="3">
        <v>0</v>
      </c>
      <c r="M124" s="3">
        <v>0</v>
      </c>
      <c r="N124" s="3">
        <v>8</v>
      </c>
      <c r="O124" s="3">
        <v>0.78</v>
      </c>
      <c r="P124" s="3">
        <v>0</v>
      </c>
      <c r="Q124" s="3">
        <v>0</v>
      </c>
      <c r="R124" s="3">
        <v>0</v>
      </c>
    </row>
    <row r="125" spans="1:18">
      <c r="A125" s="3" t="s">
        <v>271</v>
      </c>
      <c r="B125" s="3" t="s">
        <v>272</v>
      </c>
      <c r="C125" s="3" t="s">
        <v>272</v>
      </c>
      <c r="D125" s="3" t="s">
        <v>273</v>
      </c>
      <c r="E125" s="3" t="s">
        <v>159</v>
      </c>
      <c r="F125" s="3">
        <v>34.39</v>
      </c>
      <c r="G125" s="3" t="s">
        <v>411</v>
      </c>
      <c r="H125" s="3"/>
      <c r="I125" s="3" t="s">
        <v>412</v>
      </c>
      <c r="J125" s="3">
        <v>6</v>
      </c>
      <c r="K125" s="3">
        <v>6</v>
      </c>
      <c r="L125" s="3">
        <v>0</v>
      </c>
      <c r="M125" s="3">
        <v>0</v>
      </c>
      <c r="N125" s="3">
        <v>6</v>
      </c>
      <c r="O125" s="3">
        <v>0.78</v>
      </c>
      <c r="P125" s="3">
        <v>0</v>
      </c>
      <c r="Q125" s="3">
        <v>0</v>
      </c>
      <c r="R125" s="3">
        <v>0</v>
      </c>
    </row>
    <row r="126" spans="1:18">
      <c r="A126" s="3" t="s">
        <v>187</v>
      </c>
      <c r="B126" s="3" t="s">
        <v>188</v>
      </c>
      <c r="C126" s="3" t="s">
        <v>188</v>
      </c>
      <c r="D126" s="3" t="s">
        <v>189</v>
      </c>
      <c r="E126" s="3" t="s">
        <v>159</v>
      </c>
      <c r="F126" s="3">
        <v>42.99</v>
      </c>
      <c r="G126" s="3" t="s">
        <v>411</v>
      </c>
      <c r="H126" s="3"/>
      <c r="I126" s="3" t="s">
        <v>412</v>
      </c>
      <c r="J126" s="3">
        <v>7</v>
      </c>
      <c r="K126" s="3">
        <v>7</v>
      </c>
      <c r="L126" s="3">
        <v>0</v>
      </c>
      <c r="M126" s="3">
        <v>0</v>
      </c>
      <c r="N126" s="3">
        <v>7</v>
      </c>
      <c r="O126" s="3">
        <v>0.78</v>
      </c>
      <c r="P126" s="3">
        <v>0</v>
      </c>
      <c r="Q126" s="3">
        <v>0</v>
      </c>
      <c r="R126" s="3">
        <v>0</v>
      </c>
    </row>
    <row r="127" spans="1:18">
      <c r="A127" s="3" t="s">
        <v>196</v>
      </c>
      <c r="B127" s="3" t="s">
        <v>197</v>
      </c>
      <c r="C127" s="3" t="s">
        <v>197</v>
      </c>
      <c r="D127" s="3" t="s">
        <v>198</v>
      </c>
      <c r="E127" s="3" t="s">
        <v>159</v>
      </c>
      <c r="F127" s="3">
        <v>34.39</v>
      </c>
      <c r="G127" s="3" t="s">
        <v>411</v>
      </c>
      <c r="H127" s="3"/>
      <c r="I127" s="3" t="s">
        <v>412</v>
      </c>
      <c r="J127" s="3">
        <v>8</v>
      </c>
      <c r="K127" s="3">
        <v>8</v>
      </c>
      <c r="L127" s="3">
        <v>0</v>
      </c>
      <c r="M127" s="3">
        <v>0</v>
      </c>
      <c r="N127" s="3">
        <v>8</v>
      </c>
      <c r="O127" s="3">
        <v>0.78</v>
      </c>
      <c r="P127" s="3">
        <v>0</v>
      </c>
      <c r="Q127" s="3">
        <v>0</v>
      </c>
      <c r="R127" s="3">
        <v>0</v>
      </c>
    </row>
    <row r="128" spans="1:18">
      <c r="A128" s="3" t="s">
        <v>223</v>
      </c>
      <c r="B128" s="3" t="s">
        <v>224</v>
      </c>
      <c r="C128" s="3" t="s">
        <v>224</v>
      </c>
      <c r="D128" s="3" t="s">
        <v>225</v>
      </c>
      <c r="E128" s="3" t="s">
        <v>159</v>
      </c>
      <c r="F128" s="3">
        <v>34.39</v>
      </c>
      <c r="G128" s="3" t="s">
        <v>411</v>
      </c>
      <c r="H128" s="3"/>
      <c r="I128" s="3" t="s">
        <v>412</v>
      </c>
      <c r="J128" s="3">
        <v>6</v>
      </c>
      <c r="K128" s="3">
        <v>6</v>
      </c>
      <c r="L128" s="3">
        <v>0</v>
      </c>
      <c r="M128" s="3">
        <v>0</v>
      </c>
      <c r="N128" s="3">
        <v>6</v>
      </c>
      <c r="O128" s="3">
        <v>0.78</v>
      </c>
      <c r="P128" s="3">
        <v>0</v>
      </c>
      <c r="Q128" s="3">
        <v>0</v>
      </c>
      <c r="R128" s="3">
        <v>0</v>
      </c>
    </row>
    <row r="129" spans="1:18">
      <c r="A129" s="3" t="s">
        <v>171</v>
      </c>
      <c r="B129" s="3" t="s">
        <v>172</v>
      </c>
      <c r="C129" s="3" t="s">
        <v>172</v>
      </c>
      <c r="D129" s="3" t="s">
        <v>173</v>
      </c>
      <c r="E129" s="3" t="s">
        <v>159</v>
      </c>
      <c r="F129" s="3">
        <v>40.04</v>
      </c>
      <c r="G129" s="3" t="s">
        <v>411</v>
      </c>
      <c r="H129" s="3"/>
      <c r="I129" s="3" t="s">
        <v>412</v>
      </c>
      <c r="J129" s="3">
        <v>8</v>
      </c>
      <c r="K129" s="3">
        <v>8</v>
      </c>
      <c r="L129" s="3">
        <v>0</v>
      </c>
      <c r="M129" s="3">
        <v>0</v>
      </c>
      <c r="N129" s="3">
        <v>8</v>
      </c>
      <c r="O129" s="3">
        <v>0.78</v>
      </c>
      <c r="P129" s="3">
        <v>0</v>
      </c>
      <c r="Q129" s="3">
        <v>0</v>
      </c>
      <c r="R129" s="3">
        <v>0</v>
      </c>
    </row>
    <row r="130" spans="1:18">
      <c r="A130" s="3" t="s">
        <v>300</v>
      </c>
      <c r="B130" s="3" t="s">
        <v>301</v>
      </c>
      <c r="C130" s="3" t="s">
        <v>301</v>
      </c>
      <c r="D130" s="3" t="s">
        <v>302</v>
      </c>
      <c r="E130" s="3" t="s">
        <v>159</v>
      </c>
      <c r="F130" s="3">
        <v>42.99</v>
      </c>
      <c r="G130" s="3" t="s">
        <v>411</v>
      </c>
      <c r="H130" s="3"/>
      <c r="I130" s="3" t="s">
        <v>412</v>
      </c>
      <c r="J130" s="3">
        <v>6</v>
      </c>
      <c r="K130" s="3">
        <v>6</v>
      </c>
      <c r="L130" s="3">
        <v>0</v>
      </c>
      <c r="M130" s="3">
        <v>0</v>
      </c>
      <c r="N130" s="3">
        <v>6</v>
      </c>
      <c r="O130" s="3">
        <v>0.78</v>
      </c>
      <c r="P130" s="3">
        <v>0</v>
      </c>
      <c r="Q130" s="3">
        <v>0</v>
      </c>
      <c r="R130" s="3">
        <v>0</v>
      </c>
    </row>
    <row r="131" spans="1:18">
      <c r="A131" s="3" t="s">
        <v>308</v>
      </c>
      <c r="B131" s="3" t="s">
        <v>309</v>
      </c>
      <c r="C131" s="3" t="s">
        <v>309</v>
      </c>
      <c r="D131" s="3" t="s">
        <v>310</v>
      </c>
      <c r="E131" s="3" t="s">
        <v>159</v>
      </c>
      <c r="F131" s="3">
        <v>34.39</v>
      </c>
      <c r="G131" s="3" t="s">
        <v>411</v>
      </c>
      <c r="H131" s="3"/>
      <c r="I131" s="3" t="s">
        <v>412</v>
      </c>
      <c r="J131" s="3">
        <v>8</v>
      </c>
      <c r="K131" s="3">
        <v>8</v>
      </c>
      <c r="L131" s="3">
        <v>0</v>
      </c>
      <c r="M131" s="3">
        <v>0</v>
      </c>
      <c r="N131" s="3">
        <v>8</v>
      </c>
      <c r="O131" s="3">
        <v>0.78</v>
      </c>
      <c r="P131" s="3">
        <v>0</v>
      </c>
      <c r="Q131" s="3">
        <v>0</v>
      </c>
      <c r="R131" s="3">
        <v>0</v>
      </c>
    </row>
    <row r="132" spans="1:18">
      <c r="A132" s="3" t="s">
        <v>257</v>
      </c>
      <c r="B132" s="3" t="s">
        <v>258</v>
      </c>
      <c r="C132" s="3" t="s">
        <v>258</v>
      </c>
      <c r="D132" s="3" t="s">
        <v>259</v>
      </c>
      <c r="E132" s="3" t="s">
        <v>159</v>
      </c>
      <c r="F132" s="3">
        <v>42.99</v>
      </c>
      <c r="G132" s="3" t="s">
        <v>411</v>
      </c>
      <c r="H132" s="3"/>
      <c r="I132" s="3" t="s">
        <v>412</v>
      </c>
      <c r="J132" s="3">
        <v>1</v>
      </c>
      <c r="K132" s="3">
        <v>1</v>
      </c>
      <c r="L132" s="3">
        <v>0</v>
      </c>
      <c r="M132" s="3">
        <v>0</v>
      </c>
      <c r="N132" s="3">
        <v>1</v>
      </c>
      <c r="O132" s="3">
        <v>0.78</v>
      </c>
      <c r="P132" s="3">
        <v>0</v>
      </c>
      <c r="Q132" s="3">
        <v>0</v>
      </c>
      <c r="R132" s="3">
        <v>0</v>
      </c>
    </row>
    <row r="133" spans="1:18">
      <c r="A133" s="3" t="s">
        <v>537</v>
      </c>
      <c r="B133" s="3" t="s">
        <v>538</v>
      </c>
      <c r="C133" s="3" t="s">
        <v>538</v>
      </c>
      <c r="D133" s="3" t="s">
        <v>539</v>
      </c>
      <c r="E133" s="3" t="s">
        <v>159</v>
      </c>
      <c r="F133" s="3">
        <v>42.99</v>
      </c>
      <c r="G133" s="3" t="s">
        <v>411</v>
      </c>
      <c r="H133" s="3"/>
      <c r="I133" s="3" t="s">
        <v>412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0.78</v>
      </c>
      <c r="P133" s="3">
        <v>0</v>
      </c>
      <c r="Q133" s="3">
        <v>0</v>
      </c>
      <c r="R133" s="3">
        <v>0</v>
      </c>
    </row>
    <row r="134" spans="1:18">
      <c r="A134" s="3" t="s">
        <v>540</v>
      </c>
      <c r="B134" s="3" t="s">
        <v>424</v>
      </c>
      <c r="C134" s="3" t="s">
        <v>424</v>
      </c>
      <c r="D134" s="3"/>
      <c r="E134" s="3" t="s">
        <v>410</v>
      </c>
      <c r="F134" s="3"/>
      <c r="G134" s="3"/>
      <c r="H134" s="3"/>
      <c r="I134" s="3"/>
      <c r="J134" s="3">
        <v>1</v>
      </c>
      <c r="K134" s="3">
        <v>0</v>
      </c>
      <c r="L134" s="3">
        <v>1</v>
      </c>
      <c r="M134" s="3">
        <v>0</v>
      </c>
      <c r="N134" s="3">
        <v>1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541</v>
      </c>
      <c r="B135" s="3" t="s">
        <v>542</v>
      </c>
      <c r="C135" s="3" t="s">
        <v>509</v>
      </c>
      <c r="D135" s="3"/>
      <c r="E135" s="3" t="s">
        <v>410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543</v>
      </c>
      <c r="B136" s="3" t="s">
        <v>424</v>
      </c>
      <c r="C136" s="3" t="s">
        <v>424</v>
      </c>
      <c r="D136" s="3"/>
      <c r="E136" s="3" t="s">
        <v>410</v>
      </c>
      <c r="F136" s="3"/>
      <c r="G136" s="3"/>
      <c r="H136" s="3"/>
      <c r="I136" s="3"/>
      <c r="J136" s="3">
        <v>1</v>
      </c>
      <c r="K136" s="3">
        <v>0</v>
      </c>
      <c r="L136" s="3">
        <v>1</v>
      </c>
      <c r="M136" s="3">
        <v>0</v>
      </c>
      <c r="N136" s="3">
        <v>1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110</v>
      </c>
      <c r="B137" s="3" t="s">
        <v>111</v>
      </c>
      <c r="C137" s="3" t="s">
        <v>112</v>
      </c>
      <c r="D137" s="3" t="s">
        <v>113</v>
      </c>
      <c r="E137" s="3" t="s">
        <v>159</v>
      </c>
      <c r="F137" s="3">
        <v>52.4</v>
      </c>
      <c r="G137" s="3" t="s">
        <v>411</v>
      </c>
      <c r="H137" s="3"/>
      <c r="I137" s="3" t="s">
        <v>412</v>
      </c>
      <c r="J137" s="3">
        <v>113</v>
      </c>
      <c r="K137" s="3">
        <v>87</v>
      </c>
      <c r="L137" s="3">
        <v>11</v>
      </c>
      <c r="M137" s="3">
        <v>15</v>
      </c>
      <c r="N137" s="3">
        <v>113</v>
      </c>
      <c r="O137" s="3">
        <v>0.03</v>
      </c>
      <c r="P137" s="3">
        <v>0</v>
      </c>
      <c r="Q137" s="3">
        <v>0</v>
      </c>
      <c r="R137" s="3">
        <v>0</v>
      </c>
    </row>
    <row r="138" spans="1:18">
      <c r="A138" s="3" t="s">
        <v>106</v>
      </c>
      <c r="B138" s="3" t="s">
        <v>107</v>
      </c>
      <c r="C138" s="3" t="s">
        <v>108</v>
      </c>
      <c r="D138" s="3" t="s">
        <v>109</v>
      </c>
      <c r="E138" s="3" t="s">
        <v>159</v>
      </c>
      <c r="F138" s="3">
        <v>44.99</v>
      </c>
      <c r="G138" s="3" t="s">
        <v>412</v>
      </c>
      <c r="H138" s="3">
        <v>18</v>
      </c>
      <c r="I138" s="3" t="s">
        <v>411</v>
      </c>
      <c r="J138" s="3">
        <v>60</v>
      </c>
      <c r="K138" s="3">
        <v>0</v>
      </c>
      <c r="L138" s="3">
        <v>0</v>
      </c>
      <c r="M138" s="3">
        <v>60</v>
      </c>
      <c r="N138" s="3">
        <v>60</v>
      </c>
      <c r="O138" s="3">
        <v>0.02</v>
      </c>
      <c r="P138" s="3">
        <v>0</v>
      </c>
      <c r="Q138" s="3">
        <v>0</v>
      </c>
      <c r="R138" s="3">
        <v>0</v>
      </c>
    </row>
    <row r="139" spans="1:18">
      <c r="A139" s="3" t="s">
        <v>121</v>
      </c>
      <c r="B139" s="3" t="s">
        <v>122</v>
      </c>
      <c r="C139" s="3" t="s">
        <v>123</v>
      </c>
      <c r="D139" s="3" t="s">
        <v>124</v>
      </c>
      <c r="E139" s="3" t="s">
        <v>159</v>
      </c>
      <c r="F139" s="3">
        <v>11.99</v>
      </c>
      <c r="G139" s="3" t="s">
        <v>411</v>
      </c>
      <c r="H139" s="3"/>
      <c r="I139" s="3" t="s">
        <v>412</v>
      </c>
      <c r="J139" s="3">
        <v>7</v>
      </c>
      <c r="K139" s="3">
        <v>6</v>
      </c>
      <c r="L139" s="3">
        <v>0</v>
      </c>
      <c r="M139" s="3">
        <v>1</v>
      </c>
      <c r="N139" s="3">
        <v>7</v>
      </c>
      <c r="O139" s="3">
        <v>0</v>
      </c>
      <c r="P139" s="3">
        <v>0</v>
      </c>
      <c r="Q139" s="3">
        <v>0</v>
      </c>
      <c r="R139" s="3">
        <v>0</v>
      </c>
    </row>
    <row r="140" spans="1:18">
      <c r="A140" s="3" t="s">
        <v>349</v>
      </c>
      <c r="B140" s="3" t="s">
        <v>350</v>
      </c>
      <c r="C140" s="3" t="s">
        <v>351</v>
      </c>
      <c r="D140" s="3" t="s">
        <v>352</v>
      </c>
      <c r="E140" s="3" t="s">
        <v>159</v>
      </c>
      <c r="F140" s="3">
        <v>28.99</v>
      </c>
      <c r="G140" s="3" t="s">
        <v>411</v>
      </c>
      <c r="H140" s="3"/>
      <c r="I140" s="3" t="s">
        <v>412</v>
      </c>
      <c r="J140" s="3">
        <v>130</v>
      </c>
      <c r="K140" s="3">
        <v>130</v>
      </c>
      <c r="L140" s="3">
        <v>0</v>
      </c>
      <c r="M140" s="3">
        <v>0</v>
      </c>
      <c r="N140" s="3">
        <v>130</v>
      </c>
      <c r="O140" s="3">
        <v>0.01</v>
      </c>
      <c r="P140" s="3">
        <v>0</v>
      </c>
      <c r="Q140" s="3">
        <v>0</v>
      </c>
      <c r="R140" s="3">
        <v>0</v>
      </c>
    </row>
    <row r="141" spans="1:18">
      <c r="A141" s="3" t="s">
        <v>252</v>
      </c>
      <c r="B141" s="3" t="s">
        <v>253</v>
      </c>
      <c r="C141" s="3" t="s">
        <v>254</v>
      </c>
      <c r="D141" s="3" t="s">
        <v>255</v>
      </c>
      <c r="E141" s="3" t="s">
        <v>159</v>
      </c>
      <c r="F141" s="3">
        <v>28.99</v>
      </c>
      <c r="G141" s="3" t="s">
        <v>411</v>
      </c>
      <c r="H141" s="3"/>
      <c r="I141" s="3" t="s">
        <v>412</v>
      </c>
      <c r="J141" s="3">
        <v>58</v>
      </c>
      <c r="K141" s="3">
        <v>58</v>
      </c>
      <c r="L141" s="3">
        <v>0</v>
      </c>
      <c r="M141" s="3">
        <v>0</v>
      </c>
      <c r="N141" s="3">
        <v>58</v>
      </c>
      <c r="O141" s="3">
        <v>0.04</v>
      </c>
      <c r="P141" s="3">
        <v>0</v>
      </c>
      <c r="Q141" s="3">
        <v>0</v>
      </c>
      <c r="R141" s="3">
        <v>0</v>
      </c>
    </row>
    <row r="142" spans="1:18">
      <c r="A142" s="3" t="s">
        <v>100</v>
      </c>
      <c r="B142" s="3" t="s">
        <v>101</v>
      </c>
      <c r="C142" s="3" t="s">
        <v>30</v>
      </c>
      <c r="D142" s="3" t="s">
        <v>31</v>
      </c>
      <c r="E142" s="3" t="s">
        <v>159</v>
      </c>
      <c r="F142" s="3">
        <v>15.61</v>
      </c>
      <c r="G142" s="3" t="s">
        <v>411</v>
      </c>
      <c r="H142" s="3"/>
      <c r="I142" s="3" t="s">
        <v>412</v>
      </c>
      <c r="J142" s="3">
        <v>150</v>
      </c>
      <c r="K142" s="3">
        <v>149</v>
      </c>
      <c r="L142" s="3">
        <v>0</v>
      </c>
      <c r="M142" s="3">
        <v>1</v>
      </c>
      <c r="N142" s="3">
        <v>150</v>
      </c>
      <c r="O142" s="3">
        <v>0</v>
      </c>
      <c r="P142" s="3">
        <v>0</v>
      </c>
      <c r="Q142" s="3">
        <v>0</v>
      </c>
      <c r="R142" s="3">
        <v>0</v>
      </c>
    </row>
    <row r="143" spans="1:18">
      <c r="A143" s="3" t="s">
        <v>544</v>
      </c>
      <c r="B143" s="3" t="s">
        <v>545</v>
      </c>
      <c r="C143" s="3" t="s">
        <v>487</v>
      </c>
      <c r="D143" s="3"/>
      <c r="E143" s="3" t="s">
        <v>410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102</v>
      </c>
      <c r="B144" s="3" t="s">
        <v>103</v>
      </c>
      <c r="C144" s="3" t="s">
        <v>104</v>
      </c>
      <c r="D144" s="3" t="s">
        <v>105</v>
      </c>
      <c r="E144" s="3" t="s">
        <v>159</v>
      </c>
      <c r="F144" s="3">
        <v>28.99</v>
      </c>
      <c r="G144" s="3" t="s">
        <v>411</v>
      </c>
      <c r="H144" s="3"/>
      <c r="I144" s="3" t="s">
        <v>412</v>
      </c>
      <c r="J144" s="3">
        <v>7</v>
      </c>
      <c r="K144" s="3">
        <v>0</v>
      </c>
      <c r="L144" s="3">
        <v>0</v>
      </c>
      <c r="M144" s="3">
        <v>7</v>
      </c>
      <c r="N144" s="3">
        <v>7</v>
      </c>
      <c r="O144" s="3">
        <v>0.02</v>
      </c>
      <c r="P144" s="3">
        <v>0</v>
      </c>
      <c r="Q144" s="3">
        <v>0</v>
      </c>
      <c r="R144" s="3">
        <v>0</v>
      </c>
    </row>
    <row r="145" spans="1:18">
      <c r="A145" s="3" t="s">
        <v>546</v>
      </c>
      <c r="B145" s="3" t="s">
        <v>424</v>
      </c>
      <c r="C145" s="3" t="s">
        <v>424</v>
      </c>
      <c r="D145" s="3"/>
      <c r="E145" s="3" t="s">
        <v>410</v>
      </c>
      <c r="F145" s="3"/>
      <c r="G145" s="3"/>
      <c r="H145" s="3"/>
      <c r="I145" s="3"/>
      <c r="J145" s="3">
        <v>1</v>
      </c>
      <c r="K145" s="3">
        <v>0</v>
      </c>
      <c r="L145" s="3">
        <v>1</v>
      </c>
      <c r="M145" s="3">
        <v>0</v>
      </c>
      <c r="N145" s="3">
        <v>1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547</v>
      </c>
      <c r="B146" s="3" t="s">
        <v>548</v>
      </c>
      <c r="C146" s="3" t="s">
        <v>487</v>
      </c>
      <c r="D146" s="3"/>
      <c r="E146" s="3" t="s">
        <v>410</v>
      </c>
      <c r="F146" s="3"/>
      <c r="G146" s="3"/>
      <c r="H146" s="3"/>
      <c r="I146" s="3"/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549</v>
      </c>
      <c r="B147" s="3" t="s">
        <v>550</v>
      </c>
      <c r="C147" s="3" t="s">
        <v>54</v>
      </c>
      <c r="D147" s="3"/>
      <c r="E147" s="3" t="s">
        <v>410</v>
      </c>
      <c r="F147" s="3"/>
      <c r="G147" s="3"/>
      <c r="H147" s="3"/>
      <c r="I147" s="3"/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551</v>
      </c>
      <c r="B148" s="3" t="s">
        <v>552</v>
      </c>
      <c r="C148" s="3" t="s">
        <v>513</v>
      </c>
      <c r="D148" s="3"/>
      <c r="E148" s="3" t="s">
        <v>410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117</v>
      </c>
      <c r="B149" s="3" t="s">
        <v>118</v>
      </c>
      <c r="C149" s="3" t="s">
        <v>119</v>
      </c>
      <c r="D149" s="3" t="s">
        <v>120</v>
      </c>
      <c r="E149" s="3" t="s">
        <v>159</v>
      </c>
      <c r="F149" s="3">
        <v>38.39</v>
      </c>
      <c r="G149" s="3" t="s">
        <v>411</v>
      </c>
      <c r="H149" s="3"/>
      <c r="I149" s="3" t="s">
        <v>412</v>
      </c>
      <c r="J149" s="3">
        <v>15</v>
      </c>
      <c r="K149" s="3">
        <v>12</v>
      </c>
      <c r="L149" s="3">
        <v>0</v>
      </c>
      <c r="M149" s="3">
        <v>3</v>
      </c>
      <c r="N149" s="3">
        <v>15</v>
      </c>
      <c r="O149" s="3">
        <v>0.02</v>
      </c>
      <c r="P149" s="3">
        <v>0</v>
      </c>
      <c r="Q149" s="3">
        <v>0</v>
      </c>
      <c r="R149" s="3">
        <v>0</v>
      </c>
    </row>
    <row r="150" spans="1:18">
      <c r="A150" s="3" t="s">
        <v>553</v>
      </c>
      <c r="B150" s="3" t="s">
        <v>554</v>
      </c>
      <c r="C150" s="3" t="s">
        <v>421</v>
      </c>
      <c r="D150" s="3"/>
      <c r="E150" s="3" t="s">
        <v>410</v>
      </c>
      <c r="F150" s="3"/>
      <c r="G150" s="3"/>
      <c r="H150" s="3"/>
      <c r="I150" s="3"/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555</v>
      </c>
      <c r="B151" s="3" t="s">
        <v>556</v>
      </c>
      <c r="C151" s="3" t="s">
        <v>18</v>
      </c>
      <c r="D151" s="3"/>
      <c r="E151" s="3" t="s">
        <v>410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</row>
    <row r="153" spans="1:18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</row>
    <row r="154" spans="1:18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</row>
    <row r="155" spans="1:18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</row>
    <row r="156" spans="1:18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</row>
    <row r="157" spans="1:18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</row>
    <row r="158" spans="1:18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</row>
    <row r="159" spans="1:18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1:18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258"/>
  <sheetViews>
    <sheetView tabSelected="1" workbookViewId="0">
      <selection activeCell="B3" sqref="B3:N152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557</v>
      </c>
      <c r="C1" t="s">
        <v>558</v>
      </c>
      <c r="D1" t="s">
        <v>559</v>
      </c>
      <c r="E1" t="s">
        <v>560</v>
      </c>
      <c r="F1" t="s">
        <v>561</v>
      </c>
      <c r="G1" t="s">
        <v>6</v>
      </c>
      <c r="H1" s="2" t="s">
        <v>7</v>
      </c>
      <c r="I1" t="s">
        <v>5</v>
      </c>
      <c r="J1" t="s">
        <v>130</v>
      </c>
      <c r="K1" t="s">
        <v>131</v>
      </c>
      <c r="L1" t="s">
        <v>132</v>
      </c>
      <c r="M1" t="s">
        <v>133</v>
      </c>
      <c r="N1" t="s">
        <v>562</v>
      </c>
    </row>
    <row r="2" s="1" customFormat="1" spans="1:14">
      <c r="A2" s="1" t="s">
        <v>563</v>
      </c>
      <c r="B2" s="1">
        <f t="shared" ref="B2:N2" si="0">SUM(B3:B2185)</f>
        <v>2892</v>
      </c>
      <c r="C2" s="1">
        <f t="shared" si="0"/>
        <v>81</v>
      </c>
      <c r="D2" s="1">
        <f t="shared" si="0"/>
        <v>0</v>
      </c>
      <c r="E2" s="1">
        <f t="shared" si="0"/>
        <v>145</v>
      </c>
      <c r="F2" s="1">
        <f t="shared" si="0"/>
        <v>145</v>
      </c>
      <c r="G2" s="1">
        <f t="shared" si="0"/>
        <v>175</v>
      </c>
      <c r="H2" s="1">
        <f t="shared" si="0"/>
        <v>131</v>
      </c>
      <c r="I2" s="1">
        <f t="shared" si="0"/>
        <v>18</v>
      </c>
      <c r="J2" s="1">
        <f t="shared" si="0"/>
        <v>642</v>
      </c>
      <c r="K2" s="1">
        <f t="shared" si="0"/>
        <v>761</v>
      </c>
      <c r="L2" s="1">
        <f t="shared" si="0"/>
        <v>643</v>
      </c>
      <c r="M2" s="1">
        <f t="shared" si="0"/>
        <v>51</v>
      </c>
      <c r="N2" s="1">
        <f t="shared" si="0"/>
        <v>2097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9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36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1</v>
      </c>
      <c r="F4">
        <f t="shared" si="1"/>
        <v>1</v>
      </c>
      <c r="G4">
        <f>IFERROR(VLOOKUP(A4,预留库存!A:G,7,0),0)</f>
        <v>28</v>
      </c>
      <c r="H4">
        <f>IFERROR(VLOOKUP(A4,预留库存!A:H,8,0),0)</f>
        <v>4</v>
      </c>
      <c r="I4">
        <f>IFERROR(VLOOKUP(A4,预留库存!A:F,6,0),0)</f>
        <v>3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67</v>
      </c>
      <c r="C5">
        <f>IFERROR(VLOOKUP(A5,管理亚马逊库存!A:L,12,0),"")</f>
        <v>2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10</v>
      </c>
      <c r="I5">
        <f>IFERROR(VLOOKUP(A5,预留库存!A:F,6,0),0)</f>
        <v>0</v>
      </c>
      <c r="J5">
        <f>IFERROR(VLOOKUP(A5,库龄!B:K,9,0),0)</f>
        <v>70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70</v>
      </c>
    </row>
    <row r="6" spans="1:14">
      <c r="A6" s="3" t="s">
        <v>20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1</v>
      </c>
      <c r="L6">
        <f>IFERROR(VLOOKUP(A6,库龄!B:M,11,0),0)</f>
        <v>0</v>
      </c>
      <c r="M6">
        <f>IFERROR(VLOOKUP(A6,库龄!B:N,12,0),0)</f>
        <v>2</v>
      </c>
      <c r="N6">
        <f t="shared" si="2"/>
        <v>3</v>
      </c>
    </row>
    <row r="7" spans="1:14">
      <c r="A7" s="3" t="s">
        <v>24</v>
      </c>
      <c r="B7">
        <f>IFERROR(VLOOKUP(A7,管理亚马逊库存!A:K,11,0),"")</f>
        <v>13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1</v>
      </c>
      <c r="K7">
        <f>IFERROR(VLOOKUP(A7,库龄!B:L,10,0),0)</f>
        <v>2</v>
      </c>
      <c r="L7">
        <f>IFERROR(VLOOKUP(A7,库龄!B:M,11,0),0)</f>
        <v>1</v>
      </c>
      <c r="M7">
        <f>IFERROR(VLOOKUP(A7,库龄!B:N,12,0),0)</f>
        <v>11</v>
      </c>
      <c r="N7">
        <f t="shared" si="2"/>
        <v>15</v>
      </c>
    </row>
    <row r="8" spans="1:14">
      <c r="A8" s="3" t="s">
        <v>28</v>
      </c>
      <c r="B8">
        <f>IFERROR(VLOOKUP(A8,管理亚马逊库存!A:K,11,0),"")</f>
        <v>35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1</v>
      </c>
      <c r="K8">
        <f>IFERROR(VLOOKUP(A8,库龄!B:L,10,0),0)</f>
        <v>0</v>
      </c>
      <c r="L8">
        <f>IFERROR(VLOOKUP(A8,库龄!B:M,11,0),0)</f>
        <v>1</v>
      </c>
      <c r="M8">
        <f>IFERROR(VLOOKUP(A8,库龄!B:N,12,0),0)</f>
        <v>38</v>
      </c>
      <c r="N8">
        <f t="shared" si="2"/>
        <v>40</v>
      </c>
    </row>
    <row r="9" spans="1:14">
      <c r="A9" s="3" t="s">
        <v>32</v>
      </c>
      <c r="B9">
        <f>IFERROR(VLOOKUP(A9,管理亚马逊库存!A:K,11,0),"")</f>
        <v>59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1</v>
      </c>
      <c r="L9">
        <f>IFERROR(VLOOKUP(A9,库龄!B:M,11,0),0)</f>
        <v>59</v>
      </c>
      <c r="M9">
        <f>IFERROR(VLOOKUP(A9,库龄!B:N,12,0),0)</f>
        <v>0</v>
      </c>
      <c r="N9">
        <f t="shared" si="2"/>
        <v>60</v>
      </c>
    </row>
    <row r="10" spans="1:14">
      <c r="A10" s="3" t="s">
        <v>36</v>
      </c>
      <c r="B10">
        <f>IFERROR(VLOOKUP(A10,管理亚马逊库存!A:K,11,0),"")</f>
        <v>0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2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51</v>
      </c>
      <c r="C11">
        <f>IFERROR(VLOOKUP(A11,管理亚马逊库存!A:L,12,0),"")</f>
        <v>1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1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IFERROR(VLOOKUP(A11,库龄!B:K,9,0),0)</f>
        <v>1</v>
      </c>
      <c r="K11">
        <f>IFERROR(VLOOKUP(A11,库龄!B:L,10,0),0)</f>
        <v>51</v>
      </c>
      <c r="L11">
        <f>IFERROR(VLOOKUP(A11,库龄!B:M,11,0),0)</f>
        <v>0</v>
      </c>
      <c r="M11">
        <f>IFERROR(VLOOKUP(A11,库龄!B:N,12,0),0)</f>
        <v>0</v>
      </c>
      <c r="N11">
        <f t="shared" si="2"/>
        <v>52</v>
      </c>
    </row>
    <row r="12" spans="1:14">
      <c r="A12" s="3" t="s">
        <v>44</v>
      </c>
      <c r="B12">
        <f>IFERROR(VLOOKUP(A12,管理亚马逊库存!A:K,11,0),"")</f>
        <v>70</v>
      </c>
      <c r="C12">
        <f>IFERROR(VLOOKUP(A12,管理亚马逊库存!A:L,12,0),"")</f>
        <v>1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2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22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39</v>
      </c>
      <c r="H13">
        <f>IFERROR(VLOOKUP(A13,预留库存!A:H,8,0),0)</f>
        <v>6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0</v>
      </c>
      <c r="C14">
        <f>IFERROR(VLOOKUP(A14,管理亚马逊库存!A:L,12,0),"")</f>
        <v>1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2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26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14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85</v>
      </c>
      <c r="C16">
        <f>IFERROR(VLOOKUP(A16,管理亚马逊库存!A:L,12,0),"")</f>
        <v>1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161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1</v>
      </c>
      <c r="J17">
        <f>IFERROR(VLOOKUP(A17,库龄!B:K,9,0),0)</f>
        <v>2</v>
      </c>
      <c r="K17">
        <f>IFERROR(VLOOKUP(A17,库龄!B:L,10,0),0)</f>
        <v>34</v>
      </c>
      <c r="L17">
        <f>IFERROR(VLOOKUP(A17,库龄!B:M,11,0),0)</f>
        <v>113</v>
      </c>
      <c r="M17">
        <f>IFERROR(VLOOKUP(A17,库龄!B:N,12,0),0)</f>
        <v>0</v>
      </c>
      <c r="N17">
        <f t="shared" si="2"/>
        <v>149</v>
      </c>
    </row>
    <row r="18" spans="1:14">
      <c r="A18" s="3" t="s">
        <v>68</v>
      </c>
      <c r="B18">
        <f>IFERROR(VLOOKUP(A18,管理亚马逊库存!A:K,11,0),"")</f>
        <v>51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108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2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109</v>
      </c>
      <c r="M19">
        <f>IFERROR(VLOOKUP(A19,库龄!B:N,12,0),0)</f>
        <v>0</v>
      </c>
      <c r="N19">
        <f t="shared" si="2"/>
        <v>109</v>
      </c>
    </row>
    <row r="20" spans="1:14">
      <c r="A20" s="3" t="s">
        <v>74</v>
      </c>
      <c r="B20">
        <f>IFERROR(VLOOKUP(A20,管理亚马逊库存!A:K,11,0),"")</f>
        <v>34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15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78</v>
      </c>
      <c r="B21">
        <f>IFERROR(VLOOKUP(A21,管理亚马逊库存!A:K,11,0),"")</f>
        <v>8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16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82</v>
      </c>
      <c r="B22">
        <f>IFERROR(VLOOKUP(A22,管理亚马逊库存!A:K,11,0),"")</f>
        <v>51</v>
      </c>
      <c r="C22">
        <f>IFERROR(VLOOKUP(A22,管理亚马逊库存!A:L,12,0),"")</f>
        <v>1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3</v>
      </c>
      <c r="I22">
        <f>IFERROR(VLOOKUP(A22,预留库存!A:F,6,0),0)</f>
        <v>5</v>
      </c>
      <c r="J22">
        <f>IFERROR(VLOOKUP(A22,库龄!B:K,9,0),0)</f>
        <v>1</v>
      </c>
      <c r="K22">
        <f>IFERROR(VLOOKUP(A22,库龄!B:L,10,0),0)</f>
        <v>23</v>
      </c>
      <c r="L22">
        <f>IFERROR(VLOOKUP(A22,库龄!B:M,11,0),0)</f>
        <v>32</v>
      </c>
      <c r="M22">
        <f>IFERROR(VLOOKUP(A22,库龄!B:N,12,0),0)</f>
        <v>0</v>
      </c>
      <c r="N22">
        <f t="shared" si="2"/>
        <v>56</v>
      </c>
    </row>
    <row r="23" spans="1:14">
      <c r="A23" s="3" t="s">
        <v>86</v>
      </c>
      <c r="B23">
        <f>IFERROR(VLOOKUP(A23,管理亚马逊库存!A:K,11,0),"")</f>
        <v>23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32</v>
      </c>
      <c r="H23">
        <f>IFERROR(VLOOKUP(A23,预留库存!A:H,8,0),0)</f>
        <v>2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90</v>
      </c>
      <c r="B24">
        <f>IFERROR(VLOOKUP(A24,管理亚马逊库存!A:K,11,0),"")</f>
        <v>30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15</v>
      </c>
      <c r="H24">
        <f>IFERROR(VLOOKUP(A24,预留库存!A:H,8,0),0)</f>
        <v>2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94</v>
      </c>
      <c r="B25">
        <f>IFERROR(VLOOKUP(A25,管理亚马逊库存!A:K,11,0),"")</f>
        <v>102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8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96</v>
      </c>
      <c r="B26">
        <f>IFERROR(VLOOKUP(A26,管理亚马逊库存!A:K,11,0),"")</f>
        <v>30</v>
      </c>
      <c r="C26">
        <f>IFERROR(VLOOKUP(A26,管理亚马逊库存!A:L,12,0),"")</f>
        <v>2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1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3</v>
      </c>
      <c r="K26">
        <f>IFERROR(VLOOKUP(A26,库龄!B:L,10,0),0)</f>
        <v>2</v>
      </c>
      <c r="L26">
        <f>IFERROR(VLOOKUP(A26,库龄!B:M,11,0),0)</f>
        <v>26</v>
      </c>
      <c r="M26">
        <f>IFERROR(VLOOKUP(A26,库龄!B:N,12,0),0)</f>
        <v>0</v>
      </c>
      <c r="N26">
        <f t="shared" si="2"/>
        <v>31</v>
      </c>
    </row>
    <row r="27" spans="1:14">
      <c r="A27" s="3" t="s">
        <v>100</v>
      </c>
      <c r="B27">
        <f>IFERROR(VLOOKUP(A27,管理亚马逊库存!A:K,11,0),"")</f>
        <v>149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3</v>
      </c>
      <c r="K27">
        <f>IFERROR(VLOOKUP(A27,库龄!B:L,10,0),0)</f>
        <v>147</v>
      </c>
      <c r="L27">
        <f>IFERROR(VLOOKUP(A27,库龄!B:M,11,0),0)</f>
        <v>0</v>
      </c>
      <c r="M27">
        <f>IFERROR(VLOOKUP(A27,库龄!B:N,12,0),0)</f>
        <v>0</v>
      </c>
      <c r="N27">
        <f t="shared" si="2"/>
        <v>150</v>
      </c>
    </row>
    <row r="28" spans="1:14">
      <c r="A28" s="3" t="s">
        <v>102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7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106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60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110</v>
      </c>
      <c r="B30">
        <f>IFERROR(VLOOKUP(A30,管理亚马逊库存!A:K,11,0),"")</f>
        <v>87</v>
      </c>
      <c r="C30">
        <f>IFERROR(VLOOKUP(A30,管理亚马逊库存!A:L,12,0),"")</f>
        <v>11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15</v>
      </c>
      <c r="I30">
        <f>IFERROR(VLOOKUP(A30,预留库存!A:F,6,0),0)</f>
        <v>0</v>
      </c>
      <c r="J30">
        <f>IFERROR(VLOOKUP(A30,库龄!B:K,9,0),0)</f>
        <v>2</v>
      </c>
      <c r="K30">
        <f>IFERROR(VLOOKUP(A30,库龄!B:L,10,0),0)</f>
        <v>2</v>
      </c>
      <c r="L30">
        <f>IFERROR(VLOOKUP(A30,库龄!B:M,11,0),0)</f>
        <v>82</v>
      </c>
      <c r="M30">
        <f>IFERROR(VLOOKUP(A30,库龄!B:N,12,0),0)</f>
        <v>0</v>
      </c>
      <c r="N30">
        <f t="shared" si="2"/>
        <v>86</v>
      </c>
    </row>
    <row r="31" spans="1:14">
      <c r="A31" s="3" t="s">
        <v>114</v>
      </c>
      <c r="B31">
        <f>IFERROR(VLOOKUP(A31,管理亚马逊库存!A:K,11,0),"")</f>
        <v>12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10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10</v>
      </c>
    </row>
    <row r="32" spans="1:14">
      <c r="A32" s="3" t="s">
        <v>117</v>
      </c>
      <c r="B32">
        <f>IFERROR(VLOOKUP(A32,管理亚马逊库存!A:K,11,0),"")</f>
        <v>12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1</v>
      </c>
      <c r="H32">
        <f>IFERROR(VLOOKUP(A32,预留库存!A:H,8,0),0)</f>
        <v>1</v>
      </c>
      <c r="I32">
        <f>IFERROR(VLOOKUP(A32,预留库存!A:F,6,0),0)</f>
        <v>1</v>
      </c>
      <c r="J32">
        <f>IFERROR(VLOOKUP(A32,库龄!B:K,9,0),0)</f>
        <v>1</v>
      </c>
      <c r="K32">
        <f>IFERROR(VLOOKUP(A32,库龄!B:L,10,0),0)</f>
        <v>2</v>
      </c>
      <c r="L32">
        <f>IFERROR(VLOOKUP(A32,库龄!B:M,11,0),0)</f>
        <v>10</v>
      </c>
      <c r="M32">
        <f>IFERROR(VLOOKUP(A32,库龄!B:N,12,0),0)</f>
        <v>0</v>
      </c>
      <c r="N32">
        <f t="shared" si="2"/>
        <v>13</v>
      </c>
    </row>
    <row r="33" spans="1:14">
      <c r="A33" s="3" t="s">
        <v>121</v>
      </c>
      <c r="B33">
        <f>IFERROR(VLOOKUP(A33,管理亚马逊库存!A:K,11,0),"")</f>
        <v>6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3</v>
      </c>
      <c r="K33">
        <f>IFERROR(VLOOKUP(A33,库龄!B:L,10,0),0)</f>
        <v>0</v>
      </c>
      <c r="L33">
        <f>IFERROR(VLOOKUP(A33,库龄!B:M,11,0),0)</f>
        <v>3</v>
      </c>
      <c r="M33">
        <f>IFERROR(VLOOKUP(A33,库龄!B:N,12,0),0)</f>
        <v>0</v>
      </c>
      <c r="N33">
        <f t="shared" si="2"/>
        <v>6</v>
      </c>
    </row>
    <row r="34" spans="1:14">
      <c r="A34" s="3" t="s">
        <v>157</v>
      </c>
      <c r="B34">
        <f>IFERROR(VLOOKUP(A34,管理亚马逊库存!A:K,11,0),"")</f>
        <v>111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1</v>
      </c>
      <c r="K34">
        <f>IFERROR(VLOOKUP(A34,库龄!B:L,10,0),0)</f>
        <v>109</v>
      </c>
      <c r="L34">
        <f>IFERROR(VLOOKUP(A34,库龄!B:M,11,0),0)</f>
        <v>0</v>
      </c>
      <c r="M34">
        <f>IFERROR(VLOOKUP(A34,库龄!B:N,12,0),0)</f>
        <v>0</v>
      </c>
      <c r="N34">
        <f t="shared" si="2"/>
        <v>110</v>
      </c>
    </row>
    <row r="35" spans="1:14">
      <c r="A35" s="3" t="s">
        <v>166</v>
      </c>
      <c r="B35">
        <f>IFERROR(VLOOKUP(A35,管理亚马逊库存!A:K,11,0),"")</f>
        <v>36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37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37</v>
      </c>
    </row>
    <row r="36" spans="1:14">
      <c r="A36" s="3" t="s">
        <v>171</v>
      </c>
      <c r="B36">
        <f>IFERROR(VLOOKUP(A36,管理亚马逊库存!A:K,11,0),"")</f>
        <v>8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7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7</v>
      </c>
    </row>
    <row r="37" spans="1:14">
      <c r="A37" s="3" t="s">
        <v>178</v>
      </c>
      <c r="B37">
        <f>IFERROR(VLOOKUP(A37,管理亚马逊库存!A:K,11,0),"")</f>
        <v>6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6</v>
      </c>
      <c r="L37">
        <f>IFERROR(VLOOKUP(A37,库龄!B:M,11,0),0)</f>
        <v>0</v>
      </c>
      <c r="M37">
        <f>IFERROR(VLOOKUP(A37,库龄!B:N,12,0),0)</f>
        <v>0</v>
      </c>
      <c r="N37">
        <f t="shared" si="2"/>
        <v>6</v>
      </c>
    </row>
    <row r="38" spans="1:14">
      <c r="A38" s="3" t="s">
        <v>184</v>
      </c>
      <c r="B38">
        <f>IFERROR(VLOOKUP(A38,管理亚马逊库存!A:K,11,0),"")</f>
        <v>8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7</v>
      </c>
      <c r="L38">
        <f>IFERROR(VLOOKUP(A38,库龄!B:M,11,0),0)</f>
        <v>0</v>
      </c>
      <c r="M38">
        <f>IFERROR(VLOOKUP(A38,库龄!B:N,12,0),0)</f>
        <v>0</v>
      </c>
      <c r="N38">
        <f t="shared" si="2"/>
        <v>7</v>
      </c>
    </row>
    <row r="39" spans="1:14">
      <c r="A39" s="3" t="s">
        <v>187</v>
      </c>
      <c r="B39">
        <f>IFERROR(VLOOKUP(A39,管理亚马逊库存!A:K,11,0),"")</f>
        <v>7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7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7</v>
      </c>
    </row>
    <row r="40" spans="1:14">
      <c r="A40" s="3" t="s">
        <v>190</v>
      </c>
      <c r="B40">
        <f>IFERROR(VLOOKUP(A40,管理亚马逊库存!A:K,11,0),"")</f>
        <v>2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2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2</v>
      </c>
    </row>
    <row r="41" spans="1:14">
      <c r="A41" s="3" t="s">
        <v>196</v>
      </c>
      <c r="B41">
        <f>IFERROR(VLOOKUP(A41,管理亚马逊库存!A:K,11,0),"")</f>
        <v>8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8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8</v>
      </c>
    </row>
    <row r="42" spans="1:14">
      <c r="A42" s="3" t="s">
        <v>201</v>
      </c>
      <c r="B42">
        <f>IFERROR(VLOOKUP(A42,管理亚马逊库存!A:K,11,0),"")</f>
        <v>7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7</v>
      </c>
      <c r="L42">
        <f>IFERROR(VLOOKUP(A42,库龄!B:M,11,0),0)</f>
        <v>0</v>
      </c>
      <c r="M42">
        <f>IFERROR(VLOOKUP(A42,库龄!B:N,12,0),0)</f>
        <v>0</v>
      </c>
      <c r="N42">
        <f t="shared" si="2"/>
        <v>7</v>
      </c>
    </row>
    <row r="43" spans="1:14">
      <c r="A43" s="3" t="s">
        <v>205</v>
      </c>
      <c r="B43">
        <f>IFERROR(VLOOKUP(A43,管理亚马逊库存!A:K,11,0),"")</f>
        <v>92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92</v>
      </c>
      <c r="L43">
        <f>IFERROR(VLOOKUP(A43,库龄!B:M,11,0),0)</f>
        <v>0</v>
      </c>
      <c r="M43">
        <f>IFERROR(VLOOKUP(A43,库龄!B:N,12,0),0)</f>
        <v>0</v>
      </c>
      <c r="N43">
        <f t="shared" si="2"/>
        <v>92</v>
      </c>
    </row>
    <row r="44" spans="1:14">
      <c r="A44" s="3" t="s">
        <v>210</v>
      </c>
      <c r="B44">
        <f>IFERROR(VLOOKUP(A44,管理亚马逊库存!A:K,11,0),"")</f>
        <v>1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1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1</v>
      </c>
    </row>
    <row r="45" spans="1:14">
      <c r="A45" s="3" t="s">
        <v>215</v>
      </c>
      <c r="B45">
        <f>IFERROR(VLOOKUP(A45,管理亚马逊库存!A:K,11,0),"")</f>
        <v>7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7</v>
      </c>
      <c r="L45">
        <f>IFERROR(VLOOKUP(A45,库龄!B:M,11,0),0)</f>
        <v>0</v>
      </c>
      <c r="M45">
        <f>IFERROR(VLOOKUP(A45,库龄!B:N,12,0),0)</f>
        <v>0</v>
      </c>
      <c r="N45">
        <f t="shared" si="2"/>
        <v>7</v>
      </c>
    </row>
    <row r="46" spans="1:14">
      <c r="A46" s="3" t="s">
        <v>219</v>
      </c>
      <c r="B46">
        <f>IFERROR(VLOOKUP(A46,管理亚马逊库存!A:K,11,0),"")</f>
        <v>6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6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6</v>
      </c>
    </row>
    <row r="47" spans="1:14">
      <c r="A47" s="3" t="s">
        <v>223</v>
      </c>
      <c r="B47">
        <f>IFERROR(VLOOKUP(A47,管理亚马逊库存!A:K,11,0),"")</f>
        <v>6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6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6</v>
      </c>
    </row>
    <row r="48" spans="1:14">
      <c r="A48" s="3" t="s">
        <v>226</v>
      </c>
      <c r="B48">
        <f>IFERROR(VLOOKUP(A48,管理亚马逊库存!A:K,11,0),"")</f>
        <v>37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34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34</v>
      </c>
    </row>
    <row r="49" spans="1:14">
      <c r="A49" s="3" t="s">
        <v>231</v>
      </c>
      <c r="B49">
        <f>IFERROR(VLOOKUP(A49,管理亚马逊库存!A:K,11,0),"")</f>
        <v>4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2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2</v>
      </c>
    </row>
    <row r="50" spans="1:14">
      <c r="A50" s="3" t="s">
        <v>234</v>
      </c>
      <c r="B50">
        <f>IFERROR(VLOOKUP(A50,管理亚马逊库存!A:K,11,0),"")</f>
        <v>7</v>
      </c>
      <c r="C50">
        <f>IFERROR(VLOOKUP(A50,管理亚马逊库存!A:L,12,0),"")</f>
        <v>1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237</v>
      </c>
      <c r="B51">
        <f>IFERROR(VLOOKUP(A51,管理亚马逊库存!A:K,11,0),"")</f>
        <v>14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12</v>
      </c>
      <c r="L51">
        <f>IFERROR(VLOOKUP(A51,库龄!B:M,11,0),0)</f>
        <v>0</v>
      </c>
      <c r="M51">
        <f>IFERROR(VLOOKUP(A51,库龄!B:N,12,0),0)</f>
        <v>0</v>
      </c>
      <c r="N51">
        <f t="shared" si="2"/>
        <v>12</v>
      </c>
    </row>
    <row r="52" spans="1:14">
      <c r="A52" s="3" t="s">
        <v>240</v>
      </c>
      <c r="B52">
        <f>IFERROR(VLOOKUP(A52,管理亚马逊库存!A:K,11,0),"")</f>
        <v>8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8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8</v>
      </c>
    </row>
    <row r="53" spans="1:14">
      <c r="A53" s="3" t="s">
        <v>243</v>
      </c>
      <c r="B53">
        <f>IFERROR(VLOOKUP(A53,管理亚马逊库存!A:K,11,0),"")</f>
        <v>36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36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36</v>
      </c>
    </row>
    <row r="54" spans="1:14">
      <c r="A54" s="3" t="s">
        <v>248</v>
      </c>
      <c r="B54">
        <f>IFERROR(VLOOKUP(A54,管理亚马逊库存!A:K,11,0),"")</f>
        <v>1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252</v>
      </c>
      <c r="B55">
        <f>IFERROR(VLOOKUP(A55,管理亚马逊库存!A:K,11,0),"")</f>
        <v>58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1</v>
      </c>
      <c r="K55">
        <f>IFERROR(VLOOKUP(A55,库龄!B:L,10,0),0)</f>
        <v>3</v>
      </c>
      <c r="L55">
        <f>IFERROR(VLOOKUP(A55,库龄!B:M,11,0),0)</f>
        <v>53</v>
      </c>
      <c r="M55">
        <f>IFERROR(VLOOKUP(A55,库龄!B:N,12,0),0)</f>
        <v>0</v>
      </c>
      <c r="N55">
        <f t="shared" si="2"/>
        <v>57</v>
      </c>
    </row>
    <row r="56" spans="1:14">
      <c r="A56" s="3" t="s">
        <v>257</v>
      </c>
      <c r="B56">
        <f>IFERROR(VLOOKUP(A56,管理亚马逊库存!A:K,11,0),"")</f>
        <v>1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261</v>
      </c>
      <c r="B57">
        <f>IFERROR(VLOOKUP(A57,管理亚马逊库存!A:K,11,0),"")</f>
        <v>186</v>
      </c>
      <c r="C57">
        <f>IFERROR(VLOOKUP(A57,管理亚马逊库存!A:L,12,0),"")</f>
        <v>1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2</v>
      </c>
      <c r="K57">
        <f>IFERROR(VLOOKUP(A57,库龄!B:L,10,0),0)</f>
        <v>160</v>
      </c>
      <c r="L57">
        <f>IFERROR(VLOOKUP(A57,库龄!B:M,11,0),0)</f>
        <v>25</v>
      </c>
      <c r="M57">
        <f>IFERROR(VLOOKUP(A57,库龄!B:N,12,0),0)</f>
        <v>0</v>
      </c>
      <c r="N57">
        <f t="shared" si="2"/>
        <v>187</v>
      </c>
    </row>
    <row r="58" spans="1:14">
      <c r="A58" s="3" t="s">
        <v>268</v>
      </c>
      <c r="B58">
        <f>IFERROR(VLOOKUP(A58,管理亚马逊库存!A:K,11,0),"")</f>
        <v>1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271</v>
      </c>
      <c r="B59">
        <f>IFERROR(VLOOKUP(A59,管理亚马逊库存!A:K,11,0),"")</f>
        <v>6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6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6</v>
      </c>
    </row>
    <row r="60" spans="1:14">
      <c r="A60" s="3" t="s">
        <v>275</v>
      </c>
      <c r="B60">
        <f>IFERROR(VLOOKUP(A60,管理亚马逊库存!A:K,11,0),"")</f>
        <v>12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12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12</v>
      </c>
    </row>
    <row r="61" spans="1:14">
      <c r="A61" s="3" t="s">
        <v>279</v>
      </c>
      <c r="B61">
        <f>IFERROR(VLOOKUP(A61,管理亚马逊库存!A:K,11,0),"")</f>
        <v>1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282</v>
      </c>
      <c r="B62">
        <f>IFERROR(VLOOKUP(A62,管理亚马逊库存!A:K,11,0),"")</f>
        <v>11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10</v>
      </c>
    </row>
    <row r="63" spans="1:14">
      <c r="A63" s="3" t="s">
        <v>286</v>
      </c>
      <c r="B63">
        <f>IFERROR(VLOOKUP(A63,管理亚马逊库存!A:K,11,0),"")</f>
        <v>4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4</v>
      </c>
      <c r="L63">
        <f>IFERROR(VLOOKUP(A63,库龄!B:M,11,0),0)</f>
        <v>0</v>
      </c>
      <c r="M63">
        <f>IFERROR(VLOOKUP(A63,库龄!B:N,12,0),0)</f>
        <v>0</v>
      </c>
      <c r="N63">
        <f t="shared" si="2"/>
        <v>4</v>
      </c>
    </row>
    <row r="64" spans="1:14">
      <c r="A64" s="3" t="s">
        <v>289</v>
      </c>
      <c r="B64">
        <f>IFERROR(VLOOKUP(A64,管理亚马逊库存!A:K,11,0),"")</f>
        <v>6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3</v>
      </c>
      <c r="L64">
        <f>IFERROR(VLOOKUP(A64,库龄!B:M,11,0),0)</f>
        <v>0</v>
      </c>
      <c r="M64">
        <f>IFERROR(VLOOKUP(A64,库龄!B:N,12,0),0)</f>
        <v>0</v>
      </c>
      <c r="N64">
        <f t="shared" si="2"/>
        <v>3</v>
      </c>
    </row>
    <row r="65" spans="1:14">
      <c r="A65" s="3" t="s">
        <v>292</v>
      </c>
      <c r="B65">
        <f>IFERROR(VLOOKUP(A65,管理亚马逊库存!A:K,11,0),"")</f>
        <v>1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295</v>
      </c>
      <c r="B66">
        <f>IFERROR(VLOOKUP(A66,管理亚马逊库存!A:K,11,0),"")</f>
        <v>57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56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56</v>
      </c>
    </row>
    <row r="67" spans="1:14">
      <c r="A67" s="3" t="s">
        <v>300</v>
      </c>
      <c r="B67">
        <f>IFERROR(VLOOKUP(A67,管理亚马逊库存!A:K,11,0),"")</f>
        <v>6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6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6</v>
      </c>
    </row>
    <row r="68" spans="1:14">
      <c r="A68" s="3" t="s">
        <v>303</v>
      </c>
      <c r="B68">
        <f>IFERROR(VLOOKUP(A68,管理亚马逊库存!A:K,11,0),"")</f>
        <v>39</v>
      </c>
      <c r="C68">
        <f>IFERROR(VLOOKUP(A68,管理亚马逊库存!A:L,12,0),"")</f>
        <v>1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2</v>
      </c>
      <c r="K68">
        <f>IFERROR(VLOOKUP(A68,库龄!B:L,10,0),0)</f>
        <v>36</v>
      </c>
      <c r="L68">
        <f>IFERROR(VLOOKUP(A68,库龄!B:M,11,0),0)</f>
        <v>0</v>
      </c>
      <c r="M68">
        <f>IFERROR(VLOOKUP(A68,库龄!B:N,12,0),0)</f>
        <v>0</v>
      </c>
      <c r="N68">
        <f t="shared" si="4"/>
        <v>38</v>
      </c>
    </row>
    <row r="69" spans="1:14">
      <c r="A69" s="3" t="s">
        <v>305</v>
      </c>
      <c r="B69">
        <f>IFERROR(VLOOKUP(A69,管理亚马逊库存!A:K,11,0),"")</f>
        <v>8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8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8</v>
      </c>
    </row>
    <row r="70" spans="1:14">
      <c r="A70" s="3" t="s">
        <v>308</v>
      </c>
      <c r="B70">
        <f>IFERROR(VLOOKUP(A70,管理亚马逊库存!A:K,11,0),"")</f>
        <v>8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8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8</v>
      </c>
    </row>
    <row r="71" spans="1:14">
      <c r="A71" s="3" t="s">
        <v>311</v>
      </c>
      <c r="B71">
        <f>IFERROR(VLOOKUP(A71,管理亚马逊库存!A:K,11,0),"")</f>
        <v>106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313</v>
      </c>
      <c r="B72">
        <f>IFERROR(VLOOKUP(A72,管理亚马逊库存!A:K,11,0),"")</f>
        <v>48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48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48</v>
      </c>
    </row>
    <row r="73" spans="1:14">
      <c r="A73" s="3" t="s">
        <v>315</v>
      </c>
      <c r="B73">
        <f>IFERROR(VLOOKUP(A73,管理亚马逊库存!A:K,11,0),"")</f>
        <v>12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1</v>
      </c>
      <c r="K73">
        <f>IFERROR(VLOOKUP(A73,库龄!B:L,10,0),0)</f>
        <v>11</v>
      </c>
      <c r="L73">
        <f>IFERROR(VLOOKUP(A73,库龄!B:M,11,0),0)</f>
        <v>0</v>
      </c>
      <c r="M73">
        <f>IFERROR(VLOOKUP(A73,库龄!B:N,12,0),0)</f>
        <v>0</v>
      </c>
      <c r="N73">
        <f t="shared" si="4"/>
        <v>12</v>
      </c>
    </row>
    <row r="74" spans="1:14">
      <c r="A74" s="3" t="s">
        <v>318</v>
      </c>
      <c r="B74">
        <f>IFERROR(VLOOKUP(A74,管理亚马逊库存!A:K,11,0),"")</f>
        <v>61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42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42</v>
      </c>
    </row>
    <row r="75" spans="1:14">
      <c r="A75" s="3" t="s">
        <v>322</v>
      </c>
      <c r="B75">
        <f>IFERROR(VLOOKUP(A75,管理亚马逊库存!A:K,11,0),"")</f>
        <v>74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73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73</v>
      </c>
    </row>
    <row r="76" spans="1:14">
      <c r="A76" s="3" t="s">
        <v>327</v>
      </c>
      <c r="B76">
        <f>IFERROR(VLOOKUP(A76,管理亚马逊库存!A:K,11,0),"")</f>
        <v>80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333</v>
      </c>
      <c r="B77">
        <f>IFERROR(VLOOKUP(A77,管理亚马逊库存!A:K,11,0),"")</f>
        <v>6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6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6</v>
      </c>
    </row>
    <row r="78" spans="1:14">
      <c r="A78" s="3" t="s">
        <v>337</v>
      </c>
      <c r="B78">
        <f>IFERROR(VLOOKUP(A78,管理亚马逊库存!A:K,11,0),"")</f>
        <v>77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343</v>
      </c>
      <c r="B79">
        <f>IFERROR(VLOOKUP(A79,管理亚马逊库存!A:K,11,0),"")</f>
        <v>11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11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11</v>
      </c>
    </row>
    <row r="80" spans="1:14">
      <c r="A80" s="3" t="s">
        <v>346</v>
      </c>
      <c r="B80">
        <f>IFERROR(VLOOKUP(A80,管理亚马逊库存!A:K,11,0),"")</f>
        <v>14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14</v>
      </c>
      <c r="L80">
        <f>IFERROR(VLOOKUP(A80,库龄!B:M,11,0),0)</f>
        <v>0</v>
      </c>
      <c r="M80">
        <f>IFERROR(VLOOKUP(A80,库龄!B:N,12,0),0)</f>
        <v>0</v>
      </c>
      <c r="N80">
        <f t="shared" si="4"/>
        <v>14</v>
      </c>
    </row>
    <row r="81" spans="1:14">
      <c r="A81" s="3" t="s">
        <v>349</v>
      </c>
      <c r="B81">
        <f>IFERROR(VLOOKUP(A81,管理亚马逊库存!A:K,11,0),"")</f>
        <v>130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1</v>
      </c>
      <c r="L81">
        <f>IFERROR(VLOOKUP(A81,库龄!B:M,11,0),0)</f>
        <v>129</v>
      </c>
      <c r="M81">
        <f>IFERROR(VLOOKUP(A81,库龄!B:N,12,0),0)</f>
        <v>0</v>
      </c>
      <c r="N81">
        <f t="shared" si="4"/>
        <v>130</v>
      </c>
    </row>
    <row r="82" spans="1:14">
      <c r="A82" s="3" t="s">
        <v>354</v>
      </c>
      <c r="B82">
        <f>IFERROR(VLOOKUP(A82,管理亚马逊库存!A:K,11,0),"")</f>
        <v>7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7</v>
      </c>
      <c r="L82">
        <f>IFERROR(VLOOKUP(A82,库龄!B:M,11,0),0)</f>
        <v>0</v>
      </c>
      <c r="M82">
        <f>IFERROR(VLOOKUP(A82,库龄!B:N,12,0),0)</f>
        <v>0</v>
      </c>
      <c r="N82">
        <f t="shared" si="4"/>
        <v>7</v>
      </c>
    </row>
    <row r="83" spans="1:14">
      <c r="A83" s="3" t="s">
        <v>358</v>
      </c>
      <c r="B83">
        <f>IFERROR(VLOOKUP(A83,管理亚马逊库存!A:K,11,0),"")</f>
        <v>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5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5</v>
      </c>
    </row>
    <row r="84" spans="1:14">
      <c r="A84" s="3" t="s">
        <v>362</v>
      </c>
      <c r="B84">
        <f>IFERROR(VLOOKUP(A84,管理亚马逊库存!A:K,11,0),"")</f>
        <v>13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13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13</v>
      </c>
    </row>
    <row r="85" spans="1:14">
      <c r="A85" s="3" t="s">
        <v>366</v>
      </c>
      <c r="B85">
        <f>IFERROR(VLOOKUP(A85,管理亚马逊库存!A:K,11,0),"")</f>
        <v>11</v>
      </c>
      <c r="C85">
        <f>IFERROR(VLOOKUP(A85,管理亚马逊库存!A:L,12,0),"")</f>
        <v>1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11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11</v>
      </c>
    </row>
    <row r="86" spans="1:14">
      <c r="A86" s="3" t="s">
        <v>370</v>
      </c>
      <c r="B86">
        <f>IFERROR(VLOOKUP(A86,管理亚马逊库存!A:K,11,0),"")</f>
        <v>10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9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9</v>
      </c>
    </row>
    <row r="87" spans="1:14">
      <c r="A87" s="3" t="s">
        <v>374</v>
      </c>
      <c r="B87">
        <f>IFERROR(VLOOKUP(A87,管理亚马逊库存!A:K,11,0),"")</f>
        <v>5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4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4</v>
      </c>
    </row>
    <row r="88" spans="1:14">
      <c r="A88" s="3" t="s">
        <v>377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382</v>
      </c>
      <c r="B89">
        <f>IFERROR(VLOOKUP(A89,管理亚马逊库存!A:K,11,0),"")</f>
        <v>15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15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15</v>
      </c>
    </row>
    <row r="90" spans="1:14">
      <c r="A90" s="3" t="s">
        <v>385</v>
      </c>
      <c r="B90">
        <f>IFERROR(VLOOKUP(A90,管理亚马逊库存!A:K,11,0),"")</f>
        <v>27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25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25</v>
      </c>
    </row>
    <row r="91" spans="1:14">
      <c r="A91" s="3" t="s">
        <v>387</v>
      </c>
      <c r="B91">
        <f>IFERROR(VLOOKUP(A91,管理亚马逊库存!A:K,11,0),"")</f>
        <v>15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14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14</v>
      </c>
    </row>
    <row r="92" spans="1:14">
      <c r="A92" s="3" t="s">
        <v>390</v>
      </c>
      <c r="B92">
        <f>IFERROR(VLOOKUP(A92,管理亚马逊库存!A:K,11,0),"")</f>
        <v>12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1</v>
      </c>
      <c r="K92">
        <f>IFERROR(VLOOKUP(A92,库龄!B:L,10,0),0)</f>
        <v>10</v>
      </c>
      <c r="L92">
        <f>IFERROR(VLOOKUP(A92,库龄!B:M,11,0),0)</f>
        <v>0</v>
      </c>
      <c r="M92">
        <f>IFERROR(VLOOKUP(A92,库龄!B:N,12,0),0)</f>
        <v>0</v>
      </c>
      <c r="N92">
        <f t="shared" si="4"/>
        <v>11</v>
      </c>
    </row>
    <row r="93" spans="1:14">
      <c r="A93" s="3" t="s">
        <v>393</v>
      </c>
      <c r="B93">
        <f>IFERROR(VLOOKUP(A93,管理亚马逊库存!A:K,11,0),"")</f>
        <v>7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7</v>
      </c>
      <c r="L93">
        <f>IFERROR(VLOOKUP(A93,库龄!B:M,11,0),0)</f>
        <v>0</v>
      </c>
      <c r="M93">
        <f>IFERROR(VLOOKUP(A93,库龄!B:N,12,0),0)</f>
        <v>0</v>
      </c>
      <c r="N93">
        <f t="shared" si="4"/>
        <v>7</v>
      </c>
    </row>
    <row r="94" spans="1:14">
      <c r="A94" s="3" t="s">
        <v>408</v>
      </c>
      <c r="B94">
        <f>IFERROR(VLOOKUP(A94,管理亚马逊库存!A:K,11,0),"")</f>
        <v>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413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415</v>
      </c>
      <c r="B96">
        <f>IFERROR(VLOOKUP(A96,管理亚马逊库存!A:K,11,0),"")</f>
        <v>0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419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423</v>
      </c>
      <c r="B98">
        <f>IFERROR(VLOOKUP(A98,管理亚马逊库存!A:K,11,0),"")</f>
        <v>0</v>
      </c>
      <c r="C98">
        <f>IFERROR(VLOOKUP(A98,管理亚马逊库存!A:L,12,0),"")</f>
        <v>1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425</v>
      </c>
      <c r="B99">
        <f>IFERROR(VLOOKUP(A99,管理亚马逊库存!A:K,11,0),"")</f>
        <v>0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426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428</v>
      </c>
      <c r="B101">
        <f>IFERROR(VLOOKUP(A101,管理亚马逊库存!A:K,11,0),"")</f>
        <v>0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430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424</v>
      </c>
      <c r="B103">
        <f>IFERROR(VLOOKUP(A103,管理亚马逊库存!A:K,11,0),"")</f>
        <v>0</v>
      </c>
      <c r="C103">
        <f>IFERROR(VLOOKUP(A103,管理亚马逊库存!A:L,12,0),"")</f>
        <v>1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432</v>
      </c>
      <c r="B104">
        <f>IFERROR(VLOOKUP(A104,管理亚马逊库存!A:K,11,0),"")</f>
        <v>0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435</v>
      </c>
      <c r="B105">
        <f>IFERROR(VLOOKUP(A105,管理亚马逊库存!A:K,11,0),"")</f>
        <v>0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438</v>
      </c>
      <c r="B106">
        <f>IFERROR(VLOOKUP(A106,管理亚马逊库存!A:K,11,0),"")</f>
        <v>0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440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443</v>
      </c>
      <c r="B108">
        <f>IFERROR(VLOOKUP(A108,管理亚马逊库存!A:K,11,0),"")</f>
        <v>0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445</v>
      </c>
      <c r="B109">
        <f>IFERROR(VLOOKUP(A109,管理亚马逊库存!A:K,11,0),"")</f>
        <v>0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449</v>
      </c>
      <c r="B110">
        <f>IFERROR(VLOOKUP(A110,管理亚马逊库存!A:K,11,0),"")</f>
        <v>0</v>
      </c>
      <c r="C110">
        <f>IFERROR(VLOOKUP(A110,管理亚马逊库存!A:L,12,0),"")</f>
        <v>48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452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456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458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461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463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48</v>
      </c>
      <c r="F115">
        <f t="shared" si="3"/>
        <v>48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467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469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471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473</v>
      </c>
      <c r="B119">
        <f>IFERROR(VLOOKUP(A119,管理亚马逊库存!A:K,11,0),"")</f>
        <v>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475</v>
      </c>
      <c r="B120">
        <f>IFERROR(VLOOKUP(A120,管理亚马逊库存!A:K,11,0),"")</f>
        <v>0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479</v>
      </c>
      <c r="B121">
        <f>IFERROR(VLOOKUP(A121,管理亚马逊库存!A:K,11,0),"")</f>
        <v>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481</v>
      </c>
      <c r="B122">
        <f>IFERROR(VLOOKUP(A122,管理亚马逊库存!A:K,11,0),"")</f>
        <v>0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485</v>
      </c>
      <c r="B123">
        <f>IFERROR(VLOOKUP(A123,管理亚马逊库存!A:K,11,0),"")</f>
        <v>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489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24</v>
      </c>
      <c r="F124">
        <f t="shared" si="3"/>
        <v>24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491</v>
      </c>
      <c r="B125">
        <f>IFERROR(VLOOKUP(A125,管理亚马逊库存!A:K,11,0),"")</f>
        <v>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72</v>
      </c>
      <c r="F125">
        <f t="shared" si="3"/>
        <v>72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493</v>
      </c>
      <c r="B126">
        <f>IFERROR(VLOOKUP(A126,管理亚马逊库存!A:K,11,0),"")</f>
        <v>0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495</v>
      </c>
      <c r="B127">
        <f>IFERROR(VLOOKUP(A127,管理亚马逊库存!A:K,11,0),"")</f>
        <v>0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499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501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503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507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52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52" si="6">SUM(J131:M131)</f>
        <v>0</v>
      </c>
    </row>
    <row r="132" spans="1:14">
      <c r="A132" s="3" t="s">
        <v>511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515</v>
      </c>
      <c r="B133">
        <f>IFERROR(VLOOKUP(A133,管理亚马逊库存!A:K,11,0),"")</f>
        <v>0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519</v>
      </c>
      <c r="B134">
        <f>IFERROR(VLOOKUP(A134,管理亚马逊库存!A:K,11,0),"")</f>
        <v>0</v>
      </c>
      <c r="C134">
        <f>IFERROR(VLOOKUP(A134,管理亚马逊库存!A:L,12,0),"")</f>
        <v>1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521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523</v>
      </c>
      <c r="B136">
        <f>IFERROR(VLOOKUP(A136,管理亚马逊库存!A:K,11,0),"")</f>
        <v>0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525</v>
      </c>
      <c r="B137">
        <f>IFERROR(VLOOKUP(A137,管理亚马逊库存!A:K,11,0),"")</f>
        <v>0</v>
      </c>
      <c r="C137">
        <f>IFERROR(VLOOKUP(A137,管理亚马逊库存!A:L,12,0),"")</f>
        <v>1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526</v>
      </c>
      <c r="B138">
        <f>IFERROR(VLOOKUP(A138,管理亚马逊库存!A:K,11,0),"")</f>
        <v>0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528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531</v>
      </c>
      <c r="B140">
        <f>IFERROR(VLOOKUP(A140,管理亚马逊库存!A:K,11,0),"")</f>
        <v>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534</v>
      </c>
      <c r="B141">
        <f>IFERROR(VLOOKUP(A141,管理亚马逊库存!A:K,11,0),"")</f>
        <v>0</v>
      </c>
      <c r="C141">
        <f>IFERROR(VLOOKUP(A141,管理亚马逊库存!A:L,12,0),"")</f>
        <v>1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537</v>
      </c>
      <c r="B142">
        <f>IFERROR(VLOOKUP(A142,管理亚马逊库存!A:K,11,0),"")</f>
        <v>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540</v>
      </c>
      <c r="B143">
        <f>IFERROR(VLOOKUP(A143,管理亚马逊库存!A:K,11,0),"")</f>
        <v>0</v>
      </c>
      <c r="C143">
        <f>IFERROR(VLOOKUP(A143,管理亚马逊库存!A:L,12,0),"")</f>
        <v>1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541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543</v>
      </c>
      <c r="B145">
        <f>IFERROR(VLOOKUP(A145,管理亚马逊库存!A:K,11,0),"")</f>
        <v>0</v>
      </c>
      <c r="C145">
        <f>IFERROR(VLOOKUP(A145,管理亚马逊库存!A:L,12,0),"")</f>
        <v>1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544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546</v>
      </c>
      <c r="B147">
        <f>IFERROR(VLOOKUP(A147,管理亚马逊库存!A:K,11,0),"")</f>
        <v>0</v>
      </c>
      <c r="C147">
        <f>IFERROR(VLOOKUP(A147,管理亚马逊库存!A:L,12,0),"")</f>
        <v>1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547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549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551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553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555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2:14">
      <c r="B153" t="str">
        <f>IFERROR(VLOOKUP(A153,管理亚马逊库存!A:K,11,0),"")</f>
        <v/>
      </c>
      <c r="C153" t="str">
        <f>IFERROR(VLOOKUP(A153,管理亚马逊库存!A:L,12,0),"")</f>
        <v/>
      </c>
      <c r="D153" t="str">
        <f>IFERROR(VLOOKUP(A153,管理亚马逊库存!A:Q,17,0),"")</f>
        <v/>
      </c>
      <c r="E153" t="str">
        <f>IFERROR(VLOOKUP(A153,管理亚马逊库存!A:R,18,0),"")</f>
        <v/>
      </c>
      <c r="F153">
        <f>SUM(D153:E153)</f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>SUM(J153:M153)</f>
        <v>0</v>
      </c>
    </row>
    <row r="154" spans="2:14">
      <c r="B154" t="str">
        <f>IFERROR(VLOOKUP(A154,管理亚马逊库存!A:K,11,0),"")</f>
        <v/>
      </c>
      <c r="C154" t="str">
        <f>IFERROR(VLOOKUP(A154,管理亚马逊库存!A:L,12,0),"")</f>
        <v/>
      </c>
      <c r="D154" t="str">
        <f>IFERROR(VLOOKUP(A154,管理亚马逊库存!A:Q,17,0),"")</f>
        <v/>
      </c>
      <c r="E154" t="str">
        <f>IFERROR(VLOOKUP(A154,管理亚马逊库存!A:R,18,0),"")</f>
        <v/>
      </c>
      <c r="F154">
        <f>SUM(D154:E154)</f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>SUM(J154:M154)</f>
        <v>0</v>
      </c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</sheetData>
  <autoFilter ref="A1:N2882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2018-07-10T02:42:11Z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KSOReadingLayout">
    <vt:bool>false</vt:bool>
  </property>
</Properties>
</file>