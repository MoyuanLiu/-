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<sst xmlns="http://schemas.openxmlformats.org/spreadsheetml/2006/main" count="411">
  <si>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</si>
  <si>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</si>
  <si>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</si>
  <si>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</si>
  <si>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</si>
  <si>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</si>
  <si>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</si>
  <si>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</si>
  <si>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</si>
  <si>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</si>
  <si>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</si>
  <si>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</si>
  <si>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</si>
  <si>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</si>
  <si>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</si>
  <si>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</si>
  <si>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</si>
  <si>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</si>
  <si>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</si>
  <si>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</si>
  <si>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</si>
  <si>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</si>
  <si>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</si>
  <si>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</si>
  <si>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</si>
  <si>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</si>
  <si>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</si>
  <si>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</si>
  <si>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</si>
  <si>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</si>
  <si>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</si>
  <si>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</si>
  <si>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</si>
  <si>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</si>
  <si>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</si>
  <si>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</si>
  <si>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</si>
  <si>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</si>
  <si>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</si>
  <si>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</si>
  <si>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</si>
  <si>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</si>
  <si>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</si>
  <si>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</si>
  <si>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</si>
  <si>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</si>
  <si>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</si>
  <si>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</si>
  <si>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</si>
  <si>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</si>
  <si>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</si>
  <si>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06-LI7A-IZ44</t>
  </si>
  <si>
    <t>B0052K03KA</t>
  </si>
  <si>
    <t>Premier Dead Sea Essential Face Cleanser for Men</t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</si>
  <si>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</si>
  <si>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</si>
  <si>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</si>
  <si>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</si>
  <si>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</si>
  <si>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</si>
  <si>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/>
  </si>
  <si>
    <t>有广告无销售广告费为</t>
  </si>
  <si>
    <t>库存为0</t>
  </si>
  <si>
    <t>上周无销量</t>
  </si>
  <si>
    <t>2N-C2ZT-YSNI</t>
  </si>
  <si>
    <t>B0016VW618</t>
  </si>
  <si>
    <t>Premier Usa Dead Sea shaving Cream for Men All Skin</t>
  </si>
  <si>
    <t>3E-OBBY-DIEZ</t>
  </si>
  <si>
    <t>B00157XFNQ</t>
  </si>
  <si>
    <t>Premier Dead Sea Active Moisture Complex - Normal to Dry Skin</t>
  </si>
  <si>
    <t>B001DXOWA2</t>
  </si>
  <si>
    <t>Premier Dead Sea Ageless Future Cell Renewal Cream</t>
  </si>
  <si>
    <t>有广告无销售广告费为0.15</t>
  </si>
  <si>
    <t>40-G0ZX-HJNG</t>
  </si>
  <si>
    <t>B00022AUVA</t>
  </si>
  <si>
    <t>Premier Dead Sea Age Defying/Anti Age Cream</t>
  </si>
  <si>
    <t>54-2HQR-70OB</t>
  </si>
  <si>
    <t>B00115TXRE</t>
  </si>
  <si>
    <t>58-6A0P-DRT9</t>
  </si>
  <si>
    <t>B001278VEW</t>
  </si>
  <si>
    <t>Premier Dead Sea Professional Peeling Mask</t>
  </si>
  <si>
    <t>有广告无销售广告费为8.44</t>
  </si>
  <si>
    <t>有广告无销售广告费为5.3</t>
  </si>
  <si>
    <t>5D-ZS9Q-CYOL</t>
  </si>
  <si>
    <t>B003Y7D0HQ</t>
  </si>
  <si>
    <t>Premier Dead Sea Pearl White Cream Complex, 2.04-Fluid Ounce</t>
  </si>
  <si>
    <t>有广告无销售广告费为19.39</t>
  </si>
  <si>
    <t>有广告无销售广告费为1.76</t>
  </si>
  <si>
    <t>5S-TEQM-ZWF1</t>
  </si>
  <si>
    <t>B000VEWF2Q</t>
  </si>
  <si>
    <t>5X-E8TX-UKIW</t>
  </si>
  <si>
    <t>有广告无销售广告费为1.63</t>
  </si>
  <si>
    <t>6T-8V8W-3S67</t>
  </si>
  <si>
    <t>B000VF5WVG</t>
  </si>
  <si>
    <t>Premier by Dead Sea Premier Luxury Collection Milk Cleanser, 8.5 fl oz</t>
  </si>
  <si>
    <t>7K-XLQF-24PG</t>
  </si>
  <si>
    <t>8V-1JSS-5D7M</t>
  </si>
  <si>
    <t>B004H02GDI</t>
  </si>
  <si>
    <t>Dead Sea Premier Beautifying Nail Kit Milk and Honey - Body Lotion,Cuticle Oil,Nail File,Buffing Block</t>
  </si>
  <si>
    <t>97-6SJH-1LTA</t>
  </si>
  <si>
    <t>B001561M00</t>
  </si>
  <si>
    <t>Premier Dead Sea Intensive Biox Thermal Beauty Mask**NEW IN BOX**SAME IN MALL**</t>
  </si>
  <si>
    <t>库存为1</t>
  </si>
  <si>
    <t>A5-X9GB-M912</t>
  </si>
  <si>
    <t>B002DL9M2G</t>
  </si>
  <si>
    <t>Premier Dead Sea Luxurious Anti-aging Neck Cream, 2.04 oz</t>
  </si>
  <si>
    <t>BM-6KQ2-02X2</t>
  </si>
  <si>
    <t>B004HFNFU6</t>
  </si>
  <si>
    <t>C3-311K-550X</t>
  </si>
  <si>
    <t>CF-7C1X-596L</t>
  </si>
  <si>
    <t>B003Y7EU16</t>
  </si>
  <si>
    <t>Premier Dead Sea Day Cream Complex (for normal to dry skin)</t>
  </si>
  <si>
    <t>DA-BINR-0UIS</t>
  </si>
  <si>
    <t>B002KFR628</t>
  </si>
  <si>
    <t>DM-LSF9-NGGG</t>
  </si>
  <si>
    <t>B002QSD1YQ</t>
  </si>
  <si>
    <t>Dead Sea Premier Moisture Cream for Normal to Dry Skin</t>
  </si>
  <si>
    <t>DW-MG8E-BMQG</t>
  </si>
  <si>
    <t>有广告无销售广告费为0.62</t>
  </si>
  <si>
    <t>E8-GWV1-AJMB</t>
  </si>
  <si>
    <t>B008YFY9TQ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</si>
  <si>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</si>
  <si>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</si>
  <si>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</si>
  <si>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</si>
  <si>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</si>
  <si>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B003CEA88U</t>
  </si>
  <si>
    <t>Gratiae Organics Facial Cleansing Lotion, 6.8 Ounce</t>
  </si>
  <si>
    <t>HF-I2e-AABS</t>
  </si>
  <si>
    <t>B000VER1RU</t>
  </si>
  <si>
    <t>Premier Dead Sea Biox Intensive Age Cream/Anti-age Complex, 2.0400-Fluid Ounce</t>
  </si>
  <si>
    <t>HF-T9QA-X3JZ</t>
  </si>
  <si>
    <t>有广告无销售广告费为11.18</t>
  </si>
  <si>
    <t>HF-a10e-MINM</t>
  </si>
  <si>
    <t>B0010BBCFK</t>
  </si>
  <si>
    <t>Premier Dead Sea Miracle Noir Mask, 2.04 Fluid Ounce</t>
  </si>
  <si>
    <t>HF-a136e-MHBB</t>
  </si>
  <si>
    <t>HF-a14e-NICC</t>
  </si>
  <si>
    <t>B00117D9MW</t>
  </si>
  <si>
    <t>Premier Dead Sea Night Cream Complex, 2.04 Fluid Ounce</t>
  </si>
  <si>
    <t>库存为48</t>
  </si>
  <si>
    <t>HF-a18e-IADC</t>
  </si>
  <si>
    <t>HF-a1e-LCMC</t>
  </si>
  <si>
    <t>HF-a21e-SCFM</t>
  </si>
  <si>
    <t>B0010OMN4G</t>
  </si>
  <si>
    <t>Premier Dead Sea Shaving Cream for Men, Tube, 4.2268-Fluid Ounce</t>
  </si>
  <si>
    <t>HF-a33e-LUHC</t>
  </si>
  <si>
    <t>B004HTXUNE</t>
  </si>
  <si>
    <t>Premier Dead Sea Luxury Hand Cream 125ml/4.25fl.oz</t>
  </si>
  <si>
    <t>库存为57</t>
  </si>
  <si>
    <t>HF-a37e-FCMG</t>
  </si>
  <si>
    <t>B004H09KEQ</t>
  </si>
  <si>
    <t>Premier Dead Sea Luxury Facial Cleanser with Micro Grains, 4.25-Fluid Ounce</t>
  </si>
  <si>
    <t>HF-a56e-EYES</t>
  </si>
  <si>
    <t>Dead Sea Premier Eye Serum.</t>
  </si>
  <si>
    <t>有广告无销售广告费为28.06</t>
  </si>
  <si>
    <t>HF-a5e-NCFM</t>
  </si>
  <si>
    <t>B003NQ7P0Q</t>
  </si>
  <si>
    <t>Premier Dead Sea Nourishing Cream for Men (tube)</t>
  </si>
  <si>
    <t>有广告无销售广告费为18.55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</si>
  <si>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</si>
  <si>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</si>
  <si>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</si>
  <si>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</si>
  <si>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</si>
  <si>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</si>
  <si>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</si>
  <si>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</si>
  <si>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</si>
  <si>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</si>
  <si>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</si>
  <si>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</si>
  <si>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</si>
  <si>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</si>
  <si>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有广告无销售广告费为3.39</t>
  </si>
  <si>
    <t>HF-a81e-MHBB</t>
  </si>
  <si>
    <t>B07F1BV5CC</t>
  </si>
  <si>
    <t>库存为24</t>
  </si>
  <si>
    <t>HF-a82e-RPBB</t>
  </si>
  <si>
    <t>B00158196K</t>
  </si>
  <si>
    <t>Premier Dead Sea Body Butter Passion Fruit Scent</t>
  </si>
  <si>
    <t>库存为72</t>
  </si>
  <si>
    <t>HF-a85e-RFPM</t>
  </si>
  <si>
    <t>B00G71LV3Q</t>
  </si>
  <si>
    <t>Premier By Dead Sea Premier Refining Facial Peeling Mask 2.04oz, 60ml</t>
  </si>
  <si>
    <t>HF-b3e-PWCC</t>
  </si>
  <si>
    <t>有广告无销售广告费为2.05</t>
  </si>
  <si>
    <t>HF-c1e-MCND</t>
  </si>
  <si>
    <t>B00384AO7O</t>
  </si>
  <si>
    <t>Dead Sea Premier Moisture Cream (for very dry &amp; sensitive skin)</t>
  </si>
  <si>
    <t>HF-c7e-LANC</t>
  </si>
  <si>
    <t>HF-f12-FACL</t>
  </si>
  <si>
    <t>有广告无销售广告费为9.6</t>
  </si>
  <si>
    <t>HF-f24-ACPF</t>
  </si>
  <si>
    <t>B004X9BRU6</t>
  </si>
  <si>
    <t>Gratiae Organics Aha Cleansing and Peeling Foam, 5.1 Ounce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</si>
  <si>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</si>
  <si>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</si>
  <si>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</si>
  <si>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</si>
  <si>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</si>
  <si>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</si>
  <si>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HF-g2e-ACRC</t>
  </si>
  <si>
    <t>有广告无销售广告费为7.26</t>
  </si>
  <si>
    <t>HF-l3e-TEYG</t>
  </si>
  <si>
    <t>B00383XLTS</t>
  </si>
  <si>
    <t>Premier Dead Sea Biox Intensive Age Treatment Eye Cream Gel</t>
  </si>
  <si>
    <t>HF-n2ae-NBNK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</si>
  <si>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</si>
  <si>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</si>
  <si>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</si>
  <si>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</si>
  <si>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</si>
  <si>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</si>
  <si>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</si>
  <si>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</si>
  <si>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有广告无销售广告费为5.81</t>
  </si>
  <si>
    <t>KP-1178-XPKV</t>
  </si>
  <si>
    <t>有广告无销售广告费为12.92</t>
  </si>
  <si>
    <t>L1-BT23-OVPU</t>
  </si>
  <si>
    <t>B002DV0KDQ</t>
  </si>
  <si>
    <t>Premier Dead Sea Luxury Moisture Cream for Multi-Use</t>
  </si>
  <si>
    <t>L7-N9M4-0P6X</t>
  </si>
  <si>
    <t>LF-QRR8-VUXE</t>
  </si>
  <si>
    <t>LH-V26Y-FVKV</t>
  </si>
  <si>
    <t>LY-0LSI-94LS</t>
  </si>
  <si>
    <t>M5-BNRC-2A6O</t>
  </si>
  <si>
    <t>B004X9BRRO</t>
  </si>
  <si>
    <t>MY16055K0L</t>
  </si>
  <si>
    <t>B0761V7L2R</t>
  </si>
  <si>
    <t>ZAIAI Womens Hooded Warm Winter Faux Fur Lined Parkas Anoraks Long Coats Black L</t>
  </si>
  <si>
    <t>库存为11</t>
  </si>
  <si>
    <t>MY16055K0M</t>
  </si>
  <si>
    <t>B0761QBHM9</t>
  </si>
  <si>
    <t>ZAIAI Womens Hooded Warm Winter Faux Fur Lined Parkas Anoraks Long Coats Black M</t>
  </si>
  <si>
    <t>库存为12</t>
  </si>
  <si>
    <t>MY16055K0S</t>
  </si>
  <si>
    <t>B0761S8TXR</t>
  </si>
  <si>
    <t>ZAIAI Womens Hooded Warm Winter Faux Fur Lined Parkas Anoraks Long Coats Black S</t>
  </si>
  <si>
    <t>库存为14</t>
  </si>
  <si>
    <t>MY16055K0XL</t>
  </si>
  <si>
    <t>B0761N3HJ3</t>
  </si>
  <si>
    <t>Womens Hooded Warm Winter Faux Fur Lined Parkas Anoraks Long Coats Black XL</t>
  </si>
  <si>
    <t>库存为13</t>
  </si>
  <si>
    <t>MY16055K0XXL</t>
  </si>
  <si>
    <t>B0761R93J2</t>
  </si>
  <si>
    <t>ZAIAI Womens Hooded Warm Winter Faux Fur Lined Parkas Anoraks Long Coats Black XXL</t>
  </si>
  <si>
    <t>MY16055MSL</t>
  </si>
  <si>
    <t>B0761S59N6</t>
  </si>
  <si>
    <t>ZAIAI Womens Wool Jacket Coat Outwear Parka Overcoat Beige L</t>
  </si>
  <si>
    <t>库存为6</t>
  </si>
  <si>
    <t>MY16055MSM</t>
  </si>
  <si>
    <t>B0761NM1NH</t>
  </si>
  <si>
    <t>ZAIAI Womens Wool Jacket Coat Outwear Parka Overcoat Beige M</t>
  </si>
  <si>
    <t>库存为8</t>
  </si>
  <si>
    <t>MY16055MSS</t>
  </si>
  <si>
    <t>B0761Q9VPH</t>
  </si>
  <si>
    <t>ZAIAI Womens Wool Jacket Coat Outwear Parka Overcoat Beige S</t>
  </si>
  <si>
    <t>库存为7</t>
  </si>
  <si>
    <t>MY16055MSXL</t>
  </si>
  <si>
    <t>B0761Q7KPX</t>
  </si>
  <si>
    <t>ZAIAI Womens Wool Jacket Coat Outwear Parka Overcoat Beige XL</t>
  </si>
  <si>
    <t>MY16055MSXXL</t>
  </si>
  <si>
    <t>B0761QW2JK</t>
  </si>
  <si>
    <t>ZAIAI Womens Wool Jacket Coat Outwear Parka Overcoat Beige XXL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</si>
  <si>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</si>
  <si>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</si>
  <si>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</si>
  <si>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</si>
  <si>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</si>
  <si>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</si>
  <si>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MY16055ZQS</t>
  </si>
  <si>
    <t>B0761PL2N2</t>
  </si>
  <si>
    <t>Womens Hooded Warm Coats Parkas With Fax Fur Jackets Navy S</t>
  </si>
  <si>
    <t>MY16055ZQXL</t>
  </si>
  <si>
    <t>B0761RRL7M</t>
  </si>
  <si>
    <t>ZAIAI Womens Hooded Warm Coats Parkas With Fax Fur Jackets Navy XL</t>
  </si>
  <si>
    <t>MY16055ZQXXL</t>
  </si>
  <si>
    <t>B0761NGYTK</t>
  </si>
  <si>
    <t>Womens Hooded Warm Coats Parkas With Fax Fur Jackets Navy XXL</t>
  </si>
  <si>
    <t>库存为5</t>
  </si>
  <si>
    <t>MY71107K0L</t>
  </si>
  <si>
    <t>B0761PSPTJ</t>
  </si>
  <si>
    <t>ZAIAI Women's Parkas Anoraks Long Coats with Removable Faux Fur Trim Hood Black L</t>
  </si>
  <si>
    <t>MY71107K0M</t>
  </si>
  <si>
    <t>B0761PWSG1</t>
  </si>
  <si>
    <t>ZAIAI Women's Parkas Anoraks Long Coats with Removable Faux Fur Trim Hood Black M</t>
  </si>
  <si>
    <t>库存为9</t>
  </si>
  <si>
    <t>MY71107K0S</t>
  </si>
  <si>
    <t>B0761PDMGN</t>
  </si>
  <si>
    <t>ZAIAI Women's Parkas Anoraks Long Coats with Removable Faux Fur Trim Hood Black S</t>
  </si>
  <si>
    <t>MY71107K0XL</t>
  </si>
  <si>
    <t>B0761PVQYZ</t>
  </si>
  <si>
    <t>ZAIAI Women's Parkas Anoraks Long Coats with Removable Faux Fur Trim Hood Black XL</t>
  </si>
  <si>
    <t>MY71107K0XXL</t>
  </si>
  <si>
    <t>B0761NLN4R</t>
  </si>
  <si>
    <t>ZAIAI Women's Parkas Anoraks Long Coats with Removable Faux Fur Trim Hood Black XXL</t>
  </si>
  <si>
    <t>MY71107MSL</t>
  </si>
  <si>
    <t>B0761P4LKC</t>
  </si>
  <si>
    <t>ZAIAI Women's Parka Winter Coat Overcoat Long Down Jacket Outwear Beige L</t>
  </si>
  <si>
    <t>MY71107MSM</t>
  </si>
  <si>
    <t>B0761NJPNM</t>
  </si>
  <si>
    <t>ZAIAI Women's Parka Winter Coat Overcoat Long Down Jacket Outwear Beige M</t>
  </si>
  <si>
    <t>MY71107MSS</t>
  </si>
  <si>
    <t>B0761NM3SZ</t>
  </si>
  <si>
    <t>ZAIAI Women's Parka Winter Coat Overcoat Long Down Jacket Outwear Beige S</t>
  </si>
  <si>
    <t>MY71107MSXL</t>
  </si>
  <si>
    <t>B0761NNM84</t>
  </si>
  <si>
    <t>ZAIAI Women's Parka Winter Coat Overcoat Long Down Jacket Outwear Beige XL</t>
  </si>
  <si>
    <t>库存为4</t>
  </si>
  <si>
    <t>MY71107MSXXL</t>
  </si>
  <si>
    <t>B0761PTZY2</t>
  </si>
  <si>
    <t>ZAIAI Women's Parka Winter Coat Overcoat Long Down Jacket Outwear Beige XXL</t>
  </si>
  <si>
    <t>MY71107ZQL</t>
  </si>
  <si>
    <t>B0761NJH9L</t>
  </si>
  <si>
    <t>ZAIAI Women's Parka Winter Coat Overcoat Long Down Jacket Outwear Navy L</t>
  </si>
  <si>
    <t>MY71107ZQM</t>
  </si>
  <si>
    <t>B0761P4LK2</t>
  </si>
  <si>
    <t>ZAIAI Women's Parka Winter Coat Overcoat Long Down Jacket Outwear Navy M</t>
  </si>
  <si>
    <t>MY71107ZQS</t>
  </si>
  <si>
    <t>B0761N286T</t>
  </si>
  <si>
    <t>ZAIAI Women's Parka Winter Coat Overcoat Long Down Jacket Outwear Navy S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</si>
  <si>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</si>
  <si>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</si>
  <si>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</si>
  <si>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</si>
  <si>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</si>
  <si>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</si>
  <si>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MY71115K0L</t>
  </si>
  <si>
    <t>B0761NMRB4</t>
  </si>
  <si>
    <t>ZAIAI Women's Coat With Fur Hood With 90% Down Parka Puffer Jacket Black M</t>
  </si>
  <si>
    <t>库存为10</t>
  </si>
  <si>
    <t>MY71115K0M</t>
  </si>
  <si>
    <t>B0761NNDWM</t>
  </si>
  <si>
    <t>ZAIAI Women's Coat with Fur Hood with 90% Down Parka Puffer Jacket Black S</t>
  </si>
  <si>
    <t>MY71115K0S</t>
  </si>
  <si>
    <t>B0761PDHV5</t>
  </si>
  <si>
    <t>ZAIAI Women's Coat with Fur Hood with 90% Down Parka Puffer Jacket Black XS</t>
  </si>
  <si>
    <t>库存为15</t>
  </si>
  <si>
    <t>MY71115K0XL</t>
  </si>
  <si>
    <t>B0761NGWJD</t>
  </si>
  <si>
    <t>ZAIAI Women's Coat with Fur Hood with 90% Down Parka Puffer Jacket Black L</t>
  </si>
  <si>
    <t>MY71115K0XXL</t>
  </si>
  <si>
    <t>B0761SKR3P</t>
  </si>
  <si>
    <t>ZAIAI Women's Coat with Fur Hood with 90% Down Parka Puffer Jacket Black XL</t>
  </si>
  <si>
    <t>MY71115MSL</t>
  </si>
  <si>
    <t>B0761NFTQC</t>
  </si>
  <si>
    <t>ZAIAI Women's Coat with Fur Hood with 90% Down Parka Puffer Jacket Beige M</t>
  </si>
  <si>
    <t>MY71115MSM</t>
  </si>
  <si>
    <t>B0761PV952</t>
  </si>
  <si>
    <t>ZAIAI Women's Coat With Fur Hood With 90% Down Parka Puffer Jacket Beige M</t>
  </si>
  <si>
    <t>MY71115MSS</t>
  </si>
  <si>
    <t>B0761NHB1Y</t>
  </si>
  <si>
    <t>ZAIAI Women's Coat with Fur Hood with 90% Down Parka Puffer Jacket Beige XS</t>
  </si>
  <si>
    <t>MY71115MSXL</t>
  </si>
  <si>
    <t>B0761PWB12</t>
  </si>
  <si>
    <t>ZAIAI Women's Coat with Fur Hood with 90% Down Parka Puffer Jacket Beige L</t>
  </si>
  <si>
    <t>MY71115MSXXL</t>
  </si>
  <si>
    <t>B0761N46BN</t>
  </si>
  <si>
    <t>ZAIAI Women's Coat with Fur Hood with 90% Down Parka Puffer Jacket Beige XL</t>
  </si>
  <si>
    <t>MY71115ZQL</t>
  </si>
  <si>
    <t>B0761S2M63</t>
  </si>
  <si>
    <t>ZAIAI Women's Quilted Puffer Jacket Coat with Faux Fur Trimmed Hood Navy M</t>
  </si>
  <si>
    <t>MY71115ZQM</t>
  </si>
  <si>
    <t>B0761MXCJB</t>
  </si>
  <si>
    <t>ZAIAI Women's Quilted Puffer Jacket Coat with Faux Fur Trimmed Hood Navy S</t>
  </si>
  <si>
    <t>MY71115ZQS</t>
  </si>
  <si>
    <t>B0761R6ZG2</t>
  </si>
  <si>
    <t>ZAIAI Women's Quilted Puffer Jacket Coat with Faux Fur Trimmed Hood Navy XS</t>
  </si>
  <si>
    <t>MY71115ZQXL</t>
  </si>
  <si>
    <t>B0761PBXCV</t>
  </si>
  <si>
    <t>ZAIAI Women's Quilted Puffer Jacket Coat with Faux Fur Trimmed Hood Navy L</t>
  </si>
  <si>
    <t>NL-JZZU-6KCF</t>
  </si>
  <si>
    <t>PG-UDJF-U1WZ</t>
  </si>
  <si>
    <t>PJ-CPH7-5MXE</t>
  </si>
  <si>
    <t>B01G3AIYJO</t>
  </si>
  <si>
    <t>Gratiae Organic Beauty By Nature Exfoliating Body Scrub, Apple/Green Tea and Ginger by Gratiae Organic Beauty By Nature</t>
  </si>
  <si>
    <t>库存为101</t>
  </si>
  <si>
    <t>PP-7C5M-OKFZ</t>
  </si>
  <si>
    <t>B00GU2QXVC</t>
  </si>
  <si>
    <t>Premier Dead Sea Refining Moisture Cream</t>
  </si>
  <si>
    <t>PV-OG2H-VHEI</t>
  </si>
  <si>
    <t>B004X9BTGI</t>
  </si>
  <si>
    <t>Gratiae Organicss Hand and Nail Care Treatment, 4.08 Ounce</t>
  </si>
  <si>
    <t>PW-89MW-RR8Y</t>
  </si>
  <si>
    <t>B004H07KKC</t>
  </si>
  <si>
    <t>Premier Dead Sea Skin Toner for Normal/Oily Skin, Pink, 8.4535-Fluid Ounce</t>
  </si>
  <si>
    <t>QW-6H25-PV48</t>
  </si>
  <si>
    <t>B003NJKS48</t>
  </si>
  <si>
    <t>Dead Sea Premier Luxury Milk Cleanser</t>
  </si>
  <si>
    <t>R0-9P3N-MM7G</t>
  </si>
  <si>
    <t>SM-LSLQ-C3QE</t>
  </si>
  <si>
    <t>B004X9BSG4</t>
  </si>
  <si>
    <t>Gratiae Organics Lifting Facial Mask, 1.7 Ounce</t>
  </si>
  <si>
    <t>U9-B86F-U3BU</t>
  </si>
  <si>
    <t>UH-SMM5-RLVI</t>
  </si>
  <si>
    <t>YI-LW70-5D1O</t>
  </si>
  <si>
    <t>B003Y7CMF2</t>
  </si>
  <si>
    <t>Premier Dead Sea Instant Stretching and Revitalizing Lifting Mask - 2.04 oz Ounce</t>
  </si>
  <si>
    <t>ZW-A85T-DGVQ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</si>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</sst>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2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31" borderId="8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9" fillId="7" borderId="7" applyNumberFormat="0" applyAlignment="0" applyProtection="0">
      <alignment vertical="center"/>
    </xf>
    <xf numFmtId="0" fontId="9" fillId="7" borderId="2" applyNumberFormat="0" applyAlignment="0" applyProtection="0">
      <alignment vertical="center"/>
    </xf>
    <xf numFmtId="0" fontId="14" fillId="17" borderId="4" applyNumberFormat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</cellStyleXfs>
  <cellXfs count="40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6" fillId="0" borderId="0" xfId="0" applyFont="1" applyFill="1" applyAlignment="1"/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1830</v>
          </cell>
          <cell r="C2">
            <v>40</v>
          </cell>
          <cell r="D2">
            <v>0</v>
          </cell>
          <cell r="E2">
            <v>146</v>
          </cell>
          <cell r="F2">
            <v>146</v>
          </cell>
          <cell r="G2">
            <v>16</v>
          </cell>
          <cell r="H2">
            <v>103</v>
          </cell>
          <cell r="I2">
            <v>16</v>
          </cell>
          <cell r="J2">
            <v>384</v>
          </cell>
          <cell r="K2">
            <v>674</v>
          </cell>
          <cell r="L2">
            <v>488</v>
          </cell>
          <cell r="M2">
            <v>129</v>
          </cell>
          <cell r="N2">
            <v>1675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HF-I2e-AABS</v>
          </cell>
          <cell r="B4">
            <v>54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2</v>
          </cell>
          <cell r="J4">
            <v>58</v>
          </cell>
          <cell r="K4">
            <v>0</v>
          </cell>
          <cell r="L4">
            <v>0</v>
          </cell>
          <cell r="M4">
            <v>0</v>
          </cell>
          <cell r="N4">
            <v>58</v>
          </cell>
        </row>
        <row r="5">
          <cell r="A5" t="str">
            <v>3S-1QX9-6RRP</v>
          </cell>
          <cell r="B5">
            <v>21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4</v>
          </cell>
          <cell r="H5">
            <v>4</v>
          </cell>
          <cell r="I5">
            <v>0</v>
          </cell>
          <cell r="J5">
            <v>2</v>
          </cell>
          <cell r="K5">
            <v>24</v>
          </cell>
          <cell r="L5">
            <v>0</v>
          </cell>
          <cell r="M5">
            <v>0</v>
          </cell>
          <cell r="N5">
            <v>26</v>
          </cell>
        </row>
        <row r="6">
          <cell r="A6" t="str">
            <v>6T-8V8W-3S67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2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0Z-KJNM-D56T</v>
          </cell>
          <cell r="B7">
            <v>82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3</v>
          </cell>
          <cell r="H7">
            <v>3</v>
          </cell>
          <cell r="I7">
            <v>0</v>
          </cell>
          <cell r="J7">
            <v>0</v>
          </cell>
          <cell r="K7">
            <v>88</v>
          </cell>
          <cell r="L7">
            <v>0</v>
          </cell>
          <cell r="M7">
            <v>0</v>
          </cell>
          <cell r="N7">
            <v>88</v>
          </cell>
        </row>
        <row r="8">
          <cell r="A8" t="str">
            <v>3E-OBBY-DIEZ</v>
          </cell>
          <cell r="B8">
            <v>30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</v>
          </cell>
          <cell r="I8">
            <v>0</v>
          </cell>
          <cell r="J8">
            <v>1</v>
          </cell>
          <cell r="K8">
            <v>30</v>
          </cell>
          <cell r="L8">
            <v>0</v>
          </cell>
          <cell r="M8">
            <v>0</v>
          </cell>
          <cell r="N8">
            <v>31</v>
          </cell>
        </row>
        <row r="9">
          <cell r="A9" t="str">
            <v>HF-c1e-MCND</v>
          </cell>
          <cell r="B9">
            <v>8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3</v>
          </cell>
          <cell r="J9">
            <v>22</v>
          </cell>
          <cell r="K9">
            <v>0</v>
          </cell>
          <cell r="L9">
            <v>0</v>
          </cell>
          <cell r="M9">
            <v>0</v>
          </cell>
          <cell r="N9">
            <v>22</v>
          </cell>
        </row>
        <row r="10">
          <cell r="A10" t="str">
            <v>HF-b3e-PWCC</v>
          </cell>
          <cell r="B10">
            <v>43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1</v>
          </cell>
          <cell r="I10">
            <v>0</v>
          </cell>
          <cell r="J10">
            <v>47</v>
          </cell>
          <cell r="K10">
            <v>0</v>
          </cell>
          <cell r="L10">
            <v>0</v>
          </cell>
          <cell r="M10">
            <v>0</v>
          </cell>
          <cell r="N10">
            <v>47</v>
          </cell>
        </row>
        <row r="11">
          <cell r="A11" t="str">
            <v>HF-a69e-PEFG</v>
          </cell>
          <cell r="B11">
            <v>23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28</v>
          </cell>
          <cell r="K11">
            <v>0</v>
          </cell>
          <cell r="L11">
            <v>0</v>
          </cell>
          <cell r="M11">
            <v>0</v>
          </cell>
          <cell r="N11">
            <v>28</v>
          </cell>
        </row>
        <row r="12">
          <cell r="A12" t="str">
            <v>JQ-N6LK-OQ03</v>
          </cell>
          <cell r="B12">
            <v>20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2</v>
          </cell>
          <cell r="H12">
            <v>0</v>
          </cell>
          <cell r="I12">
            <v>2</v>
          </cell>
          <cell r="J12">
            <v>1</v>
          </cell>
          <cell r="K12">
            <v>22</v>
          </cell>
          <cell r="L12">
            <v>0</v>
          </cell>
          <cell r="M12">
            <v>0</v>
          </cell>
          <cell r="N12">
            <v>23</v>
          </cell>
        </row>
        <row r="13">
          <cell r="A13" t="str">
            <v>HF-c7e-LANC</v>
          </cell>
          <cell r="B13">
            <v>55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2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L1-BT23-OVPU</v>
          </cell>
          <cell r="B14">
            <v>74</v>
          </cell>
          <cell r="C14">
            <v>5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11</v>
          </cell>
          <cell r="K14">
            <v>5</v>
          </cell>
          <cell r="L14">
            <v>65</v>
          </cell>
          <cell r="M14">
            <v>0</v>
          </cell>
          <cell r="N14">
            <v>81</v>
          </cell>
        </row>
        <row r="15">
          <cell r="A15" t="str">
            <v>IM-YEIX-VVX8</v>
          </cell>
          <cell r="B15">
            <v>90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2</v>
          </cell>
          <cell r="H15">
            <v>4</v>
          </cell>
          <cell r="I15">
            <v>0</v>
          </cell>
          <cell r="J15">
            <v>1</v>
          </cell>
          <cell r="K15">
            <v>0</v>
          </cell>
          <cell r="L15">
            <v>1</v>
          </cell>
          <cell r="M15">
            <v>96</v>
          </cell>
          <cell r="N15">
            <v>98</v>
          </cell>
        </row>
        <row r="16">
          <cell r="A16" t="str">
            <v>HF-a37e-FCMG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0</v>
          </cell>
          <cell r="I16">
            <v>2</v>
          </cell>
          <cell r="J16">
            <v>2</v>
          </cell>
          <cell r="K16">
            <v>0</v>
          </cell>
          <cell r="L16">
            <v>0</v>
          </cell>
          <cell r="M16">
            <v>0</v>
          </cell>
          <cell r="N16">
            <v>2</v>
          </cell>
        </row>
        <row r="17">
          <cell r="A17" t="str">
            <v>HF-a85e-RFPM</v>
          </cell>
          <cell r="B17">
            <v>33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1</v>
          </cell>
          <cell r="I17">
            <v>2</v>
          </cell>
          <cell r="J17">
            <v>41</v>
          </cell>
          <cell r="K17">
            <v>0</v>
          </cell>
          <cell r="L17">
            <v>0</v>
          </cell>
          <cell r="M17">
            <v>0</v>
          </cell>
          <cell r="N17">
            <v>41</v>
          </cell>
        </row>
        <row r="18">
          <cell r="A18" t="str">
            <v>HF-n2ae-NBNK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HF-g2e-ACRC</v>
          </cell>
          <cell r="B19">
            <v>12</v>
          </cell>
          <cell r="C19">
            <v>1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HF-a1e-LCMC</v>
          </cell>
          <cell r="B20">
            <v>33</v>
          </cell>
          <cell r="C20">
            <v>2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R0-9P3N-MM7G</v>
          </cell>
          <cell r="B21">
            <v>116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118</v>
          </cell>
          <cell r="L21">
            <v>0</v>
          </cell>
          <cell r="M21">
            <v>0</v>
          </cell>
          <cell r="N21">
            <v>118</v>
          </cell>
        </row>
        <row r="22">
          <cell r="A22" t="str">
            <v>SM-LSLQ-C3QE</v>
          </cell>
          <cell r="B22">
            <v>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</v>
          </cell>
          <cell r="I22">
            <v>0</v>
          </cell>
          <cell r="J22">
            <v>3</v>
          </cell>
          <cell r="K22">
            <v>0</v>
          </cell>
          <cell r="L22">
            <v>0</v>
          </cell>
          <cell r="M22">
            <v>0</v>
          </cell>
          <cell r="N22">
            <v>3</v>
          </cell>
        </row>
        <row r="23">
          <cell r="A23" t="str">
            <v>PP-7C5M-OKFZ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61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MY71115K0XXL</v>
          </cell>
          <cell r="B24">
            <v>12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1</v>
          </cell>
          <cell r="K24">
            <v>10</v>
          </cell>
          <cell r="L24">
            <v>0</v>
          </cell>
          <cell r="M24">
            <v>0</v>
          </cell>
          <cell r="N24">
            <v>11</v>
          </cell>
        </row>
        <row r="25">
          <cell r="A25" t="str">
            <v>PV-OG2H-VHEI</v>
          </cell>
          <cell r="B25">
            <v>6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3</v>
          </cell>
          <cell r="K25">
            <v>0</v>
          </cell>
          <cell r="L25">
            <v>3</v>
          </cell>
          <cell r="M25">
            <v>0</v>
          </cell>
          <cell r="N25">
            <v>6</v>
          </cell>
        </row>
        <row r="26">
          <cell r="A26" t="str">
            <v>PW-89MW-RR8Y</v>
          </cell>
          <cell r="B26">
            <v>111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117</v>
          </cell>
          <cell r="M26">
            <v>0</v>
          </cell>
          <cell r="N26">
            <v>117</v>
          </cell>
        </row>
        <row r="27">
          <cell r="A27" t="str">
            <v>MY71107ZQXXL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MY16055K0L</v>
          </cell>
          <cell r="B28">
            <v>11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10</v>
          </cell>
          <cell r="L28">
            <v>0</v>
          </cell>
          <cell r="M28">
            <v>0</v>
          </cell>
          <cell r="N28">
            <v>10</v>
          </cell>
        </row>
        <row r="29">
          <cell r="A29" t="str">
            <v>MY71115K0S</v>
          </cell>
          <cell r="B29">
            <v>15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15</v>
          </cell>
          <cell r="L29">
            <v>0</v>
          </cell>
          <cell r="M29">
            <v>0</v>
          </cell>
          <cell r="N29">
            <v>15</v>
          </cell>
        </row>
        <row r="30">
          <cell r="A30" t="str">
            <v>HF-a6e-LASS</v>
          </cell>
          <cell r="B30">
            <v>84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MY16055ZQS</v>
          </cell>
          <cell r="B31">
            <v>6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6</v>
          </cell>
          <cell r="L31">
            <v>0</v>
          </cell>
          <cell r="M31">
            <v>0</v>
          </cell>
          <cell r="N31">
            <v>6</v>
          </cell>
        </row>
        <row r="32">
          <cell r="A32" t="str">
            <v>MY71107MSXL</v>
          </cell>
          <cell r="B32">
            <v>4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2</v>
          </cell>
          <cell r="K32">
            <v>2</v>
          </cell>
          <cell r="L32">
            <v>0</v>
          </cell>
          <cell r="M32">
            <v>0</v>
          </cell>
          <cell r="N32">
            <v>4</v>
          </cell>
        </row>
        <row r="33">
          <cell r="A33" t="str">
            <v>MY71115ZQL</v>
          </cell>
          <cell r="B33">
            <v>8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2</v>
          </cell>
          <cell r="K33">
            <v>6</v>
          </cell>
          <cell r="L33">
            <v>0</v>
          </cell>
          <cell r="M33">
            <v>0</v>
          </cell>
          <cell r="N33">
            <v>8</v>
          </cell>
        </row>
        <row r="34">
          <cell r="A34" t="str">
            <v>MY71115MSS</v>
          </cell>
          <cell r="B34">
            <v>7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7</v>
          </cell>
          <cell r="L34">
            <v>0</v>
          </cell>
          <cell r="M34">
            <v>0</v>
          </cell>
          <cell r="N34">
            <v>7</v>
          </cell>
        </row>
        <row r="35">
          <cell r="A35" t="str">
            <v>MY16055MSL</v>
          </cell>
          <cell r="B35">
            <v>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6</v>
          </cell>
          <cell r="L35">
            <v>0</v>
          </cell>
          <cell r="M35">
            <v>0</v>
          </cell>
          <cell r="N35">
            <v>6</v>
          </cell>
        </row>
        <row r="36">
          <cell r="A36" t="str">
            <v>MY71115ZQXL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MY16055K0S</v>
          </cell>
          <cell r="B37">
            <v>14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14</v>
          </cell>
          <cell r="L37">
            <v>0</v>
          </cell>
          <cell r="M37">
            <v>0</v>
          </cell>
          <cell r="N37">
            <v>14</v>
          </cell>
        </row>
        <row r="38">
          <cell r="A38" t="str">
            <v>MY71115K0L</v>
          </cell>
          <cell r="B38">
            <v>10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2</v>
          </cell>
          <cell r="K38">
            <v>8</v>
          </cell>
          <cell r="L38">
            <v>0</v>
          </cell>
          <cell r="M38">
            <v>0</v>
          </cell>
          <cell r="N38">
            <v>10</v>
          </cell>
        </row>
        <row r="39">
          <cell r="A39" t="str">
            <v>HF-g104e-PCFS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MY71107K0L</v>
          </cell>
          <cell r="B40">
            <v>11</v>
          </cell>
          <cell r="C40">
            <v>1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11</v>
          </cell>
          <cell r="L40">
            <v>0</v>
          </cell>
          <cell r="M40">
            <v>0</v>
          </cell>
          <cell r="N40">
            <v>11</v>
          </cell>
        </row>
        <row r="41">
          <cell r="A41" t="str">
            <v>MY16055K0M</v>
          </cell>
          <cell r="B41">
            <v>12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1</v>
          </cell>
          <cell r="K41">
            <v>11</v>
          </cell>
          <cell r="L41">
            <v>0</v>
          </cell>
          <cell r="M41">
            <v>0</v>
          </cell>
          <cell r="N41">
            <v>12</v>
          </cell>
        </row>
        <row r="42">
          <cell r="A42" t="str">
            <v>MY16055K0XXL</v>
          </cell>
          <cell r="B42">
            <v>14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12</v>
          </cell>
          <cell r="L42">
            <v>0</v>
          </cell>
          <cell r="M42">
            <v>0</v>
          </cell>
          <cell r="N42">
            <v>13</v>
          </cell>
        </row>
        <row r="43">
          <cell r="A43" t="str">
            <v>MY71107ZQM</v>
          </cell>
          <cell r="B43">
            <v>4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4</v>
          </cell>
          <cell r="L43">
            <v>0</v>
          </cell>
          <cell r="M43">
            <v>0</v>
          </cell>
          <cell r="N43">
            <v>4</v>
          </cell>
        </row>
        <row r="44">
          <cell r="A44" t="str">
            <v>HF-a21e-SCFM</v>
          </cell>
          <cell r="B44">
            <v>20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22</v>
          </cell>
          <cell r="K44">
            <v>0</v>
          </cell>
          <cell r="L44">
            <v>0</v>
          </cell>
          <cell r="M44">
            <v>0</v>
          </cell>
          <cell r="N44">
            <v>22</v>
          </cell>
        </row>
        <row r="45">
          <cell r="A45" t="str">
            <v>MY16055K0XL</v>
          </cell>
          <cell r="B45">
            <v>13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2</v>
          </cell>
          <cell r="K45">
            <v>10</v>
          </cell>
          <cell r="L45">
            <v>0</v>
          </cell>
          <cell r="M45">
            <v>0</v>
          </cell>
          <cell r="N45">
            <v>12</v>
          </cell>
        </row>
        <row r="46">
          <cell r="A46" t="str">
            <v>MY71115MSL</v>
          </cell>
          <cell r="B46">
            <v>8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8</v>
          </cell>
          <cell r="L46">
            <v>0</v>
          </cell>
          <cell r="M46">
            <v>0</v>
          </cell>
          <cell r="N46">
            <v>8</v>
          </cell>
        </row>
        <row r="47">
          <cell r="A47" t="str">
            <v>HF-l3e-TEYG</v>
          </cell>
          <cell r="B47">
            <v>54</v>
          </cell>
          <cell r="C47">
            <v>1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55</v>
          </cell>
          <cell r="K47">
            <v>0</v>
          </cell>
          <cell r="L47">
            <v>0</v>
          </cell>
          <cell r="M47">
            <v>0</v>
          </cell>
          <cell r="N47">
            <v>55</v>
          </cell>
        </row>
        <row r="48">
          <cell r="A48" t="str">
            <v>MY71107ZQXL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HF-a33e-LUHC</v>
          </cell>
          <cell r="B49">
            <v>57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57</v>
          </cell>
          <cell r="K49">
            <v>0</v>
          </cell>
          <cell r="L49">
            <v>0</v>
          </cell>
          <cell r="M49">
            <v>0</v>
          </cell>
          <cell r="N49">
            <v>57</v>
          </cell>
        </row>
        <row r="50">
          <cell r="A50" t="str">
            <v>PJ-CPH7-5MXE</v>
          </cell>
          <cell r="B50">
            <v>101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2</v>
          </cell>
          <cell r="K50">
            <v>2</v>
          </cell>
          <cell r="L50">
            <v>94</v>
          </cell>
          <cell r="M50">
            <v>0</v>
          </cell>
          <cell r="N50">
            <v>98</v>
          </cell>
        </row>
        <row r="51">
          <cell r="A51" t="str">
            <v>MY71107K0XXL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MY71115K0XL</v>
          </cell>
          <cell r="B52">
            <v>15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1</v>
          </cell>
          <cell r="K52">
            <v>13</v>
          </cell>
          <cell r="L52">
            <v>0</v>
          </cell>
          <cell r="M52">
            <v>0</v>
          </cell>
          <cell r="N52">
            <v>14</v>
          </cell>
        </row>
        <row r="53">
          <cell r="A53" t="str">
            <v>MY16055MSXXL</v>
          </cell>
          <cell r="B53">
            <v>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7</v>
          </cell>
          <cell r="L53">
            <v>0</v>
          </cell>
          <cell r="M53">
            <v>0</v>
          </cell>
          <cell r="N53">
            <v>7</v>
          </cell>
        </row>
        <row r="54">
          <cell r="A54" t="str">
            <v>MY16055ZQXXL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4</v>
          </cell>
          <cell r="L54">
            <v>0</v>
          </cell>
          <cell r="M54">
            <v>0</v>
          </cell>
          <cell r="N54">
            <v>4</v>
          </cell>
        </row>
        <row r="55">
          <cell r="A55" t="str">
            <v>MY71107ZQL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HF-a80e-BTBM</v>
          </cell>
          <cell r="B56">
            <v>42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MY71115MSXXL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6</v>
          </cell>
          <cell r="L57">
            <v>0</v>
          </cell>
          <cell r="M57">
            <v>0</v>
          </cell>
          <cell r="N57">
            <v>6</v>
          </cell>
        </row>
        <row r="58">
          <cell r="A58" t="str">
            <v>MY16055MSS</v>
          </cell>
          <cell r="B58">
            <v>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7</v>
          </cell>
          <cell r="L58">
            <v>0</v>
          </cell>
          <cell r="M58">
            <v>0</v>
          </cell>
          <cell r="N58">
            <v>7</v>
          </cell>
        </row>
        <row r="59">
          <cell r="A59" t="str">
            <v>CF-7C1X-596L</v>
          </cell>
          <cell r="B59">
            <v>83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84</v>
          </cell>
          <cell r="L59">
            <v>0</v>
          </cell>
          <cell r="M59">
            <v>0</v>
          </cell>
          <cell r="N59">
            <v>84</v>
          </cell>
        </row>
        <row r="60">
          <cell r="A60" t="str">
            <v>MY71107MSL</v>
          </cell>
          <cell r="B60">
            <v>6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6</v>
          </cell>
          <cell r="L60">
            <v>0</v>
          </cell>
          <cell r="M60">
            <v>0</v>
          </cell>
          <cell r="N60">
            <v>6</v>
          </cell>
        </row>
        <row r="61">
          <cell r="A61" t="str">
            <v>MY71115MSM</v>
          </cell>
          <cell r="B61">
            <v>6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6</v>
          </cell>
          <cell r="L61">
            <v>0</v>
          </cell>
          <cell r="M61">
            <v>0</v>
          </cell>
          <cell r="N61">
            <v>6</v>
          </cell>
        </row>
        <row r="62">
          <cell r="A62" t="str">
            <v>MY16055MSXL</v>
          </cell>
          <cell r="B62">
            <v>7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7</v>
          </cell>
          <cell r="L62">
            <v>0</v>
          </cell>
          <cell r="M62">
            <v>0</v>
          </cell>
          <cell r="N62">
            <v>7</v>
          </cell>
        </row>
        <row r="63">
          <cell r="A63" t="str">
            <v>HF-T9QA-X3JZ</v>
          </cell>
          <cell r="B63">
            <v>22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1</v>
          </cell>
          <cell r="K63">
            <v>20</v>
          </cell>
          <cell r="L63">
            <v>0</v>
          </cell>
          <cell r="M63">
            <v>0</v>
          </cell>
          <cell r="N63">
            <v>21</v>
          </cell>
        </row>
        <row r="64">
          <cell r="A64" t="str">
            <v>97-6SJH-1LTA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MY71115K0M</v>
          </cell>
          <cell r="B65">
            <v>13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12</v>
          </cell>
          <cell r="L65">
            <v>0</v>
          </cell>
          <cell r="M65">
            <v>0</v>
          </cell>
          <cell r="N65">
            <v>12</v>
          </cell>
        </row>
        <row r="66">
          <cell r="A66" t="str">
            <v>QW-6H25-PV48</v>
          </cell>
          <cell r="B66">
            <v>34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1</v>
          </cell>
          <cell r="K66">
            <v>2</v>
          </cell>
          <cell r="L66">
            <v>3</v>
          </cell>
          <cell r="M66">
            <v>27</v>
          </cell>
          <cell r="N66">
            <v>33</v>
          </cell>
        </row>
        <row r="67">
          <cell r="A67" t="str">
            <v>MY71107MSS</v>
          </cell>
          <cell r="B67">
            <v>5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1</v>
          </cell>
          <cell r="K67">
            <v>4</v>
          </cell>
          <cell r="L67">
            <v>0</v>
          </cell>
          <cell r="M67">
            <v>0</v>
          </cell>
          <cell r="N67">
            <v>5</v>
          </cell>
        </row>
        <row r="68">
          <cell r="A68" t="str">
            <v>MY71115ZQS</v>
          </cell>
          <cell r="B68">
            <v>8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8</v>
          </cell>
          <cell r="L68">
            <v>0</v>
          </cell>
          <cell r="M68">
            <v>0</v>
          </cell>
          <cell r="N68">
            <v>8</v>
          </cell>
        </row>
        <row r="69">
          <cell r="A69" t="str">
            <v>06-LI7A-IZ44</v>
          </cell>
          <cell r="B69">
            <v>140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1</v>
          </cell>
          <cell r="L69">
            <v>149</v>
          </cell>
          <cell r="M69">
            <v>0</v>
          </cell>
          <cell r="N69">
            <v>151</v>
          </cell>
        </row>
        <row r="70">
          <cell r="A70" t="str">
            <v>HF-f24-ACPF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MY71107MSXXL</v>
          </cell>
          <cell r="B71">
            <v>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58-6A0P-DRT9</v>
          </cell>
          <cell r="B72">
            <v>55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55</v>
          </cell>
          <cell r="M72">
            <v>0</v>
          </cell>
          <cell r="N72">
            <v>55</v>
          </cell>
        </row>
        <row r="73">
          <cell r="A73" t="str">
            <v>MY16055ZQXL</v>
          </cell>
          <cell r="B73">
            <v>7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2</v>
          </cell>
          <cell r="K73">
            <v>3</v>
          </cell>
          <cell r="L73">
            <v>0</v>
          </cell>
          <cell r="M73">
            <v>0</v>
          </cell>
          <cell r="N73">
            <v>5</v>
          </cell>
        </row>
        <row r="74">
          <cell r="A74" t="str">
            <v>MY71115ZQM</v>
          </cell>
          <cell r="B74">
            <v>6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6</v>
          </cell>
          <cell r="L74">
            <v>0</v>
          </cell>
          <cell r="M74">
            <v>0</v>
          </cell>
          <cell r="N74">
            <v>6</v>
          </cell>
        </row>
        <row r="75">
          <cell r="A75" t="str">
            <v>MY71107K0XL</v>
          </cell>
          <cell r="B75">
            <v>7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7</v>
          </cell>
          <cell r="K75">
            <v>0</v>
          </cell>
          <cell r="L75">
            <v>0</v>
          </cell>
          <cell r="M75">
            <v>0</v>
          </cell>
          <cell r="N75">
            <v>7</v>
          </cell>
        </row>
        <row r="76">
          <cell r="A76" t="str">
            <v>MY71107ZQS</v>
          </cell>
          <cell r="B76">
            <v>8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8</v>
          </cell>
          <cell r="L76">
            <v>0</v>
          </cell>
          <cell r="M76">
            <v>0</v>
          </cell>
          <cell r="N76">
            <v>8</v>
          </cell>
        </row>
        <row r="77">
          <cell r="A77" t="str">
            <v>MY71107MSM</v>
          </cell>
          <cell r="B77">
            <v>6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6</v>
          </cell>
          <cell r="L77">
            <v>0</v>
          </cell>
          <cell r="M77">
            <v>0</v>
          </cell>
          <cell r="N77">
            <v>6</v>
          </cell>
        </row>
        <row r="78">
          <cell r="A78" t="str">
            <v>MY16055MSM</v>
          </cell>
          <cell r="B78">
            <v>8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7</v>
          </cell>
          <cell r="L78">
            <v>0</v>
          </cell>
          <cell r="M78">
            <v>0</v>
          </cell>
          <cell r="N78">
            <v>7</v>
          </cell>
        </row>
        <row r="79">
          <cell r="A79" t="str">
            <v>2N-C2ZT-YSNI</v>
          </cell>
          <cell r="B79">
            <v>8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</v>
          </cell>
          <cell r="K79">
            <v>0</v>
          </cell>
          <cell r="L79">
            <v>1</v>
          </cell>
          <cell r="M79">
            <v>6</v>
          </cell>
          <cell r="N79">
            <v>8</v>
          </cell>
        </row>
        <row r="80">
          <cell r="A80" t="str">
            <v>MY71107K0S</v>
          </cell>
          <cell r="B80">
            <v>13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13</v>
          </cell>
          <cell r="L80">
            <v>0</v>
          </cell>
          <cell r="M80">
            <v>0</v>
          </cell>
          <cell r="N80">
            <v>13</v>
          </cell>
        </row>
        <row r="81">
          <cell r="A81" t="str">
            <v>MY71107K0M</v>
          </cell>
          <cell r="B81">
            <v>9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2</v>
          </cell>
          <cell r="K81">
            <v>7</v>
          </cell>
          <cell r="L81">
            <v>0</v>
          </cell>
          <cell r="M81">
            <v>0</v>
          </cell>
          <cell r="N81">
            <v>9</v>
          </cell>
        </row>
        <row r="82">
          <cell r="A82" t="str">
            <v>MY71115MSXL</v>
          </cell>
          <cell r="B82">
            <v>8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8</v>
          </cell>
          <cell r="L82">
            <v>0</v>
          </cell>
          <cell r="M82">
            <v>0</v>
          </cell>
          <cell r="N82">
            <v>8</v>
          </cell>
        </row>
        <row r="83">
          <cell r="A83" t="str">
            <v>1M-3M12-58YS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40-G0ZX-HJNG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5D-ZS9Q-CYOL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5S-TEQM-ZWF1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5X-E8TX-UKIW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7K-XLQF-24PG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8V-1JSS-5D7M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A5-X9GB-M912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B000VEWF2Q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BM-6KQ2-02X2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C3-311K-550X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DA-BINR-0UIS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DM-LSF9-NGGG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DW-MG8E-BMQG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E8-GWV1-AJMB</v>
          </cell>
          <cell r="B97">
            <v>0</v>
          </cell>
          <cell r="C97">
            <v>24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EW-ERSE-5U59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GE-EMV6-4E4J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HF-a10e-MINM</v>
          </cell>
          <cell r="B100">
            <v>0</v>
          </cell>
          <cell r="C100">
            <v>1</v>
          </cell>
          <cell r="D100">
            <v>0</v>
          </cell>
          <cell r="E100">
            <v>2</v>
          </cell>
          <cell r="F100">
            <v>2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HF-a136e-MHBB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HF-a14e-NICC</v>
          </cell>
          <cell r="B102">
            <v>0</v>
          </cell>
          <cell r="C102">
            <v>0</v>
          </cell>
          <cell r="D102">
            <v>0</v>
          </cell>
          <cell r="E102">
            <v>48</v>
          </cell>
          <cell r="F102">
            <v>48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HF-a18e-IADC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HF-a56e-EYES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HF-a5e-NCFM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HF-a69e-PEFGX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HF-a76e-GCSS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HF-a77e-TSSS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HF-a81e-MHBB</v>
          </cell>
          <cell r="B109">
            <v>0</v>
          </cell>
          <cell r="C109">
            <v>0</v>
          </cell>
          <cell r="D109">
            <v>0</v>
          </cell>
          <cell r="E109">
            <v>24</v>
          </cell>
          <cell r="F109">
            <v>24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HF-a82e-RPBB</v>
          </cell>
          <cell r="B110">
            <v>0</v>
          </cell>
          <cell r="C110">
            <v>0</v>
          </cell>
          <cell r="D110">
            <v>0</v>
          </cell>
          <cell r="E110">
            <v>72</v>
          </cell>
          <cell r="F110">
            <v>72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HF-f12-FACL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HF-f9a-GSBB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KN-2B5X-YB0L</v>
          </cell>
          <cell r="B113">
            <v>0</v>
          </cell>
          <cell r="C113">
            <v>1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KN-QWP1-D5XB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KP-1178-XPKV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L7-N9M4-0P6X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LF-QRR8-VUXE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LH-V26Y-FVKV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LY-0LSI-94LS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M5-BNRC-2A6O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MY16055ZQL</v>
          </cell>
          <cell r="B121">
            <v>0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MY16055ZQM</v>
          </cell>
          <cell r="B122">
            <v>0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NL-JZZU-6KCF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PG-UDJF-U1WZ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U9-B86F-U3BU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UH-SMM5-RLVI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YI-LW70-5D1O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ZW-A85T-DGVQ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B000VER1RU</v>
          </cell>
          <cell r="B2">
            <v>244</v>
          </cell>
          <cell r="C2">
            <v>166</v>
          </cell>
          <cell r="D2">
            <v>173</v>
          </cell>
          <cell r="E2">
            <v>107</v>
          </cell>
        </row>
        <row r="3">
          <cell r="A3" t="str">
            <v>B002DYY35Y</v>
          </cell>
          <cell r="B3">
            <v>81</v>
          </cell>
          <cell r="C3">
            <v>64</v>
          </cell>
          <cell r="D3">
            <v>29</v>
          </cell>
          <cell r="E3">
            <v>26</v>
          </cell>
        </row>
        <row r="4">
          <cell r="A4" t="str">
            <v>B00383XLTS</v>
          </cell>
          <cell r="B4">
            <v>43</v>
          </cell>
          <cell r="C4">
            <v>34</v>
          </cell>
          <cell r="D4">
            <v>32</v>
          </cell>
          <cell r="E4">
            <v>45</v>
          </cell>
        </row>
        <row r="5">
          <cell r="A5" t="str">
            <v>B003CEA88U</v>
          </cell>
          <cell r="B5">
            <v>0</v>
          </cell>
          <cell r="C5">
            <v>0</v>
          </cell>
          <cell r="D5">
            <v>31</v>
          </cell>
          <cell r="E5">
            <v>51</v>
          </cell>
        </row>
        <row r="6">
          <cell r="A6" t="str">
            <v>B000VF5WVG</v>
          </cell>
          <cell r="B6">
            <v>172</v>
          </cell>
          <cell r="C6">
            <v>184</v>
          </cell>
          <cell r="D6">
            <v>105</v>
          </cell>
          <cell r="E6">
            <v>24</v>
          </cell>
        </row>
        <row r="7">
          <cell r="A7" t="str">
            <v>B0010BBCFK</v>
          </cell>
          <cell r="B7">
            <v>0</v>
          </cell>
          <cell r="C7">
            <v>232</v>
          </cell>
          <cell r="D7">
            <v>154</v>
          </cell>
          <cell r="E7">
            <v>29</v>
          </cell>
        </row>
        <row r="8">
          <cell r="A8" t="str">
            <v>B0010OMN4G</v>
          </cell>
          <cell r="B8">
            <v>24</v>
          </cell>
          <cell r="C8">
            <v>18</v>
          </cell>
          <cell r="D8">
            <v>16</v>
          </cell>
          <cell r="E8">
            <v>5</v>
          </cell>
        </row>
        <row r="9">
          <cell r="A9" t="str">
            <v>B00115TXRE</v>
          </cell>
          <cell r="B9">
            <v>0</v>
          </cell>
          <cell r="C9">
            <v>189</v>
          </cell>
          <cell r="D9">
            <v>282</v>
          </cell>
          <cell r="E9">
            <v>219</v>
          </cell>
        </row>
        <row r="10">
          <cell r="A10" t="str">
            <v>B00117F5PG</v>
          </cell>
          <cell r="B10">
            <v>93</v>
          </cell>
          <cell r="C10">
            <v>193</v>
          </cell>
          <cell r="D10">
            <v>197</v>
          </cell>
          <cell r="E10">
            <v>25</v>
          </cell>
        </row>
        <row r="11">
          <cell r="A11" t="str">
            <v>B001278VEW</v>
          </cell>
          <cell r="B11">
            <v>17</v>
          </cell>
          <cell r="C11">
            <v>22</v>
          </cell>
          <cell r="D11">
            <v>20</v>
          </cell>
          <cell r="E11">
            <v>19</v>
          </cell>
        </row>
        <row r="12">
          <cell r="A12" t="str">
            <v>B001561M00</v>
          </cell>
          <cell r="B12">
            <v>63</v>
          </cell>
          <cell r="C12">
            <v>49</v>
          </cell>
          <cell r="D12">
            <v>52</v>
          </cell>
          <cell r="E12">
            <v>36</v>
          </cell>
        </row>
        <row r="13">
          <cell r="A13" t="str">
            <v>B00157XFNQ</v>
          </cell>
          <cell r="B13">
            <v>33</v>
          </cell>
          <cell r="C13">
            <v>48</v>
          </cell>
          <cell r="D13">
            <v>42</v>
          </cell>
          <cell r="E13">
            <v>7</v>
          </cell>
        </row>
        <row r="14">
          <cell r="A14" t="str">
            <v>B00157ZFC0</v>
          </cell>
          <cell r="B14">
            <v>29</v>
          </cell>
          <cell r="C14">
            <v>18</v>
          </cell>
          <cell r="D14">
            <v>21</v>
          </cell>
          <cell r="E14">
            <v>20</v>
          </cell>
        </row>
        <row r="15">
          <cell r="A15" t="str">
            <v>B00158196K</v>
          </cell>
          <cell r="B15">
            <v>0</v>
          </cell>
          <cell r="C15">
            <v>0</v>
          </cell>
          <cell r="D15">
            <v>20</v>
          </cell>
          <cell r="E15">
            <v>42</v>
          </cell>
        </row>
        <row r="16">
          <cell r="A16" t="str">
            <v>B0016VW618</v>
          </cell>
          <cell r="B16">
            <v>47</v>
          </cell>
          <cell r="C16">
            <v>31</v>
          </cell>
          <cell r="D16">
            <v>28</v>
          </cell>
          <cell r="E16">
            <v>19</v>
          </cell>
        </row>
        <row r="17">
          <cell r="A17" t="str">
            <v>B001DXOWA2</v>
          </cell>
          <cell r="B17">
            <v>52</v>
          </cell>
          <cell r="C17">
            <v>47</v>
          </cell>
          <cell r="D17">
            <v>29</v>
          </cell>
          <cell r="E17">
            <v>25</v>
          </cell>
        </row>
        <row r="18">
          <cell r="A18" t="str">
            <v>B002DL9M2G</v>
          </cell>
          <cell r="B18">
            <v>63</v>
          </cell>
          <cell r="C18">
            <v>39</v>
          </cell>
          <cell r="D18">
            <v>46</v>
          </cell>
          <cell r="E18">
            <v>30</v>
          </cell>
        </row>
        <row r="19">
          <cell r="A19" t="str">
            <v>B002DV0KDQ</v>
          </cell>
          <cell r="B19">
            <v>98</v>
          </cell>
          <cell r="C19">
            <v>68</v>
          </cell>
          <cell r="D19">
            <v>48</v>
          </cell>
          <cell r="E19">
            <v>55</v>
          </cell>
        </row>
        <row r="20">
          <cell r="A20" t="str">
            <v>B00384AO7O</v>
          </cell>
          <cell r="B20">
            <v>73</v>
          </cell>
          <cell r="C20">
            <v>67</v>
          </cell>
          <cell r="D20">
            <v>56</v>
          </cell>
          <cell r="E20">
            <v>46</v>
          </cell>
        </row>
        <row r="21">
          <cell r="A21" t="str">
            <v>B003NJKS48</v>
          </cell>
          <cell r="B21">
            <v>29</v>
          </cell>
          <cell r="C21">
            <v>34</v>
          </cell>
          <cell r="D21">
            <v>25</v>
          </cell>
          <cell r="E21">
            <v>26</v>
          </cell>
        </row>
        <row r="22">
          <cell r="A22" t="str">
            <v>B003NQ7P0Q</v>
          </cell>
          <cell r="B22">
            <v>0</v>
          </cell>
          <cell r="C22">
            <v>33</v>
          </cell>
          <cell r="D22">
            <v>118</v>
          </cell>
          <cell r="E22">
            <v>104</v>
          </cell>
        </row>
        <row r="23">
          <cell r="A23" t="str">
            <v>B003Y7CMF2</v>
          </cell>
          <cell r="B23">
            <v>0</v>
          </cell>
          <cell r="C23">
            <v>14</v>
          </cell>
          <cell r="D23">
            <v>39</v>
          </cell>
          <cell r="E23">
            <v>50</v>
          </cell>
        </row>
        <row r="24">
          <cell r="A24" t="str">
            <v>B003Y7D0HQ</v>
          </cell>
          <cell r="B24">
            <v>34</v>
          </cell>
          <cell r="C24">
            <v>44</v>
          </cell>
          <cell r="D24">
            <v>35</v>
          </cell>
          <cell r="E24">
            <v>36</v>
          </cell>
        </row>
        <row r="25">
          <cell r="A25" t="str">
            <v>B003Y7EU16</v>
          </cell>
          <cell r="B25">
            <v>33</v>
          </cell>
          <cell r="C25">
            <v>22</v>
          </cell>
          <cell r="D25">
            <v>28</v>
          </cell>
          <cell r="E25">
            <v>34</v>
          </cell>
        </row>
        <row r="26">
          <cell r="A26" t="str">
            <v>B004H02GDI</v>
          </cell>
          <cell r="B26">
            <v>143</v>
          </cell>
          <cell r="C26">
            <v>124</v>
          </cell>
          <cell r="D26">
            <v>101</v>
          </cell>
          <cell r="E26">
            <v>126</v>
          </cell>
        </row>
        <row r="27">
          <cell r="A27" t="str">
            <v>B004H07KKC</v>
          </cell>
          <cell r="B27">
            <v>21</v>
          </cell>
          <cell r="C27">
            <v>17</v>
          </cell>
          <cell r="D27">
            <v>12</v>
          </cell>
          <cell r="E27">
            <v>18</v>
          </cell>
        </row>
        <row r="28">
          <cell r="A28" t="str">
            <v>B004H09KEQ</v>
          </cell>
          <cell r="B28">
            <v>85</v>
          </cell>
          <cell r="C28">
            <v>234</v>
          </cell>
          <cell r="D28">
            <v>129</v>
          </cell>
          <cell r="E28">
            <v>114</v>
          </cell>
        </row>
        <row r="29">
          <cell r="A29" t="str">
            <v>B004OF9EPO</v>
          </cell>
          <cell r="B29">
            <v>0</v>
          </cell>
          <cell r="C29">
            <v>0</v>
          </cell>
          <cell r="D29">
            <v>12</v>
          </cell>
          <cell r="E29">
            <v>54</v>
          </cell>
        </row>
        <row r="30">
          <cell r="A30" t="str">
            <v>B004X9BRU6</v>
          </cell>
          <cell r="B30">
            <v>37</v>
          </cell>
          <cell r="C30">
            <v>47</v>
          </cell>
          <cell r="D30">
            <v>57</v>
          </cell>
          <cell r="E30">
            <v>51</v>
          </cell>
        </row>
        <row r="31">
          <cell r="A31" t="str">
            <v>B0052K03KA</v>
          </cell>
          <cell r="B31">
            <v>30</v>
          </cell>
          <cell r="C31">
            <v>42</v>
          </cell>
          <cell r="D31">
            <v>22</v>
          </cell>
          <cell r="E31">
            <v>25</v>
          </cell>
        </row>
        <row r="32">
          <cell r="A32" t="str">
            <v>B00BD3OU72</v>
          </cell>
          <cell r="B32">
            <v>51</v>
          </cell>
          <cell r="C32">
            <v>52</v>
          </cell>
          <cell r="D32">
            <v>52</v>
          </cell>
          <cell r="E32">
            <v>33</v>
          </cell>
        </row>
        <row r="33">
          <cell r="A33" t="str">
            <v>B00G71LV3Q</v>
          </cell>
          <cell r="B33">
            <v>252</v>
          </cell>
          <cell r="C33">
            <v>153</v>
          </cell>
          <cell r="D33">
            <v>167</v>
          </cell>
          <cell r="E33">
            <v>140</v>
          </cell>
        </row>
        <row r="34">
          <cell r="A34" t="str">
            <v>B01G3AIYJO</v>
          </cell>
          <cell r="B34">
            <v>27</v>
          </cell>
          <cell r="C34">
            <v>18</v>
          </cell>
          <cell r="D34">
            <v>32</v>
          </cell>
          <cell r="E34">
            <v>22</v>
          </cell>
        </row>
        <row r="35">
          <cell r="A35" t="str">
            <v>B01JSONMH6</v>
          </cell>
          <cell r="B35">
            <v>67</v>
          </cell>
          <cell r="C35">
            <v>57</v>
          </cell>
          <cell r="D35">
            <v>40</v>
          </cell>
          <cell r="E35">
            <v>41</v>
          </cell>
        </row>
        <row r="36">
          <cell r="A36" t="str">
            <v>B0761MXCJB</v>
          </cell>
          <cell r="B36">
            <v>5</v>
          </cell>
          <cell r="C36">
            <v>3</v>
          </cell>
          <cell r="D36">
            <v>4</v>
          </cell>
          <cell r="E36">
            <v>3</v>
          </cell>
        </row>
        <row r="37">
          <cell r="A37" t="str">
            <v>B0761N286T</v>
          </cell>
          <cell r="B37">
            <v>9</v>
          </cell>
          <cell r="C37">
            <v>2</v>
          </cell>
          <cell r="D37">
            <v>5</v>
          </cell>
          <cell r="E37">
            <v>6</v>
          </cell>
        </row>
        <row r="38">
          <cell r="A38" t="str">
            <v>B0761N3HJ3</v>
          </cell>
          <cell r="B38">
            <v>7</v>
          </cell>
          <cell r="C38">
            <v>2</v>
          </cell>
          <cell r="D38">
            <v>4</v>
          </cell>
          <cell r="E38">
            <v>6</v>
          </cell>
        </row>
        <row r="39">
          <cell r="A39" t="str">
            <v>B0761N46BN</v>
          </cell>
          <cell r="B39">
            <v>13</v>
          </cell>
          <cell r="C39">
            <v>3</v>
          </cell>
          <cell r="D39">
            <v>5</v>
          </cell>
          <cell r="E39">
            <v>7</v>
          </cell>
        </row>
        <row r="40">
          <cell r="A40" t="str">
            <v>B0761NFTQC</v>
          </cell>
          <cell r="B40">
            <v>12</v>
          </cell>
          <cell r="C40">
            <v>4</v>
          </cell>
          <cell r="D40">
            <v>4</v>
          </cell>
          <cell r="E40">
            <v>8</v>
          </cell>
        </row>
        <row r="41">
          <cell r="A41" t="str">
            <v>B0761NG4W8</v>
          </cell>
          <cell r="B41">
            <v>8</v>
          </cell>
          <cell r="C41">
            <v>3</v>
          </cell>
          <cell r="D41">
            <v>3</v>
          </cell>
          <cell r="E41">
            <v>6</v>
          </cell>
        </row>
        <row r="42">
          <cell r="A42" t="str">
            <v>B0761NGWJD</v>
          </cell>
          <cell r="B42">
            <v>10</v>
          </cell>
          <cell r="C42">
            <v>7</v>
          </cell>
          <cell r="D42">
            <v>7</v>
          </cell>
          <cell r="E42">
            <v>8</v>
          </cell>
        </row>
        <row r="43">
          <cell r="A43" t="str">
            <v>B0761NGYTK</v>
          </cell>
          <cell r="B43">
            <v>7</v>
          </cell>
          <cell r="C43">
            <v>3</v>
          </cell>
          <cell r="D43">
            <v>6</v>
          </cell>
          <cell r="E43">
            <v>5</v>
          </cell>
        </row>
        <row r="44">
          <cell r="A44" t="str">
            <v>B0761NHB1Y</v>
          </cell>
          <cell r="B44">
            <v>5</v>
          </cell>
          <cell r="C44">
            <v>4</v>
          </cell>
          <cell r="D44">
            <v>3</v>
          </cell>
          <cell r="E44">
            <v>4</v>
          </cell>
        </row>
        <row r="45">
          <cell r="A45" t="str">
            <v>B0761NJH9L</v>
          </cell>
          <cell r="B45">
            <v>5</v>
          </cell>
          <cell r="C45">
            <v>0</v>
          </cell>
          <cell r="D45">
            <v>0</v>
          </cell>
          <cell r="E45">
            <v>3</v>
          </cell>
        </row>
        <row r="46">
          <cell r="A46" t="str">
            <v>B0761NJPNM</v>
          </cell>
          <cell r="B46">
            <v>7</v>
          </cell>
          <cell r="C46">
            <v>6</v>
          </cell>
          <cell r="D46">
            <v>3</v>
          </cell>
          <cell r="E46">
            <v>3</v>
          </cell>
        </row>
        <row r="47">
          <cell r="A47" t="str">
            <v>B0761NLN4R</v>
          </cell>
          <cell r="B47">
            <v>5</v>
          </cell>
          <cell r="C47">
            <v>2</v>
          </cell>
          <cell r="D47">
            <v>6</v>
          </cell>
          <cell r="E47">
            <v>7</v>
          </cell>
        </row>
        <row r="48">
          <cell r="A48" t="str">
            <v>B0761NM1NH</v>
          </cell>
          <cell r="B48">
            <v>6</v>
          </cell>
          <cell r="C48">
            <v>2</v>
          </cell>
          <cell r="D48">
            <v>4</v>
          </cell>
          <cell r="E48">
            <v>7</v>
          </cell>
        </row>
        <row r="49">
          <cell r="A49" t="str">
            <v>B0761NM3BZ</v>
          </cell>
          <cell r="B49">
            <v>27</v>
          </cell>
          <cell r="C49">
            <v>30</v>
          </cell>
          <cell r="D49">
            <v>43</v>
          </cell>
          <cell r="E49">
            <v>41</v>
          </cell>
        </row>
        <row r="50">
          <cell r="A50" t="str">
            <v>B0761NM3SZ</v>
          </cell>
          <cell r="B50">
            <v>8</v>
          </cell>
          <cell r="C50">
            <v>4</v>
          </cell>
          <cell r="D50">
            <v>4</v>
          </cell>
          <cell r="E50">
            <v>8</v>
          </cell>
        </row>
        <row r="51">
          <cell r="A51" t="str">
            <v>B0761NMRB4</v>
          </cell>
          <cell r="B51">
            <v>7</v>
          </cell>
          <cell r="C51">
            <v>1</v>
          </cell>
          <cell r="D51">
            <v>5</v>
          </cell>
          <cell r="E51">
            <v>3</v>
          </cell>
        </row>
        <row r="52">
          <cell r="A52" t="str">
            <v>B0761NNDWM</v>
          </cell>
          <cell r="B52">
            <v>6</v>
          </cell>
          <cell r="C52">
            <v>3</v>
          </cell>
          <cell r="D52">
            <v>4</v>
          </cell>
          <cell r="E52">
            <v>8</v>
          </cell>
        </row>
        <row r="53">
          <cell r="A53" t="str">
            <v>B0761NNM84</v>
          </cell>
          <cell r="B53">
            <v>8</v>
          </cell>
          <cell r="C53">
            <v>7</v>
          </cell>
          <cell r="D53">
            <v>4</v>
          </cell>
          <cell r="E53">
            <v>12</v>
          </cell>
        </row>
        <row r="54">
          <cell r="A54" t="str">
            <v>B0761P4LK2</v>
          </cell>
          <cell r="B54">
            <v>6</v>
          </cell>
          <cell r="C54">
            <v>7</v>
          </cell>
          <cell r="D54">
            <v>5</v>
          </cell>
          <cell r="E54">
            <v>8</v>
          </cell>
        </row>
        <row r="55">
          <cell r="A55" t="str">
            <v>B0761P4LKC</v>
          </cell>
          <cell r="B55">
            <v>8</v>
          </cell>
          <cell r="C55">
            <v>3</v>
          </cell>
          <cell r="D55">
            <v>5</v>
          </cell>
          <cell r="E55">
            <v>11</v>
          </cell>
        </row>
        <row r="56">
          <cell r="A56" t="str">
            <v>B0761PBXCV</v>
          </cell>
          <cell r="B56">
            <v>5</v>
          </cell>
          <cell r="C56">
            <v>8</v>
          </cell>
          <cell r="D56">
            <v>5</v>
          </cell>
          <cell r="E56">
            <v>7</v>
          </cell>
        </row>
        <row r="57">
          <cell r="A57" t="str">
            <v>B0761PDHV5</v>
          </cell>
          <cell r="B57">
            <v>7</v>
          </cell>
          <cell r="C57">
            <v>3</v>
          </cell>
          <cell r="D57">
            <v>6</v>
          </cell>
          <cell r="E57">
            <v>11</v>
          </cell>
        </row>
        <row r="58">
          <cell r="A58" t="str">
            <v>B0761PDMGN</v>
          </cell>
          <cell r="B58">
            <v>4</v>
          </cell>
          <cell r="C58">
            <v>5</v>
          </cell>
          <cell r="D58">
            <v>7</v>
          </cell>
          <cell r="E58">
            <v>9</v>
          </cell>
        </row>
        <row r="59">
          <cell r="A59" t="str">
            <v>B0761PL2N2</v>
          </cell>
          <cell r="B59">
            <v>4</v>
          </cell>
          <cell r="C59">
            <v>3</v>
          </cell>
          <cell r="D59">
            <v>7</v>
          </cell>
          <cell r="E59">
            <v>8</v>
          </cell>
        </row>
        <row r="60">
          <cell r="A60" t="str">
            <v>B0761PSPTJ</v>
          </cell>
          <cell r="B60">
            <v>9</v>
          </cell>
          <cell r="C60">
            <v>3</v>
          </cell>
          <cell r="D60">
            <v>7</v>
          </cell>
          <cell r="E60">
            <v>10</v>
          </cell>
        </row>
        <row r="61">
          <cell r="A61" t="str">
            <v>B0761PTZY2</v>
          </cell>
          <cell r="B61">
            <v>2</v>
          </cell>
          <cell r="C61">
            <v>5</v>
          </cell>
          <cell r="D61">
            <v>5</v>
          </cell>
          <cell r="E61">
            <v>9</v>
          </cell>
        </row>
        <row r="62">
          <cell r="A62" t="str">
            <v>B0761PV7ZS</v>
          </cell>
          <cell r="B62">
            <v>3</v>
          </cell>
          <cell r="C62">
            <v>2</v>
          </cell>
          <cell r="D62">
            <v>4</v>
          </cell>
          <cell r="E62">
            <v>4</v>
          </cell>
        </row>
        <row r="63">
          <cell r="A63" t="str">
            <v>B0761PV952</v>
          </cell>
          <cell r="B63">
            <v>3</v>
          </cell>
          <cell r="C63">
            <v>2</v>
          </cell>
          <cell r="D63">
            <v>6</v>
          </cell>
          <cell r="E63">
            <v>5</v>
          </cell>
        </row>
        <row r="64">
          <cell r="A64" t="str">
            <v>B0761PVQYZ</v>
          </cell>
          <cell r="B64">
            <v>9</v>
          </cell>
          <cell r="C64">
            <v>3</v>
          </cell>
          <cell r="D64">
            <v>1</v>
          </cell>
          <cell r="E64">
            <v>6</v>
          </cell>
        </row>
        <row r="65">
          <cell r="A65" t="str">
            <v>B0761PWB12</v>
          </cell>
          <cell r="B65">
            <v>4</v>
          </cell>
          <cell r="C65">
            <v>4</v>
          </cell>
          <cell r="D65">
            <v>6</v>
          </cell>
          <cell r="E65">
            <v>7</v>
          </cell>
        </row>
        <row r="66">
          <cell r="A66" t="str">
            <v>B0761PWSG1</v>
          </cell>
          <cell r="B66">
            <v>1</v>
          </cell>
          <cell r="C66">
            <v>2</v>
          </cell>
          <cell r="D66">
            <v>2</v>
          </cell>
          <cell r="E66">
            <v>5</v>
          </cell>
        </row>
        <row r="67">
          <cell r="A67" t="str">
            <v>B0761Q7KPX</v>
          </cell>
          <cell r="B67">
            <v>4</v>
          </cell>
          <cell r="C67">
            <v>3</v>
          </cell>
          <cell r="D67">
            <v>10</v>
          </cell>
          <cell r="E67">
            <v>10</v>
          </cell>
        </row>
        <row r="68">
          <cell r="A68" t="str">
            <v>B0761Q9VPH</v>
          </cell>
          <cell r="B68">
            <v>4</v>
          </cell>
          <cell r="C68">
            <v>10</v>
          </cell>
          <cell r="D68">
            <v>8</v>
          </cell>
          <cell r="E68">
            <v>4</v>
          </cell>
        </row>
        <row r="69">
          <cell r="A69" t="str">
            <v>B0761QBHM9</v>
          </cell>
          <cell r="B69">
            <v>5</v>
          </cell>
          <cell r="C69">
            <v>4</v>
          </cell>
          <cell r="D69">
            <v>6</v>
          </cell>
          <cell r="E69">
            <v>5</v>
          </cell>
        </row>
        <row r="70">
          <cell r="A70" t="str">
            <v>B0761QW2JK</v>
          </cell>
          <cell r="B70">
            <v>4</v>
          </cell>
          <cell r="C70">
            <v>9</v>
          </cell>
          <cell r="D70">
            <v>10</v>
          </cell>
          <cell r="E70">
            <v>3</v>
          </cell>
        </row>
        <row r="71">
          <cell r="A71" t="str">
            <v>B0761R6ZG2</v>
          </cell>
          <cell r="B71">
            <v>7</v>
          </cell>
          <cell r="C71">
            <v>7</v>
          </cell>
          <cell r="D71">
            <v>5</v>
          </cell>
          <cell r="E71">
            <v>1</v>
          </cell>
        </row>
        <row r="72">
          <cell r="A72" t="str">
            <v>B0761R93J2</v>
          </cell>
          <cell r="B72">
            <v>7</v>
          </cell>
          <cell r="C72">
            <v>6</v>
          </cell>
          <cell r="D72">
            <v>4</v>
          </cell>
          <cell r="E72">
            <v>2</v>
          </cell>
        </row>
        <row r="73">
          <cell r="A73" t="str">
            <v>B0761RRL7M</v>
          </cell>
          <cell r="B73">
            <v>1</v>
          </cell>
          <cell r="C73">
            <v>3</v>
          </cell>
          <cell r="D73">
            <v>4</v>
          </cell>
          <cell r="E73">
            <v>2</v>
          </cell>
        </row>
        <row r="74">
          <cell r="A74" t="str">
            <v>B0761S59N6</v>
          </cell>
          <cell r="B74">
            <v>4</v>
          </cell>
          <cell r="C74">
            <v>2</v>
          </cell>
          <cell r="D74">
            <v>1</v>
          </cell>
          <cell r="E74">
            <v>3</v>
          </cell>
        </row>
        <row r="75">
          <cell r="A75" t="str">
            <v>B0761S8TXR</v>
          </cell>
          <cell r="B75">
            <v>7</v>
          </cell>
          <cell r="C75">
            <v>4</v>
          </cell>
          <cell r="D75">
            <v>5</v>
          </cell>
          <cell r="E75">
            <v>3</v>
          </cell>
        </row>
        <row r="76">
          <cell r="A76" t="str">
            <v>B0761SKR3P</v>
          </cell>
          <cell r="B76">
            <v>6</v>
          </cell>
          <cell r="C76">
            <v>3</v>
          </cell>
          <cell r="D76">
            <v>9</v>
          </cell>
          <cell r="E76">
            <v>2</v>
          </cell>
        </row>
        <row r="77">
          <cell r="A77" t="str">
            <v>B0761V7L2R</v>
          </cell>
          <cell r="B77">
            <v>7</v>
          </cell>
          <cell r="C77">
            <v>2</v>
          </cell>
          <cell r="D77">
            <v>4</v>
          </cell>
          <cell r="E77">
            <v>3</v>
          </cell>
        </row>
        <row r="78">
          <cell r="A78" t="str">
            <v>B0761S2M63</v>
          </cell>
          <cell r="B78">
            <v>7</v>
          </cell>
          <cell r="C78">
            <v>5</v>
          </cell>
          <cell r="D78">
            <v>4</v>
          </cell>
          <cell r="E78">
            <v>0</v>
          </cell>
        </row>
        <row r="79">
          <cell r="A79" t="str">
            <v>B004H07J80</v>
          </cell>
          <cell r="B79">
            <v>0</v>
          </cell>
          <cell r="C79">
            <v>6</v>
          </cell>
          <cell r="D79">
            <v>0</v>
          </cell>
          <cell r="E79">
            <v>0</v>
          </cell>
        </row>
        <row r="80">
          <cell r="A80" t="str">
            <v>B004X9BSG4</v>
          </cell>
          <cell r="B80">
            <v>40</v>
          </cell>
          <cell r="C80">
            <v>8</v>
          </cell>
          <cell r="D80">
            <v>0</v>
          </cell>
          <cell r="E80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198</v>
          </cell>
          <cell r="C2">
            <v>270</v>
          </cell>
          <cell r="D2">
            <v>279</v>
          </cell>
          <cell r="E2">
            <v>326</v>
          </cell>
        </row>
        <row r="3">
          <cell r="A3" t="str">
            <v>HF-a10e-MINM</v>
          </cell>
          <cell r="B3">
            <v>1</v>
          </cell>
          <cell r="C3">
            <v>16</v>
          </cell>
          <cell r="D3">
            <v>11</v>
          </cell>
          <cell r="E3">
            <v>20</v>
          </cell>
          <cell r="F3">
            <v>35.2014583333333</v>
          </cell>
        </row>
        <row r="4">
          <cell r="A4" t="str">
            <v>KN-QWP1-D5XB</v>
          </cell>
          <cell r="B4">
            <v>0</v>
          </cell>
          <cell r="C4">
            <v>0</v>
          </cell>
          <cell r="D4">
            <v>4</v>
          </cell>
          <cell r="E4">
            <v>36</v>
          </cell>
          <cell r="F4">
            <v>14.99</v>
          </cell>
        </row>
        <row r="5">
          <cell r="A5" t="str">
            <v>JQ-N6LK-OQ03</v>
          </cell>
          <cell r="B5">
            <v>2</v>
          </cell>
          <cell r="C5">
            <v>6</v>
          </cell>
          <cell r="D5">
            <v>1</v>
          </cell>
          <cell r="E5">
            <v>4</v>
          </cell>
          <cell r="F5">
            <v>42.49</v>
          </cell>
        </row>
        <row r="6">
          <cell r="A6" t="str">
            <v>HF-f12-FACL</v>
          </cell>
          <cell r="B6">
            <v>0</v>
          </cell>
          <cell r="C6">
            <v>0</v>
          </cell>
          <cell r="D6">
            <v>16</v>
          </cell>
          <cell r="E6">
            <v>13</v>
          </cell>
          <cell r="F6">
            <v>21.7831034482759</v>
          </cell>
        </row>
        <row r="7">
          <cell r="A7" t="str">
            <v>HF-c7e-LANC</v>
          </cell>
          <cell r="B7">
            <v>3</v>
          </cell>
          <cell r="C7">
            <v>7</v>
          </cell>
          <cell r="D7">
            <v>8</v>
          </cell>
          <cell r="E7">
            <v>9</v>
          </cell>
          <cell r="F7">
            <v>35</v>
          </cell>
        </row>
        <row r="8">
          <cell r="A8" t="str">
            <v>3E-OBBY-DIEZ</v>
          </cell>
          <cell r="B8">
            <v>3</v>
          </cell>
          <cell r="C8">
            <v>7</v>
          </cell>
          <cell r="D8">
            <v>5</v>
          </cell>
          <cell r="E8">
            <v>7</v>
          </cell>
          <cell r="F8">
            <v>37.53</v>
          </cell>
        </row>
        <row r="9">
          <cell r="A9" t="str">
            <v>HF-a1e-LCMC</v>
          </cell>
          <cell r="B9">
            <v>11</v>
          </cell>
          <cell r="C9">
            <v>23</v>
          </cell>
          <cell r="D9">
            <v>21</v>
          </cell>
          <cell r="E9">
            <v>17</v>
          </cell>
          <cell r="F9">
            <v>15.6134722222222</v>
          </cell>
        </row>
        <row r="10">
          <cell r="A10" t="str">
            <v>HF-a5e-NCFM</v>
          </cell>
          <cell r="B10">
            <v>0</v>
          </cell>
          <cell r="C10">
            <v>11</v>
          </cell>
          <cell r="D10">
            <v>23</v>
          </cell>
          <cell r="E10">
            <v>20</v>
          </cell>
          <cell r="F10">
            <v>13.9442592592593</v>
          </cell>
        </row>
        <row r="11">
          <cell r="A11" t="str">
            <v>0Z-KJNM-D56T</v>
          </cell>
          <cell r="B11">
            <v>9</v>
          </cell>
          <cell r="C11">
            <v>9</v>
          </cell>
          <cell r="D11">
            <v>2</v>
          </cell>
          <cell r="E11">
            <v>4</v>
          </cell>
          <cell r="F11">
            <v>18.24875</v>
          </cell>
        </row>
        <row r="12">
          <cell r="A12" t="str">
            <v>KP-1178-XPKV</v>
          </cell>
          <cell r="B12">
            <v>0</v>
          </cell>
          <cell r="C12">
            <v>0</v>
          </cell>
          <cell r="D12">
            <v>11</v>
          </cell>
          <cell r="E12">
            <v>12</v>
          </cell>
          <cell r="F12">
            <v>20.99</v>
          </cell>
        </row>
        <row r="13">
          <cell r="A13" t="str">
            <v>HF-l3e-TEYG</v>
          </cell>
          <cell r="B13">
            <v>5</v>
          </cell>
          <cell r="C13">
            <v>1</v>
          </cell>
          <cell r="D13">
            <v>10</v>
          </cell>
          <cell r="E13">
            <v>7</v>
          </cell>
          <cell r="F13">
            <v>44.4178260869565</v>
          </cell>
        </row>
        <row r="14">
          <cell r="A14" t="str">
            <v>HF-a37e-FCMG</v>
          </cell>
          <cell r="B14">
            <v>3</v>
          </cell>
          <cell r="C14">
            <v>21</v>
          </cell>
          <cell r="D14">
            <v>24</v>
          </cell>
          <cell r="E14">
            <v>27</v>
          </cell>
          <cell r="F14">
            <v>13.2490666666667</v>
          </cell>
        </row>
        <row r="15">
          <cell r="A15" t="str">
            <v>L1-BT23-OVPU</v>
          </cell>
          <cell r="B15">
            <v>11</v>
          </cell>
          <cell r="C15">
            <v>18</v>
          </cell>
          <cell r="D15">
            <v>23</v>
          </cell>
          <cell r="E15">
            <v>21</v>
          </cell>
          <cell r="F15">
            <v>13.59</v>
          </cell>
        </row>
        <row r="16">
          <cell r="A16" t="str">
            <v>2N-C2ZT-YSNI</v>
          </cell>
          <cell r="B16">
            <v>2</v>
          </cell>
          <cell r="C16">
            <v>2</v>
          </cell>
          <cell r="D16">
            <v>5</v>
          </cell>
          <cell r="E16">
            <v>19</v>
          </cell>
          <cell r="F16">
            <v>10.2142857142857</v>
          </cell>
        </row>
        <row r="17">
          <cell r="A17" t="str">
            <v>QW-6H25-PV48</v>
          </cell>
          <cell r="B17">
            <v>11</v>
          </cell>
          <cell r="C17">
            <v>4</v>
          </cell>
          <cell r="D17">
            <v>4</v>
          </cell>
          <cell r="E17">
            <v>5</v>
          </cell>
          <cell r="F17">
            <v>19.6716666666667</v>
          </cell>
        </row>
        <row r="18">
          <cell r="A18" t="str">
            <v>HF-c1e-MCND</v>
          </cell>
          <cell r="B18">
            <v>13</v>
          </cell>
          <cell r="C18">
            <v>4</v>
          </cell>
          <cell r="D18">
            <v>3</v>
          </cell>
          <cell r="E18">
            <v>2</v>
          </cell>
          <cell r="F18">
            <v>16.2359090909091</v>
          </cell>
        </row>
        <row r="19">
          <cell r="A19" t="str">
            <v>HF-a69e-PEFG</v>
          </cell>
          <cell r="B19">
            <v>6</v>
          </cell>
          <cell r="C19">
            <v>11</v>
          </cell>
          <cell r="D19">
            <v>9</v>
          </cell>
          <cell r="E19">
            <v>12</v>
          </cell>
          <cell r="F19">
            <v>25</v>
          </cell>
        </row>
        <row r="20">
          <cell r="A20" t="str">
            <v>HF-n2ae-NBNK</v>
          </cell>
          <cell r="B20">
            <v>22</v>
          </cell>
          <cell r="C20">
            <v>9</v>
          </cell>
          <cell r="D20">
            <v>4</v>
          </cell>
          <cell r="E20">
            <v>10</v>
          </cell>
          <cell r="F20">
            <v>16.8382222222222</v>
          </cell>
        </row>
        <row r="21">
          <cell r="A21" t="str">
            <v>HF-a56e-EYES</v>
          </cell>
          <cell r="B21">
            <v>0</v>
          </cell>
          <cell r="C21">
            <v>29</v>
          </cell>
          <cell r="D21">
            <v>16</v>
          </cell>
          <cell r="E21">
            <v>10</v>
          </cell>
          <cell r="F21">
            <v>32.4203636363637</v>
          </cell>
        </row>
        <row r="22">
          <cell r="A22" t="str">
            <v>PJ-CPH7-5MXE</v>
          </cell>
          <cell r="B22">
            <v>0</v>
          </cell>
          <cell r="C22">
            <v>1</v>
          </cell>
          <cell r="D22">
            <v>1</v>
          </cell>
          <cell r="E22">
            <v>2</v>
          </cell>
          <cell r="F22">
            <v>50.6</v>
          </cell>
        </row>
        <row r="23">
          <cell r="A23" t="str">
            <v>06-LI7A-IZ44</v>
          </cell>
          <cell r="B23">
            <v>8</v>
          </cell>
          <cell r="C23">
            <v>7</v>
          </cell>
          <cell r="D23">
            <v>6</v>
          </cell>
          <cell r="E23">
            <v>11</v>
          </cell>
          <cell r="F23">
            <v>14.7065625</v>
          </cell>
        </row>
        <row r="24">
          <cell r="A24" t="str">
            <v>HF-a85e-RFPM</v>
          </cell>
          <cell r="B24">
            <v>22</v>
          </cell>
          <cell r="C24">
            <v>9</v>
          </cell>
          <cell r="D24">
            <v>4</v>
          </cell>
          <cell r="E24">
            <v>3</v>
          </cell>
          <cell r="F24">
            <v>30.5257894736842</v>
          </cell>
        </row>
        <row r="25">
          <cell r="A25" t="str">
            <v>HF-f24-ACPF</v>
          </cell>
          <cell r="B25">
            <v>6</v>
          </cell>
          <cell r="C25">
            <v>7</v>
          </cell>
          <cell r="D25">
            <v>10</v>
          </cell>
          <cell r="E25">
            <v>9</v>
          </cell>
          <cell r="F25">
            <v>24.99</v>
          </cell>
        </row>
        <row r="26">
          <cell r="A26" t="str">
            <v>IM-YEIX-VVX8</v>
          </cell>
          <cell r="B26">
            <v>2</v>
          </cell>
          <cell r="C26">
            <v>2</v>
          </cell>
          <cell r="D26">
            <v>4</v>
          </cell>
          <cell r="E26">
            <v>1</v>
          </cell>
          <cell r="F26">
            <v>10.6444444444444</v>
          </cell>
        </row>
        <row r="27">
          <cell r="A27" t="str">
            <v>5X-E8TX-UKIW</v>
          </cell>
          <cell r="B27">
            <v>0</v>
          </cell>
          <cell r="C27">
            <v>3</v>
          </cell>
          <cell r="D27">
            <v>6</v>
          </cell>
          <cell r="E27">
            <v>2</v>
          </cell>
          <cell r="F27">
            <v>15</v>
          </cell>
        </row>
        <row r="28">
          <cell r="A28" t="str">
            <v>R0-9P3N-MM7G</v>
          </cell>
          <cell r="B28">
            <v>3</v>
          </cell>
          <cell r="C28">
            <v>3</v>
          </cell>
          <cell r="D28">
            <v>13</v>
          </cell>
          <cell r="E28">
            <v>12</v>
          </cell>
          <cell r="F28">
            <v>10.2806451612903</v>
          </cell>
        </row>
        <row r="29">
          <cell r="A29" t="str">
            <v>HF-T9QA-X3JZ</v>
          </cell>
          <cell r="B29">
            <v>1</v>
          </cell>
          <cell r="C29">
            <v>2</v>
          </cell>
          <cell r="D29">
            <v>0</v>
          </cell>
          <cell r="E29">
            <v>2</v>
          </cell>
          <cell r="F29">
            <v>49.99</v>
          </cell>
        </row>
        <row r="30">
          <cell r="A30" t="str">
            <v>HF-a6e-LASS</v>
          </cell>
          <cell r="B30">
            <v>5</v>
          </cell>
          <cell r="C30">
            <v>5</v>
          </cell>
          <cell r="D30">
            <v>6</v>
          </cell>
          <cell r="E30">
            <v>3</v>
          </cell>
          <cell r="F30">
            <v>15.6842105263158</v>
          </cell>
        </row>
        <row r="31">
          <cell r="A31" t="str">
            <v>HF-I2e-AABS</v>
          </cell>
          <cell r="B31">
            <v>1</v>
          </cell>
          <cell r="C31">
            <v>2</v>
          </cell>
          <cell r="D31">
            <v>9</v>
          </cell>
          <cell r="E31">
            <v>8</v>
          </cell>
          <cell r="F31">
            <v>50.325</v>
          </cell>
        </row>
        <row r="32">
          <cell r="A32" t="str">
            <v>HF-a21e-SCFM</v>
          </cell>
          <cell r="B32">
            <v>2</v>
          </cell>
          <cell r="C32">
            <v>6</v>
          </cell>
          <cell r="D32">
            <v>3</v>
          </cell>
          <cell r="E32">
            <v>4</v>
          </cell>
          <cell r="F32">
            <v>15.1066666666667</v>
          </cell>
        </row>
        <row r="33">
          <cell r="A33" t="str">
            <v>CF-7C1X-596L</v>
          </cell>
          <cell r="B33">
            <v>1</v>
          </cell>
          <cell r="C33">
            <v>4</v>
          </cell>
          <cell r="D33">
            <v>1</v>
          </cell>
          <cell r="E33">
            <v>1</v>
          </cell>
          <cell r="F33">
            <v>44.0085714285714</v>
          </cell>
        </row>
        <row r="34">
          <cell r="A34" t="str">
            <v>KN-2B5X-YB0L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 t="e">
            <v>#DIV/0!</v>
          </cell>
        </row>
        <row r="35">
          <cell r="A35" t="str">
            <v>YI-LW70-5D1O</v>
          </cell>
          <cell r="B35">
            <v>0</v>
          </cell>
          <cell r="C35">
            <v>1</v>
          </cell>
          <cell r="D35">
            <v>5</v>
          </cell>
          <cell r="E35">
            <v>2</v>
          </cell>
          <cell r="F35">
            <v>38.39</v>
          </cell>
        </row>
        <row r="36">
          <cell r="A36" t="str">
            <v>HF-g104e-PCFS</v>
          </cell>
          <cell r="B36">
            <v>15</v>
          </cell>
          <cell r="C36">
            <v>27</v>
          </cell>
          <cell r="D36">
            <v>3</v>
          </cell>
          <cell r="E36">
            <v>5</v>
          </cell>
          <cell r="F36">
            <v>44.8294</v>
          </cell>
        </row>
        <row r="37">
          <cell r="A37" t="str">
            <v>HF-g2e-ACRC</v>
          </cell>
          <cell r="B37">
            <v>2</v>
          </cell>
          <cell r="C37">
            <v>4</v>
          </cell>
          <cell r="D37">
            <v>0</v>
          </cell>
          <cell r="E37">
            <v>2</v>
          </cell>
          <cell r="F37">
            <v>43</v>
          </cell>
        </row>
        <row r="38">
          <cell r="A38" t="str">
            <v>PW-89MW-RR8Y</v>
          </cell>
          <cell r="B38">
            <v>7</v>
          </cell>
          <cell r="C38">
            <v>3</v>
          </cell>
          <cell r="D38">
            <v>1</v>
          </cell>
          <cell r="E38">
            <v>3</v>
          </cell>
          <cell r="F38">
            <v>19.99</v>
          </cell>
        </row>
        <row r="39">
          <cell r="A39" t="str">
            <v>MY71107K0M</v>
          </cell>
          <cell r="B39">
            <v>0</v>
          </cell>
          <cell r="C39">
            <v>0</v>
          </cell>
          <cell r="D39">
            <v>0</v>
          </cell>
          <cell r="E39">
            <v>1</v>
          </cell>
          <cell r="F39">
            <v>42.99</v>
          </cell>
        </row>
        <row r="40">
          <cell r="A40" t="str">
            <v>3S-1QX9-6RRP</v>
          </cell>
          <cell r="B40">
            <v>8</v>
          </cell>
          <cell r="C40">
            <v>1</v>
          </cell>
          <cell r="D40">
            <v>2</v>
          </cell>
          <cell r="E40">
            <v>0</v>
          </cell>
          <cell r="F40">
            <v>43.3072727272727</v>
          </cell>
        </row>
        <row r="41">
          <cell r="A41" t="str">
            <v>58-6A0P-DRT9</v>
          </cell>
          <cell r="B41">
            <v>2</v>
          </cell>
          <cell r="C41">
            <v>0</v>
          </cell>
          <cell r="D41">
            <v>2</v>
          </cell>
          <cell r="E41">
            <v>0</v>
          </cell>
          <cell r="F41">
            <v>37.59</v>
          </cell>
        </row>
        <row r="42">
          <cell r="A42" t="str">
            <v>MY71115K0L</v>
          </cell>
          <cell r="B42">
            <v>0</v>
          </cell>
          <cell r="C42">
            <v>0</v>
          </cell>
          <cell r="D42">
            <v>1</v>
          </cell>
          <cell r="E42">
            <v>0</v>
          </cell>
          <cell r="F42">
            <v>39.99</v>
          </cell>
        </row>
        <row r="43">
          <cell r="A43" t="str">
            <v>HF-a80e-BTBM</v>
          </cell>
          <cell r="B43">
            <v>6</v>
          </cell>
          <cell r="C43">
            <v>1</v>
          </cell>
          <cell r="D43">
            <v>1</v>
          </cell>
          <cell r="E43">
            <v>0</v>
          </cell>
          <cell r="F43">
            <v>49.99</v>
          </cell>
        </row>
        <row r="44">
          <cell r="A44" t="str">
            <v>MY16055ZQS</v>
          </cell>
          <cell r="B44">
            <v>0</v>
          </cell>
          <cell r="C44">
            <v>0</v>
          </cell>
          <cell r="D44">
            <v>1</v>
          </cell>
          <cell r="E44">
            <v>0</v>
          </cell>
          <cell r="F44">
            <v>34.39</v>
          </cell>
        </row>
        <row r="45">
          <cell r="A45" t="str">
            <v>E8-GWV1-AJMB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 t="e">
            <v>#DIV/0!</v>
          </cell>
        </row>
        <row r="46">
          <cell r="A46" t="str">
            <v>HF-a77e-TSSS</v>
          </cell>
          <cell r="B46">
            <v>0</v>
          </cell>
          <cell r="C46">
            <v>1</v>
          </cell>
          <cell r="D46">
            <v>0</v>
          </cell>
          <cell r="E46">
            <v>0</v>
          </cell>
          <cell r="F46">
            <v>17.98</v>
          </cell>
        </row>
        <row r="47">
          <cell r="A47" t="str">
            <v>MY71107ZQM</v>
          </cell>
          <cell r="B47">
            <v>0</v>
          </cell>
          <cell r="C47">
            <v>1</v>
          </cell>
          <cell r="D47">
            <v>0</v>
          </cell>
          <cell r="E47">
            <v>0</v>
          </cell>
          <cell r="F47">
            <v>42.49</v>
          </cell>
        </row>
        <row r="48">
          <cell r="A48" t="str">
            <v>5D-ZS9Q-CYOL</v>
          </cell>
          <cell r="B48">
            <v>1</v>
          </cell>
          <cell r="C48">
            <v>1</v>
          </cell>
          <cell r="D48">
            <v>0</v>
          </cell>
          <cell r="E48">
            <v>0</v>
          </cell>
          <cell r="F48">
            <v>43.35</v>
          </cell>
        </row>
        <row r="49">
          <cell r="A49" t="str">
            <v>HF-b3e-PWCC</v>
          </cell>
          <cell r="B49">
            <v>2</v>
          </cell>
          <cell r="C49">
            <v>1</v>
          </cell>
          <cell r="D49">
            <v>0</v>
          </cell>
          <cell r="E49">
            <v>0</v>
          </cell>
          <cell r="F49">
            <v>43.0666666666667</v>
          </cell>
        </row>
        <row r="50">
          <cell r="A50" t="str">
            <v>SM-LSLQ-C3QE</v>
          </cell>
          <cell r="B50">
            <v>2</v>
          </cell>
          <cell r="C50">
            <v>0</v>
          </cell>
          <cell r="D50">
            <v>0</v>
          </cell>
          <cell r="E50">
            <v>0</v>
          </cell>
          <cell r="F50">
            <v>28.99</v>
          </cell>
        </row>
        <row r="869">
          <cell r="A869" t="str">
            <v>HF-a6e-LASS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43317</v>
          </cell>
          <cell r="C1" t="str">
            <v>一周开始时间</v>
          </cell>
          <cell r="D1">
            <v>43311</v>
          </cell>
          <cell r="E1" t="str">
            <v>二周结束时间</v>
          </cell>
          <cell r="F1">
            <v>43310</v>
          </cell>
          <cell r="G1" t="str">
            <v>二周开始时间</v>
          </cell>
          <cell r="H1">
            <v>43304</v>
          </cell>
          <cell r="I1" t="str">
            <v>三周结束时间</v>
          </cell>
          <cell r="J1">
            <v>43303</v>
          </cell>
          <cell r="K1" t="str">
            <v>三周开始时间</v>
          </cell>
          <cell r="L1">
            <v>43297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DW-MG8E-BMQG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403</v>
          </cell>
          <cell r="L4">
            <v>2</v>
          </cell>
          <cell r="M4">
            <v>0.62</v>
          </cell>
        </row>
        <row r="5">
          <cell r="A5" t="str">
            <v>58-6A0P-DRT9</v>
          </cell>
          <cell r="B5">
            <v>579</v>
          </cell>
          <cell r="C5">
            <v>0</v>
          </cell>
          <cell r="D5">
            <v>0</v>
          </cell>
          <cell r="E5">
            <v>5950</v>
          </cell>
          <cell r="F5">
            <v>5</v>
          </cell>
          <cell r="G5">
            <v>8.44</v>
          </cell>
          <cell r="H5">
            <v>6236</v>
          </cell>
          <cell r="I5">
            <v>4</v>
          </cell>
          <cell r="J5">
            <v>2.66</v>
          </cell>
          <cell r="K5">
            <v>1329</v>
          </cell>
          <cell r="L5">
            <v>7</v>
          </cell>
          <cell r="M5">
            <v>5.3</v>
          </cell>
        </row>
        <row r="6">
          <cell r="A6" t="str">
            <v>CF-7C1X-596L</v>
          </cell>
          <cell r="B6">
            <v>1900</v>
          </cell>
          <cell r="C6">
            <v>1</v>
          </cell>
          <cell r="D6">
            <v>0.37</v>
          </cell>
          <cell r="E6">
            <v>10801</v>
          </cell>
          <cell r="F6">
            <v>6</v>
          </cell>
          <cell r="G6">
            <v>8.06</v>
          </cell>
          <cell r="H6">
            <v>16362</v>
          </cell>
          <cell r="I6">
            <v>10</v>
          </cell>
          <cell r="J6">
            <v>9.2</v>
          </cell>
          <cell r="K6">
            <v>4680</v>
          </cell>
          <cell r="L6">
            <v>14</v>
          </cell>
          <cell r="M6">
            <v>7.22</v>
          </cell>
        </row>
        <row r="7">
          <cell r="A7" t="str">
            <v>PW-89MW-RR8Y</v>
          </cell>
          <cell r="B7">
            <v>543</v>
          </cell>
          <cell r="C7">
            <v>3</v>
          </cell>
          <cell r="D7">
            <v>3.58</v>
          </cell>
          <cell r="E7">
            <v>2790</v>
          </cell>
          <cell r="F7">
            <v>6</v>
          </cell>
          <cell r="G7">
            <v>5.87</v>
          </cell>
          <cell r="H7">
            <v>11489</v>
          </cell>
          <cell r="I7">
            <v>17</v>
          </cell>
          <cell r="J7">
            <v>14.42</v>
          </cell>
          <cell r="K7">
            <v>489</v>
          </cell>
          <cell r="L7">
            <v>3</v>
          </cell>
          <cell r="M7">
            <v>1.77</v>
          </cell>
        </row>
        <row r="8">
          <cell r="A8" t="str">
            <v>A5-X9GB-M912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80</v>
          </cell>
          <cell r="L8">
            <v>0</v>
          </cell>
          <cell r="M8">
            <v>0</v>
          </cell>
        </row>
        <row r="9">
          <cell r="A9" t="str">
            <v>06-LI7A-IZ44</v>
          </cell>
          <cell r="B9">
            <v>317</v>
          </cell>
          <cell r="C9">
            <v>1</v>
          </cell>
          <cell r="D9">
            <v>2.73</v>
          </cell>
          <cell r="E9">
            <v>1288</v>
          </cell>
          <cell r="F9">
            <v>3</v>
          </cell>
          <cell r="G9">
            <v>5.54</v>
          </cell>
          <cell r="H9">
            <v>2053</v>
          </cell>
          <cell r="I9">
            <v>0</v>
          </cell>
          <cell r="J9">
            <v>0</v>
          </cell>
          <cell r="K9">
            <v>285</v>
          </cell>
          <cell r="L9">
            <v>3</v>
          </cell>
          <cell r="M9">
            <v>1.29</v>
          </cell>
        </row>
        <row r="10">
          <cell r="A10" t="str">
            <v>0Z-KJNM-D56T</v>
          </cell>
          <cell r="B10">
            <v>145</v>
          </cell>
          <cell r="C10">
            <v>0</v>
          </cell>
          <cell r="D10">
            <v>0</v>
          </cell>
          <cell r="E10">
            <v>1254</v>
          </cell>
          <cell r="F10">
            <v>2</v>
          </cell>
          <cell r="G10">
            <v>2.15</v>
          </cell>
          <cell r="H10">
            <v>1786</v>
          </cell>
          <cell r="I10">
            <v>1</v>
          </cell>
          <cell r="J10">
            <v>2.11</v>
          </cell>
          <cell r="K10">
            <v>164</v>
          </cell>
          <cell r="L10">
            <v>3</v>
          </cell>
          <cell r="M10">
            <v>1.35</v>
          </cell>
        </row>
        <row r="11">
          <cell r="A11" t="str">
            <v>2N-C2ZT-YSNI</v>
          </cell>
          <cell r="B11">
            <v>99</v>
          </cell>
          <cell r="C11">
            <v>0</v>
          </cell>
          <cell r="D11">
            <v>0</v>
          </cell>
          <cell r="E11">
            <v>1007</v>
          </cell>
          <cell r="F11">
            <v>2</v>
          </cell>
          <cell r="G11">
            <v>3.3</v>
          </cell>
          <cell r="H11">
            <v>1368</v>
          </cell>
          <cell r="I11">
            <v>7</v>
          </cell>
          <cell r="J11">
            <v>9.43</v>
          </cell>
          <cell r="K11">
            <v>99</v>
          </cell>
          <cell r="L11">
            <v>0</v>
          </cell>
          <cell r="M11">
            <v>0</v>
          </cell>
        </row>
        <row r="12">
          <cell r="A12" t="str">
            <v>3E-OBBY-DIEZ</v>
          </cell>
          <cell r="B12">
            <v>748</v>
          </cell>
          <cell r="C12">
            <v>3</v>
          </cell>
          <cell r="D12">
            <v>3.95</v>
          </cell>
          <cell r="E12">
            <v>6374</v>
          </cell>
          <cell r="F12">
            <v>11</v>
          </cell>
          <cell r="G12">
            <v>14.27</v>
          </cell>
          <cell r="H12">
            <v>6985</v>
          </cell>
          <cell r="I12">
            <v>23</v>
          </cell>
          <cell r="J12">
            <v>24.96</v>
          </cell>
          <cell r="K12">
            <v>3254</v>
          </cell>
          <cell r="L12">
            <v>15</v>
          </cell>
          <cell r="M12">
            <v>10.28</v>
          </cell>
        </row>
        <row r="13">
          <cell r="A13" t="str">
            <v>3S-1QX9-6RRP</v>
          </cell>
          <cell r="B13">
            <v>37</v>
          </cell>
          <cell r="C13">
            <v>0</v>
          </cell>
          <cell r="D13">
            <v>0</v>
          </cell>
          <cell r="E13">
            <v>386</v>
          </cell>
          <cell r="F13">
            <v>1</v>
          </cell>
          <cell r="G13">
            <v>0.46</v>
          </cell>
          <cell r="H13">
            <v>129</v>
          </cell>
          <cell r="I13">
            <v>2</v>
          </cell>
          <cell r="J13">
            <v>2.88</v>
          </cell>
          <cell r="K13">
            <v>258</v>
          </cell>
          <cell r="L13">
            <v>1</v>
          </cell>
          <cell r="M13">
            <v>0.15</v>
          </cell>
        </row>
        <row r="14">
          <cell r="A14" t="str">
            <v>5X-E8TX-UKIW</v>
          </cell>
          <cell r="B14">
            <v>26</v>
          </cell>
          <cell r="C14">
            <v>1</v>
          </cell>
          <cell r="D14">
            <v>1.63</v>
          </cell>
          <cell r="E14">
            <v>1356</v>
          </cell>
          <cell r="F14">
            <v>3</v>
          </cell>
          <cell r="G14">
            <v>6.29</v>
          </cell>
          <cell r="H14">
            <v>3104</v>
          </cell>
          <cell r="I14">
            <v>2</v>
          </cell>
          <cell r="J14">
            <v>2.79</v>
          </cell>
          <cell r="K14">
            <v>1063</v>
          </cell>
          <cell r="L14">
            <v>3</v>
          </cell>
          <cell r="M14">
            <v>0.31</v>
          </cell>
        </row>
        <row r="15">
          <cell r="A15" t="str">
            <v>HF-I2e-AABS</v>
          </cell>
          <cell r="B15">
            <v>85</v>
          </cell>
          <cell r="C15">
            <v>0</v>
          </cell>
          <cell r="D15">
            <v>0</v>
          </cell>
          <cell r="E15">
            <v>1168</v>
          </cell>
          <cell r="F15">
            <v>4</v>
          </cell>
          <cell r="G15">
            <v>5.09</v>
          </cell>
          <cell r="H15">
            <v>11861</v>
          </cell>
          <cell r="I15">
            <v>9</v>
          </cell>
          <cell r="J15">
            <v>6.77</v>
          </cell>
          <cell r="K15">
            <v>84</v>
          </cell>
          <cell r="L15">
            <v>0</v>
          </cell>
          <cell r="M15">
            <v>0</v>
          </cell>
        </row>
        <row r="16">
          <cell r="A16" t="str">
            <v>HF-T9QA-X3JZ</v>
          </cell>
          <cell r="B16">
            <v>1427</v>
          </cell>
          <cell r="C16">
            <v>9</v>
          </cell>
          <cell r="D16">
            <v>7.59</v>
          </cell>
          <cell r="E16">
            <v>5047</v>
          </cell>
          <cell r="F16">
            <v>4</v>
          </cell>
          <cell r="G16">
            <v>2.97</v>
          </cell>
          <cell r="H16">
            <v>4501</v>
          </cell>
          <cell r="I16">
            <v>11</v>
          </cell>
          <cell r="J16">
            <v>11.18</v>
          </cell>
          <cell r="K16">
            <v>446</v>
          </cell>
          <cell r="L16">
            <v>6</v>
          </cell>
          <cell r="M16">
            <v>3.95</v>
          </cell>
        </row>
        <row r="17">
          <cell r="A17" t="str">
            <v>HF-a10e-MINM</v>
          </cell>
          <cell r="B17">
            <v>6533</v>
          </cell>
          <cell r="C17">
            <v>26</v>
          </cell>
          <cell r="D17">
            <v>24.89</v>
          </cell>
          <cell r="E17">
            <v>17640</v>
          </cell>
          <cell r="F17">
            <v>47</v>
          </cell>
          <cell r="G17">
            <v>48.28</v>
          </cell>
          <cell r="H17">
            <v>19606</v>
          </cell>
          <cell r="I17">
            <v>42</v>
          </cell>
          <cell r="J17">
            <v>48.14</v>
          </cell>
          <cell r="K17">
            <v>12525</v>
          </cell>
          <cell r="L17">
            <v>27</v>
          </cell>
          <cell r="M17">
            <v>18.72</v>
          </cell>
        </row>
        <row r="18">
          <cell r="A18" t="str">
            <v>HF-a1e-LCMC</v>
          </cell>
          <cell r="B18">
            <v>33227</v>
          </cell>
          <cell r="C18">
            <v>44</v>
          </cell>
          <cell r="D18">
            <v>53.84</v>
          </cell>
          <cell r="E18">
            <v>6289</v>
          </cell>
          <cell r="F18">
            <v>19</v>
          </cell>
          <cell r="G18">
            <v>19.65</v>
          </cell>
          <cell r="H18">
            <v>14543</v>
          </cell>
          <cell r="I18">
            <v>25</v>
          </cell>
          <cell r="J18">
            <v>27.27</v>
          </cell>
          <cell r="K18">
            <v>2497</v>
          </cell>
          <cell r="L18">
            <v>0</v>
          </cell>
          <cell r="M18">
            <v>0</v>
          </cell>
        </row>
        <row r="19">
          <cell r="A19" t="str">
            <v>HF-a21e-SCFM</v>
          </cell>
          <cell r="B19">
            <v>1157</v>
          </cell>
          <cell r="C19">
            <v>4</v>
          </cell>
          <cell r="D19">
            <v>5.58</v>
          </cell>
          <cell r="E19">
            <v>5055</v>
          </cell>
          <cell r="F19">
            <v>3</v>
          </cell>
          <cell r="G19">
            <v>8.84</v>
          </cell>
          <cell r="H19">
            <v>2709</v>
          </cell>
          <cell r="I19">
            <v>2</v>
          </cell>
          <cell r="J19">
            <v>2.65</v>
          </cell>
          <cell r="K19">
            <v>961</v>
          </cell>
          <cell r="L19">
            <v>2</v>
          </cell>
          <cell r="M19">
            <v>1.11</v>
          </cell>
        </row>
        <row r="20">
          <cell r="A20" t="str">
            <v>HF-a37e-FCMG</v>
          </cell>
          <cell r="B20">
            <v>1373</v>
          </cell>
          <cell r="C20">
            <v>4</v>
          </cell>
          <cell r="D20">
            <v>1.38</v>
          </cell>
          <cell r="E20">
            <v>2795</v>
          </cell>
          <cell r="F20">
            <v>3</v>
          </cell>
          <cell r="G20">
            <v>5.74</v>
          </cell>
          <cell r="H20">
            <v>8680</v>
          </cell>
          <cell r="I20">
            <v>18</v>
          </cell>
          <cell r="J20">
            <v>19.72</v>
          </cell>
          <cell r="K20">
            <v>1538</v>
          </cell>
          <cell r="L20">
            <v>2</v>
          </cell>
          <cell r="M20">
            <v>1.29</v>
          </cell>
        </row>
        <row r="21">
          <cell r="A21" t="str">
            <v>HF-a5e-NCFM</v>
          </cell>
          <cell r="B21">
            <v>7951</v>
          </cell>
          <cell r="C21">
            <v>11</v>
          </cell>
          <cell r="D21">
            <v>18.55</v>
          </cell>
          <cell r="E21">
            <v>88310</v>
          </cell>
          <cell r="F21">
            <v>87</v>
          </cell>
          <cell r="G21">
            <v>141.99</v>
          </cell>
          <cell r="H21">
            <v>84348</v>
          </cell>
          <cell r="I21">
            <v>71</v>
          </cell>
          <cell r="J21">
            <v>121.06</v>
          </cell>
          <cell r="K21">
            <v>16909</v>
          </cell>
          <cell r="L21">
            <v>37</v>
          </cell>
          <cell r="M21">
            <v>38.13</v>
          </cell>
        </row>
        <row r="22">
          <cell r="A22" t="str">
            <v>HF-a69e-PEFG</v>
          </cell>
          <cell r="B22">
            <v>32566</v>
          </cell>
          <cell r="C22">
            <v>27</v>
          </cell>
          <cell r="D22">
            <v>39.3</v>
          </cell>
          <cell r="E22">
            <v>37431</v>
          </cell>
          <cell r="F22">
            <v>25</v>
          </cell>
          <cell r="G22">
            <v>36.79</v>
          </cell>
          <cell r="H22">
            <v>15324</v>
          </cell>
          <cell r="I22">
            <v>16</v>
          </cell>
          <cell r="J22">
            <v>14.48</v>
          </cell>
          <cell r="K22">
            <v>3994</v>
          </cell>
          <cell r="L22">
            <v>12</v>
          </cell>
          <cell r="M22">
            <v>8.22</v>
          </cell>
        </row>
        <row r="23">
          <cell r="A23" t="str">
            <v>HF-a80e-BTBM</v>
          </cell>
          <cell r="B23">
            <v>2074</v>
          </cell>
          <cell r="C23">
            <v>9</v>
          </cell>
          <cell r="D23">
            <v>7.17</v>
          </cell>
          <cell r="E23">
            <v>3620</v>
          </cell>
          <cell r="F23">
            <v>5</v>
          </cell>
          <cell r="G23">
            <v>6</v>
          </cell>
          <cell r="H23">
            <v>1</v>
          </cell>
          <cell r="I23">
            <v>0</v>
          </cell>
          <cell r="J23">
            <v>0</v>
          </cell>
          <cell r="K23">
            <v>852</v>
          </cell>
          <cell r="L23">
            <v>3</v>
          </cell>
          <cell r="M23">
            <v>3.39</v>
          </cell>
        </row>
        <row r="24">
          <cell r="A24" t="str">
            <v>HF-a85e-RFPM</v>
          </cell>
          <cell r="B24">
            <v>7587</v>
          </cell>
          <cell r="C24">
            <v>28</v>
          </cell>
          <cell r="D24">
            <v>26.75</v>
          </cell>
          <cell r="E24">
            <v>11458</v>
          </cell>
          <cell r="F24">
            <v>41</v>
          </cell>
          <cell r="G24">
            <v>66.8</v>
          </cell>
          <cell r="H24">
            <v>5568</v>
          </cell>
          <cell r="I24">
            <v>36</v>
          </cell>
          <cell r="J24">
            <v>40.88</v>
          </cell>
          <cell r="K24">
            <v>1344</v>
          </cell>
          <cell r="L24">
            <v>12</v>
          </cell>
          <cell r="M24">
            <v>7.89</v>
          </cell>
        </row>
        <row r="25">
          <cell r="A25" t="str">
            <v>HF-b3e-PWCC</v>
          </cell>
          <cell r="B25">
            <v>876</v>
          </cell>
          <cell r="C25">
            <v>10</v>
          </cell>
          <cell r="D25">
            <v>6.58</v>
          </cell>
          <cell r="E25">
            <v>1738</v>
          </cell>
          <cell r="F25">
            <v>10</v>
          </cell>
          <cell r="G25">
            <v>12.51</v>
          </cell>
          <cell r="H25">
            <v>693</v>
          </cell>
          <cell r="I25">
            <v>3</v>
          </cell>
          <cell r="J25">
            <v>2.05</v>
          </cell>
          <cell r="K25">
            <v>146</v>
          </cell>
          <cell r="L25">
            <v>0</v>
          </cell>
          <cell r="M25">
            <v>0</v>
          </cell>
        </row>
        <row r="26">
          <cell r="A26" t="str">
            <v>HF-c1e-MCND</v>
          </cell>
          <cell r="B26">
            <v>6873</v>
          </cell>
          <cell r="C26">
            <v>25</v>
          </cell>
          <cell r="D26">
            <v>19.15</v>
          </cell>
          <cell r="E26">
            <v>16126</v>
          </cell>
          <cell r="F26">
            <v>18</v>
          </cell>
          <cell r="G26">
            <v>17.16</v>
          </cell>
          <cell r="H26">
            <v>12378</v>
          </cell>
          <cell r="I26">
            <v>20</v>
          </cell>
          <cell r="J26">
            <v>17.67</v>
          </cell>
          <cell r="K26">
            <v>12424</v>
          </cell>
          <cell r="L26">
            <v>20</v>
          </cell>
          <cell r="M26">
            <v>16.42</v>
          </cell>
        </row>
        <row r="27">
          <cell r="A27" t="str">
            <v>HF-c7e-LANC</v>
          </cell>
          <cell r="B27">
            <v>4743</v>
          </cell>
          <cell r="C27">
            <v>18</v>
          </cell>
          <cell r="D27">
            <v>17.77</v>
          </cell>
          <cell r="E27">
            <v>8050</v>
          </cell>
          <cell r="F27">
            <v>29</v>
          </cell>
          <cell r="G27">
            <v>28.46</v>
          </cell>
          <cell r="H27">
            <v>8188</v>
          </cell>
          <cell r="I27">
            <v>11</v>
          </cell>
          <cell r="J27">
            <v>10.8</v>
          </cell>
          <cell r="K27">
            <v>4187</v>
          </cell>
          <cell r="L27">
            <v>10</v>
          </cell>
          <cell r="M27">
            <v>6.97</v>
          </cell>
        </row>
        <row r="28">
          <cell r="A28" t="str">
            <v>HF-f12-FACL</v>
          </cell>
          <cell r="B28">
            <v>0</v>
          </cell>
          <cell r="C28">
            <v>0</v>
          </cell>
          <cell r="D28">
            <v>0</v>
          </cell>
          <cell r="E28">
            <v>11437</v>
          </cell>
          <cell r="F28">
            <v>9</v>
          </cell>
          <cell r="G28">
            <v>9.6</v>
          </cell>
          <cell r="H28">
            <v>17916</v>
          </cell>
          <cell r="I28">
            <v>21</v>
          </cell>
          <cell r="J28">
            <v>25.47</v>
          </cell>
          <cell r="K28">
            <v>10778</v>
          </cell>
          <cell r="L28">
            <v>15</v>
          </cell>
          <cell r="M28">
            <v>11.74</v>
          </cell>
        </row>
        <row r="29">
          <cell r="A29" t="str">
            <v>HF-f24-ACPF</v>
          </cell>
          <cell r="B29">
            <v>3253</v>
          </cell>
          <cell r="C29">
            <v>7</v>
          </cell>
          <cell r="D29">
            <v>4.44</v>
          </cell>
          <cell r="E29">
            <v>7562</v>
          </cell>
          <cell r="F29">
            <v>16</v>
          </cell>
          <cell r="G29">
            <v>10.32</v>
          </cell>
          <cell r="H29">
            <v>23262</v>
          </cell>
          <cell r="I29">
            <v>31</v>
          </cell>
          <cell r="J29">
            <v>24.92</v>
          </cell>
          <cell r="K29">
            <v>28994</v>
          </cell>
          <cell r="L29">
            <v>37</v>
          </cell>
          <cell r="M29">
            <v>32.46</v>
          </cell>
        </row>
        <row r="30">
          <cell r="A30" t="str">
            <v>HF-g2e-ACRC</v>
          </cell>
          <cell r="B30">
            <v>625</v>
          </cell>
          <cell r="C30">
            <v>3</v>
          </cell>
          <cell r="D30">
            <v>1.55</v>
          </cell>
          <cell r="E30">
            <v>1655</v>
          </cell>
          <cell r="F30">
            <v>8</v>
          </cell>
          <cell r="G30">
            <v>7.13</v>
          </cell>
          <cell r="H30">
            <v>7697</v>
          </cell>
          <cell r="I30">
            <v>7</v>
          </cell>
          <cell r="J30">
            <v>7.26</v>
          </cell>
          <cell r="K30">
            <v>1574</v>
          </cell>
          <cell r="L30">
            <v>3</v>
          </cell>
          <cell r="M30">
            <v>2.03</v>
          </cell>
        </row>
        <row r="31">
          <cell r="A31" t="str">
            <v>HF-l3e-TEYG</v>
          </cell>
          <cell r="B31">
            <v>1963</v>
          </cell>
          <cell r="C31">
            <v>4</v>
          </cell>
          <cell r="D31">
            <v>3.74</v>
          </cell>
          <cell r="E31">
            <v>3083</v>
          </cell>
          <cell r="F31">
            <v>9</v>
          </cell>
          <cell r="G31">
            <v>7.89</v>
          </cell>
          <cell r="H31">
            <v>17229</v>
          </cell>
          <cell r="I31">
            <v>17</v>
          </cell>
          <cell r="J31">
            <v>17.4</v>
          </cell>
          <cell r="K31">
            <v>2943</v>
          </cell>
          <cell r="L31">
            <v>2</v>
          </cell>
          <cell r="M31">
            <v>0.74</v>
          </cell>
        </row>
        <row r="32">
          <cell r="A32" t="str">
            <v>HF-n2ae-NBNK</v>
          </cell>
          <cell r="B32">
            <v>10084</v>
          </cell>
          <cell r="C32">
            <v>22</v>
          </cell>
          <cell r="D32">
            <v>23.3</v>
          </cell>
          <cell r="E32">
            <v>7801</v>
          </cell>
          <cell r="F32">
            <v>24</v>
          </cell>
          <cell r="G32">
            <v>26.44</v>
          </cell>
          <cell r="H32">
            <v>34105</v>
          </cell>
          <cell r="I32">
            <v>62</v>
          </cell>
          <cell r="J32">
            <v>94.73</v>
          </cell>
          <cell r="K32">
            <v>75765</v>
          </cell>
          <cell r="L32">
            <v>142</v>
          </cell>
          <cell r="M32">
            <v>207.12</v>
          </cell>
        </row>
        <row r="33">
          <cell r="A33" t="str">
            <v>IM-YEIX-VVX8</v>
          </cell>
          <cell r="B33">
            <v>212</v>
          </cell>
          <cell r="C33">
            <v>0</v>
          </cell>
          <cell r="D33">
            <v>0</v>
          </cell>
          <cell r="E33">
            <v>1285</v>
          </cell>
          <cell r="F33">
            <v>3</v>
          </cell>
          <cell r="G33">
            <v>7.62</v>
          </cell>
          <cell r="H33">
            <v>958</v>
          </cell>
          <cell r="I33">
            <v>2</v>
          </cell>
          <cell r="J33">
            <v>3.8</v>
          </cell>
          <cell r="K33">
            <v>433</v>
          </cell>
          <cell r="L33">
            <v>3</v>
          </cell>
          <cell r="M33">
            <v>3.74</v>
          </cell>
        </row>
        <row r="34">
          <cell r="A34" t="str">
            <v>JQ-N6LK-OQ03</v>
          </cell>
          <cell r="B34">
            <v>44</v>
          </cell>
          <cell r="C34">
            <v>0</v>
          </cell>
          <cell r="D34">
            <v>0</v>
          </cell>
          <cell r="E34">
            <v>195</v>
          </cell>
          <cell r="F34">
            <v>0</v>
          </cell>
          <cell r="G34">
            <v>0</v>
          </cell>
          <cell r="H34">
            <v>223</v>
          </cell>
          <cell r="I34">
            <v>1</v>
          </cell>
          <cell r="J34">
            <v>0.75</v>
          </cell>
          <cell r="K34">
            <v>256</v>
          </cell>
          <cell r="L34">
            <v>0</v>
          </cell>
          <cell r="M34">
            <v>0</v>
          </cell>
        </row>
        <row r="35">
          <cell r="A35" t="str">
            <v>KN-QWP1-D5XB</v>
          </cell>
          <cell r="B35">
            <v>0</v>
          </cell>
          <cell r="C35">
            <v>0</v>
          </cell>
          <cell r="D35">
            <v>0</v>
          </cell>
          <cell r="E35">
            <v>1717</v>
          </cell>
          <cell r="F35">
            <v>3</v>
          </cell>
          <cell r="G35">
            <v>5.81</v>
          </cell>
          <cell r="H35">
            <v>19027</v>
          </cell>
          <cell r="I35">
            <v>20</v>
          </cell>
          <cell r="J35">
            <v>32.15</v>
          </cell>
          <cell r="K35">
            <v>3236</v>
          </cell>
          <cell r="L35">
            <v>18</v>
          </cell>
          <cell r="M35">
            <v>13.82</v>
          </cell>
        </row>
        <row r="36">
          <cell r="A36" t="str">
            <v>KP-1178-XPKV</v>
          </cell>
          <cell r="B36">
            <v>0</v>
          </cell>
          <cell r="C36">
            <v>0</v>
          </cell>
          <cell r="D36">
            <v>0</v>
          </cell>
          <cell r="E36">
            <v>5345</v>
          </cell>
          <cell r="F36">
            <v>7</v>
          </cell>
          <cell r="G36">
            <v>12.92</v>
          </cell>
          <cell r="H36">
            <v>19161</v>
          </cell>
          <cell r="I36">
            <v>14</v>
          </cell>
          <cell r="J36">
            <v>15.11</v>
          </cell>
          <cell r="K36">
            <v>4401</v>
          </cell>
          <cell r="L36">
            <v>15</v>
          </cell>
          <cell r="M36">
            <v>7.05</v>
          </cell>
        </row>
        <row r="37">
          <cell r="A37" t="str">
            <v>L1-BT23-OVPU</v>
          </cell>
          <cell r="B37">
            <v>534</v>
          </cell>
          <cell r="C37">
            <v>0</v>
          </cell>
          <cell r="D37">
            <v>0</v>
          </cell>
          <cell r="E37">
            <v>2596</v>
          </cell>
          <cell r="F37">
            <v>4</v>
          </cell>
          <cell r="G37">
            <v>6.92</v>
          </cell>
          <cell r="H37">
            <v>3108</v>
          </cell>
          <cell r="I37">
            <v>3</v>
          </cell>
          <cell r="J37">
            <v>4.69</v>
          </cell>
          <cell r="K37">
            <v>621</v>
          </cell>
          <cell r="L37">
            <v>7</v>
          </cell>
          <cell r="M37">
            <v>4.15</v>
          </cell>
        </row>
        <row r="38">
          <cell r="A38" t="str">
            <v>QW-6H25-PV48</v>
          </cell>
          <cell r="B38">
            <v>519</v>
          </cell>
          <cell r="C38">
            <v>0</v>
          </cell>
          <cell r="D38">
            <v>0</v>
          </cell>
          <cell r="E38">
            <v>1825</v>
          </cell>
          <cell r="F38">
            <v>3</v>
          </cell>
          <cell r="G38">
            <v>5.65</v>
          </cell>
          <cell r="H38">
            <v>2176</v>
          </cell>
          <cell r="I38">
            <v>9</v>
          </cell>
          <cell r="J38">
            <v>13.61</v>
          </cell>
          <cell r="K38">
            <v>401</v>
          </cell>
          <cell r="L38">
            <v>2</v>
          </cell>
          <cell r="M38">
            <v>0.47</v>
          </cell>
        </row>
        <row r="39">
          <cell r="A39" t="str">
            <v>R0-9P3N-MM7G</v>
          </cell>
          <cell r="B39">
            <v>170</v>
          </cell>
          <cell r="C39">
            <v>0</v>
          </cell>
          <cell r="D39">
            <v>0</v>
          </cell>
          <cell r="E39">
            <v>1285</v>
          </cell>
          <cell r="F39">
            <v>1</v>
          </cell>
          <cell r="G39">
            <v>2.59</v>
          </cell>
          <cell r="H39">
            <v>1493</v>
          </cell>
          <cell r="I39">
            <v>3</v>
          </cell>
          <cell r="J39">
            <v>3.33</v>
          </cell>
          <cell r="K39">
            <v>90</v>
          </cell>
          <cell r="L39">
            <v>0</v>
          </cell>
          <cell r="M39">
            <v>0</v>
          </cell>
        </row>
        <row r="40">
          <cell r="A40" t="str">
            <v>YI-LW70-5D1O</v>
          </cell>
          <cell r="B40">
            <v>0</v>
          </cell>
          <cell r="C40">
            <v>0</v>
          </cell>
          <cell r="D40">
            <v>0</v>
          </cell>
          <cell r="E40">
            <v>3732</v>
          </cell>
          <cell r="F40">
            <v>8</v>
          </cell>
          <cell r="G40">
            <v>7.78</v>
          </cell>
          <cell r="H40">
            <v>44916</v>
          </cell>
          <cell r="I40">
            <v>24</v>
          </cell>
          <cell r="J40">
            <v>39.17</v>
          </cell>
          <cell r="K40">
            <v>16172</v>
          </cell>
          <cell r="L40">
            <v>27</v>
          </cell>
          <cell r="M40">
            <v>22.1</v>
          </cell>
        </row>
        <row r="41">
          <cell r="A41" t="str">
            <v>5D-ZS9Q-CYOL</v>
          </cell>
          <cell r="B41">
            <v>452</v>
          </cell>
          <cell r="C41">
            <v>3</v>
          </cell>
          <cell r="D41">
            <v>2.35</v>
          </cell>
          <cell r="E41">
            <v>2049</v>
          </cell>
          <cell r="F41">
            <v>18</v>
          </cell>
          <cell r="G41">
            <v>22.88</v>
          </cell>
          <cell r="H41">
            <v>2160</v>
          </cell>
          <cell r="I41">
            <v>14</v>
          </cell>
          <cell r="J41">
            <v>19.39</v>
          </cell>
          <cell r="K41">
            <v>128</v>
          </cell>
          <cell r="L41">
            <v>3</v>
          </cell>
          <cell r="M41">
            <v>1.76</v>
          </cell>
        </row>
        <row r="42">
          <cell r="A42" t="str">
            <v>HF-g104e-PCFS</v>
          </cell>
          <cell r="B42">
            <v>11030</v>
          </cell>
          <cell r="C42">
            <v>16</v>
          </cell>
          <cell r="D42">
            <v>14.37</v>
          </cell>
          <cell r="E42">
            <v>38075</v>
          </cell>
          <cell r="F42">
            <v>33</v>
          </cell>
          <cell r="G42">
            <v>77.48</v>
          </cell>
          <cell r="H42">
            <v>56595</v>
          </cell>
          <cell r="I42">
            <v>52</v>
          </cell>
          <cell r="J42">
            <v>97.16</v>
          </cell>
          <cell r="K42">
            <v>8701</v>
          </cell>
          <cell r="L42">
            <v>13</v>
          </cell>
          <cell r="M42">
            <v>9.11</v>
          </cell>
        </row>
        <row r="43">
          <cell r="A43" t="str">
            <v>HF-a56e-EYES</v>
          </cell>
          <cell r="B43">
            <v>11218</v>
          </cell>
          <cell r="C43">
            <v>21</v>
          </cell>
          <cell r="D43">
            <v>28.06</v>
          </cell>
          <cell r="E43">
            <v>21524</v>
          </cell>
          <cell r="F43">
            <v>29</v>
          </cell>
          <cell r="G43">
            <v>39.28</v>
          </cell>
          <cell r="H43">
            <v>20331</v>
          </cell>
          <cell r="I43">
            <v>49</v>
          </cell>
          <cell r="J43">
            <v>60.33</v>
          </cell>
          <cell r="K43">
            <v>6696</v>
          </cell>
          <cell r="L43">
            <v>19</v>
          </cell>
          <cell r="M43">
            <v>15.08</v>
          </cell>
        </row>
        <row r="44">
          <cell r="A44" t="str">
            <v>HF-a6e-LASS</v>
          </cell>
          <cell r="B44">
            <v>1940</v>
          </cell>
          <cell r="C44">
            <v>3</v>
          </cell>
          <cell r="D44">
            <v>5.26</v>
          </cell>
          <cell r="E44">
            <v>2958</v>
          </cell>
          <cell r="F44">
            <v>6</v>
          </cell>
          <cell r="G44">
            <v>8.6</v>
          </cell>
          <cell r="H44">
            <v>10575</v>
          </cell>
          <cell r="I44">
            <v>11</v>
          </cell>
          <cell r="J44">
            <v>12.26</v>
          </cell>
          <cell r="K44">
            <v>0</v>
          </cell>
          <cell r="L44">
            <v>0</v>
          </cell>
          <cell r="M44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A6" sqref="A6:AV131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8</v>
      </c>
      <c r="E2" s="12">
        <f>IFERROR(VLOOKUP(A2,[3]库存报告使用数据处理!$A:$C,3,0),0)</f>
        <v>1</v>
      </c>
      <c r="F2" s="12">
        <f>IFERROR(VLOOKUP(A2,[3]库存报告使用数据处理!$A:$D,4,0),0)</f>
        <v>2</v>
      </c>
      <c r="G2" s="12">
        <f>IFERROR(VLOOKUP(A2,[3]库存报告使用数据处理!$A:$E,5,0),0)</f>
        <v>0</v>
      </c>
      <c r="H2" s="12">
        <f>IFERROR(VLOOKUP(A2,[3]库存报告使用数据处理!$A:$F,6,0),0)</f>
        <v>43.3072727272727</v>
      </c>
      <c r="I2" s="12">
        <f>IFERROR(VLOOKUP($A2,[1]数据处理!$A:$B,2,0),0)</f>
        <v>21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4</v>
      </c>
      <c r="M2" s="19">
        <f>SUM(I2:L2)</f>
        <v>25</v>
      </c>
      <c r="N2" s="12">
        <f>IFERROR(VLOOKUP($A2,[1]数据处理!$A:$N,14,0),0)</f>
        <v>26</v>
      </c>
      <c r="O2">
        <f>IFERROR(VLOOKUP(D2,[1]数据处理!$A:$C,3,0),0)</f>
        <v>0</v>
      </c>
      <c r="P2">
        <f ca="1">IFERROR(VLOOKUP($A2,[4]库存报告使用数据!$A$1:$B$65536,2,0),0)</f>
        <v>37</v>
      </c>
      <c r="Q2">
        <f ca="1">IFERROR(VLOOKUP($A2,[4]库存报告使用数据!$A$1:$E$65536,5,0),0)</f>
        <v>386</v>
      </c>
      <c r="R2">
        <f ca="1">IFERROR(VLOOKUP($A2,[4]库存报告使用数据!$A$1:$H$65536,8,0),0)</f>
        <v>129</v>
      </c>
      <c r="S2">
        <f ca="1">IFERROR(VLOOKUP($A2,[4]库存报告使用数据!$A$1:$K$65536,11,0),0)</f>
        <v>258</v>
      </c>
      <c r="T2">
        <f ca="1">IFERROR(VLOOKUP($A2,[4]库存报告使用数据!$A$1:$C$65536,3,0),"")</f>
        <v>0</v>
      </c>
      <c r="U2">
        <f ca="1">IFERROR(VLOOKUP($A2,[4]库存报告使用数据!$A$1:$F$65536,6,0),"")</f>
        <v>1</v>
      </c>
      <c r="V2">
        <f ca="1">IFERROR(VLOOKUP($A2,[4]库存报告使用数据!$A$1:$I$65536,9,0),"")</f>
        <v>2</v>
      </c>
      <c r="W2">
        <f ca="1">IFERROR(VLOOKUP($A2,[4]库存报告使用数据!$A$1:$L$65536,12,0),"")</f>
        <v>1</v>
      </c>
      <c r="X2" s="6">
        <f ca="1">IF(P2=0,"",T2/P2)</f>
        <v>0</v>
      </c>
      <c r="Y2" s="6">
        <f ca="1">IF(Q2=0,"",U2/Q2)</f>
        <v>0.00259067357512953</v>
      </c>
      <c r="Z2" s="6">
        <f ca="1">IF(R2=0,"",V2/R2)</f>
        <v>0.0155038759689922</v>
      </c>
      <c r="AA2" s="6">
        <f ca="1">IF(S2=0,"",W2/S2)</f>
        <v>0.00387596899224806</v>
      </c>
      <c r="AB2">
        <f ca="1">IFERROR(VLOOKUP($A2,[4]库存报告使用数据!$A$1:$D$65536,4,0),"")</f>
        <v>0</v>
      </c>
      <c r="AC2">
        <f ca="1">IFERROR(VLOOKUP($A2,[4]库存报告使用数据!$A$1:$G$65536,7,0),"")</f>
        <v>0.46</v>
      </c>
      <c r="AD2">
        <f ca="1">IFERROR(VLOOKUP($A2,[4]库存报告使用数据!$A$1:$J$65536,10,0),"")</f>
        <v>2.88</v>
      </c>
      <c r="AE2">
        <f ca="1">IFERROR(VLOOKUP($A2,[4]库存报告使用数据!$A$1:$M$65536,13,0),"")</f>
        <v>0.15</v>
      </c>
      <c r="AF2" s="6">
        <f ca="1" t="shared" ref="AF2:AI2" si="0">IF(AND(AB2&gt;0,D2=0),"有广告无销售广告费为"&amp;AB2,IF(D2=0,"",IF(AB2=0,0,IFERROR(AB2/(D2*$H2),""))))</f>
        <v>0</v>
      </c>
      <c r="AG2" s="6">
        <f ca="1" t="shared" si="0"/>
        <v>0.0106217725345313</v>
      </c>
      <c r="AH2" s="6">
        <f ca="1" t="shared" si="0"/>
        <v>0.0332507661950544</v>
      </c>
      <c r="AI2" s="6" t="str">
        <f ca="1" t="shared" si="0"/>
        <v>有广告无销售广告费为0.15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1.14285714285714</v>
      </c>
      <c r="AS2" s="27">
        <f>IF(AR2="","上周无销量",60*AR2)</f>
        <v>68.5714285714286</v>
      </c>
      <c r="AT2" s="27">
        <f>IF(AS2="上周无销量","上周无销量/总库存"&amp;M2,M2-AS2)</f>
        <v>-43.5714285714286</v>
      </c>
      <c r="AU2" s="12">
        <f>IF(AR2="","库存为"&amp;M2,IF(AS2=0,"库存为"&amp;M2,INT(M2/AR2)))</f>
        <v>21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2018/8/6-2018/8/12</v>
      </c>
      <c r="E3" s="14" t="str">
        <f>TEXT(时间!$B$8,"yyyy/M/d")&amp;"-"&amp;TEXT(时间!$B$7,"yyyy/Md")</f>
        <v>2018/7/30-2018/85</v>
      </c>
      <c r="F3" s="14" t="str">
        <f>TEXT(时间!$B$10,"yyyy/M/d")&amp;"-"&amp;TEXT(时间!$B$9,"yyyy/M/d")</f>
        <v>2018/7/23-2018/7/29</v>
      </c>
      <c r="G3" s="14" t="str">
        <f>TEXT(时间!$B$12,"yyyy/M/d")&amp;"-"&amp;TEXT(时间!$B$11,"yyyy/M/d")</f>
        <v>2018/7/16-2018/7/22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43318</v>
      </c>
      <c r="AG4" s="16">
        <f>时间!$B$7</f>
        <v>43317</v>
      </c>
      <c r="AH4" s="16">
        <f>时间!$B$8</f>
        <v>43311</v>
      </c>
      <c r="AI4" s="16">
        <f>时间!$B$9</f>
        <v>43310</v>
      </c>
      <c r="AJ4" s="16">
        <f>时间!$B$6</f>
        <v>43318</v>
      </c>
      <c r="AK4" s="16">
        <f>时间!$B$7</f>
        <v>43317</v>
      </c>
      <c r="AL4" s="16">
        <f>时间!$B$8</f>
        <v>43311</v>
      </c>
      <c r="AM4" s="16">
        <f>时间!$B$9</f>
        <v>43310</v>
      </c>
      <c r="AN4" s="16">
        <f>时间!$B$6</f>
        <v>43318</v>
      </c>
      <c r="AO4" s="16">
        <f>时间!$B$7</f>
        <v>43317</v>
      </c>
      <c r="AP4" s="16">
        <f>时间!$B$8</f>
        <v>43311</v>
      </c>
      <c r="AQ4" s="16">
        <f>时间!$B$9</f>
        <v>43310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198</v>
      </c>
      <c r="E5" s="15">
        <f>SUM(E6:E65536)</f>
        <v>270</v>
      </c>
      <c r="F5" s="15">
        <f>SUM(F6:F65536)</f>
        <v>279</v>
      </c>
      <c r="G5" s="15">
        <f>SUM(G6:G65536)</f>
        <v>326</v>
      </c>
      <c r="H5" s="15"/>
      <c r="I5" s="15">
        <f t="shared" ref="I5:O5" si="1">SUM(I6:I65536)</f>
        <v>1830</v>
      </c>
      <c r="J5" s="15">
        <f t="shared" si="1"/>
        <v>0</v>
      </c>
      <c r="K5" s="15">
        <f t="shared" si="1"/>
        <v>146</v>
      </c>
      <c r="L5" s="15">
        <f t="shared" si="1"/>
        <v>16</v>
      </c>
      <c r="M5" s="15">
        <f t="shared" si="1"/>
        <v>1992</v>
      </c>
      <c r="N5" s="15">
        <f t="shared" si="1"/>
        <v>40</v>
      </c>
      <c r="O5" s="15">
        <f t="shared" si="1"/>
        <v>1675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323.88</v>
      </c>
      <c r="AC5" s="15">
        <f ca="1">SUM(AC6:AC65536)</f>
        <v>713.57</v>
      </c>
      <c r="AD5" s="15">
        <f ca="1">SUM(AD6:AD65536)</f>
        <v>862.65</v>
      </c>
      <c r="AE5" s="15">
        <f ca="1">SUM(AE6:AE65536)</f>
        <v>465.75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 t="s">
        <v>53</v>
      </c>
      <c r="D6" s="18">
        <v>8</v>
      </c>
      <c r="E6" s="18">
        <v>7</v>
      </c>
      <c r="F6" s="18">
        <v>6</v>
      </c>
      <c r="G6" s="18">
        <v>11</v>
      </c>
      <c r="H6" s="18">
        <v>14.7065625</v>
      </c>
      <c r="I6" s="18">
        <v>140</v>
      </c>
      <c r="J6" s="18">
        <v>0</v>
      </c>
      <c r="K6" s="18">
        <v>0</v>
      </c>
      <c r="L6" s="18">
        <v>0</v>
      </c>
      <c r="M6" s="21">
        <v>140</v>
      </c>
      <c r="N6" s="18">
        <v>0</v>
      </c>
      <c r="O6" s="17">
        <v>151</v>
      </c>
      <c r="P6" s="17">
        <v>317</v>
      </c>
      <c r="Q6" s="17">
        <v>1288</v>
      </c>
      <c r="R6" s="17">
        <v>2053</v>
      </c>
      <c r="S6" s="17">
        <v>285</v>
      </c>
      <c r="T6" s="17">
        <v>1</v>
      </c>
      <c r="U6" s="17">
        <v>3</v>
      </c>
      <c r="V6" s="17">
        <v>0</v>
      </c>
      <c r="W6" s="17">
        <v>3</v>
      </c>
      <c r="X6" s="26">
        <v>0.00315457413249211</v>
      </c>
      <c r="Y6" s="26">
        <v>0.00232919254658385</v>
      </c>
      <c r="Z6" s="26">
        <v>0</v>
      </c>
      <c r="AA6" s="26">
        <v>0.0105263157894737</v>
      </c>
      <c r="AB6" s="17">
        <v>2.73</v>
      </c>
      <c r="AC6" s="17">
        <v>5.54</v>
      </c>
      <c r="AD6" s="17">
        <v>0</v>
      </c>
      <c r="AE6" s="17">
        <v>1.29</v>
      </c>
      <c r="AF6" s="26">
        <v>0.0232039268183846</v>
      </c>
      <c r="AG6" s="26">
        <v>0.0538146539293986</v>
      </c>
      <c r="AH6" s="26">
        <v>0</v>
      </c>
      <c r="AI6" s="26">
        <v>0.00797417664887544</v>
      </c>
      <c r="AJ6" s="17">
        <v>30</v>
      </c>
      <c r="AK6" s="17">
        <v>42</v>
      </c>
      <c r="AL6" s="17">
        <v>22</v>
      </c>
      <c r="AM6" s="17">
        <v>25</v>
      </c>
      <c r="AN6" s="26">
        <v>0.266666666666667</v>
      </c>
      <c r="AO6" s="26">
        <v>0.166666666666667</v>
      </c>
      <c r="AP6" s="26">
        <v>0.272727272727273</v>
      </c>
      <c r="AQ6" s="26">
        <v>0.44</v>
      </c>
      <c r="AR6" s="31">
        <v>1.14285714285714</v>
      </c>
      <c r="AS6" s="31">
        <v>68.5714285714286</v>
      </c>
      <c r="AT6" s="31">
        <v>71.4285714285714</v>
      </c>
      <c r="AU6" s="18">
        <v>122</v>
      </c>
      <c r="AV6" s="32">
        <v>43447</v>
      </c>
    </row>
    <row r="7" spans="1:48">
      <c r="A7" s="16" t="s">
        <v>54</v>
      </c>
      <c r="B7" s="17" t="s">
        <v>55</v>
      </c>
      <c r="C7" s="17" t="s">
        <v>56</v>
      </c>
      <c r="D7" s="18">
        <v>9</v>
      </c>
      <c r="E7" s="18">
        <v>9</v>
      </c>
      <c r="F7" s="18">
        <v>2</v>
      </c>
      <c r="G7" s="18">
        <v>4</v>
      </c>
      <c r="H7" s="18">
        <v>18.24875</v>
      </c>
      <c r="I7" s="18">
        <v>82</v>
      </c>
      <c r="J7" s="18">
        <v>0</v>
      </c>
      <c r="K7" s="18">
        <v>0</v>
      </c>
      <c r="L7" s="18">
        <v>3</v>
      </c>
      <c r="M7" s="21">
        <v>85</v>
      </c>
      <c r="N7" s="18">
        <v>0</v>
      </c>
      <c r="O7" s="17">
        <v>88</v>
      </c>
      <c r="P7" s="17">
        <v>145</v>
      </c>
      <c r="Q7" s="17">
        <v>1254</v>
      </c>
      <c r="R7" s="17">
        <v>1786</v>
      </c>
      <c r="S7" s="17">
        <v>164</v>
      </c>
      <c r="T7" s="17">
        <v>0</v>
      </c>
      <c r="U7" s="17">
        <v>2</v>
      </c>
      <c r="V7" s="17">
        <v>1</v>
      </c>
      <c r="W7" s="17">
        <v>3</v>
      </c>
      <c r="X7" s="26">
        <v>0</v>
      </c>
      <c r="Y7" s="26">
        <v>0.00159489633173844</v>
      </c>
      <c r="Z7" s="26">
        <v>0.000559910414333707</v>
      </c>
      <c r="AA7" s="26">
        <v>0.0182926829268293</v>
      </c>
      <c r="AB7" s="17">
        <v>0</v>
      </c>
      <c r="AC7" s="17">
        <v>2.15</v>
      </c>
      <c r="AD7" s="17">
        <v>2.11</v>
      </c>
      <c r="AE7" s="17">
        <v>1.35</v>
      </c>
      <c r="AF7" s="26">
        <v>0</v>
      </c>
      <c r="AG7" s="26">
        <v>0.0130906987541004</v>
      </c>
      <c r="AH7" s="26">
        <v>0.0578121789163641</v>
      </c>
      <c r="AI7" s="26">
        <v>0.0184944174258511</v>
      </c>
      <c r="AJ7" s="17">
        <v>29</v>
      </c>
      <c r="AK7" s="17">
        <v>18</v>
      </c>
      <c r="AL7" s="17">
        <v>21</v>
      </c>
      <c r="AM7" s="17">
        <v>20</v>
      </c>
      <c r="AN7" s="26">
        <v>0.310344827586207</v>
      </c>
      <c r="AO7" s="26">
        <v>0.5</v>
      </c>
      <c r="AP7" s="26">
        <v>0.0952380952380952</v>
      </c>
      <c r="AQ7" s="26">
        <v>0.2</v>
      </c>
      <c r="AR7" s="31">
        <v>1.28571428571429</v>
      </c>
      <c r="AS7" s="31">
        <v>77.1428571428572</v>
      </c>
      <c r="AT7" s="31">
        <v>7.85714285714285</v>
      </c>
      <c r="AU7" s="18">
        <v>66</v>
      </c>
      <c r="AV7" s="32">
        <v>43391</v>
      </c>
    </row>
    <row r="8" spans="1:48">
      <c r="A8" s="16" t="s">
        <v>57</v>
      </c>
      <c r="B8" s="17" t="s">
        <v>58</v>
      </c>
      <c r="C8" s="17" t="s">
        <v>59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21">
        <v>0</v>
      </c>
      <c r="N8" s="18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 t="s">
        <v>60</v>
      </c>
      <c r="U8" s="17" t="s">
        <v>60</v>
      </c>
      <c r="V8" s="17" t="s">
        <v>60</v>
      </c>
      <c r="W8" s="17" t="s">
        <v>60</v>
      </c>
      <c r="X8" s="26" t="s">
        <v>60</v>
      </c>
      <c r="Y8" s="26" t="s">
        <v>60</v>
      </c>
      <c r="Z8" s="26" t="s">
        <v>60</v>
      </c>
      <c r="AA8" s="26" t="s">
        <v>60</v>
      </c>
      <c r="AB8" s="17" t="s">
        <v>60</v>
      </c>
      <c r="AC8" s="17" t="s">
        <v>60</v>
      </c>
      <c r="AD8" s="17" t="s">
        <v>60</v>
      </c>
      <c r="AE8" s="17" t="s">
        <v>60</v>
      </c>
      <c r="AF8" s="26" t="s">
        <v>61</v>
      </c>
      <c r="AG8" s="26" t="s">
        <v>61</v>
      </c>
      <c r="AH8" s="26" t="s">
        <v>61</v>
      </c>
      <c r="AI8" s="26" t="s">
        <v>61</v>
      </c>
      <c r="AJ8" s="17">
        <v>81</v>
      </c>
      <c r="AK8" s="17">
        <v>64</v>
      </c>
      <c r="AL8" s="17">
        <v>29</v>
      </c>
      <c r="AM8" s="17">
        <v>26</v>
      </c>
      <c r="AN8" s="26">
        <v>0</v>
      </c>
      <c r="AO8" s="26">
        <v>0</v>
      </c>
      <c r="AP8" s="26">
        <v>0</v>
      </c>
      <c r="AQ8" s="26">
        <v>0</v>
      </c>
      <c r="AR8" s="31">
        <v>0</v>
      </c>
      <c r="AS8" s="31">
        <v>0</v>
      </c>
      <c r="AT8" s="31">
        <v>0</v>
      </c>
      <c r="AU8" s="18" t="s">
        <v>62</v>
      </c>
      <c r="AV8" s="32" t="s">
        <v>63</v>
      </c>
    </row>
    <row r="9" spans="1:48">
      <c r="A9" s="16" t="s">
        <v>64</v>
      </c>
      <c r="B9" s="17" t="s">
        <v>65</v>
      </c>
      <c r="C9" s="17" t="s">
        <v>66</v>
      </c>
      <c r="D9" s="18">
        <v>2</v>
      </c>
      <c r="E9" s="18">
        <v>2</v>
      </c>
      <c r="F9" s="18">
        <v>5</v>
      </c>
      <c r="G9" s="18">
        <v>19</v>
      </c>
      <c r="H9" s="18">
        <v>10.2142857142857</v>
      </c>
      <c r="I9" s="18">
        <v>8</v>
      </c>
      <c r="J9" s="18">
        <v>0</v>
      </c>
      <c r="K9" s="18">
        <v>0</v>
      </c>
      <c r="L9" s="18">
        <v>0</v>
      </c>
      <c r="M9" s="21">
        <v>8</v>
      </c>
      <c r="N9" s="18">
        <v>0</v>
      </c>
      <c r="O9" s="17">
        <v>8</v>
      </c>
      <c r="P9" s="17">
        <v>99</v>
      </c>
      <c r="Q9" s="17">
        <v>1007</v>
      </c>
      <c r="R9" s="17">
        <v>1368</v>
      </c>
      <c r="S9" s="17">
        <v>99</v>
      </c>
      <c r="T9" s="17">
        <v>0</v>
      </c>
      <c r="U9" s="17">
        <v>2</v>
      </c>
      <c r="V9" s="17">
        <v>7</v>
      </c>
      <c r="W9" s="17">
        <v>0</v>
      </c>
      <c r="X9" s="26">
        <v>0</v>
      </c>
      <c r="Y9" s="26">
        <v>0.00198609731876862</v>
      </c>
      <c r="Z9" s="26">
        <v>0.00511695906432749</v>
      </c>
      <c r="AA9" s="26">
        <v>0</v>
      </c>
      <c r="AB9" s="17">
        <v>0</v>
      </c>
      <c r="AC9" s="17">
        <v>3.3</v>
      </c>
      <c r="AD9" s="17">
        <v>9.43</v>
      </c>
      <c r="AE9" s="17">
        <v>0</v>
      </c>
      <c r="AF9" s="26">
        <v>0</v>
      </c>
      <c r="AG9" s="26">
        <v>0.161538461538462</v>
      </c>
      <c r="AH9" s="26">
        <v>0.184643356643357</v>
      </c>
      <c r="AI9" s="26">
        <v>0</v>
      </c>
      <c r="AJ9" s="17">
        <v>47</v>
      </c>
      <c r="AK9" s="17">
        <v>31</v>
      </c>
      <c r="AL9" s="17">
        <v>28</v>
      </c>
      <c r="AM9" s="17">
        <v>19</v>
      </c>
      <c r="AN9" s="26">
        <v>0.0425531914893617</v>
      </c>
      <c r="AO9" s="26">
        <v>0.0645161290322581</v>
      </c>
      <c r="AP9" s="26">
        <v>0.178571428571429</v>
      </c>
      <c r="AQ9" s="26">
        <v>1</v>
      </c>
      <c r="AR9" s="31">
        <v>0.285714285714286</v>
      </c>
      <c r="AS9" s="31">
        <v>17.1428571428571</v>
      </c>
      <c r="AT9" s="31">
        <v>-9.14285714285714</v>
      </c>
      <c r="AU9" s="18">
        <v>28</v>
      </c>
      <c r="AV9" s="32">
        <v>43353</v>
      </c>
    </row>
    <row r="10" spans="1:48">
      <c r="A10" s="16" t="s">
        <v>67</v>
      </c>
      <c r="B10" s="17" t="s">
        <v>68</v>
      </c>
      <c r="C10" s="17" t="s">
        <v>69</v>
      </c>
      <c r="D10" s="18">
        <v>3</v>
      </c>
      <c r="E10" s="18">
        <v>7</v>
      </c>
      <c r="F10" s="18">
        <v>5</v>
      </c>
      <c r="G10" s="18">
        <v>7</v>
      </c>
      <c r="H10" s="18">
        <v>37.53</v>
      </c>
      <c r="I10" s="18">
        <v>30</v>
      </c>
      <c r="J10" s="18">
        <v>0</v>
      </c>
      <c r="K10" s="18">
        <v>0</v>
      </c>
      <c r="L10" s="18">
        <v>0</v>
      </c>
      <c r="M10" s="21">
        <v>30</v>
      </c>
      <c r="N10" s="18">
        <v>0</v>
      </c>
      <c r="O10" s="17">
        <v>31</v>
      </c>
      <c r="P10" s="17">
        <v>748</v>
      </c>
      <c r="Q10" s="17">
        <v>6374</v>
      </c>
      <c r="R10" s="17">
        <v>6985</v>
      </c>
      <c r="S10" s="17">
        <v>3254</v>
      </c>
      <c r="T10" s="17">
        <v>3</v>
      </c>
      <c r="U10" s="17">
        <v>11</v>
      </c>
      <c r="V10" s="17">
        <v>23</v>
      </c>
      <c r="W10" s="17">
        <v>15</v>
      </c>
      <c r="X10" s="26">
        <v>0.00401069518716578</v>
      </c>
      <c r="Y10" s="26">
        <v>0.00172576090367116</v>
      </c>
      <c r="Z10" s="26">
        <v>0.00329277022190408</v>
      </c>
      <c r="AA10" s="26">
        <v>0.00460971112476951</v>
      </c>
      <c r="AB10" s="17">
        <v>3.95</v>
      </c>
      <c r="AC10" s="17">
        <v>14.27</v>
      </c>
      <c r="AD10" s="17">
        <v>24.96</v>
      </c>
      <c r="AE10" s="17">
        <v>10.28</v>
      </c>
      <c r="AF10" s="26">
        <v>0.0350830446753708</v>
      </c>
      <c r="AG10" s="26">
        <v>0.0543184500019032</v>
      </c>
      <c r="AH10" s="26">
        <v>0.133013589128697</v>
      </c>
      <c r="AI10" s="26">
        <v>0.0391306002816794</v>
      </c>
      <c r="AJ10" s="17">
        <v>33</v>
      </c>
      <c r="AK10" s="17">
        <v>48</v>
      </c>
      <c r="AL10" s="17">
        <v>42</v>
      </c>
      <c r="AM10" s="17">
        <v>7</v>
      </c>
      <c r="AN10" s="26">
        <v>0.0909090909090909</v>
      </c>
      <c r="AO10" s="26">
        <v>0.145833333333333</v>
      </c>
      <c r="AP10" s="26">
        <v>0.119047619047619</v>
      </c>
      <c r="AQ10" s="26">
        <v>1</v>
      </c>
      <c r="AR10" s="31">
        <v>0.428571428571429</v>
      </c>
      <c r="AS10" s="31">
        <v>25.7142857142857</v>
      </c>
      <c r="AT10" s="31">
        <v>4.28571428571429</v>
      </c>
      <c r="AU10" s="18">
        <v>70</v>
      </c>
      <c r="AV10" s="32">
        <v>43395</v>
      </c>
    </row>
    <row r="11" spans="1:48">
      <c r="A11" s="16" t="s">
        <v>11</v>
      </c>
      <c r="B11" s="17" t="s">
        <v>70</v>
      </c>
      <c r="C11" s="17" t="s">
        <v>71</v>
      </c>
      <c r="D11" s="18">
        <v>8</v>
      </c>
      <c r="E11" s="18">
        <v>1</v>
      </c>
      <c r="F11" s="18">
        <v>2</v>
      </c>
      <c r="G11" s="18">
        <v>0</v>
      </c>
      <c r="H11" s="18">
        <v>43.3072727272727</v>
      </c>
      <c r="I11" s="18">
        <v>21</v>
      </c>
      <c r="J11" s="18">
        <v>0</v>
      </c>
      <c r="K11" s="18">
        <v>0</v>
      </c>
      <c r="L11" s="18">
        <v>4</v>
      </c>
      <c r="M11" s="21">
        <v>25</v>
      </c>
      <c r="N11" s="18">
        <v>1</v>
      </c>
      <c r="O11" s="17">
        <v>26</v>
      </c>
      <c r="P11" s="17">
        <v>37</v>
      </c>
      <c r="Q11" s="17">
        <v>386</v>
      </c>
      <c r="R11" s="17">
        <v>129</v>
      </c>
      <c r="S11" s="17">
        <v>258</v>
      </c>
      <c r="T11" s="17">
        <v>0</v>
      </c>
      <c r="U11" s="17">
        <v>1</v>
      </c>
      <c r="V11" s="17">
        <v>2</v>
      </c>
      <c r="W11" s="17">
        <v>1</v>
      </c>
      <c r="X11" s="26">
        <v>0</v>
      </c>
      <c r="Y11" s="26">
        <v>0.00259067357512953</v>
      </c>
      <c r="Z11" s="26">
        <v>0.0155038759689922</v>
      </c>
      <c r="AA11" s="26">
        <v>0.00387596899224806</v>
      </c>
      <c r="AB11" s="17">
        <v>0</v>
      </c>
      <c r="AC11" s="17">
        <v>0.46</v>
      </c>
      <c r="AD11" s="17">
        <v>2.88</v>
      </c>
      <c r="AE11" s="17">
        <v>0.15</v>
      </c>
      <c r="AF11" s="26">
        <v>0</v>
      </c>
      <c r="AG11" s="26">
        <v>0.0106217725345313</v>
      </c>
      <c r="AH11" s="26">
        <v>0.0332507661950544</v>
      </c>
      <c r="AI11" s="26" t="s">
        <v>72</v>
      </c>
      <c r="AJ11" s="17">
        <v>52</v>
      </c>
      <c r="AK11" s="17">
        <v>47</v>
      </c>
      <c r="AL11" s="17">
        <v>29</v>
      </c>
      <c r="AM11" s="17">
        <v>25</v>
      </c>
      <c r="AN11" s="26">
        <v>0.153846153846154</v>
      </c>
      <c r="AO11" s="26">
        <v>0.0212765957446809</v>
      </c>
      <c r="AP11" s="26">
        <v>0.0689655172413793</v>
      </c>
      <c r="AQ11" s="26">
        <v>0</v>
      </c>
      <c r="AR11" s="31">
        <v>1.14285714285714</v>
      </c>
      <c r="AS11" s="31">
        <v>68.5714285714286</v>
      </c>
      <c r="AT11" s="31">
        <v>-43.5714285714286</v>
      </c>
      <c r="AU11" s="18">
        <v>21</v>
      </c>
      <c r="AV11" s="32">
        <v>43346</v>
      </c>
    </row>
    <row r="12" spans="1:48">
      <c r="A12" s="16" t="s">
        <v>73</v>
      </c>
      <c r="B12" s="17" t="s">
        <v>74</v>
      </c>
      <c r="C12" s="17" t="s">
        <v>75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21">
        <v>0</v>
      </c>
      <c r="N12" s="18">
        <v>0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 t="s">
        <v>60</v>
      </c>
      <c r="U12" s="17" t="s">
        <v>60</v>
      </c>
      <c r="V12" s="17" t="s">
        <v>60</v>
      </c>
      <c r="W12" s="17" t="s">
        <v>60</v>
      </c>
      <c r="X12" s="26" t="s">
        <v>60</v>
      </c>
      <c r="Y12" s="26" t="s">
        <v>60</v>
      </c>
      <c r="Z12" s="26" t="s">
        <v>60</v>
      </c>
      <c r="AA12" s="26" t="s">
        <v>60</v>
      </c>
      <c r="AB12" s="17" t="s">
        <v>60</v>
      </c>
      <c r="AC12" s="17" t="s">
        <v>60</v>
      </c>
      <c r="AD12" s="17" t="s">
        <v>60</v>
      </c>
      <c r="AE12" s="17" t="s">
        <v>60</v>
      </c>
      <c r="AF12" s="26" t="s">
        <v>61</v>
      </c>
      <c r="AG12" s="26" t="s">
        <v>61</v>
      </c>
      <c r="AH12" s="26" t="s">
        <v>61</v>
      </c>
      <c r="AI12" s="26" t="s">
        <v>61</v>
      </c>
      <c r="AJ12" s="17" t="s">
        <v>60</v>
      </c>
      <c r="AK12" s="17" t="s">
        <v>60</v>
      </c>
      <c r="AL12" s="17" t="s">
        <v>60</v>
      </c>
      <c r="AM12" s="17" t="s">
        <v>60</v>
      </c>
      <c r="AN12" s="26" t="s">
        <v>60</v>
      </c>
      <c r="AO12" s="26" t="s">
        <v>60</v>
      </c>
      <c r="AP12" s="26" t="s">
        <v>60</v>
      </c>
      <c r="AQ12" s="26" t="s">
        <v>60</v>
      </c>
      <c r="AR12" s="31">
        <v>0</v>
      </c>
      <c r="AS12" s="31">
        <v>0</v>
      </c>
      <c r="AT12" s="31">
        <v>0</v>
      </c>
      <c r="AU12" s="18" t="s">
        <v>62</v>
      </c>
      <c r="AV12" s="32" t="s">
        <v>63</v>
      </c>
    </row>
    <row r="13" spans="1:48">
      <c r="A13" s="16" t="s">
        <v>76</v>
      </c>
      <c r="B13" s="17" t="s">
        <v>77</v>
      </c>
      <c r="C13" s="17">
        <v>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21">
        <v>0</v>
      </c>
      <c r="N13" s="18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 t="s">
        <v>60</v>
      </c>
      <c r="U13" s="17" t="s">
        <v>60</v>
      </c>
      <c r="V13" s="17" t="s">
        <v>60</v>
      </c>
      <c r="W13" s="17" t="s">
        <v>60</v>
      </c>
      <c r="X13" s="26" t="s">
        <v>60</v>
      </c>
      <c r="Y13" s="26" t="s">
        <v>60</v>
      </c>
      <c r="Z13" s="26" t="s">
        <v>60</v>
      </c>
      <c r="AA13" s="26" t="s">
        <v>60</v>
      </c>
      <c r="AB13" s="17" t="s">
        <v>60</v>
      </c>
      <c r="AC13" s="17" t="s">
        <v>60</v>
      </c>
      <c r="AD13" s="17" t="s">
        <v>60</v>
      </c>
      <c r="AE13" s="17" t="s">
        <v>60</v>
      </c>
      <c r="AF13" s="26" t="s">
        <v>61</v>
      </c>
      <c r="AG13" s="26" t="s">
        <v>61</v>
      </c>
      <c r="AH13" s="26" t="s">
        <v>61</v>
      </c>
      <c r="AI13" s="26" t="s">
        <v>61</v>
      </c>
      <c r="AJ13" s="17">
        <v>0</v>
      </c>
      <c r="AK13" s="17">
        <v>189</v>
      </c>
      <c r="AL13" s="17">
        <v>282</v>
      </c>
      <c r="AM13" s="17">
        <v>219</v>
      </c>
      <c r="AN13" s="26" t="s">
        <v>60</v>
      </c>
      <c r="AO13" s="26">
        <v>0</v>
      </c>
      <c r="AP13" s="26">
        <v>0</v>
      </c>
      <c r="AQ13" s="26">
        <v>0</v>
      </c>
      <c r="AR13" s="31">
        <v>0</v>
      </c>
      <c r="AS13" s="31">
        <v>0</v>
      </c>
      <c r="AT13" s="31">
        <v>0</v>
      </c>
      <c r="AU13" s="18" t="s">
        <v>62</v>
      </c>
      <c r="AV13" s="32" t="s">
        <v>63</v>
      </c>
    </row>
    <row r="14" spans="1:48">
      <c r="A14" s="16" t="s">
        <v>78</v>
      </c>
      <c r="B14" s="17" t="s">
        <v>79</v>
      </c>
      <c r="C14" s="17" t="s">
        <v>80</v>
      </c>
      <c r="D14" s="18">
        <v>2</v>
      </c>
      <c r="E14" s="18">
        <v>0</v>
      </c>
      <c r="F14" s="18">
        <v>2</v>
      </c>
      <c r="G14" s="18">
        <v>0</v>
      </c>
      <c r="H14" s="18">
        <v>37.59</v>
      </c>
      <c r="I14" s="18">
        <v>55</v>
      </c>
      <c r="J14" s="18">
        <v>0</v>
      </c>
      <c r="K14" s="18">
        <v>0</v>
      </c>
      <c r="L14" s="18">
        <v>0</v>
      </c>
      <c r="M14" s="21">
        <v>55</v>
      </c>
      <c r="N14" s="18">
        <v>0</v>
      </c>
      <c r="O14" s="17">
        <v>55</v>
      </c>
      <c r="P14" s="17">
        <v>579</v>
      </c>
      <c r="Q14" s="17">
        <v>5950</v>
      </c>
      <c r="R14" s="17">
        <v>6236</v>
      </c>
      <c r="S14" s="17">
        <v>1329</v>
      </c>
      <c r="T14" s="17">
        <v>0</v>
      </c>
      <c r="U14" s="17">
        <v>5</v>
      </c>
      <c r="V14" s="17">
        <v>4</v>
      </c>
      <c r="W14" s="17">
        <v>7</v>
      </c>
      <c r="X14" s="26">
        <v>0</v>
      </c>
      <c r="Y14" s="26">
        <v>0.000840336134453782</v>
      </c>
      <c r="Z14" s="26">
        <v>0.00064143681847338</v>
      </c>
      <c r="AA14" s="26">
        <v>0.00526711813393529</v>
      </c>
      <c r="AB14" s="17">
        <v>0</v>
      </c>
      <c r="AC14" s="17">
        <v>8.44</v>
      </c>
      <c r="AD14" s="17">
        <v>2.66</v>
      </c>
      <c r="AE14" s="17">
        <v>5.3</v>
      </c>
      <c r="AF14" s="26">
        <v>0</v>
      </c>
      <c r="AG14" s="26" t="s">
        <v>81</v>
      </c>
      <c r="AH14" s="26">
        <v>0.0353817504655493</v>
      </c>
      <c r="AI14" s="26" t="s">
        <v>82</v>
      </c>
      <c r="AJ14" s="17">
        <v>17</v>
      </c>
      <c r="AK14" s="17">
        <v>22</v>
      </c>
      <c r="AL14" s="17">
        <v>20</v>
      </c>
      <c r="AM14" s="17">
        <v>19</v>
      </c>
      <c r="AN14" s="26">
        <v>0.117647058823529</v>
      </c>
      <c r="AO14" s="26">
        <v>0</v>
      </c>
      <c r="AP14" s="26">
        <v>0.1</v>
      </c>
      <c r="AQ14" s="26">
        <v>0</v>
      </c>
      <c r="AR14" s="31">
        <v>0.285714285714286</v>
      </c>
      <c r="AS14" s="31">
        <v>17.1428571428571</v>
      </c>
      <c r="AT14" s="31">
        <v>37.8571428571429</v>
      </c>
      <c r="AU14" s="18">
        <v>192</v>
      </c>
      <c r="AV14" s="32">
        <v>43517</v>
      </c>
    </row>
    <row r="15" spans="1:48">
      <c r="A15" s="16" t="s">
        <v>83</v>
      </c>
      <c r="B15" s="17" t="s">
        <v>84</v>
      </c>
      <c r="C15" s="17" t="s">
        <v>85</v>
      </c>
      <c r="D15" s="18">
        <v>1</v>
      </c>
      <c r="E15" s="18">
        <v>1</v>
      </c>
      <c r="F15" s="18">
        <v>0</v>
      </c>
      <c r="G15" s="18">
        <v>0</v>
      </c>
      <c r="H15" s="18">
        <v>43.35</v>
      </c>
      <c r="I15" s="18">
        <v>0</v>
      </c>
      <c r="J15" s="18">
        <v>0</v>
      </c>
      <c r="K15" s="18">
        <v>0</v>
      </c>
      <c r="L15" s="18">
        <v>0</v>
      </c>
      <c r="M15" s="21">
        <v>0</v>
      </c>
      <c r="N15" s="18">
        <v>0</v>
      </c>
      <c r="O15" s="17">
        <v>0</v>
      </c>
      <c r="P15" s="17">
        <v>452</v>
      </c>
      <c r="Q15" s="17">
        <v>2049</v>
      </c>
      <c r="R15" s="17">
        <v>2160</v>
      </c>
      <c r="S15" s="17">
        <v>128</v>
      </c>
      <c r="T15" s="17">
        <v>3</v>
      </c>
      <c r="U15" s="17">
        <v>18</v>
      </c>
      <c r="V15" s="17">
        <v>14</v>
      </c>
      <c r="W15" s="17">
        <v>3</v>
      </c>
      <c r="X15" s="26">
        <v>0.00663716814159292</v>
      </c>
      <c r="Y15" s="26">
        <v>0.00878477306002928</v>
      </c>
      <c r="Z15" s="26">
        <v>0.00648148148148148</v>
      </c>
      <c r="AA15" s="26">
        <v>0.0234375</v>
      </c>
      <c r="AB15" s="17">
        <v>2.35</v>
      </c>
      <c r="AC15" s="17">
        <v>22.88</v>
      </c>
      <c r="AD15" s="17">
        <v>19.39</v>
      </c>
      <c r="AE15" s="17">
        <v>1.76</v>
      </c>
      <c r="AF15" s="26">
        <v>0.0542099192618224</v>
      </c>
      <c r="AG15" s="26">
        <v>0.527797001153402</v>
      </c>
      <c r="AH15" s="26" t="s">
        <v>86</v>
      </c>
      <c r="AI15" s="26" t="s">
        <v>87</v>
      </c>
      <c r="AJ15" s="17">
        <v>34</v>
      </c>
      <c r="AK15" s="17">
        <v>44</v>
      </c>
      <c r="AL15" s="17">
        <v>35</v>
      </c>
      <c r="AM15" s="17">
        <v>36</v>
      </c>
      <c r="AN15" s="26">
        <v>0.0294117647058824</v>
      </c>
      <c r="AO15" s="26">
        <v>0.0227272727272727</v>
      </c>
      <c r="AP15" s="26">
        <v>0</v>
      </c>
      <c r="AQ15" s="26">
        <v>0</v>
      </c>
      <c r="AR15" s="31">
        <v>0.142857142857143</v>
      </c>
      <c r="AS15" s="31">
        <v>8.57142857142857</v>
      </c>
      <c r="AT15" s="31">
        <v>-8.57142857142857</v>
      </c>
      <c r="AU15" s="18">
        <v>0</v>
      </c>
      <c r="AV15" s="32">
        <v>43325</v>
      </c>
    </row>
    <row r="16" spans="1:48">
      <c r="A16" s="16" t="s">
        <v>88</v>
      </c>
      <c r="B16" s="17" t="s">
        <v>89</v>
      </c>
      <c r="C16" s="17">
        <v>0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L16" s="18">
        <v>0</v>
      </c>
      <c r="M16" s="21">
        <v>0</v>
      </c>
      <c r="N16" s="18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 t="s">
        <v>60</v>
      </c>
      <c r="U16" s="17" t="s">
        <v>60</v>
      </c>
      <c r="V16" s="17" t="s">
        <v>60</v>
      </c>
      <c r="W16" s="17" t="s">
        <v>60</v>
      </c>
      <c r="X16" s="26" t="s">
        <v>60</v>
      </c>
      <c r="Y16" s="26" t="s">
        <v>60</v>
      </c>
      <c r="Z16" s="26" t="s">
        <v>60</v>
      </c>
      <c r="AA16" s="26" t="s">
        <v>60</v>
      </c>
      <c r="AB16" s="17" t="s">
        <v>60</v>
      </c>
      <c r="AC16" s="17" t="s">
        <v>60</v>
      </c>
      <c r="AD16" s="17" t="s">
        <v>60</v>
      </c>
      <c r="AE16" s="17" t="s">
        <v>60</v>
      </c>
      <c r="AF16" s="26" t="s">
        <v>61</v>
      </c>
      <c r="AG16" s="26" t="s">
        <v>61</v>
      </c>
      <c r="AH16" s="26" t="s">
        <v>61</v>
      </c>
      <c r="AI16" s="26" t="s">
        <v>61</v>
      </c>
      <c r="AJ16" s="17" t="s">
        <v>60</v>
      </c>
      <c r="AK16" s="17" t="s">
        <v>60</v>
      </c>
      <c r="AL16" s="17" t="s">
        <v>60</v>
      </c>
      <c r="AM16" s="17" t="s">
        <v>60</v>
      </c>
      <c r="AN16" s="26" t="s">
        <v>60</v>
      </c>
      <c r="AO16" s="26" t="s">
        <v>60</v>
      </c>
      <c r="AP16" s="26" t="s">
        <v>60</v>
      </c>
      <c r="AQ16" s="26" t="s">
        <v>60</v>
      </c>
      <c r="AR16" s="31">
        <v>0</v>
      </c>
      <c r="AS16" s="31">
        <v>0</v>
      </c>
      <c r="AT16" s="31">
        <v>0</v>
      </c>
      <c r="AU16" s="18" t="s">
        <v>62</v>
      </c>
      <c r="AV16" s="32" t="s">
        <v>63</v>
      </c>
    </row>
    <row r="17" spans="1:48">
      <c r="A17" s="16" t="s">
        <v>90</v>
      </c>
      <c r="B17" s="17" t="s">
        <v>58</v>
      </c>
      <c r="C17" s="17" t="s">
        <v>59</v>
      </c>
      <c r="D17" s="18">
        <v>0</v>
      </c>
      <c r="E17" s="18">
        <v>3</v>
      </c>
      <c r="F17" s="18">
        <v>6</v>
      </c>
      <c r="G17" s="18">
        <v>2</v>
      </c>
      <c r="H17" s="18">
        <v>15</v>
      </c>
      <c r="I17" s="18">
        <v>0</v>
      </c>
      <c r="J17" s="18">
        <v>0</v>
      </c>
      <c r="K17" s="18">
        <v>0</v>
      </c>
      <c r="L17" s="18">
        <v>0</v>
      </c>
      <c r="M17" s="21">
        <v>0</v>
      </c>
      <c r="N17" s="18">
        <v>0</v>
      </c>
      <c r="O17" s="17">
        <v>0</v>
      </c>
      <c r="P17" s="17">
        <v>26</v>
      </c>
      <c r="Q17" s="17">
        <v>1356</v>
      </c>
      <c r="R17" s="17">
        <v>3104</v>
      </c>
      <c r="S17" s="17">
        <v>1063</v>
      </c>
      <c r="T17" s="17">
        <v>1</v>
      </c>
      <c r="U17" s="17">
        <v>3</v>
      </c>
      <c r="V17" s="17">
        <v>2</v>
      </c>
      <c r="W17" s="17">
        <v>3</v>
      </c>
      <c r="X17" s="26">
        <v>0.0384615384615385</v>
      </c>
      <c r="Y17" s="26">
        <v>0.00221238938053097</v>
      </c>
      <c r="Z17" s="26">
        <v>0.000644329896907216</v>
      </c>
      <c r="AA17" s="26">
        <v>0.00282220131702728</v>
      </c>
      <c r="AB17" s="17">
        <v>1.63</v>
      </c>
      <c r="AC17" s="17">
        <v>6.29</v>
      </c>
      <c r="AD17" s="17">
        <v>2.79</v>
      </c>
      <c r="AE17" s="17">
        <v>0.31</v>
      </c>
      <c r="AF17" s="26" t="s">
        <v>91</v>
      </c>
      <c r="AG17" s="26">
        <v>0.139777777777778</v>
      </c>
      <c r="AH17" s="26">
        <v>0.031</v>
      </c>
      <c r="AI17" s="26">
        <v>0.0103333333333333</v>
      </c>
      <c r="AJ17" s="17">
        <v>81</v>
      </c>
      <c r="AK17" s="17">
        <v>64</v>
      </c>
      <c r="AL17" s="17">
        <v>29</v>
      </c>
      <c r="AM17" s="17">
        <v>26</v>
      </c>
      <c r="AN17" s="26">
        <v>0</v>
      </c>
      <c r="AO17" s="26">
        <v>0.046875</v>
      </c>
      <c r="AP17" s="26">
        <v>0.206896551724138</v>
      </c>
      <c r="AQ17" s="26">
        <v>0.0769230769230769</v>
      </c>
      <c r="AR17" s="31">
        <v>0</v>
      </c>
      <c r="AS17" s="31">
        <v>0</v>
      </c>
      <c r="AT17" s="31">
        <v>0</v>
      </c>
      <c r="AU17" s="18" t="s">
        <v>62</v>
      </c>
      <c r="AV17" s="32" t="s">
        <v>63</v>
      </c>
    </row>
    <row r="18" spans="1:48">
      <c r="A18" s="16" t="s">
        <v>92</v>
      </c>
      <c r="B18" s="17" t="s">
        <v>93</v>
      </c>
      <c r="C18" s="17" t="s">
        <v>94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21">
        <v>0</v>
      </c>
      <c r="N18" s="18">
        <v>0</v>
      </c>
      <c r="O18" s="17">
        <v>0</v>
      </c>
      <c r="P18" s="17">
        <v>0</v>
      </c>
      <c r="Q18" s="17">
        <v>0</v>
      </c>
      <c r="R18" s="17">
        <v>0</v>
      </c>
      <c r="S18" s="17">
        <v>0</v>
      </c>
      <c r="T18" s="17" t="s">
        <v>60</v>
      </c>
      <c r="U18" s="17" t="s">
        <v>60</v>
      </c>
      <c r="V18" s="17" t="s">
        <v>60</v>
      </c>
      <c r="W18" s="17" t="s">
        <v>60</v>
      </c>
      <c r="X18" s="26" t="s">
        <v>60</v>
      </c>
      <c r="Y18" s="26" t="s">
        <v>60</v>
      </c>
      <c r="Z18" s="26" t="s">
        <v>60</v>
      </c>
      <c r="AA18" s="26" t="s">
        <v>60</v>
      </c>
      <c r="AB18" s="17" t="s">
        <v>60</v>
      </c>
      <c r="AC18" s="17" t="s">
        <v>60</v>
      </c>
      <c r="AD18" s="17" t="s">
        <v>60</v>
      </c>
      <c r="AE18" s="17" t="s">
        <v>60</v>
      </c>
      <c r="AF18" s="26" t="s">
        <v>61</v>
      </c>
      <c r="AG18" s="26" t="s">
        <v>61</v>
      </c>
      <c r="AH18" s="26" t="s">
        <v>61</v>
      </c>
      <c r="AI18" s="26" t="s">
        <v>61</v>
      </c>
      <c r="AJ18" s="17">
        <v>172</v>
      </c>
      <c r="AK18" s="17">
        <v>184</v>
      </c>
      <c r="AL18" s="17">
        <v>105</v>
      </c>
      <c r="AM18" s="17">
        <v>24</v>
      </c>
      <c r="AN18" s="26">
        <v>0</v>
      </c>
      <c r="AO18" s="26">
        <v>0</v>
      </c>
      <c r="AP18" s="26">
        <v>0</v>
      </c>
      <c r="AQ18" s="26">
        <v>0</v>
      </c>
      <c r="AR18" s="31">
        <v>0</v>
      </c>
      <c r="AS18" s="31">
        <v>0</v>
      </c>
      <c r="AT18" s="31">
        <v>0</v>
      </c>
      <c r="AU18" s="18" t="s">
        <v>62</v>
      </c>
      <c r="AV18" s="32" t="s">
        <v>63</v>
      </c>
    </row>
    <row r="19" spans="1:48">
      <c r="A19" s="16" t="s">
        <v>95</v>
      </c>
      <c r="B19" s="17" t="s">
        <v>89</v>
      </c>
      <c r="C19" s="17">
        <v>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1">
        <v>0</v>
      </c>
      <c r="N19" s="18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 t="s">
        <v>60</v>
      </c>
      <c r="U19" s="17" t="s">
        <v>60</v>
      </c>
      <c r="V19" s="17" t="s">
        <v>60</v>
      </c>
      <c r="W19" s="17" t="s">
        <v>60</v>
      </c>
      <c r="X19" s="26" t="s">
        <v>60</v>
      </c>
      <c r="Y19" s="26" t="s">
        <v>60</v>
      </c>
      <c r="Z19" s="26" t="s">
        <v>60</v>
      </c>
      <c r="AA19" s="26" t="s">
        <v>60</v>
      </c>
      <c r="AB19" s="17" t="s">
        <v>60</v>
      </c>
      <c r="AC19" s="17" t="s">
        <v>60</v>
      </c>
      <c r="AD19" s="17" t="s">
        <v>60</v>
      </c>
      <c r="AE19" s="17" t="s">
        <v>60</v>
      </c>
      <c r="AF19" s="26" t="s">
        <v>61</v>
      </c>
      <c r="AG19" s="26" t="s">
        <v>61</v>
      </c>
      <c r="AH19" s="26" t="s">
        <v>61</v>
      </c>
      <c r="AI19" s="26" t="s">
        <v>61</v>
      </c>
      <c r="AJ19" s="17" t="s">
        <v>60</v>
      </c>
      <c r="AK19" s="17" t="s">
        <v>60</v>
      </c>
      <c r="AL19" s="17" t="s">
        <v>60</v>
      </c>
      <c r="AM19" s="17" t="s">
        <v>60</v>
      </c>
      <c r="AN19" s="26" t="s">
        <v>60</v>
      </c>
      <c r="AO19" s="26" t="s">
        <v>60</v>
      </c>
      <c r="AP19" s="26" t="s">
        <v>60</v>
      </c>
      <c r="AQ19" s="26" t="s">
        <v>60</v>
      </c>
      <c r="AR19" s="31">
        <v>0</v>
      </c>
      <c r="AS19" s="31">
        <v>0</v>
      </c>
      <c r="AT19" s="31">
        <v>0</v>
      </c>
      <c r="AU19" s="18" t="s">
        <v>62</v>
      </c>
      <c r="AV19" s="32" t="s">
        <v>63</v>
      </c>
    </row>
    <row r="20" spans="1:48">
      <c r="A20" s="16" t="s">
        <v>96</v>
      </c>
      <c r="B20" s="17" t="s">
        <v>97</v>
      </c>
      <c r="C20" s="17" t="s">
        <v>98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21">
        <v>0</v>
      </c>
      <c r="N20" s="18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 t="s">
        <v>60</v>
      </c>
      <c r="U20" s="17" t="s">
        <v>60</v>
      </c>
      <c r="V20" s="17" t="s">
        <v>60</v>
      </c>
      <c r="W20" s="17" t="s">
        <v>60</v>
      </c>
      <c r="X20" s="26" t="s">
        <v>60</v>
      </c>
      <c r="Y20" s="26" t="s">
        <v>60</v>
      </c>
      <c r="Z20" s="26" t="s">
        <v>60</v>
      </c>
      <c r="AA20" s="26" t="s">
        <v>60</v>
      </c>
      <c r="AB20" s="17" t="s">
        <v>60</v>
      </c>
      <c r="AC20" s="17" t="s">
        <v>60</v>
      </c>
      <c r="AD20" s="17" t="s">
        <v>60</v>
      </c>
      <c r="AE20" s="17" t="s">
        <v>60</v>
      </c>
      <c r="AF20" s="26" t="s">
        <v>61</v>
      </c>
      <c r="AG20" s="26" t="s">
        <v>61</v>
      </c>
      <c r="AH20" s="26" t="s">
        <v>61</v>
      </c>
      <c r="AI20" s="26" t="s">
        <v>61</v>
      </c>
      <c r="AJ20" s="17">
        <v>143</v>
      </c>
      <c r="AK20" s="17">
        <v>124</v>
      </c>
      <c r="AL20" s="17">
        <v>101</v>
      </c>
      <c r="AM20" s="17">
        <v>126</v>
      </c>
      <c r="AN20" s="26">
        <v>0</v>
      </c>
      <c r="AO20" s="26">
        <v>0</v>
      </c>
      <c r="AP20" s="26">
        <v>0</v>
      </c>
      <c r="AQ20" s="26">
        <v>0</v>
      </c>
      <c r="AR20" s="31">
        <v>0</v>
      </c>
      <c r="AS20" s="31">
        <v>0</v>
      </c>
      <c r="AT20" s="31">
        <v>0</v>
      </c>
      <c r="AU20" s="18" t="s">
        <v>62</v>
      </c>
      <c r="AV20" s="32" t="s">
        <v>63</v>
      </c>
    </row>
    <row r="21" spans="1:48">
      <c r="A21" s="16" t="s">
        <v>99</v>
      </c>
      <c r="B21" s="17" t="s">
        <v>100</v>
      </c>
      <c r="C21" s="17" t="s">
        <v>101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1</v>
      </c>
      <c r="J21" s="18">
        <v>0</v>
      </c>
      <c r="K21" s="18">
        <v>0</v>
      </c>
      <c r="L21" s="18">
        <v>0</v>
      </c>
      <c r="M21" s="21">
        <v>1</v>
      </c>
      <c r="N21" s="18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 t="s">
        <v>60</v>
      </c>
      <c r="U21" s="17" t="s">
        <v>60</v>
      </c>
      <c r="V21" s="17" t="s">
        <v>60</v>
      </c>
      <c r="W21" s="17" t="s">
        <v>60</v>
      </c>
      <c r="X21" s="26" t="s">
        <v>60</v>
      </c>
      <c r="Y21" s="26" t="s">
        <v>60</v>
      </c>
      <c r="Z21" s="26" t="s">
        <v>60</v>
      </c>
      <c r="AA21" s="26" t="s">
        <v>60</v>
      </c>
      <c r="AB21" s="17" t="s">
        <v>60</v>
      </c>
      <c r="AC21" s="17" t="s">
        <v>60</v>
      </c>
      <c r="AD21" s="17" t="s">
        <v>60</v>
      </c>
      <c r="AE21" s="17" t="s">
        <v>60</v>
      </c>
      <c r="AF21" s="26" t="s">
        <v>61</v>
      </c>
      <c r="AG21" s="26" t="s">
        <v>61</v>
      </c>
      <c r="AH21" s="26" t="s">
        <v>61</v>
      </c>
      <c r="AI21" s="26" t="s">
        <v>61</v>
      </c>
      <c r="AJ21" s="17">
        <v>63</v>
      </c>
      <c r="AK21" s="17">
        <v>49</v>
      </c>
      <c r="AL21" s="17">
        <v>52</v>
      </c>
      <c r="AM21" s="17">
        <v>36</v>
      </c>
      <c r="AN21" s="26">
        <v>0</v>
      </c>
      <c r="AO21" s="26">
        <v>0</v>
      </c>
      <c r="AP21" s="26">
        <v>0</v>
      </c>
      <c r="AQ21" s="26">
        <v>0</v>
      </c>
      <c r="AR21" s="31">
        <v>0</v>
      </c>
      <c r="AS21" s="31">
        <v>0</v>
      </c>
      <c r="AT21" s="31">
        <v>1</v>
      </c>
      <c r="AU21" s="18" t="s">
        <v>102</v>
      </c>
      <c r="AV21" s="32" t="s">
        <v>63</v>
      </c>
    </row>
    <row r="22" spans="1:48">
      <c r="A22" s="16" t="s">
        <v>103</v>
      </c>
      <c r="B22" s="17" t="s">
        <v>104</v>
      </c>
      <c r="C22" s="17" t="s">
        <v>105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21">
        <v>0</v>
      </c>
      <c r="N22" s="18">
        <v>0</v>
      </c>
      <c r="O22" s="17">
        <v>0</v>
      </c>
      <c r="P22" s="17">
        <v>0</v>
      </c>
      <c r="Q22" s="17">
        <v>0</v>
      </c>
      <c r="R22" s="17">
        <v>0</v>
      </c>
      <c r="S22" s="17">
        <v>80</v>
      </c>
      <c r="T22" s="17">
        <v>0</v>
      </c>
      <c r="U22" s="17">
        <v>0</v>
      </c>
      <c r="V22" s="17">
        <v>0</v>
      </c>
      <c r="W22" s="17">
        <v>0</v>
      </c>
      <c r="X22" s="26" t="s">
        <v>60</v>
      </c>
      <c r="Y22" s="26" t="s">
        <v>60</v>
      </c>
      <c r="Z22" s="26" t="s">
        <v>60</v>
      </c>
      <c r="AA22" s="26">
        <v>0</v>
      </c>
      <c r="AB22" s="17">
        <v>0</v>
      </c>
      <c r="AC22" s="17">
        <v>0</v>
      </c>
      <c r="AD22" s="17">
        <v>0</v>
      </c>
      <c r="AE22" s="17">
        <v>0</v>
      </c>
      <c r="AF22" s="26" t="s">
        <v>60</v>
      </c>
      <c r="AG22" s="26" t="s">
        <v>60</v>
      </c>
      <c r="AH22" s="26" t="s">
        <v>60</v>
      </c>
      <c r="AI22" s="26" t="s">
        <v>60</v>
      </c>
      <c r="AJ22" s="17">
        <v>63</v>
      </c>
      <c r="AK22" s="17">
        <v>39</v>
      </c>
      <c r="AL22" s="17">
        <v>46</v>
      </c>
      <c r="AM22" s="17">
        <v>30</v>
      </c>
      <c r="AN22" s="26">
        <v>0</v>
      </c>
      <c r="AO22" s="26">
        <v>0</v>
      </c>
      <c r="AP22" s="26">
        <v>0</v>
      </c>
      <c r="AQ22" s="26">
        <v>0</v>
      </c>
      <c r="AR22" s="31">
        <v>0</v>
      </c>
      <c r="AS22" s="31">
        <v>0</v>
      </c>
      <c r="AT22" s="31">
        <v>0</v>
      </c>
      <c r="AU22" s="18" t="s">
        <v>62</v>
      </c>
      <c r="AV22" s="32" t="s">
        <v>63</v>
      </c>
    </row>
    <row r="23" spans="1:48">
      <c r="A23" s="16" t="s">
        <v>89</v>
      </c>
      <c r="B23" s="17" t="s">
        <v>89</v>
      </c>
      <c r="C23" s="17">
        <v>0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21">
        <v>0</v>
      </c>
      <c r="N23" s="18">
        <v>0</v>
      </c>
      <c r="O23" s="17">
        <v>0</v>
      </c>
      <c r="P23" s="17">
        <v>0</v>
      </c>
      <c r="Q23" s="17">
        <v>0</v>
      </c>
      <c r="R23" s="17">
        <v>0</v>
      </c>
      <c r="S23" s="17">
        <v>0</v>
      </c>
      <c r="T23" s="17" t="s">
        <v>60</v>
      </c>
      <c r="U23" s="17" t="s">
        <v>60</v>
      </c>
      <c r="V23" s="17" t="s">
        <v>60</v>
      </c>
      <c r="W23" s="17" t="s">
        <v>60</v>
      </c>
      <c r="X23" s="26" t="s">
        <v>60</v>
      </c>
      <c r="Y23" s="26" t="s">
        <v>60</v>
      </c>
      <c r="Z23" s="26" t="s">
        <v>60</v>
      </c>
      <c r="AA23" s="26" t="s">
        <v>60</v>
      </c>
      <c r="AB23" s="17" t="s">
        <v>60</v>
      </c>
      <c r="AC23" s="17" t="s">
        <v>60</v>
      </c>
      <c r="AD23" s="17" t="s">
        <v>60</v>
      </c>
      <c r="AE23" s="17" t="s">
        <v>60</v>
      </c>
      <c r="AF23" s="26" t="s">
        <v>61</v>
      </c>
      <c r="AG23" s="26" t="s">
        <v>61</v>
      </c>
      <c r="AH23" s="26" t="s">
        <v>61</v>
      </c>
      <c r="AI23" s="26" t="s">
        <v>61</v>
      </c>
      <c r="AJ23" s="17" t="s">
        <v>60</v>
      </c>
      <c r="AK23" s="17" t="s">
        <v>60</v>
      </c>
      <c r="AL23" s="17" t="s">
        <v>60</v>
      </c>
      <c r="AM23" s="17" t="s">
        <v>60</v>
      </c>
      <c r="AN23" s="26" t="s">
        <v>60</v>
      </c>
      <c r="AO23" s="26" t="s">
        <v>60</v>
      </c>
      <c r="AP23" s="26" t="s">
        <v>60</v>
      </c>
      <c r="AQ23" s="26" t="s">
        <v>60</v>
      </c>
      <c r="AR23" s="31">
        <v>0</v>
      </c>
      <c r="AS23" s="31">
        <v>0</v>
      </c>
      <c r="AT23" s="31">
        <v>0</v>
      </c>
      <c r="AU23" s="18" t="s">
        <v>62</v>
      </c>
      <c r="AV23" s="32" t="s">
        <v>63</v>
      </c>
    </row>
    <row r="24" spans="1:48">
      <c r="A24" s="16" t="s">
        <v>106</v>
      </c>
      <c r="B24" s="17" t="s">
        <v>107</v>
      </c>
      <c r="C24" s="17">
        <v>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 t="s">
        <v>60</v>
      </c>
      <c r="U24" s="17" t="s">
        <v>60</v>
      </c>
      <c r="V24" s="17" t="s">
        <v>60</v>
      </c>
      <c r="W24" s="17" t="s">
        <v>60</v>
      </c>
      <c r="X24" s="26" t="s">
        <v>60</v>
      </c>
      <c r="Y24" s="26" t="s">
        <v>60</v>
      </c>
      <c r="Z24" s="26" t="s">
        <v>60</v>
      </c>
      <c r="AA24" s="26" t="s">
        <v>60</v>
      </c>
      <c r="AB24" s="17" t="s">
        <v>60</v>
      </c>
      <c r="AC24" s="17" t="s">
        <v>60</v>
      </c>
      <c r="AD24" s="17" t="s">
        <v>60</v>
      </c>
      <c r="AE24" s="17" t="s">
        <v>60</v>
      </c>
      <c r="AF24" s="26" t="s">
        <v>61</v>
      </c>
      <c r="AG24" s="26" t="s">
        <v>61</v>
      </c>
      <c r="AH24" s="26" t="s">
        <v>61</v>
      </c>
      <c r="AI24" s="26" t="s">
        <v>61</v>
      </c>
      <c r="AJ24" s="17" t="s">
        <v>60</v>
      </c>
      <c r="AK24" s="17" t="s">
        <v>60</v>
      </c>
      <c r="AL24" s="17" t="s">
        <v>60</v>
      </c>
      <c r="AM24" s="17" t="s">
        <v>60</v>
      </c>
      <c r="AN24" s="26" t="s">
        <v>60</v>
      </c>
      <c r="AO24" s="26" t="s">
        <v>60</v>
      </c>
      <c r="AP24" s="26" t="s">
        <v>60</v>
      </c>
      <c r="AQ24" s="26" t="s">
        <v>60</v>
      </c>
      <c r="AR24" s="31">
        <v>0</v>
      </c>
      <c r="AS24" s="31">
        <v>0</v>
      </c>
      <c r="AT24" s="31">
        <v>0</v>
      </c>
      <c r="AU24" s="18" t="s">
        <v>62</v>
      </c>
      <c r="AV24" s="32" t="s">
        <v>63</v>
      </c>
    </row>
    <row r="25" spans="1:48">
      <c r="A25" s="16" t="s">
        <v>108</v>
      </c>
      <c r="B25" s="17" t="s">
        <v>77</v>
      </c>
      <c r="C25" s="17">
        <v>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>
        <v>0</v>
      </c>
      <c r="M25" s="21">
        <v>0</v>
      </c>
      <c r="N25" s="18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 t="s">
        <v>60</v>
      </c>
      <c r="U25" s="17" t="s">
        <v>60</v>
      </c>
      <c r="V25" s="17" t="s">
        <v>60</v>
      </c>
      <c r="W25" s="17" t="s">
        <v>60</v>
      </c>
      <c r="X25" s="26" t="s">
        <v>60</v>
      </c>
      <c r="Y25" s="26" t="s">
        <v>60</v>
      </c>
      <c r="Z25" s="26" t="s">
        <v>60</v>
      </c>
      <c r="AA25" s="26" t="s">
        <v>60</v>
      </c>
      <c r="AB25" s="17" t="s">
        <v>60</v>
      </c>
      <c r="AC25" s="17" t="s">
        <v>60</v>
      </c>
      <c r="AD25" s="17" t="s">
        <v>60</v>
      </c>
      <c r="AE25" s="17" t="s">
        <v>60</v>
      </c>
      <c r="AF25" s="26" t="s">
        <v>61</v>
      </c>
      <c r="AG25" s="26" t="s">
        <v>61</v>
      </c>
      <c r="AH25" s="26" t="s">
        <v>61</v>
      </c>
      <c r="AI25" s="26" t="s">
        <v>61</v>
      </c>
      <c r="AJ25" s="17">
        <v>0</v>
      </c>
      <c r="AK25" s="17">
        <v>189</v>
      </c>
      <c r="AL25" s="17">
        <v>282</v>
      </c>
      <c r="AM25" s="17">
        <v>219</v>
      </c>
      <c r="AN25" s="26" t="s">
        <v>60</v>
      </c>
      <c r="AO25" s="26">
        <v>0</v>
      </c>
      <c r="AP25" s="26">
        <v>0</v>
      </c>
      <c r="AQ25" s="26">
        <v>0</v>
      </c>
      <c r="AR25" s="31">
        <v>0</v>
      </c>
      <c r="AS25" s="31">
        <v>0</v>
      </c>
      <c r="AT25" s="31">
        <v>0</v>
      </c>
      <c r="AU25" s="18" t="s">
        <v>62</v>
      </c>
      <c r="AV25" s="32" t="s">
        <v>63</v>
      </c>
    </row>
    <row r="26" spans="1:48">
      <c r="A26" s="16" t="s">
        <v>109</v>
      </c>
      <c r="B26" s="17" t="s">
        <v>110</v>
      </c>
      <c r="C26" s="17" t="s">
        <v>111</v>
      </c>
      <c r="D26" s="18">
        <v>1</v>
      </c>
      <c r="E26" s="18">
        <v>4</v>
      </c>
      <c r="F26" s="18">
        <v>1</v>
      </c>
      <c r="G26" s="18">
        <v>1</v>
      </c>
      <c r="H26" s="18">
        <v>44.0085714285714</v>
      </c>
      <c r="I26" s="18">
        <v>83</v>
      </c>
      <c r="J26" s="18">
        <v>0</v>
      </c>
      <c r="K26" s="18">
        <v>0</v>
      </c>
      <c r="L26" s="18">
        <v>0</v>
      </c>
      <c r="M26" s="21">
        <v>83</v>
      </c>
      <c r="N26" s="18">
        <v>0</v>
      </c>
      <c r="O26" s="17">
        <v>84</v>
      </c>
      <c r="P26" s="17">
        <v>1900</v>
      </c>
      <c r="Q26" s="17">
        <v>10801</v>
      </c>
      <c r="R26" s="17">
        <v>16362</v>
      </c>
      <c r="S26" s="17">
        <v>4680</v>
      </c>
      <c r="T26" s="17">
        <v>1</v>
      </c>
      <c r="U26" s="17">
        <v>6</v>
      </c>
      <c r="V26" s="17">
        <v>10</v>
      </c>
      <c r="W26" s="17">
        <v>14</v>
      </c>
      <c r="X26" s="26">
        <v>0.000526315789473684</v>
      </c>
      <c r="Y26" s="26">
        <v>0.00055550411998889</v>
      </c>
      <c r="Z26" s="26">
        <v>0.000611172228333945</v>
      </c>
      <c r="AA26" s="26">
        <v>0.00299145299145299</v>
      </c>
      <c r="AB26" s="17">
        <v>0.37</v>
      </c>
      <c r="AC26" s="17">
        <v>8.06</v>
      </c>
      <c r="AD26" s="17">
        <v>9.2</v>
      </c>
      <c r="AE26" s="17">
        <v>7.22</v>
      </c>
      <c r="AF26" s="26">
        <v>0.00840745309355321</v>
      </c>
      <c r="AG26" s="26">
        <v>0.0457865350905668</v>
      </c>
      <c r="AH26" s="26">
        <v>0.209050185028891</v>
      </c>
      <c r="AI26" s="26">
        <v>0.164058949555282</v>
      </c>
      <c r="AJ26" s="17">
        <v>33</v>
      </c>
      <c r="AK26" s="17">
        <v>22</v>
      </c>
      <c r="AL26" s="17">
        <v>28</v>
      </c>
      <c r="AM26" s="17">
        <v>34</v>
      </c>
      <c r="AN26" s="26">
        <v>0.0303030303030303</v>
      </c>
      <c r="AO26" s="26">
        <v>0.181818181818182</v>
      </c>
      <c r="AP26" s="26">
        <v>0.0357142857142857</v>
      </c>
      <c r="AQ26" s="26">
        <v>0.0294117647058824</v>
      </c>
      <c r="AR26" s="31">
        <v>0.142857142857143</v>
      </c>
      <c r="AS26" s="31">
        <v>8.57142857142857</v>
      </c>
      <c r="AT26" s="31">
        <v>74.4285714285714</v>
      </c>
      <c r="AU26" s="18">
        <v>581</v>
      </c>
      <c r="AV26" s="32">
        <v>43906</v>
      </c>
    </row>
    <row r="27" spans="1:48">
      <c r="A27" s="16" t="s">
        <v>112</v>
      </c>
      <c r="B27" s="17" t="s">
        <v>113</v>
      </c>
      <c r="C27" s="17">
        <v>0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21">
        <v>0</v>
      </c>
      <c r="N27" s="18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 t="s">
        <v>60</v>
      </c>
      <c r="U27" s="17" t="s">
        <v>60</v>
      </c>
      <c r="V27" s="17" t="s">
        <v>60</v>
      </c>
      <c r="W27" s="17" t="s">
        <v>60</v>
      </c>
      <c r="X27" s="26" t="s">
        <v>60</v>
      </c>
      <c r="Y27" s="26" t="s">
        <v>60</v>
      </c>
      <c r="Z27" s="26" t="s">
        <v>60</v>
      </c>
      <c r="AA27" s="26" t="s">
        <v>60</v>
      </c>
      <c r="AB27" s="17" t="s">
        <v>60</v>
      </c>
      <c r="AC27" s="17" t="s">
        <v>60</v>
      </c>
      <c r="AD27" s="17" t="s">
        <v>60</v>
      </c>
      <c r="AE27" s="17" t="s">
        <v>60</v>
      </c>
      <c r="AF27" s="26" t="s">
        <v>61</v>
      </c>
      <c r="AG27" s="26" t="s">
        <v>61</v>
      </c>
      <c r="AH27" s="26" t="s">
        <v>61</v>
      </c>
      <c r="AI27" s="26" t="s">
        <v>61</v>
      </c>
      <c r="AJ27" s="17" t="s">
        <v>60</v>
      </c>
      <c r="AK27" s="17" t="s">
        <v>60</v>
      </c>
      <c r="AL27" s="17" t="s">
        <v>60</v>
      </c>
      <c r="AM27" s="17" t="s">
        <v>60</v>
      </c>
      <c r="AN27" s="26" t="s">
        <v>60</v>
      </c>
      <c r="AO27" s="26" t="s">
        <v>60</v>
      </c>
      <c r="AP27" s="26" t="s">
        <v>60</v>
      </c>
      <c r="AQ27" s="26" t="s">
        <v>60</v>
      </c>
      <c r="AR27" s="31">
        <v>0</v>
      </c>
      <c r="AS27" s="31">
        <v>0</v>
      </c>
      <c r="AT27" s="31">
        <v>0</v>
      </c>
      <c r="AU27" s="18" t="s">
        <v>62</v>
      </c>
      <c r="AV27" s="32" t="s">
        <v>63</v>
      </c>
    </row>
    <row r="28" spans="1:48">
      <c r="A28" s="16" t="s">
        <v>114</v>
      </c>
      <c r="B28" s="17" t="s">
        <v>115</v>
      </c>
      <c r="C28" s="17" t="s">
        <v>116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60</v>
      </c>
      <c r="U28" s="17" t="s">
        <v>60</v>
      </c>
      <c r="V28" s="17" t="s">
        <v>60</v>
      </c>
      <c r="W28" s="17" t="s">
        <v>60</v>
      </c>
      <c r="X28" s="26" t="s">
        <v>60</v>
      </c>
      <c r="Y28" s="26" t="s">
        <v>60</v>
      </c>
      <c r="Z28" s="26" t="s">
        <v>60</v>
      </c>
      <c r="AA28" s="26" t="s">
        <v>60</v>
      </c>
      <c r="AB28" s="17" t="s">
        <v>60</v>
      </c>
      <c r="AC28" s="17" t="s">
        <v>60</v>
      </c>
      <c r="AD28" s="17" t="s">
        <v>60</v>
      </c>
      <c r="AE28" s="17" t="s">
        <v>60</v>
      </c>
      <c r="AF28" s="26" t="s">
        <v>61</v>
      </c>
      <c r="AG28" s="26" t="s">
        <v>61</v>
      </c>
      <c r="AH28" s="26" t="s">
        <v>61</v>
      </c>
      <c r="AI28" s="26" t="s">
        <v>61</v>
      </c>
      <c r="AJ28" s="17" t="s">
        <v>60</v>
      </c>
      <c r="AK28" s="17" t="s">
        <v>60</v>
      </c>
      <c r="AL28" s="17" t="s">
        <v>60</v>
      </c>
      <c r="AM28" s="17" t="s">
        <v>60</v>
      </c>
      <c r="AN28" s="26" t="s">
        <v>60</v>
      </c>
      <c r="AO28" s="26" t="s">
        <v>60</v>
      </c>
      <c r="AP28" s="26" t="s">
        <v>60</v>
      </c>
      <c r="AQ28" s="26" t="s">
        <v>60</v>
      </c>
      <c r="AR28" s="31">
        <v>0</v>
      </c>
      <c r="AS28" s="31">
        <v>0</v>
      </c>
      <c r="AT28" s="31">
        <v>0</v>
      </c>
      <c r="AU28" s="18" t="s">
        <v>62</v>
      </c>
      <c r="AV28" s="32" t="s">
        <v>63</v>
      </c>
    </row>
    <row r="29" spans="1:48">
      <c r="A29" s="16" t="s">
        <v>117</v>
      </c>
      <c r="B29" s="17" t="s">
        <v>55</v>
      </c>
      <c r="C29" s="17" t="s">
        <v>56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21">
        <v>0</v>
      </c>
      <c r="N29" s="18">
        <v>0</v>
      </c>
      <c r="O29" s="17">
        <v>0</v>
      </c>
      <c r="P29" s="17">
        <v>0</v>
      </c>
      <c r="Q29" s="17">
        <v>0</v>
      </c>
      <c r="R29" s="17">
        <v>0</v>
      </c>
      <c r="S29" s="17">
        <v>403</v>
      </c>
      <c r="T29" s="17">
        <v>0</v>
      </c>
      <c r="U29" s="17">
        <v>0</v>
      </c>
      <c r="V29" s="17">
        <v>0</v>
      </c>
      <c r="W29" s="17">
        <v>2</v>
      </c>
      <c r="X29" s="26" t="s">
        <v>60</v>
      </c>
      <c r="Y29" s="26" t="s">
        <v>60</v>
      </c>
      <c r="Z29" s="26" t="s">
        <v>60</v>
      </c>
      <c r="AA29" s="26">
        <v>0.00496277915632754</v>
      </c>
      <c r="AB29" s="17">
        <v>0</v>
      </c>
      <c r="AC29" s="17">
        <v>0</v>
      </c>
      <c r="AD29" s="17">
        <v>0</v>
      </c>
      <c r="AE29" s="17">
        <v>0.62</v>
      </c>
      <c r="AF29" s="26" t="s">
        <v>60</v>
      </c>
      <c r="AG29" s="26" t="s">
        <v>60</v>
      </c>
      <c r="AH29" s="26" t="s">
        <v>60</v>
      </c>
      <c r="AI29" s="26" t="s">
        <v>118</v>
      </c>
      <c r="AJ29" s="17">
        <v>29</v>
      </c>
      <c r="AK29" s="17">
        <v>18</v>
      </c>
      <c r="AL29" s="17">
        <v>21</v>
      </c>
      <c r="AM29" s="17">
        <v>20</v>
      </c>
      <c r="AN29" s="26">
        <v>0</v>
      </c>
      <c r="AO29" s="26">
        <v>0</v>
      </c>
      <c r="AP29" s="26">
        <v>0</v>
      </c>
      <c r="AQ29" s="26">
        <v>0</v>
      </c>
      <c r="AR29" s="31">
        <v>0</v>
      </c>
      <c r="AS29" s="31">
        <v>0</v>
      </c>
      <c r="AT29" s="31">
        <v>0</v>
      </c>
      <c r="AU29" s="18" t="s">
        <v>62</v>
      </c>
      <c r="AV29" s="32" t="s">
        <v>63</v>
      </c>
    </row>
    <row r="30" spans="1:48">
      <c r="A30" s="16" t="s">
        <v>119</v>
      </c>
      <c r="B30" s="17" t="s">
        <v>120</v>
      </c>
      <c r="C30" s="17" t="s">
        <v>121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21">
        <v>0</v>
      </c>
      <c r="N30" s="18">
        <v>24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 t="s">
        <v>60</v>
      </c>
      <c r="U30" s="17" t="s">
        <v>60</v>
      </c>
      <c r="V30" s="17" t="s">
        <v>60</v>
      </c>
      <c r="W30" s="17" t="s">
        <v>60</v>
      </c>
      <c r="X30" s="26" t="s">
        <v>60</v>
      </c>
      <c r="Y30" s="26" t="s">
        <v>60</v>
      </c>
      <c r="Z30" s="26" t="s">
        <v>60</v>
      </c>
      <c r="AA30" s="26" t="s">
        <v>60</v>
      </c>
      <c r="AB30" s="17" t="s">
        <v>60</v>
      </c>
      <c r="AC30" s="17" t="s">
        <v>60</v>
      </c>
      <c r="AD30" s="17" t="s">
        <v>60</v>
      </c>
      <c r="AE30" s="17" t="s">
        <v>60</v>
      </c>
      <c r="AF30" s="26" t="s">
        <v>61</v>
      </c>
      <c r="AG30" s="26" t="s">
        <v>61</v>
      </c>
      <c r="AH30" s="26" t="s">
        <v>61</v>
      </c>
      <c r="AI30" s="26" t="s">
        <v>61</v>
      </c>
      <c r="AJ30" s="17" t="s">
        <v>60</v>
      </c>
      <c r="AK30" s="17" t="s">
        <v>60</v>
      </c>
      <c r="AL30" s="17" t="s">
        <v>60</v>
      </c>
      <c r="AM30" s="17" t="s">
        <v>60</v>
      </c>
      <c r="AN30" s="26" t="s">
        <v>60</v>
      </c>
      <c r="AO30" s="26" t="s">
        <v>60</v>
      </c>
      <c r="AP30" s="26" t="s">
        <v>60</v>
      </c>
      <c r="AQ30" s="26" t="s">
        <v>60</v>
      </c>
      <c r="AR30" s="31">
        <v>0</v>
      </c>
      <c r="AS30" s="31">
        <v>0</v>
      </c>
      <c r="AT30" s="31">
        <v>0</v>
      </c>
      <c r="AU30" s="18" t="s">
        <v>62</v>
      </c>
      <c r="AV30" s="32" t="s">
        <v>63</v>
      </c>
    </row>
    <row r="31" spans="1:48">
      <c r="A31" s="16" t="s">
        <v>122</v>
      </c>
      <c r="B31" s="17" t="s">
        <v>123</v>
      </c>
      <c r="C31" s="17" t="s">
        <v>124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21">
        <v>0</v>
      </c>
      <c r="N31" s="18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 t="s">
        <v>60</v>
      </c>
      <c r="U31" s="17" t="s">
        <v>60</v>
      </c>
      <c r="V31" s="17" t="s">
        <v>60</v>
      </c>
      <c r="W31" s="17" t="s">
        <v>60</v>
      </c>
      <c r="X31" s="26" t="s">
        <v>60</v>
      </c>
      <c r="Y31" s="26" t="s">
        <v>60</v>
      </c>
      <c r="Z31" s="26" t="s">
        <v>60</v>
      </c>
      <c r="AA31" s="26" t="s">
        <v>60</v>
      </c>
      <c r="AB31" s="17" t="s">
        <v>60</v>
      </c>
      <c r="AC31" s="17" t="s">
        <v>60</v>
      </c>
      <c r="AD31" s="17" t="s">
        <v>60</v>
      </c>
      <c r="AE31" s="17" t="s">
        <v>60</v>
      </c>
      <c r="AF31" s="26" t="s">
        <v>61</v>
      </c>
      <c r="AG31" s="26" t="s">
        <v>61</v>
      </c>
      <c r="AH31" s="26" t="s">
        <v>61</v>
      </c>
      <c r="AI31" s="26" t="s">
        <v>61</v>
      </c>
      <c r="AJ31" s="17" t="s">
        <v>60</v>
      </c>
      <c r="AK31" s="17" t="s">
        <v>60</v>
      </c>
      <c r="AL31" s="17" t="s">
        <v>60</v>
      </c>
      <c r="AM31" s="17" t="s">
        <v>60</v>
      </c>
      <c r="AN31" s="26" t="s">
        <v>60</v>
      </c>
      <c r="AO31" s="26" t="s">
        <v>60</v>
      </c>
      <c r="AP31" s="26" t="s">
        <v>60</v>
      </c>
      <c r="AQ31" s="26" t="s">
        <v>60</v>
      </c>
      <c r="AR31" s="31">
        <v>0</v>
      </c>
      <c r="AS31" s="31">
        <v>0</v>
      </c>
      <c r="AT31" s="31">
        <v>0</v>
      </c>
      <c r="AU31" s="18" t="s">
        <v>62</v>
      </c>
      <c r="AV31" s="32" t="s">
        <v>63</v>
      </c>
    </row>
    <row r="32" spans="1:48">
      <c r="A32" s="16" t="s">
        <v>125</v>
      </c>
      <c r="B32" s="17" t="s">
        <v>126</v>
      </c>
      <c r="C32" s="17" t="s">
        <v>127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21">
        <v>0</v>
      </c>
      <c r="N32" s="18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 t="s">
        <v>60</v>
      </c>
      <c r="U32" s="17" t="s">
        <v>60</v>
      </c>
      <c r="V32" s="17" t="s">
        <v>60</v>
      </c>
      <c r="W32" s="17" t="s">
        <v>60</v>
      </c>
      <c r="X32" s="26" t="s">
        <v>60</v>
      </c>
      <c r="Y32" s="26" t="s">
        <v>60</v>
      </c>
      <c r="Z32" s="26" t="s">
        <v>60</v>
      </c>
      <c r="AA32" s="26" t="s">
        <v>60</v>
      </c>
      <c r="AB32" s="17" t="s">
        <v>60</v>
      </c>
      <c r="AC32" s="17" t="s">
        <v>60</v>
      </c>
      <c r="AD32" s="17" t="s">
        <v>60</v>
      </c>
      <c r="AE32" s="17" t="s">
        <v>60</v>
      </c>
      <c r="AF32" s="26" t="s">
        <v>61</v>
      </c>
      <c r="AG32" s="26" t="s">
        <v>61</v>
      </c>
      <c r="AH32" s="26" t="s">
        <v>61</v>
      </c>
      <c r="AI32" s="26" t="s">
        <v>61</v>
      </c>
      <c r="AJ32" s="17">
        <v>0</v>
      </c>
      <c r="AK32" s="17">
        <v>0</v>
      </c>
      <c r="AL32" s="17">
        <v>31</v>
      </c>
      <c r="AM32" s="17">
        <v>51</v>
      </c>
      <c r="AN32" s="26" t="s">
        <v>60</v>
      </c>
      <c r="AO32" s="26" t="s">
        <v>60</v>
      </c>
      <c r="AP32" s="26">
        <v>0</v>
      </c>
      <c r="AQ32" s="26">
        <v>0</v>
      </c>
      <c r="AR32" s="31">
        <v>0</v>
      </c>
      <c r="AS32" s="31">
        <v>0</v>
      </c>
      <c r="AT32" s="31">
        <v>0</v>
      </c>
      <c r="AU32" s="18" t="s">
        <v>62</v>
      </c>
      <c r="AV32" s="32" t="s">
        <v>63</v>
      </c>
    </row>
    <row r="33" spans="1:48">
      <c r="A33" s="16" t="s">
        <v>128</v>
      </c>
      <c r="B33" s="17" t="s">
        <v>129</v>
      </c>
      <c r="C33" s="17" t="s">
        <v>130</v>
      </c>
      <c r="D33" s="18">
        <v>1</v>
      </c>
      <c r="E33" s="18">
        <v>2</v>
      </c>
      <c r="F33" s="18">
        <v>9</v>
      </c>
      <c r="G33" s="18">
        <v>8</v>
      </c>
      <c r="H33" s="18">
        <v>50.325</v>
      </c>
      <c r="I33" s="18">
        <v>54</v>
      </c>
      <c r="J33" s="18">
        <v>0</v>
      </c>
      <c r="K33" s="18">
        <v>0</v>
      </c>
      <c r="L33" s="18">
        <v>0</v>
      </c>
      <c r="M33" s="21">
        <v>54</v>
      </c>
      <c r="N33" s="18">
        <v>1</v>
      </c>
      <c r="O33" s="17">
        <v>58</v>
      </c>
      <c r="P33" s="17">
        <v>85</v>
      </c>
      <c r="Q33" s="17">
        <v>1168</v>
      </c>
      <c r="R33" s="17">
        <v>11861</v>
      </c>
      <c r="S33" s="17">
        <v>84</v>
      </c>
      <c r="T33" s="17">
        <v>0</v>
      </c>
      <c r="U33" s="17">
        <v>4</v>
      </c>
      <c r="V33" s="17">
        <v>9</v>
      </c>
      <c r="W33" s="17">
        <v>0</v>
      </c>
      <c r="X33" s="26">
        <v>0</v>
      </c>
      <c r="Y33" s="26">
        <v>0.00342465753424658</v>
      </c>
      <c r="Z33" s="26">
        <v>0.000758789309501728</v>
      </c>
      <c r="AA33" s="26">
        <v>0</v>
      </c>
      <c r="AB33" s="17">
        <v>0</v>
      </c>
      <c r="AC33" s="17">
        <v>5.09</v>
      </c>
      <c r="AD33" s="17">
        <v>6.77</v>
      </c>
      <c r="AE33" s="17">
        <v>0</v>
      </c>
      <c r="AF33" s="26">
        <v>0</v>
      </c>
      <c r="AG33" s="26">
        <v>0.0505712866368604</v>
      </c>
      <c r="AH33" s="26">
        <v>0.0149472870784346</v>
      </c>
      <c r="AI33" s="26">
        <v>0</v>
      </c>
      <c r="AJ33" s="17">
        <v>244</v>
      </c>
      <c r="AK33" s="17">
        <v>166</v>
      </c>
      <c r="AL33" s="17">
        <v>173</v>
      </c>
      <c r="AM33" s="17">
        <v>107</v>
      </c>
      <c r="AN33" s="26">
        <v>0.00409836065573771</v>
      </c>
      <c r="AO33" s="26">
        <v>0.0120481927710843</v>
      </c>
      <c r="AP33" s="26">
        <v>0.0520231213872832</v>
      </c>
      <c r="AQ33" s="26">
        <v>0.0747663551401869</v>
      </c>
      <c r="AR33" s="31">
        <v>0.142857142857143</v>
      </c>
      <c r="AS33" s="31">
        <v>8.57142857142857</v>
      </c>
      <c r="AT33" s="31">
        <v>45.4285714285714</v>
      </c>
      <c r="AU33" s="18">
        <v>378</v>
      </c>
      <c r="AV33" s="32">
        <v>43703</v>
      </c>
    </row>
    <row r="34" spans="1:48">
      <c r="A34" s="16" t="s">
        <v>131</v>
      </c>
      <c r="B34" s="17" t="s">
        <v>100</v>
      </c>
      <c r="C34" s="17" t="s">
        <v>101</v>
      </c>
      <c r="D34" s="18">
        <v>1</v>
      </c>
      <c r="E34" s="18">
        <v>2</v>
      </c>
      <c r="F34" s="18">
        <v>0</v>
      </c>
      <c r="G34" s="18">
        <v>2</v>
      </c>
      <c r="H34" s="18">
        <v>49.99</v>
      </c>
      <c r="I34" s="18">
        <v>22</v>
      </c>
      <c r="J34" s="18">
        <v>0</v>
      </c>
      <c r="K34" s="18">
        <v>0</v>
      </c>
      <c r="L34" s="18">
        <v>0</v>
      </c>
      <c r="M34" s="21">
        <v>22</v>
      </c>
      <c r="N34" s="18">
        <v>0</v>
      </c>
      <c r="O34" s="17">
        <v>21</v>
      </c>
      <c r="P34" s="17">
        <v>1427</v>
      </c>
      <c r="Q34" s="17">
        <v>5047</v>
      </c>
      <c r="R34" s="17">
        <v>4501</v>
      </c>
      <c r="S34" s="17">
        <v>446</v>
      </c>
      <c r="T34" s="17">
        <v>9</v>
      </c>
      <c r="U34" s="17">
        <v>4</v>
      </c>
      <c r="V34" s="17">
        <v>11</v>
      </c>
      <c r="W34" s="17">
        <v>6</v>
      </c>
      <c r="X34" s="26">
        <v>0.00630693763139453</v>
      </c>
      <c r="Y34" s="26">
        <v>0.000792550029720626</v>
      </c>
      <c r="Z34" s="26">
        <v>0.00244390135525439</v>
      </c>
      <c r="AA34" s="26">
        <v>0.0134529147982063</v>
      </c>
      <c r="AB34" s="17">
        <v>7.59</v>
      </c>
      <c r="AC34" s="17">
        <v>2.97</v>
      </c>
      <c r="AD34" s="17">
        <v>11.18</v>
      </c>
      <c r="AE34" s="17">
        <v>3.95</v>
      </c>
      <c r="AF34" s="26">
        <v>0.151830366073215</v>
      </c>
      <c r="AG34" s="26">
        <v>0.0297059411882376</v>
      </c>
      <c r="AH34" s="26" t="s">
        <v>132</v>
      </c>
      <c r="AI34" s="26">
        <v>0.0395079015803161</v>
      </c>
      <c r="AJ34" s="17">
        <v>63</v>
      </c>
      <c r="AK34" s="17">
        <v>49</v>
      </c>
      <c r="AL34" s="17">
        <v>52</v>
      </c>
      <c r="AM34" s="17">
        <v>36</v>
      </c>
      <c r="AN34" s="26">
        <v>0.0158730158730159</v>
      </c>
      <c r="AO34" s="26">
        <v>0.0408163265306122</v>
      </c>
      <c r="AP34" s="26">
        <v>0</v>
      </c>
      <c r="AQ34" s="26">
        <v>0.0555555555555556</v>
      </c>
      <c r="AR34" s="31">
        <v>0.142857142857143</v>
      </c>
      <c r="AS34" s="31">
        <v>8.57142857142857</v>
      </c>
      <c r="AT34" s="31">
        <v>13.4285714285714</v>
      </c>
      <c r="AU34" s="18">
        <v>154</v>
      </c>
      <c r="AV34" s="32">
        <v>43479</v>
      </c>
    </row>
    <row r="35" spans="1:48">
      <c r="A35" s="16" t="s">
        <v>133</v>
      </c>
      <c r="B35" s="17" t="s">
        <v>134</v>
      </c>
      <c r="C35" s="17" t="s">
        <v>135</v>
      </c>
      <c r="D35" s="18">
        <v>1</v>
      </c>
      <c r="E35" s="18">
        <v>16</v>
      </c>
      <c r="F35" s="18">
        <v>11</v>
      </c>
      <c r="G35" s="18">
        <v>20</v>
      </c>
      <c r="H35" s="18">
        <v>35.2014583333333</v>
      </c>
      <c r="I35" s="18">
        <v>0</v>
      </c>
      <c r="J35" s="18">
        <v>0</v>
      </c>
      <c r="K35" s="18">
        <v>2</v>
      </c>
      <c r="L35" s="18">
        <v>0</v>
      </c>
      <c r="M35" s="21">
        <v>2</v>
      </c>
      <c r="N35" s="18">
        <v>1</v>
      </c>
      <c r="O35" s="17">
        <v>0</v>
      </c>
      <c r="P35" s="17">
        <v>6533</v>
      </c>
      <c r="Q35" s="17">
        <v>17640</v>
      </c>
      <c r="R35" s="17">
        <v>19606</v>
      </c>
      <c r="S35" s="17">
        <v>12525</v>
      </c>
      <c r="T35" s="17">
        <v>26</v>
      </c>
      <c r="U35" s="17">
        <v>47</v>
      </c>
      <c r="V35" s="17">
        <v>42</v>
      </c>
      <c r="W35" s="17">
        <v>27</v>
      </c>
      <c r="X35" s="26">
        <v>0.00397979488749426</v>
      </c>
      <c r="Y35" s="26">
        <v>0.00266439909297052</v>
      </c>
      <c r="Z35" s="26">
        <v>0.00214220136692849</v>
      </c>
      <c r="AA35" s="26">
        <v>0.00215568862275449</v>
      </c>
      <c r="AB35" s="17">
        <v>24.89</v>
      </c>
      <c r="AC35" s="17">
        <v>48.28</v>
      </c>
      <c r="AD35" s="17">
        <v>48.14</v>
      </c>
      <c r="AE35" s="17">
        <v>18.72</v>
      </c>
      <c r="AF35" s="26">
        <v>0.70707297874733</v>
      </c>
      <c r="AG35" s="26">
        <v>0.0857208804086006</v>
      </c>
      <c r="AH35" s="26">
        <v>0.124323361689238</v>
      </c>
      <c r="AI35" s="26">
        <v>0.0265898074771997</v>
      </c>
      <c r="AJ35" s="17">
        <v>0</v>
      </c>
      <c r="AK35" s="17">
        <v>232</v>
      </c>
      <c r="AL35" s="17">
        <v>154</v>
      </c>
      <c r="AM35" s="17">
        <v>29</v>
      </c>
      <c r="AN35" s="26" t="s">
        <v>60</v>
      </c>
      <c r="AO35" s="26">
        <v>0.0689655172413793</v>
      </c>
      <c r="AP35" s="26">
        <v>0.0714285714285714</v>
      </c>
      <c r="AQ35" s="26">
        <v>0.689655172413793</v>
      </c>
      <c r="AR35" s="31">
        <v>0.142857142857143</v>
      </c>
      <c r="AS35" s="31">
        <v>8.57142857142857</v>
      </c>
      <c r="AT35" s="31">
        <v>-6.57142857142857</v>
      </c>
      <c r="AU35" s="18">
        <v>14</v>
      </c>
      <c r="AV35" s="32">
        <v>43339</v>
      </c>
    </row>
    <row r="36" spans="1:48">
      <c r="A36" s="16" t="s">
        <v>136</v>
      </c>
      <c r="B36" s="17" t="s">
        <v>123</v>
      </c>
      <c r="C36" s="17" t="s">
        <v>124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0</v>
      </c>
      <c r="L36" s="18">
        <v>0</v>
      </c>
      <c r="M36" s="21">
        <v>0</v>
      </c>
      <c r="N36" s="18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 t="s">
        <v>60</v>
      </c>
      <c r="U36" s="17" t="s">
        <v>60</v>
      </c>
      <c r="V36" s="17" t="s">
        <v>60</v>
      </c>
      <c r="W36" s="17" t="s">
        <v>60</v>
      </c>
      <c r="X36" s="26" t="s">
        <v>60</v>
      </c>
      <c r="Y36" s="26" t="s">
        <v>60</v>
      </c>
      <c r="Z36" s="26" t="s">
        <v>60</v>
      </c>
      <c r="AA36" s="26" t="s">
        <v>60</v>
      </c>
      <c r="AB36" s="17" t="s">
        <v>60</v>
      </c>
      <c r="AC36" s="17" t="s">
        <v>60</v>
      </c>
      <c r="AD36" s="17" t="s">
        <v>60</v>
      </c>
      <c r="AE36" s="17" t="s">
        <v>60</v>
      </c>
      <c r="AF36" s="26" t="s">
        <v>61</v>
      </c>
      <c r="AG36" s="26" t="s">
        <v>61</v>
      </c>
      <c r="AH36" s="26" t="s">
        <v>61</v>
      </c>
      <c r="AI36" s="26" t="s">
        <v>61</v>
      </c>
      <c r="AJ36" s="17" t="s">
        <v>60</v>
      </c>
      <c r="AK36" s="17" t="s">
        <v>60</v>
      </c>
      <c r="AL36" s="17" t="s">
        <v>60</v>
      </c>
      <c r="AM36" s="17" t="s">
        <v>60</v>
      </c>
      <c r="AN36" s="26" t="s">
        <v>60</v>
      </c>
      <c r="AO36" s="26" t="s">
        <v>60</v>
      </c>
      <c r="AP36" s="26" t="s">
        <v>60</v>
      </c>
      <c r="AQ36" s="26" t="s">
        <v>60</v>
      </c>
      <c r="AR36" s="31">
        <v>0</v>
      </c>
      <c r="AS36" s="31">
        <v>0</v>
      </c>
      <c r="AT36" s="31">
        <v>0</v>
      </c>
      <c r="AU36" s="18" t="s">
        <v>62</v>
      </c>
      <c r="AV36" s="32" t="s">
        <v>63</v>
      </c>
    </row>
    <row r="37" spans="1:48">
      <c r="A37" s="16" t="s">
        <v>137</v>
      </c>
      <c r="B37" s="17" t="s">
        <v>138</v>
      </c>
      <c r="C37" s="17" t="s">
        <v>139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48</v>
      </c>
      <c r="L37" s="18">
        <v>0</v>
      </c>
      <c r="M37" s="21">
        <v>48</v>
      </c>
      <c r="N37" s="18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 t="s">
        <v>60</v>
      </c>
      <c r="U37" s="17" t="s">
        <v>60</v>
      </c>
      <c r="V37" s="17" t="s">
        <v>60</v>
      </c>
      <c r="W37" s="17" t="s">
        <v>60</v>
      </c>
      <c r="X37" s="26" t="s">
        <v>60</v>
      </c>
      <c r="Y37" s="26" t="s">
        <v>60</v>
      </c>
      <c r="Z37" s="26" t="s">
        <v>60</v>
      </c>
      <c r="AA37" s="26" t="s">
        <v>60</v>
      </c>
      <c r="AB37" s="17" t="s">
        <v>60</v>
      </c>
      <c r="AC37" s="17" t="s">
        <v>60</v>
      </c>
      <c r="AD37" s="17" t="s">
        <v>60</v>
      </c>
      <c r="AE37" s="17" t="s">
        <v>60</v>
      </c>
      <c r="AF37" s="26" t="s">
        <v>61</v>
      </c>
      <c r="AG37" s="26" t="s">
        <v>61</v>
      </c>
      <c r="AH37" s="26" t="s">
        <v>61</v>
      </c>
      <c r="AI37" s="26" t="s">
        <v>61</v>
      </c>
      <c r="AJ37" s="17" t="s">
        <v>60</v>
      </c>
      <c r="AK37" s="17" t="s">
        <v>60</v>
      </c>
      <c r="AL37" s="17" t="s">
        <v>60</v>
      </c>
      <c r="AM37" s="17" t="s">
        <v>60</v>
      </c>
      <c r="AN37" s="26" t="s">
        <v>60</v>
      </c>
      <c r="AO37" s="26" t="s">
        <v>60</v>
      </c>
      <c r="AP37" s="26" t="s">
        <v>60</v>
      </c>
      <c r="AQ37" s="26" t="s">
        <v>60</v>
      </c>
      <c r="AR37" s="31">
        <v>0</v>
      </c>
      <c r="AS37" s="31">
        <v>0</v>
      </c>
      <c r="AT37" s="31">
        <v>48</v>
      </c>
      <c r="AU37" s="18" t="s">
        <v>140</v>
      </c>
      <c r="AV37" s="32" t="s">
        <v>63</v>
      </c>
    </row>
    <row r="38" spans="1:48">
      <c r="A38" s="16" t="s">
        <v>141</v>
      </c>
      <c r="B38" s="17" t="s">
        <v>74</v>
      </c>
      <c r="C38" s="17" t="s">
        <v>75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8">
        <v>0</v>
      </c>
      <c r="J38" s="18">
        <v>0</v>
      </c>
      <c r="K38" s="18">
        <v>0</v>
      </c>
      <c r="L38" s="18">
        <v>0</v>
      </c>
      <c r="M38" s="21">
        <v>0</v>
      </c>
      <c r="N38" s="18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 t="s">
        <v>60</v>
      </c>
      <c r="U38" s="17" t="s">
        <v>60</v>
      </c>
      <c r="V38" s="17" t="s">
        <v>60</v>
      </c>
      <c r="W38" s="17" t="s">
        <v>60</v>
      </c>
      <c r="X38" s="26" t="s">
        <v>60</v>
      </c>
      <c r="Y38" s="26" t="s">
        <v>60</v>
      </c>
      <c r="Z38" s="26" t="s">
        <v>60</v>
      </c>
      <c r="AA38" s="26" t="s">
        <v>60</v>
      </c>
      <c r="AB38" s="17" t="s">
        <v>60</v>
      </c>
      <c r="AC38" s="17" t="s">
        <v>60</v>
      </c>
      <c r="AD38" s="17" t="s">
        <v>60</v>
      </c>
      <c r="AE38" s="17" t="s">
        <v>60</v>
      </c>
      <c r="AF38" s="26" t="s">
        <v>61</v>
      </c>
      <c r="AG38" s="26" t="s">
        <v>61</v>
      </c>
      <c r="AH38" s="26" t="s">
        <v>61</v>
      </c>
      <c r="AI38" s="26" t="s">
        <v>61</v>
      </c>
      <c r="AJ38" s="17" t="s">
        <v>60</v>
      </c>
      <c r="AK38" s="17" t="s">
        <v>60</v>
      </c>
      <c r="AL38" s="17" t="s">
        <v>60</v>
      </c>
      <c r="AM38" s="17" t="s">
        <v>60</v>
      </c>
      <c r="AN38" s="26" t="s">
        <v>60</v>
      </c>
      <c r="AO38" s="26" t="s">
        <v>60</v>
      </c>
      <c r="AP38" s="26" t="s">
        <v>60</v>
      </c>
      <c r="AQ38" s="26" t="s">
        <v>60</v>
      </c>
      <c r="AR38" s="31">
        <v>0</v>
      </c>
      <c r="AS38" s="31">
        <v>0</v>
      </c>
      <c r="AT38" s="31">
        <v>0</v>
      </c>
      <c r="AU38" s="18" t="s">
        <v>62</v>
      </c>
      <c r="AV38" s="32" t="s">
        <v>63</v>
      </c>
    </row>
    <row r="39" spans="1:48">
      <c r="A39" s="16" t="s">
        <v>142</v>
      </c>
      <c r="B39" s="17" t="s">
        <v>93</v>
      </c>
      <c r="C39" s="17" t="s">
        <v>94</v>
      </c>
      <c r="D39" s="18">
        <v>11</v>
      </c>
      <c r="E39" s="18">
        <v>23</v>
      </c>
      <c r="F39" s="18">
        <v>21</v>
      </c>
      <c r="G39" s="18">
        <v>17</v>
      </c>
      <c r="H39" s="18">
        <v>15.6134722222222</v>
      </c>
      <c r="I39" s="18">
        <v>33</v>
      </c>
      <c r="J39" s="18">
        <v>0</v>
      </c>
      <c r="K39" s="18">
        <v>0</v>
      </c>
      <c r="L39" s="18">
        <v>0</v>
      </c>
      <c r="M39" s="21">
        <v>33</v>
      </c>
      <c r="N39" s="18">
        <v>2</v>
      </c>
      <c r="O39" s="17">
        <v>0</v>
      </c>
      <c r="P39" s="17">
        <v>33227</v>
      </c>
      <c r="Q39" s="17">
        <v>6289</v>
      </c>
      <c r="R39" s="17">
        <v>14543</v>
      </c>
      <c r="S39" s="17">
        <v>2497</v>
      </c>
      <c r="T39" s="17">
        <v>44</v>
      </c>
      <c r="U39" s="17">
        <v>19</v>
      </c>
      <c r="V39" s="17">
        <v>25</v>
      </c>
      <c r="W39" s="17">
        <v>0</v>
      </c>
      <c r="X39" s="26">
        <v>0.00132422427543865</v>
      </c>
      <c r="Y39" s="26">
        <v>0.00302114803625378</v>
      </c>
      <c r="Z39" s="26">
        <v>0.00171904008801485</v>
      </c>
      <c r="AA39" s="26">
        <v>0</v>
      </c>
      <c r="AB39" s="17">
        <v>53.84</v>
      </c>
      <c r="AC39" s="17">
        <v>19.65</v>
      </c>
      <c r="AD39" s="17">
        <v>27.27</v>
      </c>
      <c r="AE39" s="17">
        <v>0</v>
      </c>
      <c r="AF39" s="26">
        <v>0.313482189283892</v>
      </c>
      <c r="AG39" s="26">
        <v>0.0547186310595915</v>
      </c>
      <c r="AH39" s="26">
        <v>0.0831699323564434</v>
      </c>
      <c r="AI39" s="26">
        <v>0</v>
      </c>
      <c r="AJ39" s="17">
        <v>172</v>
      </c>
      <c r="AK39" s="17">
        <v>184</v>
      </c>
      <c r="AL39" s="17">
        <v>105</v>
      </c>
      <c r="AM39" s="17">
        <v>24</v>
      </c>
      <c r="AN39" s="26">
        <v>0.063953488372093</v>
      </c>
      <c r="AO39" s="26">
        <v>0.125</v>
      </c>
      <c r="AP39" s="26">
        <v>0.2</v>
      </c>
      <c r="AQ39" s="26">
        <v>0.708333333333333</v>
      </c>
      <c r="AR39" s="31">
        <v>1.57142857142857</v>
      </c>
      <c r="AS39" s="31">
        <v>94.2857142857143</v>
      </c>
      <c r="AT39" s="31">
        <v>-61.2857142857143</v>
      </c>
      <c r="AU39" s="18">
        <v>21</v>
      </c>
      <c r="AV39" s="32">
        <v>43346</v>
      </c>
    </row>
    <row r="40" spans="1:48">
      <c r="A40" s="16" t="s">
        <v>143</v>
      </c>
      <c r="B40" s="17" t="s">
        <v>144</v>
      </c>
      <c r="C40" s="17" t="s">
        <v>145</v>
      </c>
      <c r="D40" s="18">
        <v>2</v>
      </c>
      <c r="E40" s="18">
        <v>6</v>
      </c>
      <c r="F40" s="18">
        <v>3</v>
      </c>
      <c r="G40" s="18">
        <v>4</v>
      </c>
      <c r="H40" s="18">
        <v>15.1066666666667</v>
      </c>
      <c r="I40" s="18">
        <v>20</v>
      </c>
      <c r="J40" s="18">
        <v>0</v>
      </c>
      <c r="K40" s="18">
        <v>0</v>
      </c>
      <c r="L40" s="18">
        <v>0</v>
      </c>
      <c r="M40" s="21">
        <v>20</v>
      </c>
      <c r="N40" s="18">
        <v>0</v>
      </c>
      <c r="O40" s="17">
        <v>22</v>
      </c>
      <c r="P40" s="17">
        <v>1157</v>
      </c>
      <c r="Q40" s="17">
        <v>5055</v>
      </c>
      <c r="R40" s="17">
        <v>2709</v>
      </c>
      <c r="S40" s="17">
        <v>961</v>
      </c>
      <c r="T40" s="17">
        <v>4</v>
      </c>
      <c r="U40" s="17">
        <v>3</v>
      </c>
      <c r="V40" s="17">
        <v>2</v>
      </c>
      <c r="W40" s="17">
        <v>2</v>
      </c>
      <c r="X40" s="26">
        <v>0.00345721694036301</v>
      </c>
      <c r="Y40" s="26">
        <v>0.000593471810089021</v>
      </c>
      <c r="Z40" s="26">
        <v>0.00073827980804725</v>
      </c>
      <c r="AA40" s="26">
        <v>0.00208116545265349</v>
      </c>
      <c r="AB40" s="17">
        <v>5.58</v>
      </c>
      <c r="AC40" s="17">
        <v>8.84</v>
      </c>
      <c r="AD40" s="17">
        <v>2.65</v>
      </c>
      <c r="AE40" s="17">
        <v>1.11</v>
      </c>
      <c r="AF40" s="26">
        <v>0.18468667255075</v>
      </c>
      <c r="AG40" s="26">
        <v>0.0975286849073255</v>
      </c>
      <c r="AH40" s="26">
        <v>0.0584730803177404</v>
      </c>
      <c r="AI40" s="26">
        <v>0.0183693733451015</v>
      </c>
      <c r="AJ40" s="17">
        <v>24</v>
      </c>
      <c r="AK40" s="17">
        <v>18</v>
      </c>
      <c r="AL40" s="17">
        <v>16</v>
      </c>
      <c r="AM40" s="17">
        <v>5</v>
      </c>
      <c r="AN40" s="26">
        <v>0.0833333333333333</v>
      </c>
      <c r="AO40" s="26">
        <v>0.333333333333333</v>
      </c>
      <c r="AP40" s="26">
        <v>0.1875</v>
      </c>
      <c r="AQ40" s="26">
        <v>0.8</v>
      </c>
      <c r="AR40" s="31">
        <v>0.285714285714286</v>
      </c>
      <c r="AS40" s="31">
        <v>17.1428571428571</v>
      </c>
      <c r="AT40" s="31">
        <v>2.85714285714286</v>
      </c>
      <c r="AU40" s="18">
        <v>70</v>
      </c>
      <c r="AV40" s="32">
        <v>43395</v>
      </c>
    </row>
    <row r="41" spans="1:48">
      <c r="A41" s="16" t="s">
        <v>146</v>
      </c>
      <c r="B41" s="17" t="s">
        <v>147</v>
      </c>
      <c r="C41" s="17" t="s">
        <v>148</v>
      </c>
      <c r="D41" s="18">
        <v>0</v>
      </c>
      <c r="E41" s="18">
        <v>0</v>
      </c>
      <c r="F41" s="18">
        <v>0</v>
      </c>
      <c r="G41" s="18">
        <v>0</v>
      </c>
      <c r="H41" s="18">
        <v>0</v>
      </c>
      <c r="I41" s="18">
        <v>57</v>
      </c>
      <c r="J41" s="18">
        <v>0</v>
      </c>
      <c r="K41" s="18">
        <v>0</v>
      </c>
      <c r="L41" s="18">
        <v>0</v>
      </c>
      <c r="M41" s="21">
        <v>57</v>
      </c>
      <c r="N41" s="18">
        <v>0</v>
      </c>
      <c r="O41" s="17">
        <v>57</v>
      </c>
      <c r="P41" s="17">
        <v>0</v>
      </c>
      <c r="Q41" s="17">
        <v>0</v>
      </c>
      <c r="R41" s="17">
        <v>0</v>
      </c>
      <c r="S41" s="17">
        <v>0</v>
      </c>
      <c r="T41" s="17" t="s">
        <v>60</v>
      </c>
      <c r="U41" s="17" t="s">
        <v>60</v>
      </c>
      <c r="V41" s="17" t="s">
        <v>60</v>
      </c>
      <c r="W41" s="17" t="s">
        <v>60</v>
      </c>
      <c r="X41" s="26" t="s">
        <v>60</v>
      </c>
      <c r="Y41" s="26" t="s">
        <v>60</v>
      </c>
      <c r="Z41" s="26" t="s">
        <v>60</v>
      </c>
      <c r="AA41" s="26" t="s">
        <v>60</v>
      </c>
      <c r="AB41" s="17" t="s">
        <v>60</v>
      </c>
      <c r="AC41" s="17" t="s">
        <v>60</v>
      </c>
      <c r="AD41" s="17" t="s">
        <v>60</v>
      </c>
      <c r="AE41" s="17" t="s">
        <v>60</v>
      </c>
      <c r="AF41" s="26" t="s">
        <v>61</v>
      </c>
      <c r="AG41" s="26" t="s">
        <v>61</v>
      </c>
      <c r="AH41" s="26" t="s">
        <v>61</v>
      </c>
      <c r="AI41" s="26" t="s">
        <v>61</v>
      </c>
      <c r="AJ41" s="17" t="s">
        <v>60</v>
      </c>
      <c r="AK41" s="17" t="s">
        <v>60</v>
      </c>
      <c r="AL41" s="17" t="s">
        <v>60</v>
      </c>
      <c r="AM41" s="17" t="s">
        <v>60</v>
      </c>
      <c r="AN41" s="26" t="s">
        <v>60</v>
      </c>
      <c r="AO41" s="26" t="s">
        <v>60</v>
      </c>
      <c r="AP41" s="26" t="s">
        <v>60</v>
      </c>
      <c r="AQ41" s="26" t="s">
        <v>60</v>
      </c>
      <c r="AR41" s="31">
        <v>0</v>
      </c>
      <c r="AS41" s="31">
        <v>0</v>
      </c>
      <c r="AT41" s="31">
        <v>57</v>
      </c>
      <c r="AU41" s="18" t="s">
        <v>149</v>
      </c>
      <c r="AV41" s="32" t="s">
        <v>63</v>
      </c>
    </row>
    <row r="42" spans="1:48">
      <c r="A42" s="16" t="s">
        <v>150</v>
      </c>
      <c r="B42" s="17" t="s">
        <v>151</v>
      </c>
      <c r="C42" s="17" t="s">
        <v>152</v>
      </c>
      <c r="D42" s="18">
        <v>3</v>
      </c>
      <c r="E42" s="18">
        <v>21</v>
      </c>
      <c r="F42" s="18">
        <v>24</v>
      </c>
      <c r="G42" s="18">
        <v>27</v>
      </c>
      <c r="H42" s="18">
        <v>13.2490666666667</v>
      </c>
      <c r="I42" s="18">
        <v>0</v>
      </c>
      <c r="J42" s="18">
        <v>0</v>
      </c>
      <c r="K42" s="18">
        <v>0</v>
      </c>
      <c r="L42" s="18">
        <v>1</v>
      </c>
      <c r="M42" s="21">
        <v>1</v>
      </c>
      <c r="N42" s="18">
        <v>0</v>
      </c>
      <c r="O42" s="17">
        <v>2</v>
      </c>
      <c r="P42" s="17">
        <v>1373</v>
      </c>
      <c r="Q42" s="17">
        <v>2795</v>
      </c>
      <c r="R42" s="17">
        <v>8680</v>
      </c>
      <c r="S42" s="17">
        <v>1538</v>
      </c>
      <c r="T42" s="17">
        <v>4</v>
      </c>
      <c r="U42" s="17">
        <v>3</v>
      </c>
      <c r="V42" s="17">
        <v>18</v>
      </c>
      <c r="W42" s="17">
        <v>2</v>
      </c>
      <c r="X42" s="26">
        <v>0.00291332847778587</v>
      </c>
      <c r="Y42" s="26">
        <v>0.00107334525939177</v>
      </c>
      <c r="Z42" s="26">
        <v>0.00207373271889401</v>
      </c>
      <c r="AA42" s="26">
        <v>0.00130039011703511</v>
      </c>
      <c r="AB42" s="17">
        <v>1.38</v>
      </c>
      <c r="AC42" s="17">
        <v>5.74</v>
      </c>
      <c r="AD42" s="17">
        <v>19.72</v>
      </c>
      <c r="AE42" s="17">
        <v>1.29</v>
      </c>
      <c r="AF42" s="26">
        <v>0.034719426777232</v>
      </c>
      <c r="AG42" s="26">
        <v>0.0206303840270509</v>
      </c>
      <c r="AH42" s="26">
        <v>0.0620169471057079</v>
      </c>
      <c r="AI42" s="26">
        <v>0.00360612403724874</v>
      </c>
      <c r="AJ42" s="17">
        <v>85</v>
      </c>
      <c r="AK42" s="17">
        <v>234</v>
      </c>
      <c r="AL42" s="17">
        <v>129</v>
      </c>
      <c r="AM42" s="17">
        <v>114</v>
      </c>
      <c r="AN42" s="26">
        <v>0.0352941176470588</v>
      </c>
      <c r="AO42" s="26">
        <v>0.0897435897435897</v>
      </c>
      <c r="AP42" s="26">
        <v>0.186046511627907</v>
      </c>
      <c r="AQ42" s="26">
        <v>0.236842105263158</v>
      </c>
      <c r="AR42" s="31">
        <v>0.428571428571429</v>
      </c>
      <c r="AS42" s="31">
        <v>25.7142857142857</v>
      </c>
      <c r="AT42" s="31">
        <v>-24.7142857142857</v>
      </c>
      <c r="AU42" s="18">
        <v>2</v>
      </c>
      <c r="AV42" s="32">
        <v>43327</v>
      </c>
    </row>
    <row r="43" spans="1:48">
      <c r="A43" s="16" t="s">
        <v>153</v>
      </c>
      <c r="B43" s="17" t="s">
        <v>77</v>
      </c>
      <c r="C43" s="17" t="s">
        <v>154</v>
      </c>
      <c r="D43" s="18">
        <v>0</v>
      </c>
      <c r="E43" s="18">
        <v>29</v>
      </c>
      <c r="F43" s="18">
        <v>16</v>
      </c>
      <c r="G43" s="18">
        <v>10</v>
      </c>
      <c r="H43" s="18">
        <v>32.4203636363637</v>
      </c>
      <c r="I43" s="18">
        <v>0</v>
      </c>
      <c r="J43" s="18">
        <v>0</v>
      </c>
      <c r="K43" s="18">
        <v>0</v>
      </c>
      <c r="L43" s="18">
        <v>0</v>
      </c>
      <c r="M43" s="21">
        <v>0</v>
      </c>
      <c r="N43" s="18">
        <v>0</v>
      </c>
      <c r="O43" s="17">
        <v>0</v>
      </c>
      <c r="P43" s="17">
        <v>11218</v>
      </c>
      <c r="Q43" s="17">
        <v>21524</v>
      </c>
      <c r="R43" s="17">
        <v>20331</v>
      </c>
      <c r="S43" s="17">
        <v>6696</v>
      </c>
      <c r="T43" s="17">
        <v>21</v>
      </c>
      <c r="U43" s="17">
        <v>29</v>
      </c>
      <c r="V43" s="17">
        <v>49</v>
      </c>
      <c r="W43" s="17">
        <v>19</v>
      </c>
      <c r="X43" s="26">
        <v>0.00187199144232484</v>
      </c>
      <c r="Y43" s="26">
        <v>0.00134733320944062</v>
      </c>
      <c r="Z43" s="26">
        <v>0.00241011263587625</v>
      </c>
      <c r="AA43" s="26">
        <v>0.00283751493428913</v>
      </c>
      <c r="AB43" s="17">
        <v>28.06</v>
      </c>
      <c r="AC43" s="17">
        <v>39.28</v>
      </c>
      <c r="AD43" s="17">
        <v>60.33</v>
      </c>
      <c r="AE43" s="17">
        <v>15.08</v>
      </c>
      <c r="AF43" s="26" t="s">
        <v>155</v>
      </c>
      <c r="AG43" s="26">
        <v>0.0417787651555351</v>
      </c>
      <c r="AH43" s="26">
        <v>0.116304216766118</v>
      </c>
      <c r="AI43" s="26">
        <v>0.0465139755036116</v>
      </c>
      <c r="AJ43" s="17">
        <v>0</v>
      </c>
      <c r="AK43" s="17">
        <v>189</v>
      </c>
      <c r="AL43" s="17">
        <v>282</v>
      </c>
      <c r="AM43" s="17">
        <v>219</v>
      </c>
      <c r="AN43" s="26" t="s">
        <v>60</v>
      </c>
      <c r="AO43" s="26">
        <v>0.153439153439153</v>
      </c>
      <c r="AP43" s="26">
        <v>0.0567375886524823</v>
      </c>
      <c r="AQ43" s="26">
        <v>0.045662100456621</v>
      </c>
      <c r="AR43" s="31">
        <v>0</v>
      </c>
      <c r="AS43" s="31">
        <v>0</v>
      </c>
      <c r="AT43" s="31">
        <v>0</v>
      </c>
      <c r="AU43" s="18" t="s">
        <v>62</v>
      </c>
      <c r="AV43" s="32" t="s">
        <v>63</v>
      </c>
    </row>
    <row r="44" spans="1:48">
      <c r="A44" s="16" t="s">
        <v>156</v>
      </c>
      <c r="B44" s="17" t="s">
        <v>157</v>
      </c>
      <c r="C44" s="17" t="s">
        <v>158</v>
      </c>
      <c r="D44" s="18">
        <v>0</v>
      </c>
      <c r="E44" s="18">
        <v>11</v>
      </c>
      <c r="F44" s="18">
        <v>23</v>
      </c>
      <c r="G44" s="18">
        <v>20</v>
      </c>
      <c r="H44" s="18">
        <v>13.9442592592593</v>
      </c>
      <c r="I44" s="18">
        <v>0</v>
      </c>
      <c r="J44" s="18">
        <v>0</v>
      </c>
      <c r="K44" s="18">
        <v>0</v>
      </c>
      <c r="L44" s="18">
        <v>0</v>
      </c>
      <c r="M44" s="21">
        <v>0</v>
      </c>
      <c r="N44" s="18">
        <v>0</v>
      </c>
      <c r="O44" s="17">
        <v>0</v>
      </c>
      <c r="P44" s="17">
        <v>7951</v>
      </c>
      <c r="Q44" s="17">
        <v>88310</v>
      </c>
      <c r="R44" s="17">
        <v>84348</v>
      </c>
      <c r="S44" s="17">
        <v>16909</v>
      </c>
      <c r="T44" s="17">
        <v>11</v>
      </c>
      <c r="U44" s="17">
        <v>87</v>
      </c>
      <c r="V44" s="17">
        <v>71</v>
      </c>
      <c r="W44" s="17">
        <v>37</v>
      </c>
      <c r="X44" s="26">
        <v>0.00138347377688341</v>
      </c>
      <c r="Y44" s="26">
        <v>0.000985165892877364</v>
      </c>
      <c r="Z44" s="26">
        <v>0.000841750841750842</v>
      </c>
      <c r="AA44" s="26">
        <v>0.00218818380743982</v>
      </c>
      <c r="AB44" s="17">
        <v>18.55</v>
      </c>
      <c r="AC44" s="17">
        <v>141.99</v>
      </c>
      <c r="AD44" s="17">
        <v>121.06</v>
      </c>
      <c r="AE44" s="17">
        <v>38.13</v>
      </c>
      <c r="AF44" s="26" t="s">
        <v>159</v>
      </c>
      <c r="AG44" s="26">
        <v>0.925698639001602</v>
      </c>
      <c r="AH44" s="26">
        <v>0.377465605236398</v>
      </c>
      <c r="AI44" s="26">
        <v>0.136722931247427</v>
      </c>
      <c r="AJ44" s="17">
        <v>0</v>
      </c>
      <c r="AK44" s="17">
        <v>33</v>
      </c>
      <c r="AL44" s="17">
        <v>118</v>
      </c>
      <c r="AM44" s="17">
        <v>104</v>
      </c>
      <c r="AN44" s="26" t="s">
        <v>60</v>
      </c>
      <c r="AO44" s="26">
        <v>0.333333333333333</v>
      </c>
      <c r="AP44" s="26">
        <v>0.194915254237288</v>
      </c>
      <c r="AQ44" s="26">
        <v>0.192307692307692</v>
      </c>
      <c r="AR44" s="31">
        <v>0</v>
      </c>
      <c r="AS44" s="31">
        <v>0</v>
      </c>
      <c r="AT44" s="31">
        <v>0</v>
      </c>
      <c r="AU44" s="18" t="s">
        <v>62</v>
      </c>
      <c r="AV44" s="32" t="s">
        <v>63</v>
      </c>
    </row>
    <row r="45" spans="1:48">
      <c r="A45" s="16" t="s">
        <v>160</v>
      </c>
      <c r="B45" s="17" t="s">
        <v>161</v>
      </c>
      <c r="C45" s="17" t="s">
        <v>162</v>
      </c>
      <c r="D45" s="18">
        <v>6</v>
      </c>
      <c r="E45" s="18">
        <v>11</v>
      </c>
      <c r="F45" s="18">
        <v>9</v>
      </c>
      <c r="G45" s="18">
        <v>12</v>
      </c>
      <c r="H45" s="18">
        <v>25</v>
      </c>
      <c r="I45" s="18">
        <v>23</v>
      </c>
      <c r="J45" s="18">
        <v>0</v>
      </c>
      <c r="K45" s="18">
        <v>0</v>
      </c>
      <c r="L45" s="18">
        <v>0</v>
      </c>
      <c r="M45" s="21">
        <v>23</v>
      </c>
      <c r="N45" s="18">
        <v>0</v>
      </c>
      <c r="O45" s="17">
        <v>28</v>
      </c>
      <c r="P45" s="17">
        <v>32566</v>
      </c>
      <c r="Q45" s="17">
        <v>37431</v>
      </c>
      <c r="R45" s="17">
        <v>15324</v>
      </c>
      <c r="S45" s="17">
        <v>3994</v>
      </c>
      <c r="T45" s="17">
        <v>27</v>
      </c>
      <c r="U45" s="17">
        <v>25</v>
      </c>
      <c r="V45" s="17">
        <v>16</v>
      </c>
      <c r="W45" s="17">
        <v>12</v>
      </c>
      <c r="X45" s="26">
        <v>0.000829085549345944</v>
      </c>
      <c r="Y45" s="26">
        <v>0.000667895594560658</v>
      </c>
      <c r="Z45" s="26">
        <v>0.00104411380840512</v>
      </c>
      <c r="AA45" s="26">
        <v>0.00300450676014021</v>
      </c>
      <c r="AB45" s="17">
        <v>39.3</v>
      </c>
      <c r="AC45" s="17">
        <v>36.79</v>
      </c>
      <c r="AD45" s="17">
        <v>14.48</v>
      </c>
      <c r="AE45" s="17">
        <v>8.22</v>
      </c>
      <c r="AF45" s="26">
        <v>0.262</v>
      </c>
      <c r="AG45" s="26">
        <v>0.133781818181818</v>
      </c>
      <c r="AH45" s="26">
        <v>0.0643555555555556</v>
      </c>
      <c r="AI45" s="26">
        <v>0.0274</v>
      </c>
      <c r="AJ45" s="17">
        <v>51</v>
      </c>
      <c r="AK45" s="17">
        <v>52</v>
      </c>
      <c r="AL45" s="17">
        <v>52</v>
      </c>
      <c r="AM45" s="17">
        <v>33</v>
      </c>
      <c r="AN45" s="26">
        <v>0.117647058823529</v>
      </c>
      <c r="AO45" s="26">
        <v>0.211538461538462</v>
      </c>
      <c r="AP45" s="26">
        <v>0.173076923076923</v>
      </c>
      <c r="AQ45" s="26">
        <v>0.363636363636364</v>
      </c>
      <c r="AR45" s="31">
        <v>0.857142857142857</v>
      </c>
      <c r="AS45" s="31">
        <v>51.4285714285714</v>
      </c>
      <c r="AT45" s="31">
        <v>-28.4285714285714</v>
      </c>
      <c r="AU45" s="18">
        <v>26</v>
      </c>
      <c r="AV45" s="32">
        <v>43351</v>
      </c>
    </row>
    <row r="46" spans="1:48">
      <c r="A46" s="16" t="s">
        <v>163</v>
      </c>
      <c r="B46" s="17" t="s">
        <v>164</v>
      </c>
      <c r="C46" s="17" t="s">
        <v>165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v>0</v>
      </c>
      <c r="J46" s="18">
        <v>0</v>
      </c>
      <c r="K46" s="18">
        <v>0</v>
      </c>
      <c r="L46" s="18">
        <v>0</v>
      </c>
      <c r="M46" s="21">
        <v>0</v>
      </c>
      <c r="N46" s="18">
        <v>0</v>
      </c>
      <c r="O46" s="17">
        <v>0</v>
      </c>
      <c r="P46" s="17">
        <v>0</v>
      </c>
      <c r="Q46" s="17">
        <v>0</v>
      </c>
      <c r="R46" s="17">
        <v>0</v>
      </c>
      <c r="S46" s="17">
        <v>0</v>
      </c>
      <c r="T46" s="17" t="s">
        <v>60</v>
      </c>
      <c r="U46" s="17" t="s">
        <v>60</v>
      </c>
      <c r="V46" s="17" t="s">
        <v>60</v>
      </c>
      <c r="W46" s="17" t="s">
        <v>60</v>
      </c>
      <c r="X46" s="26" t="s">
        <v>60</v>
      </c>
      <c r="Y46" s="26" t="s">
        <v>60</v>
      </c>
      <c r="Z46" s="26" t="s">
        <v>60</v>
      </c>
      <c r="AA46" s="26" t="s">
        <v>60</v>
      </c>
      <c r="AB46" s="17" t="s">
        <v>60</v>
      </c>
      <c r="AC46" s="17" t="s">
        <v>60</v>
      </c>
      <c r="AD46" s="17" t="s">
        <v>60</v>
      </c>
      <c r="AE46" s="17" t="s">
        <v>60</v>
      </c>
      <c r="AF46" s="26" t="s">
        <v>61</v>
      </c>
      <c r="AG46" s="26" t="s">
        <v>61</v>
      </c>
      <c r="AH46" s="26" t="s">
        <v>61</v>
      </c>
      <c r="AI46" s="26" t="s">
        <v>61</v>
      </c>
      <c r="AJ46" s="17" t="s">
        <v>60</v>
      </c>
      <c r="AK46" s="17" t="s">
        <v>60</v>
      </c>
      <c r="AL46" s="17" t="s">
        <v>60</v>
      </c>
      <c r="AM46" s="17" t="s">
        <v>60</v>
      </c>
      <c r="AN46" s="26" t="s">
        <v>60</v>
      </c>
      <c r="AO46" s="26" t="s">
        <v>60</v>
      </c>
      <c r="AP46" s="26" t="s">
        <v>60</v>
      </c>
      <c r="AQ46" s="26" t="s">
        <v>60</v>
      </c>
      <c r="AR46" s="31">
        <v>0</v>
      </c>
      <c r="AS46" s="31">
        <v>0</v>
      </c>
      <c r="AT46" s="31">
        <v>0</v>
      </c>
      <c r="AU46" s="18" t="s">
        <v>62</v>
      </c>
      <c r="AV46" s="32" t="s">
        <v>63</v>
      </c>
    </row>
    <row r="47" spans="1:48">
      <c r="A47" s="16" t="s">
        <v>166</v>
      </c>
      <c r="B47" s="17" t="s">
        <v>58</v>
      </c>
      <c r="C47" s="17" t="s">
        <v>59</v>
      </c>
      <c r="D47" s="18">
        <v>5</v>
      </c>
      <c r="E47" s="18">
        <v>5</v>
      </c>
      <c r="F47" s="18">
        <v>6</v>
      </c>
      <c r="G47" s="18">
        <v>3</v>
      </c>
      <c r="H47" s="18">
        <v>15.6842105263158</v>
      </c>
      <c r="I47" s="18">
        <v>84</v>
      </c>
      <c r="J47" s="18">
        <v>0</v>
      </c>
      <c r="K47" s="18">
        <v>0</v>
      </c>
      <c r="L47" s="18">
        <v>0</v>
      </c>
      <c r="M47" s="21">
        <v>84</v>
      </c>
      <c r="N47" s="18">
        <v>0</v>
      </c>
      <c r="O47" s="17">
        <v>0</v>
      </c>
      <c r="P47" s="17">
        <v>1940</v>
      </c>
      <c r="Q47" s="17">
        <v>2958</v>
      </c>
      <c r="R47" s="17">
        <v>10575</v>
      </c>
      <c r="S47" s="17">
        <v>0</v>
      </c>
      <c r="T47" s="17">
        <v>3</v>
      </c>
      <c r="U47" s="17">
        <v>6</v>
      </c>
      <c r="V47" s="17">
        <v>11</v>
      </c>
      <c r="W47" s="17">
        <v>0</v>
      </c>
      <c r="X47" s="26">
        <v>0.00154639175257732</v>
      </c>
      <c r="Y47" s="26">
        <v>0.00202839756592292</v>
      </c>
      <c r="Z47" s="26">
        <v>0.00104018912529551</v>
      </c>
      <c r="AA47" s="26" t="s">
        <v>60</v>
      </c>
      <c r="AB47" s="17">
        <v>5.26</v>
      </c>
      <c r="AC47" s="17">
        <v>8.6</v>
      </c>
      <c r="AD47" s="17">
        <v>12.26</v>
      </c>
      <c r="AE47" s="17">
        <v>0</v>
      </c>
      <c r="AF47" s="26">
        <v>0.0670738255033557</v>
      </c>
      <c r="AG47" s="26">
        <v>0.109664429530201</v>
      </c>
      <c r="AH47" s="26">
        <v>0.130279642058165</v>
      </c>
      <c r="AI47" s="26">
        <v>0</v>
      </c>
      <c r="AJ47" s="17">
        <v>81</v>
      </c>
      <c r="AK47" s="17">
        <v>64</v>
      </c>
      <c r="AL47" s="17">
        <v>29</v>
      </c>
      <c r="AM47" s="17">
        <v>26</v>
      </c>
      <c r="AN47" s="26">
        <v>0.0617283950617284</v>
      </c>
      <c r="AO47" s="26">
        <v>0.078125</v>
      </c>
      <c r="AP47" s="26">
        <v>0.206896551724138</v>
      </c>
      <c r="AQ47" s="26">
        <v>0.115384615384615</v>
      </c>
      <c r="AR47" s="31">
        <v>0.714285714285714</v>
      </c>
      <c r="AS47" s="31">
        <v>42.8571428571429</v>
      </c>
      <c r="AT47" s="31">
        <v>41.1428571428571</v>
      </c>
      <c r="AU47" s="18">
        <v>117</v>
      </c>
      <c r="AV47" s="32">
        <v>43442</v>
      </c>
    </row>
    <row r="48" spans="1:48">
      <c r="A48" s="16" t="s">
        <v>167</v>
      </c>
      <c r="B48" s="17" t="s">
        <v>168</v>
      </c>
      <c r="C48" s="17" t="s">
        <v>169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0</v>
      </c>
      <c r="L48" s="18">
        <v>0</v>
      </c>
      <c r="M48" s="21">
        <v>0</v>
      </c>
      <c r="N48" s="18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 t="s">
        <v>60</v>
      </c>
      <c r="U48" s="17" t="s">
        <v>60</v>
      </c>
      <c r="V48" s="17" t="s">
        <v>60</v>
      </c>
      <c r="W48" s="17" t="s">
        <v>60</v>
      </c>
      <c r="X48" s="26" t="s">
        <v>60</v>
      </c>
      <c r="Y48" s="26" t="s">
        <v>60</v>
      </c>
      <c r="Z48" s="26" t="s">
        <v>60</v>
      </c>
      <c r="AA48" s="26" t="s">
        <v>60</v>
      </c>
      <c r="AB48" s="17" t="s">
        <v>60</v>
      </c>
      <c r="AC48" s="17" t="s">
        <v>60</v>
      </c>
      <c r="AD48" s="17" t="s">
        <v>60</v>
      </c>
      <c r="AE48" s="17" t="s">
        <v>60</v>
      </c>
      <c r="AF48" s="26" t="s">
        <v>61</v>
      </c>
      <c r="AG48" s="26" t="s">
        <v>61</v>
      </c>
      <c r="AH48" s="26" t="s">
        <v>61</v>
      </c>
      <c r="AI48" s="26" t="s">
        <v>61</v>
      </c>
      <c r="AJ48" s="17" t="s">
        <v>60</v>
      </c>
      <c r="AK48" s="17" t="s">
        <v>60</v>
      </c>
      <c r="AL48" s="17" t="s">
        <v>60</v>
      </c>
      <c r="AM48" s="17" t="s">
        <v>60</v>
      </c>
      <c r="AN48" s="26" t="s">
        <v>60</v>
      </c>
      <c r="AO48" s="26" t="s">
        <v>60</v>
      </c>
      <c r="AP48" s="26" t="s">
        <v>60</v>
      </c>
      <c r="AQ48" s="26" t="s">
        <v>60</v>
      </c>
      <c r="AR48" s="31">
        <v>0</v>
      </c>
      <c r="AS48" s="31">
        <v>0</v>
      </c>
      <c r="AT48" s="31">
        <v>0</v>
      </c>
      <c r="AU48" s="18" t="s">
        <v>62</v>
      </c>
      <c r="AV48" s="32" t="s">
        <v>63</v>
      </c>
    </row>
    <row r="49" spans="1:48">
      <c r="A49" s="16" t="s">
        <v>170</v>
      </c>
      <c r="B49" s="17" t="s">
        <v>171</v>
      </c>
      <c r="C49" s="17" t="s">
        <v>172</v>
      </c>
      <c r="D49" s="18">
        <v>0</v>
      </c>
      <c r="E49" s="18">
        <v>1</v>
      </c>
      <c r="F49" s="18">
        <v>0</v>
      </c>
      <c r="G49" s="18">
        <v>0</v>
      </c>
      <c r="H49" s="18">
        <v>17.98</v>
      </c>
      <c r="I49" s="18">
        <v>0</v>
      </c>
      <c r="J49" s="18">
        <v>0</v>
      </c>
      <c r="K49" s="18">
        <v>0</v>
      </c>
      <c r="L49" s="18">
        <v>0</v>
      </c>
      <c r="M49" s="21">
        <v>0</v>
      </c>
      <c r="N49" s="18">
        <v>0</v>
      </c>
      <c r="O49" s="17">
        <v>0</v>
      </c>
      <c r="P49" s="17">
        <v>0</v>
      </c>
      <c r="Q49" s="17">
        <v>0</v>
      </c>
      <c r="R49" s="17">
        <v>0</v>
      </c>
      <c r="S49" s="17">
        <v>0</v>
      </c>
      <c r="T49" s="17" t="s">
        <v>60</v>
      </c>
      <c r="U49" s="17" t="s">
        <v>60</v>
      </c>
      <c r="V49" s="17" t="s">
        <v>60</v>
      </c>
      <c r="W49" s="17" t="s">
        <v>60</v>
      </c>
      <c r="X49" s="26" t="s">
        <v>60</v>
      </c>
      <c r="Y49" s="26" t="s">
        <v>60</v>
      </c>
      <c r="Z49" s="26" t="s">
        <v>60</v>
      </c>
      <c r="AA49" s="26" t="s">
        <v>60</v>
      </c>
      <c r="AB49" s="17" t="s">
        <v>60</v>
      </c>
      <c r="AC49" s="17" t="s">
        <v>60</v>
      </c>
      <c r="AD49" s="17" t="s">
        <v>60</v>
      </c>
      <c r="AE49" s="17" t="s">
        <v>60</v>
      </c>
      <c r="AF49" s="26" t="s">
        <v>61</v>
      </c>
      <c r="AG49" s="26" t="s">
        <v>60</v>
      </c>
      <c r="AH49" s="26" t="s">
        <v>61</v>
      </c>
      <c r="AI49" s="26" t="s">
        <v>61</v>
      </c>
      <c r="AJ49" s="17">
        <v>0</v>
      </c>
      <c r="AK49" s="17">
        <v>6</v>
      </c>
      <c r="AL49" s="17">
        <v>0</v>
      </c>
      <c r="AM49" s="17">
        <v>0</v>
      </c>
      <c r="AN49" s="26" t="s">
        <v>60</v>
      </c>
      <c r="AO49" s="26">
        <v>0.166666666666667</v>
      </c>
      <c r="AP49" s="26" t="s">
        <v>60</v>
      </c>
      <c r="AQ49" s="26" t="s">
        <v>60</v>
      </c>
      <c r="AR49" s="31">
        <v>0</v>
      </c>
      <c r="AS49" s="31">
        <v>0</v>
      </c>
      <c r="AT49" s="31">
        <v>0</v>
      </c>
      <c r="AU49" s="18" t="s">
        <v>62</v>
      </c>
      <c r="AV49" s="32" t="s">
        <v>63</v>
      </c>
    </row>
    <row r="50" spans="1:48">
      <c r="A50" s="16" t="s">
        <v>173</v>
      </c>
      <c r="B50" s="17" t="s">
        <v>100</v>
      </c>
      <c r="C50" s="17" t="s">
        <v>101</v>
      </c>
      <c r="D50" s="18">
        <v>6</v>
      </c>
      <c r="E50" s="18">
        <v>1</v>
      </c>
      <c r="F50" s="18">
        <v>1</v>
      </c>
      <c r="G50" s="18">
        <v>0</v>
      </c>
      <c r="H50" s="18">
        <v>49.99</v>
      </c>
      <c r="I50" s="18">
        <v>42</v>
      </c>
      <c r="J50" s="18">
        <v>0</v>
      </c>
      <c r="K50" s="18">
        <v>0</v>
      </c>
      <c r="L50" s="18">
        <v>0</v>
      </c>
      <c r="M50" s="21">
        <v>42</v>
      </c>
      <c r="N50" s="18">
        <v>0</v>
      </c>
      <c r="O50" s="17">
        <v>0</v>
      </c>
      <c r="P50" s="17">
        <v>2074</v>
      </c>
      <c r="Q50" s="17">
        <v>3620</v>
      </c>
      <c r="R50" s="17">
        <v>1</v>
      </c>
      <c r="S50" s="17">
        <v>852</v>
      </c>
      <c r="T50" s="17">
        <v>9</v>
      </c>
      <c r="U50" s="17">
        <v>5</v>
      </c>
      <c r="V50" s="17">
        <v>0</v>
      </c>
      <c r="W50" s="17">
        <v>3</v>
      </c>
      <c r="X50" s="26">
        <v>0.00433944069431051</v>
      </c>
      <c r="Y50" s="26">
        <v>0.00138121546961326</v>
      </c>
      <c r="Z50" s="26">
        <v>0</v>
      </c>
      <c r="AA50" s="26">
        <v>0.00352112676056338</v>
      </c>
      <c r="AB50" s="17">
        <v>7.17</v>
      </c>
      <c r="AC50" s="17">
        <v>6</v>
      </c>
      <c r="AD50" s="17">
        <v>0</v>
      </c>
      <c r="AE50" s="17">
        <v>3.39</v>
      </c>
      <c r="AF50" s="26">
        <v>0.0239047809561912</v>
      </c>
      <c r="AG50" s="26">
        <v>0.12002400480096</v>
      </c>
      <c r="AH50" s="26">
        <v>0</v>
      </c>
      <c r="AI50" s="26" t="s">
        <v>174</v>
      </c>
      <c r="AJ50" s="17">
        <v>63</v>
      </c>
      <c r="AK50" s="17">
        <v>49</v>
      </c>
      <c r="AL50" s="17">
        <v>52</v>
      </c>
      <c r="AM50" s="17">
        <v>36</v>
      </c>
      <c r="AN50" s="26">
        <v>0.0952380952380952</v>
      </c>
      <c r="AO50" s="26">
        <v>0.0204081632653061</v>
      </c>
      <c r="AP50" s="26">
        <v>0.0192307692307692</v>
      </c>
      <c r="AQ50" s="26">
        <v>0</v>
      </c>
      <c r="AR50" s="31">
        <v>0.857142857142857</v>
      </c>
      <c r="AS50" s="31">
        <v>51.4285714285714</v>
      </c>
      <c r="AT50" s="31">
        <v>-9.42857142857142</v>
      </c>
      <c r="AU50" s="18">
        <v>49</v>
      </c>
      <c r="AV50" s="32">
        <v>43374</v>
      </c>
    </row>
    <row r="51" spans="1:48">
      <c r="A51" s="16" t="s">
        <v>175</v>
      </c>
      <c r="B51" s="17" t="s">
        <v>176</v>
      </c>
      <c r="C51" s="17" t="s">
        <v>121</v>
      </c>
      <c r="D51" s="18">
        <v>0</v>
      </c>
      <c r="E51" s="18">
        <v>0</v>
      </c>
      <c r="F51" s="18">
        <v>0</v>
      </c>
      <c r="G51" s="18">
        <v>0</v>
      </c>
      <c r="H51" s="18">
        <v>0</v>
      </c>
      <c r="I51" s="18">
        <v>0</v>
      </c>
      <c r="J51" s="18">
        <v>0</v>
      </c>
      <c r="K51" s="18">
        <v>24</v>
      </c>
      <c r="L51" s="18">
        <v>0</v>
      </c>
      <c r="M51" s="21">
        <v>24</v>
      </c>
      <c r="N51" s="18">
        <v>0</v>
      </c>
      <c r="O51" s="17">
        <v>0</v>
      </c>
      <c r="P51" s="17">
        <v>0</v>
      </c>
      <c r="Q51" s="17">
        <v>0</v>
      </c>
      <c r="R51" s="17">
        <v>0</v>
      </c>
      <c r="S51" s="17">
        <v>0</v>
      </c>
      <c r="T51" s="17" t="s">
        <v>60</v>
      </c>
      <c r="U51" s="17" t="s">
        <v>60</v>
      </c>
      <c r="V51" s="17" t="s">
        <v>60</v>
      </c>
      <c r="W51" s="17" t="s">
        <v>60</v>
      </c>
      <c r="X51" s="26" t="s">
        <v>60</v>
      </c>
      <c r="Y51" s="26" t="s">
        <v>60</v>
      </c>
      <c r="Z51" s="26" t="s">
        <v>60</v>
      </c>
      <c r="AA51" s="26" t="s">
        <v>60</v>
      </c>
      <c r="AB51" s="17" t="s">
        <v>60</v>
      </c>
      <c r="AC51" s="17" t="s">
        <v>60</v>
      </c>
      <c r="AD51" s="17" t="s">
        <v>60</v>
      </c>
      <c r="AE51" s="17" t="s">
        <v>60</v>
      </c>
      <c r="AF51" s="26" t="s">
        <v>61</v>
      </c>
      <c r="AG51" s="26" t="s">
        <v>61</v>
      </c>
      <c r="AH51" s="26" t="s">
        <v>61</v>
      </c>
      <c r="AI51" s="26" t="s">
        <v>61</v>
      </c>
      <c r="AJ51" s="17" t="s">
        <v>60</v>
      </c>
      <c r="AK51" s="17" t="s">
        <v>60</v>
      </c>
      <c r="AL51" s="17" t="s">
        <v>60</v>
      </c>
      <c r="AM51" s="17" t="s">
        <v>60</v>
      </c>
      <c r="AN51" s="26" t="s">
        <v>60</v>
      </c>
      <c r="AO51" s="26" t="s">
        <v>60</v>
      </c>
      <c r="AP51" s="26" t="s">
        <v>60</v>
      </c>
      <c r="AQ51" s="26" t="s">
        <v>60</v>
      </c>
      <c r="AR51" s="31">
        <v>0</v>
      </c>
      <c r="AS51" s="31">
        <v>0</v>
      </c>
      <c r="AT51" s="31">
        <v>24</v>
      </c>
      <c r="AU51" s="18" t="s">
        <v>177</v>
      </c>
      <c r="AV51" s="32" t="s">
        <v>63</v>
      </c>
    </row>
    <row r="52" spans="1:48">
      <c r="A52" s="16" t="s">
        <v>178</v>
      </c>
      <c r="B52" s="17" t="s">
        <v>179</v>
      </c>
      <c r="C52" s="17" t="s">
        <v>180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72</v>
      </c>
      <c r="L52" s="18">
        <v>0</v>
      </c>
      <c r="M52" s="21">
        <v>72</v>
      </c>
      <c r="N52" s="18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 t="s">
        <v>60</v>
      </c>
      <c r="U52" s="17" t="s">
        <v>60</v>
      </c>
      <c r="V52" s="17" t="s">
        <v>60</v>
      </c>
      <c r="W52" s="17" t="s">
        <v>60</v>
      </c>
      <c r="X52" s="26" t="s">
        <v>60</v>
      </c>
      <c r="Y52" s="26" t="s">
        <v>60</v>
      </c>
      <c r="Z52" s="26" t="s">
        <v>60</v>
      </c>
      <c r="AA52" s="26" t="s">
        <v>60</v>
      </c>
      <c r="AB52" s="17" t="s">
        <v>60</v>
      </c>
      <c r="AC52" s="17" t="s">
        <v>60</v>
      </c>
      <c r="AD52" s="17" t="s">
        <v>60</v>
      </c>
      <c r="AE52" s="17" t="s">
        <v>60</v>
      </c>
      <c r="AF52" s="26" t="s">
        <v>61</v>
      </c>
      <c r="AG52" s="26" t="s">
        <v>61</v>
      </c>
      <c r="AH52" s="26" t="s">
        <v>61</v>
      </c>
      <c r="AI52" s="26" t="s">
        <v>61</v>
      </c>
      <c r="AJ52" s="17">
        <v>0</v>
      </c>
      <c r="AK52" s="17">
        <v>0</v>
      </c>
      <c r="AL52" s="17">
        <v>20</v>
      </c>
      <c r="AM52" s="17">
        <v>42</v>
      </c>
      <c r="AN52" s="26" t="s">
        <v>60</v>
      </c>
      <c r="AO52" s="26" t="s">
        <v>60</v>
      </c>
      <c r="AP52" s="26">
        <v>0</v>
      </c>
      <c r="AQ52" s="26">
        <v>0</v>
      </c>
      <c r="AR52" s="31">
        <v>0</v>
      </c>
      <c r="AS52" s="31">
        <v>0</v>
      </c>
      <c r="AT52" s="31">
        <v>72</v>
      </c>
      <c r="AU52" s="18" t="s">
        <v>181</v>
      </c>
      <c r="AV52" s="32" t="s">
        <v>63</v>
      </c>
    </row>
    <row r="53" spans="1:48">
      <c r="A53" s="16" t="s">
        <v>182</v>
      </c>
      <c r="B53" s="17" t="s">
        <v>183</v>
      </c>
      <c r="C53" s="17" t="s">
        <v>184</v>
      </c>
      <c r="D53" s="18">
        <v>22</v>
      </c>
      <c r="E53" s="18">
        <v>9</v>
      </c>
      <c r="F53" s="18">
        <v>4</v>
      </c>
      <c r="G53" s="18">
        <v>3</v>
      </c>
      <c r="H53" s="18">
        <v>30.5257894736842</v>
      </c>
      <c r="I53" s="18">
        <v>33</v>
      </c>
      <c r="J53" s="18">
        <v>0</v>
      </c>
      <c r="K53" s="18">
        <v>0</v>
      </c>
      <c r="L53" s="18">
        <v>1</v>
      </c>
      <c r="M53" s="21">
        <v>34</v>
      </c>
      <c r="N53" s="18">
        <v>0</v>
      </c>
      <c r="O53" s="17">
        <v>41</v>
      </c>
      <c r="P53" s="17">
        <v>7587</v>
      </c>
      <c r="Q53" s="17">
        <v>11458</v>
      </c>
      <c r="R53" s="17">
        <v>5568</v>
      </c>
      <c r="S53" s="17">
        <v>1344</v>
      </c>
      <c r="T53" s="17">
        <v>28</v>
      </c>
      <c r="U53" s="17">
        <v>41</v>
      </c>
      <c r="V53" s="17">
        <v>36</v>
      </c>
      <c r="W53" s="17">
        <v>12</v>
      </c>
      <c r="X53" s="26">
        <v>0.003690523263477</v>
      </c>
      <c r="Y53" s="26">
        <v>0.00357828591377204</v>
      </c>
      <c r="Z53" s="26">
        <v>0.00646551724137931</v>
      </c>
      <c r="AA53" s="26">
        <v>0.00892857142857143</v>
      </c>
      <c r="AB53" s="17">
        <v>26.75</v>
      </c>
      <c r="AC53" s="17">
        <v>66.8</v>
      </c>
      <c r="AD53" s="17">
        <v>40.88</v>
      </c>
      <c r="AE53" s="17">
        <v>7.89</v>
      </c>
      <c r="AF53" s="26">
        <v>0.0398321914641162</v>
      </c>
      <c r="AG53" s="26">
        <v>0.243145954623739</v>
      </c>
      <c r="AH53" s="26">
        <v>0.334798875842687</v>
      </c>
      <c r="AI53" s="26">
        <v>0.0861566578734116</v>
      </c>
      <c r="AJ53" s="17">
        <v>252</v>
      </c>
      <c r="AK53" s="17">
        <v>153</v>
      </c>
      <c r="AL53" s="17">
        <v>167</v>
      </c>
      <c r="AM53" s="17">
        <v>140</v>
      </c>
      <c r="AN53" s="26">
        <v>0.0873015873015873</v>
      </c>
      <c r="AO53" s="26">
        <v>0.0588235294117647</v>
      </c>
      <c r="AP53" s="26">
        <v>0.0239520958083832</v>
      </c>
      <c r="AQ53" s="26">
        <v>0.0214285714285714</v>
      </c>
      <c r="AR53" s="31">
        <v>3.14285714285714</v>
      </c>
      <c r="AS53" s="31">
        <v>188.571428571429</v>
      </c>
      <c r="AT53" s="31">
        <v>-154.571428571429</v>
      </c>
      <c r="AU53" s="18">
        <v>10</v>
      </c>
      <c r="AV53" s="32">
        <v>43335</v>
      </c>
    </row>
    <row r="54" spans="1:48">
      <c r="A54" s="16" t="s">
        <v>185</v>
      </c>
      <c r="B54" s="17" t="s">
        <v>84</v>
      </c>
      <c r="C54" s="17" t="s">
        <v>85</v>
      </c>
      <c r="D54" s="18">
        <v>2</v>
      </c>
      <c r="E54" s="18">
        <v>1</v>
      </c>
      <c r="F54" s="18">
        <v>0</v>
      </c>
      <c r="G54" s="18">
        <v>0</v>
      </c>
      <c r="H54" s="18">
        <v>43.0666666666667</v>
      </c>
      <c r="I54" s="18">
        <v>43</v>
      </c>
      <c r="J54" s="18">
        <v>0</v>
      </c>
      <c r="K54" s="18">
        <v>0</v>
      </c>
      <c r="L54" s="18">
        <v>1</v>
      </c>
      <c r="M54" s="21">
        <v>44</v>
      </c>
      <c r="N54" s="18">
        <v>0</v>
      </c>
      <c r="O54" s="17">
        <v>47</v>
      </c>
      <c r="P54" s="17">
        <v>876</v>
      </c>
      <c r="Q54" s="17">
        <v>1738</v>
      </c>
      <c r="R54" s="17">
        <v>693</v>
      </c>
      <c r="S54" s="17">
        <v>146</v>
      </c>
      <c r="T54" s="17">
        <v>10</v>
      </c>
      <c r="U54" s="17">
        <v>10</v>
      </c>
      <c r="V54" s="17">
        <v>3</v>
      </c>
      <c r="W54" s="17">
        <v>0</v>
      </c>
      <c r="X54" s="26">
        <v>0.0114155251141553</v>
      </c>
      <c r="Y54" s="26">
        <v>0.00575373993095512</v>
      </c>
      <c r="Z54" s="26">
        <v>0.00432900432900433</v>
      </c>
      <c r="AA54" s="26">
        <v>0</v>
      </c>
      <c r="AB54" s="17">
        <v>6.58</v>
      </c>
      <c r="AC54" s="17">
        <v>12.51</v>
      </c>
      <c r="AD54" s="17">
        <v>2.05</v>
      </c>
      <c r="AE54" s="17">
        <v>0</v>
      </c>
      <c r="AF54" s="26">
        <v>0.0763931888544891</v>
      </c>
      <c r="AG54" s="26">
        <v>0.29047987616099</v>
      </c>
      <c r="AH54" s="26" t="s">
        <v>186</v>
      </c>
      <c r="AI54" s="26" t="s">
        <v>60</v>
      </c>
      <c r="AJ54" s="17">
        <v>34</v>
      </c>
      <c r="AK54" s="17">
        <v>44</v>
      </c>
      <c r="AL54" s="17">
        <v>35</v>
      </c>
      <c r="AM54" s="17">
        <v>36</v>
      </c>
      <c r="AN54" s="26">
        <v>0.0588235294117647</v>
      </c>
      <c r="AO54" s="26">
        <v>0.0227272727272727</v>
      </c>
      <c r="AP54" s="26">
        <v>0</v>
      </c>
      <c r="AQ54" s="26">
        <v>0</v>
      </c>
      <c r="AR54" s="31">
        <v>0.285714285714286</v>
      </c>
      <c r="AS54" s="31">
        <v>17.1428571428571</v>
      </c>
      <c r="AT54" s="31">
        <v>26.8571428571429</v>
      </c>
      <c r="AU54" s="18">
        <v>154</v>
      </c>
      <c r="AV54" s="32">
        <v>43479</v>
      </c>
    </row>
    <row r="55" spans="1:48">
      <c r="A55" s="16" t="s">
        <v>187</v>
      </c>
      <c r="B55" s="17" t="s">
        <v>188</v>
      </c>
      <c r="C55" s="17" t="s">
        <v>189</v>
      </c>
      <c r="D55" s="18">
        <v>13</v>
      </c>
      <c r="E55" s="18">
        <v>4</v>
      </c>
      <c r="F55" s="18">
        <v>3</v>
      </c>
      <c r="G55" s="18">
        <v>2</v>
      </c>
      <c r="H55" s="18">
        <v>16.2359090909091</v>
      </c>
      <c r="I55" s="18">
        <v>8</v>
      </c>
      <c r="J55" s="18">
        <v>0</v>
      </c>
      <c r="K55" s="18">
        <v>0</v>
      </c>
      <c r="L55" s="18">
        <v>0</v>
      </c>
      <c r="M55" s="21">
        <v>8</v>
      </c>
      <c r="N55" s="18">
        <v>0</v>
      </c>
      <c r="O55" s="17">
        <v>22</v>
      </c>
      <c r="P55" s="17">
        <v>6873</v>
      </c>
      <c r="Q55" s="17">
        <v>16126</v>
      </c>
      <c r="R55" s="17">
        <v>12378</v>
      </c>
      <c r="S55" s="17">
        <v>12424</v>
      </c>
      <c r="T55" s="17">
        <v>25</v>
      </c>
      <c r="U55" s="17">
        <v>18</v>
      </c>
      <c r="V55" s="17">
        <v>20</v>
      </c>
      <c r="W55" s="17">
        <v>20</v>
      </c>
      <c r="X55" s="26">
        <v>0.0036374217954314</v>
      </c>
      <c r="Y55" s="26">
        <v>0.00111620984745132</v>
      </c>
      <c r="Z55" s="26">
        <v>0.00161576991436419</v>
      </c>
      <c r="AA55" s="26">
        <v>0.00160978750804894</v>
      </c>
      <c r="AB55" s="17">
        <v>19.15</v>
      </c>
      <c r="AC55" s="17">
        <v>17.16</v>
      </c>
      <c r="AD55" s="17">
        <v>17.67</v>
      </c>
      <c r="AE55" s="17">
        <v>16.42</v>
      </c>
      <c r="AF55" s="26">
        <v>0.0907295621593334</v>
      </c>
      <c r="AG55" s="26">
        <v>0.264229121755928</v>
      </c>
      <c r="AH55" s="26">
        <v>0.362776113553011</v>
      </c>
      <c r="AI55" s="26">
        <v>0.505669251658781</v>
      </c>
      <c r="AJ55" s="17">
        <v>73</v>
      </c>
      <c r="AK55" s="17">
        <v>67</v>
      </c>
      <c r="AL55" s="17">
        <v>56</v>
      </c>
      <c r="AM55" s="17">
        <v>46</v>
      </c>
      <c r="AN55" s="26">
        <v>0.178082191780822</v>
      </c>
      <c r="AO55" s="26">
        <v>0.0597014925373134</v>
      </c>
      <c r="AP55" s="26">
        <v>0.0535714285714286</v>
      </c>
      <c r="AQ55" s="26">
        <v>0.0434782608695652</v>
      </c>
      <c r="AR55" s="31">
        <v>1.85714285714286</v>
      </c>
      <c r="AS55" s="31">
        <v>111.428571428571</v>
      </c>
      <c r="AT55" s="31">
        <v>-103.428571428571</v>
      </c>
      <c r="AU55" s="18">
        <v>4</v>
      </c>
      <c r="AV55" s="32">
        <v>43329</v>
      </c>
    </row>
    <row r="56" spans="1:48">
      <c r="A56" s="16" t="s">
        <v>190</v>
      </c>
      <c r="B56" s="17" t="s">
        <v>104</v>
      </c>
      <c r="C56" s="17" t="s">
        <v>105</v>
      </c>
      <c r="D56" s="18">
        <v>3</v>
      </c>
      <c r="E56" s="18">
        <v>7</v>
      </c>
      <c r="F56" s="18">
        <v>8</v>
      </c>
      <c r="G56" s="18">
        <v>9</v>
      </c>
      <c r="H56" s="18">
        <v>35</v>
      </c>
      <c r="I56" s="18">
        <v>55</v>
      </c>
      <c r="J56" s="18">
        <v>0</v>
      </c>
      <c r="K56" s="18">
        <v>0</v>
      </c>
      <c r="L56" s="18">
        <v>0</v>
      </c>
      <c r="M56" s="21">
        <v>55</v>
      </c>
      <c r="N56" s="18">
        <v>0</v>
      </c>
      <c r="O56" s="17">
        <v>0</v>
      </c>
      <c r="P56" s="17">
        <v>4743</v>
      </c>
      <c r="Q56" s="17">
        <v>8050</v>
      </c>
      <c r="R56" s="17">
        <v>8188</v>
      </c>
      <c r="S56" s="17">
        <v>4187</v>
      </c>
      <c r="T56" s="17">
        <v>18</v>
      </c>
      <c r="U56" s="17">
        <v>29</v>
      </c>
      <c r="V56" s="17">
        <v>11</v>
      </c>
      <c r="W56" s="17">
        <v>10</v>
      </c>
      <c r="X56" s="26">
        <v>0.00379506641366224</v>
      </c>
      <c r="Y56" s="26">
        <v>0.00360248447204969</v>
      </c>
      <c r="Z56" s="26">
        <v>0.00134342940889106</v>
      </c>
      <c r="AA56" s="26">
        <v>0.00238834487700024</v>
      </c>
      <c r="AB56" s="17">
        <v>17.77</v>
      </c>
      <c r="AC56" s="17">
        <v>28.46</v>
      </c>
      <c r="AD56" s="17">
        <v>10.8</v>
      </c>
      <c r="AE56" s="17">
        <v>6.97</v>
      </c>
      <c r="AF56" s="26">
        <v>0.169238095238095</v>
      </c>
      <c r="AG56" s="26">
        <v>0.116163265306122</v>
      </c>
      <c r="AH56" s="26">
        <v>0.0385714285714286</v>
      </c>
      <c r="AI56" s="26">
        <v>0.0221269841269841</v>
      </c>
      <c r="AJ56" s="17">
        <v>63</v>
      </c>
      <c r="AK56" s="17">
        <v>39</v>
      </c>
      <c r="AL56" s="17">
        <v>46</v>
      </c>
      <c r="AM56" s="17">
        <v>30</v>
      </c>
      <c r="AN56" s="26">
        <v>0.0476190476190476</v>
      </c>
      <c r="AO56" s="26">
        <v>0.179487179487179</v>
      </c>
      <c r="AP56" s="26">
        <v>0.173913043478261</v>
      </c>
      <c r="AQ56" s="26">
        <v>0.3</v>
      </c>
      <c r="AR56" s="31">
        <v>0.428571428571429</v>
      </c>
      <c r="AS56" s="31">
        <v>25.7142857142857</v>
      </c>
      <c r="AT56" s="31">
        <v>29.2857142857143</v>
      </c>
      <c r="AU56" s="18">
        <v>128</v>
      </c>
      <c r="AV56" s="32">
        <v>43453</v>
      </c>
    </row>
    <row r="57" spans="1:48">
      <c r="A57" s="16" t="s">
        <v>191</v>
      </c>
      <c r="B57" s="17" t="s">
        <v>126</v>
      </c>
      <c r="C57" s="17" t="s">
        <v>127</v>
      </c>
      <c r="D57" s="18">
        <v>0</v>
      </c>
      <c r="E57" s="18">
        <v>0</v>
      </c>
      <c r="F57" s="18">
        <v>16</v>
      </c>
      <c r="G57" s="18">
        <v>13</v>
      </c>
      <c r="H57" s="18">
        <v>21.7831034482759</v>
      </c>
      <c r="I57" s="18">
        <v>0</v>
      </c>
      <c r="J57" s="18">
        <v>0</v>
      </c>
      <c r="K57" s="18">
        <v>0</v>
      </c>
      <c r="L57" s="18">
        <v>0</v>
      </c>
      <c r="M57" s="21">
        <v>0</v>
      </c>
      <c r="N57" s="18">
        <v>0</v>
      </c>
      <c r="O57" s="17">
        <v>0</v>
      </c>
      <c r="P57" s="17">
        <v>0</v>
      </c>
      <c r="Q57" s="17">
        <v>11437</v>
      </c>
      <c r="R57" s="17">
        <v>17916</v>
      </c>
      <c r="S57" s="17">
        <v>10778</v>
      </c>
      <c r="T57" s="17">
        <v>0</v>
      </c>
      <c r="U57" s="17">
        <v>9</v>
      </c>
      <c r="V57" s="17">
        <v>21</v>
      </c>
      <c r="W57" s="17">
        <v>15</v>
      </c>
      <c r="X57" s="26" t="s">
        <v>60</v>
      </c>
      <c r="Y57" s="26">
        <v>0.000786919646760514</v>
      </c>
      <c r="Z57" s="26">
        <v>0.00117213663764233</v>
      </c>
      <c r="AA57" s="26">
        <v>0.00139172388198181</v>
      </c>
      <c r="AB57" s="17">
        <v>0</v>
      </c>
      <c r="AC57" s="17">
        <v>9.6</v>
      </c>
      <c r="AD57" s="17">
        <v>25.47</v>
      </c>
      <c r="AE57" s="17">
        <v>11.74</v>
      </c>
      <c r="AF57" s="26" t="s">
        <v>60</v>
      </c>
      <c r="AG57" s="26" t="s">
        <v>192</v>
      </c>
      <c r="AH57" s="26">
        <v>0.0730784299757799</v>
      </c>
      <c r="AI57" s="26">
        <v>0.0414576795827686</v>
      </c>
      <c r="AJ57" s="17">
        <v>0</v>
      </c>
      <c r="AK57" s="17">
        <v>0</v>
      </c>
      <c r="AL57" s="17">
        <v>31</v>
      </c>
      <c r="AM57" s="17">
        <v>51</v>
      </c>
      <c r="AN57" s="26" t="s">
        <v>60</v>
      </c>
      <c r="AO57" s="26" t="s">
        <v>60</v>
      </c>
      <c r="AP57" s="26">
        <v>0.516129032258065</v>
      </c>
      <c r="AQ57" s="26">
        <v>0.254901960784314</v>
      </c>
      <c r="AR57" s="31">
        <v>0</v>
      </c>
      <c r="AS57" s="31">
        <v>0</v>
      </c>
      <c r="AT57" s="31">
        <v>0</v>
      </c>
      <c r="AU57" s="18" t="s">
        <v>62</v>
      </c>
      <c r="AV57" s="32" t="s">
        <v>63</v>
      </c>
    </row>
    <row r="58" spans="1:48">
      <c r="A58" s="16" t="s">
        <v>193</v>
      </c>
      <c r="B58" s="17" t="s">
        <v>194</v>
      </c>
      <c r="C58" s="17" t="s">
        <v>195</v>
      </c>
      <c r="D58" s="18">
        <v>6</v>
      </c>
      <c r="E58" s="18">
        <v>7</v>
      </c>
      <c r="F58" s="18">
        <v>10</v>
      </c>
      <c r="G58" s="18">
        <v>9</v>
      </c>
      <c r="H58" s="18">
        <v>24.99</v>
      </c>
      <c r="I58" s="18">
        <v>0</v>
      </c>
      <c r="J58" s="18">
        <v>0</v>
      </c>
      <c r="K58" s="18">
        <v>0</v>
      </c>
      <c r="L58" s="18">
        <v>0</v>
      </c>
      <c r="M58" s="21">
        <v>0</v>
      </c>
      <c r="N58" s="18">
        <v>0</v>
      </c>
      <c r="O58" s="17">
        <v>0</v>
      </c>
      <c r="P58" s="17">
        <v>3253</v>
      </c>
      <c r="Q58" s="17">
        <v>7562</v>
      </c>
      <c r="R58" s="17">
        <v>23262</v>
      </c>
      <c r="S58" s="17">
        <v>28994</v>
      </c>
      <c r="T58" s="17">
        <v>7</v>
      </c>
      <c r="U58" s="17">
        <v>16</v>
      </c>
      <c r="V58" s="17">
        <v>31</v>
      </c>
      <c r="W58" s="17">
        <v>37</v>
      </c>
      <c r="X58" s="26">
        <v>0.00215185982170304</v>
      </c>
      <c r="Y58" s="26">
        <v>0.00211584236974345</v>
      </c>
      <c r="Z58" s="26">
        <v>0.00133264551629267</v>
      </c>
      <c r="AA58" s="26">
        <v>0.00127612609505415</v>
      </c>
      <c r="AB58" s="17">
        <v>4.44</v>
      </c>
      <c r="AC58" s="17">
        <v>10.32</v>
      </c>
      <c r="AD58" s="17">
        <v>24.92</v>
      </c>
      <c r="AE58" s="17">
        <v>32.46</v>
      </c>
      <c r="AF58" s="26">
        <v>0.0296118447378952</v>
      </c>
      <c r="AG58" s="26">
        <v>0.0589950265820614</v>
      </c>
      <c r="AH58" s="26">
        <v>0.0997198879551821</v>
      </c>
      <c r="AI58" s="26">
        <v>0.144324396425237</v>
      </c>
      <c r="AJ58" s="17">
        <v>37</v>
      </c>
      <c r="AK58" s="17">
        <v>47</v>
      </c>
      <c r="AL58" s="17">
        <v>57</v>
      </c>
      <c r="AM58" s="17">
        <v>51</v>
      </c>
      <c r="AN58" s="26">
        <v>0.162162162162162</v>
      </c>
      <c r="AO58" s="26">
        <v>0.148936170212766</v>
      </c>
      <c r="AP58" s="26">
        <v>0.175438596491228</v>
      </c>
      <c r="AQ58" s="26">
        <v>0.176470588235294</v>
      </c>
      <c r="AR58" s="31">
        <v>0.857142857142857</v>
      </c>
      <c r="AS58" s="31">
        <v>51.4285714285714</v>
      </c>
      <c r="AT58" s="31">
        <v>-51.4285714285714</v>
      </c>
      <c r="AU58" s="18">
        <v>0</v>
      </c>
      <c r="AV58" s="32">
        <v>43325</v>
      </c>
    </row>
    <row r="59" spans="1:48">
      <c r="A59" s="16" t="s">
        <v>196</v>
      </c>
      <c r="B59" s="17" t="s">
        <v>197</v>
      </c>
      <c r="C59" s="17" t="s">
        <v>198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>
        <v>0</v>
      </c>
      <c r="M59" s="21">
        <v>0</v>
      </c>
      <c r="N59" s="18">
        <v>0</v>
      </c>
      <c r="O59" s="17">
        <v>0</v>
      </c>
      <c r="P59" s="17">
        <v>0</v>
      </c>
      <c r="Q59" s="17">
        <v>0</v>
      </c>
      <c r="R59" s="17">
        <v>0</v>
      </c>
      <c r="S59" s="17">
        <v>0</v>
      </c>
      <c r="T59" s="17" t="s">
        <v>60</v>
      </c>
      <c r="U59" s="17" t="s">
        <v>60</v>
      </c>
      <c r="V59" s="17" t="s">
        <v>60</v>
      </c>
      <c r="W59" s="17" t="s">
        <v>60</v>
      </c>
      <c r="X59" s="26" t="s">
        <v>60</v>
      </c>
      <c r="Y59" s="26" t="s">
        <v>60</v>
      </c>
      <c r="Z59" s="26" t="s">
        <v>60</v>
      </c>
      <c r="AA59" s="26" t="s">
        <v>60</v>
      </c>
      <c r="AB59" s="17" t="s">
        <v>60</v>
      </c>
      <c r="AC59" s="17" t="s">
        <v>60</v>
      </c>
      <c r="AD59" s="17" t="s">
        <v>60</v>
      </c>
      <c r="AE59" s="17" t="s">
        <v>60</v>
      </c>
      <c r="AF59" s="26" t="s">
        <v>61</v>
      </c>
      <c r="AG59" s="26" t="s">
        <v>61</v>
      </c>
      <c r="AH59" s="26" t="s">
        <v>61</v>
      </c>
      <c r="AI59" s="26" t="s">
        <v>61</v>
      </c>
      <c r="AJ59" s="17" t="s">
        <v>60</v>
      </c>
      <c r="AK59" s="17" t="s">
        <v>60</v>
      </c>
      <c r="AL59" s="17" t="s">
        <v>60</v>
      </c>
      <c r="AM59" s="17" t="s">
        <v>60</v>
      </c>
      <c r="AN59" s="26" t="s">
        <v>60</v>
      </c>
      <c r="AO59" s="26" t="s">
        <v>60</v>
      </c>
      <c r="AP59" s="26" t="s">
        <v>60</v>
      </c>
      <c r="AQ59" s="26" t="s">
        <v>60</v>
      </c>
      <c r="AR59" s="31">
        <v>0</v>
      </c>
      <c r="AS59" s="31">
        <v>0</v>
      </c>
      <c r="AT59" s="31">
        <v>0</v>
      </c>
      <c r="AU59" s="18" t="s">
        <v>62</v>
      </c>
      <c r="AV59" s="32" t="s">
        <v>63</v>
      </c>
    </row>
    <row r="60" spans="1:48">
      <c r="A60" s="16" t="s">
        <v>199</v>
      </c>
      <c r="B60" s="17" t="s">
        <v>200</v>
      </c>
      <c r="C60" s="17" t="s">
        <v>201</v>
      </c>
      <c r="D60" s="18">
        <v>15</v>
      </c>
      <c r="E60" s="18">
        <v>27</v>
      </c>
      <c r="F60" s="18">
        <v>3</v>
      </c>
      <c r="G60" s="18">
        <v>5</v>
      </c>
      <c r="H60" s="18">
        <v>44.8294</v>
      </c>
      <c r="I60" s="18">
        <v>0</v>
      </c>
      <c r="J60" s="18">
        <v>0</v>
      </c>
      <c r="K60" s="18">
        <v>0</v>
      </c>
      <c r="L60" s="18">
        <v>0</v>
      </c>
      <c r="M60" s="21">
        <v>0</v>
      </c>
      <c r="N60" s="18">
        <v>0</v>
      </c>
      <c r="O60" s="17">
        <v>0</v>
      </c>
      <c r="P60" s="17">
        <v>11030</v>
      </c>
      <c r="Q60" s="17">
        <v>38075</v>
      </c>
      <c r="R60" s="17">
        <v>56595</v>
      </c>
      <c r="S60" s="17">
        <v>8701</v>
      </c>
      <c r="T60" s="17">
        <v>16</v>
      </c>
      <c r="U60" s="17">
        <v>33</v>
      </c>
      <c r="V60" s="17">
        <v>52</v>
      </c>
      <c r="W60" s="17">
        <v>13</v>
      </c>
      <c r="X60" s="26">
        <v>0.0014505893019039</v>
      </c>
      <c r="Y60" s="26">
        <v>0.000866710439921208</v>
      </c>
      <c r="Z60" s="26">
        <v>0.000918809082074388</v>
      </c>
      <c r="AA60" s="26">
        <v>0.00149408114009884</v>
      </c>
      <c r="AB60" s="17">
        <v>14.37</v>
      </c>
      <c r="AC60" s="17">
        <v>77.48</v>
      </c>
      <c r="AD60" s="17">
        <v>97.16</v>
      </c>
      <c r="AE60" s="17">
        <v>9.11</v>
      </c>
      <c r="AF60" s="26">
        <v>0.0213699045715535</v>
      </c>
      <c r="AG60" s="26">
        <v>0.0640122247817198</v>
      </c>
      <c r="AH60" s="26">
        <v>0.722442563734216</v>
      </c>
      <c r="AI60" s="26">
        <v>0.0406429709074848</v>
      </c>
      <c r="AJ60" s="17">
        <v>93</v>
      </c>
      <c r="AK60" s="17">
        <v>193</v>
      </c>
      <c r="AL60" s="17">
        <v>197</v>
      </c>
      <c r="AM60" s="17">
        <v>25</v>
      </c>
      <c r="AN60" s="26">
        <v>0.161290322580645</v>
      </c>
      <c r="AO60" s="26">
        <v>0.139896373056995</v>
      </c>
      <c r="AP60" s="26">
        <v>0.0152284263959391</v>
      </c>
      <c r="AQ60" s="26">
        <v>0.2</v>
      </c>
      <c r="AR60" s="31">
        <v>2.14285714285714</v>
      </c>
      <c r="AS60" s="31">
        <v>128.571428571429</v>
      </c>
      <c r="AT60" s="31">
        <v>-128.571428571429</v>
      </c>
      <c r="AU60" s="18">
        <v>0</v>
      </c>
      <c r="AV60" s="32">
        <v>43325</v>
      </c>
    </row>
    <row r="61" spans="1:48">
      <c r="A61" s="16" t="s">
        <v>202</v>
      </c>
      <c r="B61" s="17" t="s">
        <v>70</v>
      </c>
      <c r="C61" s="17" t="s">
        <v>71</v>
      </c>
      <c r="D61" s="18">
        <v>2</v>
      </c>
      <c r="E61" s="18">
        <v>4</v>
      </c>
      <c r="F61" s="18">
        <v>0</v>
      </c>
      <c r="G61" s="18">
        <v>2</v>
      </c>
      <c r="H61" s="18">
        <v>43</v>
      </c>
      <c r="I61" s="18">
        <v>12</v>
      </c>
      <c r="J61" s="18">
        <v>0</v>
      </c>
      <c r="K61" s="18">
        <v>0</v>
      </c>
      <c r="L61" s="18">
        <v>0</v>
      </c>
      <c r="M61" s="21">
        <v>12</v>
      </c>
      <c r="N61" s="18">
        <v>1</v>
      </c>
      <c r="O61" s="17">
        <v>0</v>
      </c>
      <c r="P61" s="17">
        <v>625</v>
      </c>
      <c r="Q61" s="17">
        <v>1655</v>
      </c>
      <c r="R61" s="17">
        <v>7697</v>
      </c>
      <c r="S61" s="17">
        <v>1574</v>
      </c>
      <c r="T61" s="17">
        <v>3</v>
      </c>
      <c r="U61" s="17">
        <v>8</v>
      </c>
      <c r="V61" s="17">
        <v>7</v>
      </c>
      <c r="W61" s="17">
        <v>3</v>
      </c>
      <c r="X61" s="26">
        <v>0.0048</v>
      </c>
      <c r="Y61" s="26">
        <v>0.00483383685800604</v>
      </c>
      <c r="Z61" s="26">
        <v>0.000909445238404573</v>
      </c>
      <c r="AA61" s="26">
        <v>0.00190597204574333</v>
      </c>
      <c r="AB61" s="17">
        <v>1.55</v>
      </c>
      <c r="AC61" s="17">
        <v>7.13</v>
      </c>
      <c r="AD61" s="17">
        <v>7.26</v>
      </c>
      <c r="AE61" s="17">
        <v>2.03</v>
      </c>
      <c r="AF61" s="26">
        <v>0.0180232558139535</v>
      </c>
      <c r="AG61" s="26">
        <v>0.041453488372093</v>
      </c>
      <c r="AH61" s="26" t="s">
        <v>203</v>
      </c>
      <c r="AI61" s="26">
        <v>0.0236046511627907</v>
      </c>
      <c r="AJ61" s="17">
        <v>52</v>
      </c>
      <c r="AK61" s="17">
        <v>47</v>
      </c>
      <c r="AL61" s="17">
        <v>29</v>
      </c>
      <c r="AM61" s="17">
        <v>25</v>
      </c>
      <c r="AN61" s="26">
        <v>0.0384615384615385</v>
      </c>
      <c r="AO61" s="26">
        <v>0.0851063829787234</v>
      </c>
      <c r="AP61" s="26">
        <v>0</v>
      </c>
      <c r="AQ61" s="26">
        <v>0.08</v>
      </c>
      <c r="AR61" s="31">
        <v>0.285714285714286</v>
      </c>
      <c r="AS61" s="31">
        <v>17.1428571428571</v>
      </c>
      <c r="AT61" s="31">
        <v>-5.14285714285714</v>
      </c>
      <c r="AU61" s="18">
        <v>42</v>
      </c>
      <c r="AV61" s="32">
        <v>43367</v>
      </c>
    </row>
    <row r="62" spans="1:48">
      <c r="A62" s="16" t="s">
        <v>204</v>
      </c>
      <c r="B62" s="17" t="s">
        <v>205</v>
      </c>
      <c r="C62" s="17" t="s">
        <v>206</v>
      </c>
      <c r="D62" s="18">
        <v>5</v>
      </c>
      <c r="E62" s="18">
        <v>1</v>
      </c>
      <c r="F62" s="18">
        <v>10</v>
      </c>
      <c r="G62" s="18">
        <v>7</v>
      </c>
      <c r="H62" s="18">
        <v>44.4178260869565</v>
      </c>
      <c r="I62" s="18">
        <v>54</v>
      </c>
      <c r="J62" s="18">
        <v>0</v>
      </c>
      <c r="K62" s="18">
        <v>0</v>
      </c>
      <c r="L62" s="18">
        <v>0</v>
      </c>
      <c r="M62" s="21">
        <v>54</v>
      </c>
      <c r="N62" s="18">
        <v>1</v>
      </c>
      <c r="O62" s="17">
        <v>55</v>
      </c>
      <c r="P62" s="17">
        <v>1963</v>
      </c>
      <c r="Q62" s="17">
        <v>3083</v>
      </c>
      <c r="R62" s="17">
        <v>17229</v>
      </c>
      <c r="S62" s="17">
        <v>2943</v>
      </c>
      <c r="T62" s="17">
        <v>4</v>
      </c>
      <c r="U62" s="17">
        <v>9</v>
      </c>
      <c r="V62" s="17">
        <v>17</v>
      </c>
      <c r="W62" s="17">
        <v>2</v>
      </c>
      <c r="X62" s="26">
        <v>0.00203769740193581</v>
      </c>
      <c r="Y62" s="26">
        <v>0.00291923451183912</v>
      </c>
      <c r="Z62" s="26">
        <v>0.00098670845667189</v>
      </c>
      <c r="AA62" s="26">
        <v>0.000679578661230037</v>
      </c>
      <c r="AB62" s="17">
        <v>3.74</v>
      </c>
      <c r="AC62" s="17">
        <v>7.89</v>
      </c>
      <c r="AD62" s="17">
        <v>17.4</v>
      </c>
      <c r="AE62" s="17">
        <v>0.74</v>
      </c>
      <c r="AF62" s="26">
        <v>0.0168400857470072</v>
      </c>
      <c r="AG62" s="26">
        <v>0.177631385753859</v>
      </c>
      <c r="AH62" s="26">
        <v>0.0391734614970488</v>
      </c>
      <c r="AI62" s="26">
        <v>0.00237999683972218</v>
      </c>
      <c r="AJ62" s="17">
        <v>43</v>
      </c>
      <c r="AK62" s="17">
        <v>34</v>
      </c>
      <c r="AL62" s="17">
        <v>32</v>
      </c>
      <c r="AM62" s="17">
        <v>45</v>
      </c>
      <c r="AN62" s="26">
        <v>0.116279069767442</v>
      </c>
      <c r="AO62" s="26">
        <v>0.0294117647058824</v>
      </c>
      <c r="AP62" s="26">
        <v>0.3125</v>
      </c>
      <c r="AQ62" s="26">
        <v>0.155555555555556</v>
      </c>
      <c r="AR62" s="31">
        <v>0.714285714285714</v>
      </c>
      <c r="AS62" s="31">
        <v>42.8571428571429</v>
      </c>
      <c r="AT62" s="31">
        <v>11.1428571428571</v>
      </c>
      <c r="AU62" s="18">
        <v>75</v>
      </c>
      <c r="AV62" s="32">
        <v>43400</v>
      </c>
    </row>
    <row r="63" spans="1:48">
      <c r="A63" s="16" t="s">
        <v>207</v>
      </c>
      <c r="B63" s="17" t="s">
        <v>97</v>
      </c>
      <c r="C63" s="17" t="s">
        <v>98</v>
      </c>
      <c r="D63" s="18">
        <v>22</v>
      </c>
      <c r="E63" s="18">
        <v>9</v>
      </c>
      <c r="F63" s="18">
        <v>4</v>
      </c>
      <c r="G63" s="18">
        <v>10</v>
      </c>
      <c r="H63" s="18">
        <v>16.8382222222222</v>
      </c>
      <c r="I63" s="18">
        <v>0</v>
      </c>
      <c r="J63" s="18">
        <v>0</v>
      </c>
      <c r="K63" s="18">
        <v>0</v>
      </c>
      <c r="L63" s="18">
        <v>0</v>
      </c>
      <c r="M63" s="21">
        <v>0</v>
      </c>
      <c r="N63" s="18">
        <v>0</v>
      </c>
      <c r="O63" s="17">
        <v>0</v>
      </c>
      <c r="P63" s="17">
        <v>10084</v>
      </c>
      <c r="Q63" s="17">
        <v>7801</v>
      </c>
      <c r="R63" s="17">
        <v>34105</v>
      </c>
      <c r="S63" s="17">
        <v>75765</v>
      </c>
      <c r="T63" s="17">
        <v>22</v>
      </c>
      <c r="U63" s="17">
        <v>24</v>
      </c>
      <c r="V63" s="17">
        <v>62</v>
      </c>
      <c r="W63" s="17">
        <v>142</v>
      </c>
      <c r="X63" s="26">
        <v>0.00218167393891313</v>
      </c>
      <c r="Y63" s="26">
        <v>0.00307652865017305</v>
      </c>
      <c r="Z63" s="26">
        <v>0.00181791526169183</v>
      </c>
      <c r="AA63" s="26">
        <v>0.00187421632679997</v>
      </c>
      <c r="AB63" s="17">
        <v>23.3</v>
      </c>
      <c r="AC63" s="17">
        <v>26.44</v>
      </c>
      <c r="AD63" s="17">
        <v>94.73</v>
      </c>
      <c r="AE63" s="17">
        <v>207.12</v>
      </c>
      <c r="AF63" s="26">
        <v>0.0628980242161893</v>
      </c>
      <c r="AG63" s="26">
        <v>0.174470780763343</v>
      </c>
      <c r="AH63" s="26">
        <v>1.40647270759648</v>
      </c>
      <c r="AI63" s="26">
        <v>1.23005859684316</v>
      </c>
      <c r="AJ63" s="17">
        <v>143</v>
      </c>
      <c r="AK63" s="17">
        <v>124</v>
      </c>
      <c r="AL63" s="17">
        <v>101</v>
      </c>
      <c r="AM63" s="17">
        <v>126</v>
      </c>
      <c r="AN63" s="26">
        <v>0.153846153846154</v>
      </c>
      <c r="AO63" s="26">
        <v>0.0725806451612903</v>
      </c>
      <c r="AP63" s="26">
        <v>0.0396039603960396</v>
      </c>
      <c r="AQ63" s="26">
        <v>0.0793650793650794</v>
      </c>
      <c r="AR63" s="31">
        <v>3.14285714285714</v>
      </c>
      <c r="AS63" s="31">
        <v>188.571428571429</v>
      </c>
      <c r="AT63" s="31">
        <v>-188.571428571429</v>
      </c>
      <c r="AU63" s="18">
        <v>0</v>
      </c>
      <c r="AV63" s="32">
        <v>43325</v>
      </c>
    </row>
    <row r="64" spans="1:48">
      <c r="A64" s="16" t="s">
        <v>208</v>
      </c>
      <c r="B64" s="17" t="s">
        <v>65</v>
      </c>
      <c r="C64" s="17" t="s">
        <v>66</v>
      </c>
      <c r="D64" s="18">
        <v>2</v>
      </c>
      <c r="E64" s="18">
        <v>2</v>
      </c>
      <c r="F64" s="18">
        <v>4</v>
      </c>
      <c r="G64" s="18">
        <v>1</v>
      </c>
      <c r="H64" s="18">
        <v>10.6444444444444</v>
      </c>
      <c r="I64" s="18">
        <v>90</v>
      </c>
      <c r="J64" s="18">
        <v>0</v>
      </c>
      <c r="K64" s="18">
        <v>0</v>
      </c>
      <c r="L64" s="18">
        <v>2</v>
      </c>
      <c r="M64" s="21">
        <v>92</v>
      </c>
      <c r="N64" s="18">
        <v>0</v>
      </c>
      <c r="O64" s="17">
        <v>98</v>
      </c>
      <c r="P64" s="17">
        <v>212</v>
      </c>
      <c r="Q64" s="17">
        <v>1285</v>
      </c>
      <c r="R64" s="17">
        <v>958</v>
      </c>
      <c r="S64" s="17">
        <v>433</v>
      </c>
      <c r="T64" s="17">
        <v>0</v>
      </c>
      <c r="U64" s="17">
        <v>3</v>
      </c>
      <c r="V64" s="17">
        <v>2</v>
      </c>
      <c r="W64" s="17">
        <v>3</v>
      </c>
      <c r="X64" s="26">
        <v>0</v>
      </c>
      <c r="Y64" s="26">
        <v>0.00233463035019455</v>
      </c>
      <c r="Z64" s="26">
        <v>0.00208768267223382</v>
      </c>
      <c r="AA64" s="26">
        <v>0.0069284064665127</v>
      </c>
      <c r="AB64" s="17">
        <v>0</v>
      </c>
      <c r="AC64" s="17">
        <v>7.62</v>
      </c>
      <c r="AD64" s="17">
        <v>3.8</v>
      </c>
      <c r="AE64" s="17">
        <v>3.74</v>
      </c>
      <c r="AF64" s="26">
        <v>0</v>
      </c>
      <c r="AG64" s="26">
        <v>0.35793319415449</v>
      </c>
      <c r="AH64" s="26">
        <v>0.0892484342379962</v>
      </c>
      <c r="AI64" s="26">
        <v>0.351356993736954</v>
      </c>
      <c r="AJ64" s="17">
        <v>47</v>
      </c>
      <c r="AK64" s="17">
        <v>31</v>
      </c>
      <c r="AL64" s="17">
        <v>28</v>
      </c>
      <c r="AM64" s="17">
        <v>19</v>
      </c>
      <c r="AN64" s="26">
        <v>0.0425531914893617</v>
      </c>
      <c r="AO64" s="26">
        <v>0.0645161290322581</v>
      </c>
      <c r="AP64" s="26">
        <v>0.142857142857143</v>
      </c>
      <c r="AQ64" s="26">
        <v>0.0526315789473684</v>
      </c>
      <c r="AR64" s="31">
        <v>0.285714285714286</v>
      </c>
      <c r="AS64" s="31">
        <v>17.1428571428571</v>
      </c>
      <c r="AT64" s="31">
        <v>74.8571428571429</v>
      </c>
      <c r="AU64" s="18">
        <v>322</v>
      </c>
      <c r="AV64" s="32">
        <v>43647</v>
      </c>
    </row>
    <row r="65" spans="1:48">
      <c r="A65" s="16" t="s">
        <v>209</v>
      </c>
      <c r="B65" s="17" t="s">
        <v>210</v>
      </c>
      <c r="C65" s="17" t="s">
        <v>211</v>
      </c>
      <c r="D65" s="18">
        <v>2</v>
      </c>
      <c r="E65" s="18">
        <v>6</v>
      </c>
      <c r="F65" s="18">
        <v>1</v>
      </c>
      <c r="G65" s="18">
        <v>4</v>
      </c>
      <c r="H65" s="18">
        <v>42.49</v>
      </c>
      <c r="I65" s="18">
        <v>20</v>
      </c>
      <c r="J65" s="18">
        <v>0</v>
      </c>
      <c r="K65" s="18">
        <v>0</v>
      </c>
      <c r="L65" s="18">
        <v>2</v>
      </c>
      <c r="M65" s="21">
        <v>22</v>
      </c>
      <c r="N65" s="18">
        <v>0</v>
      </c>
      <c r="O65" s="17">
        <v>23</v>
      </c>
      <c r="P65" s="17">
        <v>44</v>
      </c>
      <c r="Q65" s="17">
        <v>195</v>
      </c>
      <c r="R65" s="17">
        <v>223</v>
      </c>
      <c r="S65" s="17">
        <v>256</v>
      </c>
      <c r="T65" s="17">
        <v>0</v>
      </c>
      <c r="U65" s="17">
        <v>0</v>
      </c>
      <c r="V65" s="17">
        <v>1</v>
      </c>
      <c r="W65" s="17">
        <v>0</v>
      </c>
      <c r="X65" s="26">
        <v>0</v>
      </c>
      <c r="Y65" s="26">
        <v>0</v>
      </c>
      <c r="Z65" s="26">
        <v>0.00448430493273543</v>
      </c>
      <c r="AA65" s="26">
        <v>0</v>
      </c>
      <c r="AB65" s="17">
        <v>0</v>
      </c>
      <c r="AC65" s="17">
        <v>0</v>
      </c>
      <c r="AD65" s="17">
        <v>0.75</v>
      </c>
      <c r="AE65" s="17">
        <v>0</v>
      </c>
      <c r="AF65" s="26">
        <v>0</v>
      </c>
      <c r="AG65" s="26">
        <v>0</v>
      </c>
      <c r="AH65" s="26">
        <v>0.0176512120498941</v>
      </c>
      <c r="AI65" s="26">
        <v>0</v>
      </c>
      <c r="AJ65" s="17">
        <v>67</v>
      </c>
      <c r="AK65" s="17">
        <v>57</v>
      </c>
      <c r="AL65" s="17">
        <v>40</v>
      </c>
      <c r="AM65" s="17">
        <v>41</v>
      </c>
      <c r="AN65" s="26">
        <v>0.0298507462686567</v>
      </c>
      <c r="AO65" s="26">
        <v>0.105263157894737</v>
      </c>
      <c r="AP65" s="26">
        <v>0.025</v>
      </c>
      <c r="AQ65" s="26">
        <v>0.0975609756097561</v>
      </c>
      <c r="AR65" s="31">
        <v>0.285714285714286</v>
      </c>
      <c r="AS65" s="31">
        <v>17.1428571428571</v>
      </c>
      <c r="AT65" s="31">
        <v>4.85714285714286</v>
      </c>
      <c r="AU65" s="18">
        <v>77</v>
      </c>
      <c r="AV65" s="32">
        <v>43402</v>
      </c>
    </row>
    <row r="66" spans="1:48">
      <c r="A66" s="16" t="s">
        <v>212</v>
      </c>
      <c r="B66" s="17" t="s">
        <v>126</v>
      </c>
      <c r="C66" s="17">
        <v>0</v>
      </c>
      <c r="D66" s="18">
        <v>0</v>
      </c>
      <c r="E66" s="18">
        <v>0</v>
      </c>
      <c r="F66" s="18">
        <v>0</v>
      </c>
      <c r="G66" s="18">
        <v>0</v>
      </c>
      <c r="H66" s="18">
        <v>0</v>
      </c>
      <c r="I66" s="18">
        <v>0</v>
      </c>
      <c r="J66" s="18">
        <v>0</v>
      </c>
      <c r="K66" s="18">
        <v>0</v>
      </c>
      <c r="L66" s="18">
        <v>0</v>
      </c>
      <c r="M66" s="21">
        <v>0</v>
      </c>
      <c r="N66" s="18">
        <v>1</v>
      </c>
      <c r="O66" s="17">
        <v>0</v>
      </c>
      <c r="P66" s="17">
        <v>0</v>
      </c>
      <c r="Q66" s="17">
        <v>0</v>
      </c>
      <c r="R66" s="17">
        <v>0</v>
      </c>
      <c r="S66" s="17">
        <v>0</v>
      </c>
      <c r="T66" s="17" t="s">
        <v>60</v>
      </c>
      <c r="U66" s="17" t="s">
        <v>60</v>
      </c>
      <c r="V66" s="17" t="s">
        <v>60</v>
      </c>
      <c r="W66" s="17" t="s">
        <v>60</v>
      </c>
      <c r="X66" s="26" t="s">
        <v>60</v>
      </c>
      <c r="Y66" s="26" t="s">
        <v>60</v>
      </c>
      <c r="Z66" s="26" t="s">
        <v>60</v>
      </c>
      <c r="AA66" s="26" t="s">
        <v>60</v>
      </c>
      <c r="AB66" s="17" t="s">
        <v>60</v>
      </c>
      <c r="AC66" s="17" t="s">
        <v>60</v>
      </c>
      <c r="AD66" s="17" t="s">
        <v>60</v>
      </c>
      <c r="AE66" s="17" t="s">
        <v>60</v>
      </c>
      <c r="AF66" s="26" t="s">
        <v>61</v>
      </c>
      <c r="AG66" s="26" t="s">
        <v>61</v>
      </c>
      <c r="AH66" s="26" t="s">
        <v>61</v>
      </c>
      <c r="AI66" s="26" t="s">
        <v>61</v>
      </c>
      <c r="AJ66" s="17">
        <v>0</v>
      </c>
      <c r="AK66" s="17">
        <v>0</v>
      </c>
      <c r="AL66" s="17">
        <v>31</v>
      </c>
      <c r="AM66" s="17">
        <v>51</v>
      </c>
      <c r="AN66" s="26" t="s">
        <v>60</v>
      </c>
      <c r="AO66" s="26" t="s">
        <v>60</v>
      </c>
      <c r="AP66" s="26">
        <v>0</v>
      </c>
      <c r="AQ66" s="26">
        <v>0</v>
      </c>
      <c r="AR66" s="31">
        <v>0</v>
      </c>
      <c r="AS66" s="31">
        <v>0</v>
      </c>
      <c r="AT66" s="31">
        <v>0</v>
      </c>
      <c r="AU66" s="18" t="s">
        <v>62</v>
      </c>
      <c r="AV66" s="32" t="s">
        <v>63</v>
      </c>
    </row>
    <row r="67" spans="1:48">
      <c r="A67" s="16" t="s">
        <v>213</v>
      </c>
      <c r="B67" s="17" t="s">
        <v>214</v>
      </c>
      <c r="C67" s="17" t="s">
        <v>215</v>
      </c>
      <c r="D67" s="18">
        <v>0</v>
      </c>
      <c r="E67" s="18">
        <v>0</v>
      </c>
      <c r="F67" s="18">
        <v>4</v>
      </c>
      <c r="G67" s="18">
        <v>36</v>
      </c>
      <c r="H67" s="18">
        <v>14.99</v>
      </c>
      <c r="I67" s="18">
        <v>0</v>
      </c>
      <c r="J67" s="18">
        <v>0</v>
      </c>
      <c r="K67" s="18">
        <v>0</v>
      </c>
      <c r="L67" s="18">
        <v>0</v>
      </c>
      <c r="M67" s="21">
        <v>0</v>
      </c>
      <c r="N67" s="18">
        <v>0</v>
      </c>
      <c r="O67" s="17">
        <v>0</v>
      </c>
      <c r="P67" s="17">
        <v>0</v>
      </c>
      <c r="Q67" s="17">
        <v>1717</v>
      </c>
      <c r="R67" s="17">
        <v>19027</v>
      </c>
      <c r="S67" s="17">
        <v>3236</v>
      </c>
      <c r="T67" s="17">
        <v>0</v>
      </c>
      <c r="U67" s="17">
        <v>3</v>
      </c>
      <c r="V67" s="17">
        <v>20</v>
      </c>
      <c r="W67" s="17">
        <v>18</v>
      </c>
      <c r="X67" s="26" t="s">
        <v>60</v>
      </c>
      <c r="Y67" s="26">
        <v>0.0017472335468841</v>
      </c>
      <c r="Z67" s="26">
        <v>0.00105113785672991</v>
      </c>
      <c r="AA67" s="26">
        <v>0.00556242274412855</v>
      </c>
      <c r="AB67" s="17">
        <v>0</v>
      </c>
      <c r="AC67" s="17">
        <v>5.81</v>
      </c>
      <c r="AD67" s="17">
        <v>32.15</v>
      </c>
      <c r="AE67" s="17">
        <v>13.82</v>
      </c>
      <c r="AF67" s="26" t="s">
        <v>60</v>
      </c>
      <c r="AG67" s="26" t="s">
        <v>216</v>
      </c>
      <c r="AH67" s="26">
        <v>0.536190793862575</v>
      </c>
      <c r="AI67" s="26">
        <v>0.0256096657030613</v>
      </c>
      <c r="AJ67" s="17">
        <v>0</v>
      </c>
      <c r="AK67" s="17">
        <v>0</v>
      </c>
      <c r="AL67" s="17">
        <v>12</v>
      </c>
      <c r="AM67" s="17">
        <v>54</v>
      </c>
      <c r="AN67" s="26" t="s">
        <v>60</v>
      </c>
      <c r="AO67" s="26" t="s">
        <v>60</v>
      </c>
      <c r="AP67" s="26">
        <v>0.333333333333333</v>
      </c>
      <c r="AQ67" s="26">
        <v>0.666666666666667</v>
      </c>
      <c r="AR67" s="31">
        <v>0</v>
      </c>
      <c r="AS67" s="31">
        <v>0</v>
      </c>
      <c r="AT67" s="31">
        <v>0</v>
      </c>
      <c r="AU67" s="18" t="s">
        <v>62</v>
      </c>
      <c r="AV67" s="32" t="s">
        <v>63</v>
      </c>
    </row>
    <row r="68" spans="1:48">
      <c r="A68" s="16" t="s">
        <v>217</v>
      </c>
      <c r="B68" s="17" t="s">
        <v>179</v>
      </c>
      <c r="C68" s="17" t="s">
        <v>180</v>
      </c>
      <c r="D68" s="18">
        <v>0</v>
      </c>
      <c r="E68" s="18">
        <v>0</v>
      </c>
      <c r="F68" s="18">
        <v>11</v>
      </c>
      <c r="G68" s="18">
        <v>12</v>
      </c>
      <c r="H68" s="18">
        <v>20.99</v>
      </c>
      <c r="I68" s="18">
        <v>0</v>
      </c>
      <c r="J68" s="18">
        <v>0</v>
      </c>
      <c r="K68" s="18">
        <v>0</v>
      </c>
      <c r="L68" s="18">
        <v>0</v>
      </c>
      <c r="M68" s="21">
        <v>0</v>
      </c>
      <c r="N68" s="18">
        <v>0</v>
      </c>
      <c r="O68" s="17">
        <v>0</v>
      </c>
      <c r="P68" s="17">
        <v>0</v>
      </c>
      <c r="Q68" s="17">
        <v>5345</v>
      </c>
      <c r="R68" s="17">
        <v>19161</v>
      </c>
      <c r="S68" s="17">
        <v>4401</v>
      </c>
      <c r="T68" s="17">
        <v>0</v>
      </c>
      <c r="U68" s="17">
        <v>7</v>
      </c>
      <c r="V68" s="17">
        <v>14</v>
      </c>
      <c r="W68" s="17">
        <v>15</v>
      </c>
      <c r="X68" s="26" t="s">
        <v>60</v>
      </c>
      <c r="Y68" s="26">
        <v>0.00130963517305893</v>
      </c>
      <c r="Z68" s="26">
        <v>0.000730650801106414</v>
      </c>
      <c r="AA68" s="26">
        <v>0.00340831629175187</v>
      </c>
      <c r="AB68" s="17">
        <v>0</v>
      </c>
      <c r="AC68" s="17">
        <v>12.92</v>
      </c>
      <c r="AD68" s="17">
        <v>15.11</v>
      </c>
      <c r="AE68" s="17">
        <v>7.05</v>
      </c>
      <c r="AF68" s="26" t="s">
        <v>60</v>
      </c>
      <c r="AG68" s="26" t="s">
        <v>218</v>
      </c>
      <c r="AH68" s="26">
        <v>0.0654424184676686</v>
      </c>
      <c r="AI68" s="26">
        <v>0.027989518818485</v>
      </c>
      <c r="AJ68" s="17">
        <v>0</v>
      </c>
      <c r="AK68" s="17">
        <v>0</v>
      </c>
      <c r="AL68" s="17">
        <v>20</v>
      </c>
      <c r="AM68" s="17">
        <v>42</v>
      </c>
      <c r="AN68" s="26" t="s">
        <v>60</v>
      </c>
      <c r="AO68" s="26" t="s">
        <v>60</v>
      </c>
      <c r="AP68" s="26">
        <v>0.55</v>
      </c>
      <c r="AQ68" s="26">
        <v>0.285714285714286</v>
      </c>
      <c r="AR68" s="31">
        <v>0</v>
      </c>
      <c r="AS68" s="31">
        <v>0</v>
      </c>
      <c r="AT68" s="31">
        <v>0</v>
      </c>
      <c r="AU68" s="18" t="s">
        <v>62</v>
      </c>
      <c r="AV68" s="32" t="s">
        <v>63</v>
      </c>
    </row>
    <row r="69" spans="1:48">
      <c r="A69" s="16" t="s">
        <v>219</v>
      </c>
      <c r="B69" s="17" t="s">
        <v>220</v>
      </c>
      <c r="C69" s="17" t="s">
        <v>221</v>
      </c>
      <c r="D69" s="18">
        <v>11</v>
      </c>
      <c r="E69" s="18">
        <v>18</v>
      </c>
      <c r="F69" s="18">
        <v>23</v>
      </c>
      <c r="G69" s="18">
        <v>21</v>
      </c>
      <c r="H69" s="18">
        <v>13.59</v>
      </c>
      <c r="I69" s="18">
        <v>74</v>
      </c>
      <c r="J69" s="18">
        <v>0</v>
      </c>
      <c r="K69" s="18">
        <v>0</v>
      </c>
      <c r="L69" s="18">
        <v>1</v>
      </c>
      <c r="M69" s="21">
        <v>75</v>
      </c>
      <c r="N69" s="18">
        <v>5</v>
      </c>
      <c r="O69" s="17">
        <v>81</v>
      </c>
      <c r="P69" s="17">
        <v>534</v>
      </c>
      <c r="Q69" s="17">
        <v>2596</v>
      </c>
      <c r="R69" s="17">
        <v>3108</v>
      </c>
      <c r="S69" s="17">
        <v>621</v>
      </c>
      <c r="T69" s="17">
        <v>0</v>
      </c>
      <c r="U69" s="17">
        <v>4</v>
      </c>
      <c r="V69" s="17">
        <v>3</v>
      </c>
      <c r="W69" s="17">
        <v>7</v>
      </c>
      <c r="X69" s="26">
        <v>0</v>
      </c>
      <c r="Y69" s="26">
        <v>0.00154083204930663</v>
      </c>
      <c r="Z69" s="26">
        <v>0.000965250965250965</v>
      </c>
      <c r="AA69" s="26">
        <v>0.0112721417069243</v>
      </c>
      <c r="AB69" s="17">
        <v>0</v>
      </c>
      <c r="AC69" s="17">
        <v>6.92</v>
      </c>
      <c r="AD69" s="17">
        <v>4.69</v>
      </c>
      <c r="AE69" s="17">
        <v>4.15</v>
      </c>
      <c r="AF69" s="26">
        <v>0</v>
      </c>
      <c r="AG69" s="26">
        <v>0.0282887744256398</v>
      </c>
      <c r="AH69" s="26">
        <v>0.0150046389608728</v>
      </c>
      <c r="AI69" s="26">
        <v>0.0145415046077298</v>
      </c>
      <c r="AJ69" s="17">
        <v>98</v>
      </c>
      <c r="AK69" s="17">
        <v>68</v>
      </c>
      <c r="AL69" s="17">
        <v>48</v>
      </c>
      <c r="AM69" s="17">
        <v>55</v>
      </c>
      <c r="AN69" s="26">
        <v>0.112244897959184</v>
      </c>
      <c r="AO69" s="26">
        <v>0.264705882352941</v>
      </c>
      <c r="AP69" s="26">
        <v>0.479166666666667</v>
      </c>
      <c r="AQ69" s="26">
        <v>0.381818181818182</v>
      </c>
      <c r="AR69" s="31">
        <v>1.57142857142857</v>
      </c>
      <c r="AS69" s="31">
        <v>94.2857142857143</v>
      </c>
      <c r="AT69" s="31">
        <v>-19.2857142857143</v>
      </c>
      <c r="AU69" s="18">
        <v>47</v>
      </c>
      <c r="AV69" s="32">
        <v>43372</v>
      </c>
    </row>
    <row r="70" spans="1:48">
      <c r="A70" s="16" t="s">
        <v>222</v>
      </c>
      <c r="B70" s="17" t="s">
        <v>107</v>
      </c>
      <c r="C70" s="17">
        <v>0</v>
      </c>
      <c r="D70" s="18">
        <v>0</v>
      </c>
      <c r="E70" s="18">
        <v>0</v>
      </c>
      <c r="F70" s="18">
        <v>0</v>
      </c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21">
        <v>0</v>
      </c>
      <c r="N70" s="18">
        <v>0</v>
      </c>
      <c r="O70" s="17">
        <v>0</v>
      </c>
      <c r="P70" s="17">
        <v>0</v>
      </c>
      <c r="Q70" s="17">
        <v>0</v>
      </c>
      <c r="R70" s="17">
        <v>0</v>
      </c>
      <c r="S70" s="17">
        <v>0</v>
      </c>
      <c r="T70" s="17" t="s">
        <v>60</v>
      </c>
      <c r="U70" s="17" t="s">
        <v>60</v>
      </c>
      <c r="V70" s="17" t="s">
        <v>60</v>
      </c>
      <c r="W70" s="17" t="s">
        <v>60</v>
      </c>
      <c r="X70" s="26" t="s">
        <v>60</v>
      </c>
      <c r="Y70" s="26" t="s">
        <v>60</v>
      </c>
      <c r="Z70" s="26" t="s">
        <v>60</v>
      </c>
      <c r="AA70" s="26" t="s">
        <v>60</v>
      </c>
      <c r="AB70" s="17" t="s">
        <v>60</v>
      </c>
      <c r="AC70" s="17" t="s">
        <v>60</v>
      </c>
      <c r="AD70" s="17" t="s">
        <v>60</v>
      </c>
      <c r="AE70" s="17" t="s">
        <v>60</v>
      </c>
      <c r="AF70" s="26" t="s">
        <v>61</v>
      </c>
      <c r="AG70" s="26" t="s">
        <v>61</v>
      </c>
      <c r="AH70" s="26" t="s">
        <v>61</v>
      </c>
      <c r="AI70" s="26" t="s">
        <v>61</v>
      </c>
      <c r="AJ70" s="17" t="s">
        <v>60</v>
      </c>
      <c r="AK70" s="17" t="s">
        <v>60</v>
      </c>
      <c r="AL70" s="17" t="s">
        <v>60</v>
      </c>
      <c r="AM70" s="17" t="s">
        <v>60</v>
      </c>
      <c r="AN70" s="26" t="s">
        <v>60</v>
      </c>
      <c r="AO70" s="26" t="s">
        <v>60</v>
      </c>
      <c r="AP70" s="26" t="s">
        <v>60</v>
      </c>
      <c r="AQ70" s="26" t="s">
        <v>60</v>
      </c>
      <c r="AR70" s="31">
        <v>0</v>
      </c>
      <c r="AS70" s="31">
        <v>0</v>
      </c>
      <c r="AT70" s="31">
        <v>0</v>
      </c>
      <c r="AU70" s="18" t="s">
        <v>62</v>
      </c>
      <c r="AV70" s="32" t="s">
        <v>63</v>
      </c>
    </row>
    <row r="71" spans="1:48">
      <c r="A71" s="16" t="s">
        <v>223</v>
      </c>
      <c r="B71" s="17" t="s">
        <v>157</v>
      </c>
      <c r="C71" s="17">
        <v>0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1">
        <v>0</v>
      </c>
      <c r="N71" s="18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 t="s">
        <v>60</v>
      </c>
      <c r="U71" s="17" t="s">
        <v>60</v>
      </c>
      <c r="V71" s="17" t="s">
        <v>60</v>
      </c>
      <c r="W71" s="17" t="s">
        <v>60</v>
      </c>
      <c r="X71" s="26" t="s">
        <v>60</v>
      </c>
      <c r="Y71" s="26" t="s">
        <v>60</v>
      </c>
      <c r="Z71" s="26" t="s">
        <v>60</v>
      </c>
      <c r="AA71" s="26" t="s">
        <v>60</v>
      </c>
      <c r="AB71" s="17" t="s">
        <v>60</v>
      </c>
      <c r="AC71" s="17" t="s">
        <v>60</v>
      </c>
      <c r="AD71" s="17" t="s">
        <v>60</v>
      </c>
      <c r="AE71" s="17" t="s">
        <v>60</v>
      </c>
      <c r="AF71" s="26" t="s">
        <v>61</v>
      </c>
      <c r="AG71" s="26" t="s">
        <v>61</v>
      </c>
      <c r="AH71" s="26" t="s">
        <v>61</v>
      </c>
      <c r="AI71" s="26" t="s">
        <v>61</v>
      </c>
      <c r="AJ71" s="17">
        <v>0</v>
      </c>
      <c r="AK71" s="17">
        <v>33</v>
      </c>
      <c r="AL71" s="17">
        <v>118</v>
      </c>
      <c r="AM71" s="17">
        <v>104</v>
      </c>
      <c r="AN71" s="26" t="s">
        <v>60</v>
      </c>
      <c r="AO71" s="26">
        <v>0</v>
      </c>
      <c r="AP71" s="26">
        <v>0</v>
      </c>
      <c r="AQ71" s="26">
        <v>0</v>
      </c>
      <c r="AR71" s="31">
        <v>0</v>
      </c>
      <c r="AS71" s="31">
        <v>0</v>
      </c>
      <c r="AT71" s="31">
        <v>0</v>
      </c>
      <c r="AU71" s="18" t="s">
        <v>62</v>
      </c>
      <c r="AV71" s="32" t="s">
        <v>63</v>
      </c>
    </row>
    <row r="72" spans="1:48">
      <c r="A72" s="16" t="s">
        <v>224</v>
      </c>
      <c r="B72" s="17" t="s">
        <v>89</v>
      </c>
      <c r="C72" s="17">
        <v>0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0</v>
      </c>
      <c r="J72" s="18">
        <v>0</v>
      </c>
      <c r="K72" s="18">
        <v>0</v>
      </c>
      <c r="L72" s="18">
        <v>0</v>
      </c>
      <c r="M72" s="21">
        <v>0</v>
      </c>
      <c r="N72" s="18">
        <v>0</v>
      </c>
      <c r="O72" s="17">
        <v>0</v>
      </c>
      <c r="P72" s="17">
        <v>0</v>
      </c>
      <c r="Q72" s="17">
        <v>0</v>
      </c>
      <c r="R72" s="17">
        <v>0</v>
      </c>
      <c r="S72" s="17">
        <v>0</v>
      </c>
      <c r="T72" s="17" t="s">
        <v>60</v>
      </c>
      <c r="U72" s="17" t="s">
        <v>60</v>
      </c>
      <c r="V72" s="17" t="s">
        <v>60</v>
      </c>
      <c r="W72" s="17" t="s">
        <v>60</v>
      </c>
      <c r="X72" s="26" t="s">
        <v>60</v>
      </c>
      <c r="Y72" s="26" t="s">
        <v>60</v>
      </c>
      <c r="Z72" s="26" t="s">
        <v>60</v>
      </c>
      <c r="AA72" s="26" t="s">
        <v>60</v>
      </c>
      <c r="AB72" s="17" t="s">
        <v>60</v>
      </c>
      <c r="AC72" s="17" t="s">
        <v>60</v>
      </c>
      <c r="AD72" s="17" t="s">
        <v>60</v>
      </c>
      <c r="AE72" s="17" t="s">
        <v>60</v>
      </c>
      <c r="AF72" s="26" t="s">
        <v>61</v>
      </c>
      <c r="AG72" s="26" t="s">
        <v>61</v>
      </c>
      <c r="AH72" s="26" t="s">
        <v>61</v>
      </c>
      <c r="AI72" s="26" t="s">
        <v>61</v>
      </c>
      <c r="AJ72" s="17" t="s">
        <v>60</v>
      </c>
      <c r="AK72" s="17" t="s">
        <v>60</v>
      </c>
      <c r="AL72" s="17" t="s">
        <v>60</v>
      </c>
      <c r="AM72" s="17" t="s">
        <v>60</v>
      </c>
      <c r="AN72" s="26" t="s">
        <v>60</v>
      </c>
      <c r="AO72" s="26" t="s">
        <v>60</v>
      </c>
      <c r="AP72" s="26" t="s">
        <v>60</v>
      </c>
      <c r="AQ72" s="26" t="s">
        <v>60</v>
      </c>
      <c r="AR72" s="31">
        <v>0</v>
      </c>
      <c r="AS72" s="31">
        <v>0</v>
      </c>
      <c r="AT72" s="31">
        <v>0</v>
      </c>
      <c r="AU72" s="18" t="s">
        <v>62</v>
      </c>
      <c r="AV72" s="32" t="s">
        <v>63</v>
      </c>
    </row>
    <row r="73" spans="1:48">
      <c r="A73" s="16" t="s">
        <v>225</v>
      </c>
      <c r="B73" s="17" t="s">
        <v>200</v>
      </c>
      <c r="C73" s="17" t="s">
        <v>201</v>
      </c>
      <c r="D73" s="18">
        <v>0</v>
      </c>
      <c r="E73" s="18">
        <v>0</v>
      </c>
      <c r="F73" s="18">
        <v>0</v>
      </c>
      <c r="G73" s="18">
        <v>0</v>
      </c>
      <c r="H73" s="18">
        <v>0</v>
      </c>
      <c r="I73" s="18">
        <v>0</v>
      </c>
      <c r="J73" s="18">
        <v>0</v>
      </c>
      <c r="K73" s="18">
        <v>0</v>
      </c>
      <c r="L73" s="18">
        <v>0</v>
      </c>
      <c r="M73" s="21">
        <v>0</v>
      </c>
      <c r="N73" s="18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 t="s">
        <v>60</v>
      </c>
      <c r="U73" s="17" t="s">
        <v>60</v>
      </c>
      <c r="V73" s="17" t="s">
        <v>60</v>
      </c>
      <c r="W73" s="17" t="s">
        <v>60</v>
      </c>
      <c r="X73" s="26" t="s">
        <v>60</v>
      </c>
      <c r="Y73" s="26" t="s">
        <v>60</v>
      </c>
      <c r="Z73" s="26" t="s">
        <v>60</v>
      </c>
      <c r="AA73" s="26" t="s">
        <v>60</v>
      </c>
      <c r="AB73" s="17" t="s">
        <v>60</v>
      </c>
      <c r="AC73" s="17" t="s">
        <v>60</v>
      </c>
      <c r="AD73" s="17" t="s">
        <v>60</v>
      </c>
      <c r="AE73" s="17" t="s">
        <v>60</v>
      </c>
      <c r="AF73" s="26" t="s">
        <v>61</v>
      </c>
      <c r="AG73" s="26" t="s">
        <v>61</v>
      </c>
      <c r="AH73" s="26" t="s">
        <v>61</v>
      </c>
      <c r="AI73" s="26" t="s">
        <v>61</v>
      </c>
      <c r="AJ73" s="17">
        <v>93</v>
      </c>
      <c r="AK73" s="17">
        <v>193</v>
      </c>
      <c r="AL73" s="17">
        <v>197</v>
      </c>
      <c r="AM73" s="17">
        <v>25</v>
      </c>
      <c r="AN73" s="26">
        <v>0</v>
      </c>
      <c r="AO73" s="26">
        <v>0</v>
      </c>
      <c r="AP73" s="26">
        <v>0</v>
      </c>
      <c r="AQ73" s="26">
        <v>0</v>
      </c>
      <c r="AR73" s="31">
        <v>0</v>
      </c>
      <c r="AS73" s="31">
        <v>0</v>
      </c>
      <c r="AT73" s="31">
        <v>0</v>
      </c>
      <c r="AU73" s="18" t="s">
        <v>62</v>
      </c>
      <c r="AV73" s="32" t="s">
        <v>63</v>
      </c>
    </row>
    <row r="74" spans="1:48">
      <c r="A74" s="16" t="s">
        <v>226</v>
      </c>
      <c r="B74" s="17" t="s">
        <v>227</v>
      </c>
      <c r="C74" s="17">
        <v>0</v>
      </c>
      <c r="D74" s="18">
        <v>0</v>
      </c>
      <c r="E74" s="18">
        <v>0</v>
      </c>
      <c r="F74" s="18">
        <v>0</v>
      </c>
      <c r="G74" s="18">
        <v>0</v>
      </c>
      <c r="H74" s="18">
        <v>0</v>
      </c>
      <c r="I74" s="18">
        <v>0</v>
      </c>
      <c r="J74" s="18">
        <v>0</v>
      </c>
      <c r="K74" s="18">
        <v>0</v>
      </c>
      <c r="L74" s="18">
        <v>0</v>
      </c>
      <c r="M74" s="21">
        <v>0</v>
      </c>
      <c r="N74" s="18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 t="s">
        <v>60</v>
      </c>
      <c r="U74" s="17" t="s">
        <v>60</v>
      </c>
      <c r="V74" s="17" t="s">
        <v>60</v>
      </c>
      <c r="W74" s="17" t="s">
        <v>60</v>
      </c>
      <c r="X74" s="26" t="s">
        <v>60</v>
      </c>
      <c r="Y74" s="26" t="s">
        <v>60</v>
      </c>
      <c r="Z74" s="26" t="s">
        <v>60</v>
      </c>
      <c r="AA74" s="26" t="s">
        <v>60</v>
      </c>
      <c r="AB74" s="17" t="s">
        <v>60</v>
      </c>
      <c r="AC74" s="17" t="s">
        <v>60</v>
      </c>
      <c r="AD74" s="17" t="s">
        <v>60</v>
      </c>
      <c r="AE74" s="17" t="s">
        <v>60</v>
      </c>
      <c r="AF74" s="26" t="s">
        <v>61</v>
      </c>
      <c r="AG74" s="26" t="s">
        <v>61</v>
      </c>
      <c r="AH74" s="26" t="s">
        <v>61</v>
      </c>
      <c r="AI74" s="26" t="s">
        <v>61</v>
      </c>
      <c r="AJ74" s="17" t="s">
        <v>60</v>
      </c>
      <c r="AK74" s="17" t="s">
        <v>60</v>
      </c>
      <c r="AL74" s="17" t="s">
        <v>60</v>
      </c>
      <c r="AM74" s="17" t="s">
        <v>60</v>
      </c>
      <c r="AN74" s="26" t="s">
        <v>60</v>
      </c>
      <c r="AO74" s="26" t="s">
        <v>60</v>
      </c>
      <c r="AP74" s="26" t="s">
        <v>60</v>
      </c>
      <c r="AQ74" s="26" t="s">
        <v>60</v>
      </c>
      <c r="AR74" s="31">
        <v>0</v>
      </c>
      <c r="AS74" s="31">
        <v>0</v>
      </c>
      <c r="AT74" s="31">
        <v>0</v>
      </c>
      <c r="AU74" s="18" t="s">
        <v>62</v>
      </c>
      <c r="AV74" s="32" t="s">
        <v>63</v>
      </c>
    </row>
    <row r="75" spans="1:48">
      <c r="A75" s="16" t="s">
        <v>228</v>
      </c>
      <c r="B75" s="17" t="s">
        <v>229</v>
      </c>
      <c r="C75" s="17" t="s">
        <v>230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11</v>
      </c>
      <c r="J75" s="18">
        <v>0</v>
      </c>
      <c r="K75" s="18">
        <v>0</v>
      </c>
      <c r="L75" s="18">
        <v>0</v>
      </c>
      <c r="M75" s="21">
        <v>11</v>
      </c>
      <c r="N75" s="18">
        <v>0</v>
      </c>
      <c r="O75" s="17">
        <v>10</v>
      </c>
      <c r="P75" s="17">
        <v>0</v>
      </c>
      <c r="Q75" s="17">
        <v>0</v>
      </c>
      <c r="R75" s="17">
        <v>0</v>
      </c>
      <c r="S75" s="17">
        <v>0</v>
      </c>
      <c r="T75" s="17" t="s">
        <v>60</v>
      </c>
      <c r="U75" s="17" t="s">
        <v>60</v>
      </c>
      <c r="V75" s="17" t="s">
        <v>60</v>
      </c>
      <c r="W75" s="17" t="s">
        <v>60</v>
      </c>
      <c r="X75" s="26" t="s">
        <v>60</v>
      </c>
      <c r="Y75" s="26" t="s">
        <v>60</v>
      </c>
      <c r="Z75" s="26" t="s">
        <v>60</v>
      </c>
      <c r="AA75" s="26" t="s">
        <v>60</v>
      </c>
      <c r="AB75" s="17" t="s">
        <v>60</v>
      </c>
      <c r="AC75" s="17" t="s">
        <v>60</v>
      </c>
      <c r="AD75" s="17" t="s">
        <v>60</v>
      </c>
      <c r="AE75" s="17" t="s">
        <v>60</v>
      </c>
      <c r="AF75" s="26" t="s">
        <v>61</v>
      </c>
      <c r="AG75" s="26" t="s">
        <v>61</v>
      </c>
      <c r="AH75" s="26" t="s">
        <v>61</v>
      </c>
      <c r="AI75" s="26" t="s">
        <v>61</v>
      </c>
      <c r="AJ75" s="17">
        <v>7</v>
      </c>
      <c r="AK75" s="17">
        <v>2</v>
      </c>
      <c r="AL75" s="17">
        <v>4</v>
      </c>
      <c r="AM75" s="17">
        <v>3</v>
      </c>
      <c r="AN75" s="26">
        <v>0</v>
      </c>
      <c r="AO75" s="26">
        <v>0</v>
      </c>
      <c r="AP75" s="26">
        <v>0</v>
      </c>
      <c r="AQ75" s="26">
        <v>0</v>
      </c>
      <c r="AR75" s="31">
        <v>0</v>
      </c>
      <c r="AS75" s="31">
        <v>0</v>
      </c>
      <c r="AT75" s="31">
        <v>11</v>
      </c>
      <c r="AU75" s="18" t="s">
        <v>231</v>
      </c>
      <c r="AV75" s="32" t="s">
        <v>63</v>
      </c>
    </row>
    <row r="76" spans="1:48">
      <c r="A76" s="16" t="s">
        <v>232</v>
      </c>
      <c r="B76" s="17" t="s">
        <v>233</v>
      </c>
      <c r="C76" s="17" t="s">
        <v>234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12</v>
      </c>
      <c r="J76" s="18">
        <v>0</v>
      </c>
      <c r="K76" s="18">
        <v>0</v>
      </c>
      <c r="L76" s="18">
        <v>0</v>
      </c>
      <c r="M76" s="21">
        <v>12</v>
      </c>
      <c r="N76" s="18">
        <v>0</v>
      </c>
      <c r="O76" s="17">
        <v>12</v>
      </c>
      <c r="P76" s="17">
        <v>0</v>
      </c>
      <c r="Q76" s="17">
        <v>0</v>
      </c>
      <c r="R76" s="17">
        <v>0</v>
      </c>
      <c r="S76" s="17">
        <v>0</v>
      </c>
      <c r="T76" s="17" t="s">
        <v>60</v>
      </c>
      <c r="U76" s="17" t="s">
        <v>60</v>
      </c>
      <c r="V76" s="17" t="s">
        <v>60</v>
      </c>
      <c r="W76" s="17" t="s">
        <v>60</v>
      </c>
      <c r="X76" s="26" t="s">
        <v>60</v>
      </c>
      <c r="Y76" s="26" t="s">
        <v>60</v>
      </c>
      <c r="Z76" s="26" t="s">
        <v>60</v>
      </c>
      <c r="AA76" s="26" t="s">
        <v>60</v>
      </c>
      <c r="AB76" s="17" t="s">
        <v>60</v>
      </c>
      <c r="AC76" s="17" t="s">
        <v>60</v>
      </c>
      <c r="AD76" s="17" t="s">
        <v>60</v>
      </c>
      <c r="AE76" s="17" t="s">
        <v>60</v>
      </c>
      <c r="AF76" s="26" t="s">
        <v>61</v>
      </c>
      <c r="AG76" s="26" t="s">
        <v>61</v>
      </c>
      <c r="AH76" s="26" t="s">
        <v>61</v>
      </c>
      <c r="AI76" s="26" t="s">
        <v>61</v>
      </c>
      <c r="AJ76" s="17">
        <v>5</v>
      </c>
      <c r="AK76" s="17">
        <v>4</v>
      </c>
      <c r="AL76" s="17">
        <v>6</v>
      </c>
      <c r="AM76" s="17">
        <v>5</v>
      </c>
      <c r="AN76" s="26">
        <v>0</v>
      </c>
      <c r="AO76" s="26">
        <v>0</v>
      </c>
      <c r="AP76" s="26">
        <v>0</v>
      </c>
      <c r="AQ76" s="26">
        <v>0</v>
      </c>
      <c r="AR76" s="31">
        <v>0</v>
      </c>
      <c r="AS76" s="31">
        <v>0</v>
      </c>
      <c r="AT76" s="31">
        <v>12</v>
      </c>
      <c r="AU76" s="18" t="s">
        <v>235</v>
      </c>
      <c r="AV76" s="32" t="s">
        <v>63</v>
      </c>
    </row>
    <row r="77" spans="1:48">
      <c r="A77" s="16" t="s">
        <v>236</v>
      </c>
      <c r="B77" s="17" t="s">
        <v>237</v>
      </c>
      <c r="C77" s="17" t="s">
        <v>238</v>
      </c>
      <c r="D77" s="18">
        <v>0</v>
      </c>
      <c r="E77" s="18">
        <v>0</v>
      </c>
      <c r="F77" s="18">
        <v>0</v>
      </c>
      <c r="G77" s="18">
        <v>0</v>
      </c>
      <c r="H77" s="18">
        <v>0</v>
      </c>
      <c r="I77" s="18">
        <v>14</v>
      </c>
      <c r="J77" s="18">
        <v>0</v>
      </c>
      <c r="K77" s="18">
        <v>0</v>
      </c>
      <c r="L77" s="18">
        <v>0</v>
      </c>
      <c r="M77" s="21">
        <v>14</v>
      </c>
      <c r="N77" s="18">
        <v>0</v>
      </c>
      <c r="O77" s="17">
        <v>14</v>
      </c>
      <c r="P77" s="17">
        <v>0</v>
      </c>
      <c r="Q77" s="17">
        <v>0</v>
      </c>
      <c r="R77" s="17">
        <v>0</v>
      </c>
      <c r="S77" s="17">
        <v>0</v>
      </c>
      <c r="T77" s="17" t="s">
        <v>60</v>
      </c>
      <c r="U77" s="17" t="s">
        <v>60</v>
      </c>
      <c r="V77" s="17" t="s">
        <v>60</v>
      </c>
      <c r="W77" s="17" t="s">
        <v>60</v>
      </c>
      <c r="X77" s="26" t="s">
        <v>60</v>
      </c>
      <c r="Y77" s="26" t="s">
        <v>60</v>
      </c>
      <c r="Z77" s="26" t="s">
        <v>60</v>
      </c>
      <c r="AA77" s="26" t="s">
        <v>60</v>
      </c>
      <c r="AB77" s="17" t="s">
        <v>60</v>
      </c>
      <c r="AC77" s="17" t="s">
        <v>60</v>
      </c>
      <c r="AD77" s="17" t="s">
        <v>60</v>
      </c>
      <c r="AE77" s="17" t="s">
        <v>60</v>
      </c>
      <c r="AF77" s="26" t="s">
        <v>61</v>
      </c>
      <c r="AG77" s="26" t="s">
        <v>61</v>
      </c>
      <c r="AH77" s="26" t="s">
        <v>61</v>
      </c>
      <c r="AI77" s="26" t="s">
        <v>61</v>
      </c>
      <c r="AJ77" s="17">
        <v>7</v>
      </c>
      <c r="AK77" s="17">
        <v>4</v>
      </c>
      <c r="AL77" s="17">
        <v>5</v>
      </c>
      <c r="AM77" s="17">
        <v>3</v>
      </c>
      <c r="AN77" s="26">
        <v>0</v>
      </c>
      <c r="AO77" s="26">
        <v>0</v>
      </c>
      <c r="AP77" s="26">
        <v>0</v>
      </c>
      <c r="AQ77" s="26">
        <v>0</v>
      </c>
      <c r="AR77" s="31">
        <v>0</v>
      </c>
      <c r="AS77" s="31">
        <v>0</v>
      </c>
      <c r="AT77" s="31">
        <v>14</v>
      </c>
      <c r="AU77" s="18" t="s">
        <v>239</v>
      </c>
      <c r="AV77" s="32" t="s">
        <v>63</v>
      </c>
    </row>
    <row r="78" spans="1:48">
      <c r="A78" s="16" t="s">
        <v>240</v>
      </c>
      <c r="B78" s="17" t="s">
        <v>241</v>
      </c>
      <c r="C78" s="17" t="s">
        <v>242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13</v>
      </c>
      <c r="J78" s="18">
        <v>0</v>
      </c>
      <c r="K78" s="18">
        <v>0</v>
      </c>
      <c r="L78" s="18">
        <v>0</v>
      </c>
      <c r="M78" s="21">
        <v>13</v>
      </c>
      <c r="N78" s="18">
        <v>0</v>
      </c>
      <c r="O78" s="17">
        <v>12</v>
      </c>
      <c r="P78" s="17">
        <v>0</v>
      </c>
      <c r="Q78" s="17">
        <v>0</v>
      </c>
      <c r="R78" s="17">
        <v>0</v>
      </c>
      <c r="S78" s="17">
        <v>0</v>
      </c>
      <c r="T78" s="17" t="s">
        <v>60</v>
      </c>
      <c r="U78" s="17" t="s">
        <v>60</v>
      </c>
      <c r="V78" s="17" t="s">
        <v>60</v>
      </c>
      <c r="W78" s="17" t="s">
        <v>60</v>
      </c>
      <c r="X78" s="26" t="s">
        <v>60</v>
      </c>
      <c r="Y78" s="26" t="s">
        <v>60</v>
      </c>
      <c r="Z78" s="26" t="s">
        <v>60</v>
      </c>
      <c r="AA78" s="26" t="s">
        <v>60</v>
      </c>
      <c r="AB78" s="17" t="s">
        <v>60</v>
      </c>
      <c r="AC78" s="17" t="s">
        <v>60</v>
      </c>
      <c r="AD78" s="17" t="s">
        <v>60</v>
      </c>
      <c r="AE78" s="17" t="s">
        <v>60</v>
      </c>
      <c r="AF78" s="26" t="s">
        <v>61</v>
      </c>
      <c r="AG78" s="26" t="s">
        <v>61</v>
      </c>
      <c r="AH78" s="26" t="s">
        <v>61</v>
      </c>
      <c r="AI78" s="26" t="s">
        <v>61</v>
      </c>
      <c r="AJ78" s="17">
        <v>7</v>
      </c>
      <c r="AK78" s="17">
        <v>2</v>
      </c>
      <c r="AL78" s="17">
        <v>4</v>
      </c>
      <c r="AM78" s="17">
        <v>6</v>
      </c>
      <c r="AN78" s="26">
        <v>0</v>
      </c>
      <c r="AO78" s="26">
        <v>0</v>
      </c>
      <c r="AP78" s="26">
        <v>0</v>
      </c>
      <c r="AQ78" s="26">
        <v>0</v>
      </c>
      <c r="AR78" s="31">
        <v>0</v>
      </c>
      <c r="AS78" s="31">
        <v>0</v>
      </c>
      <c r="AT78" s="31">
        <v>13</v>
      </c>
      <c r="AU78" s="18" t="s">
        <v>243</v>
      </c>
      <c r="AV78" s="32" t="s">
        <v>63</v>
      </c>
    </row>
    <row r="79" spans="1:48">
      <c r="A79" s="16" t="s">
        <v>244</v>
      </c>
      <c r="B79" s="17" t="s">
        <v>245</v>
      </c>
      <c r="C79" s="17" t="s">
        <v>246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14</v>
      </c>
      <c r="J79" s="18">
        <v>0</v>
      </c>
      <c r="K79" s="18">
        <v>0</v>
      </c>
      <c r="L79" s="18">
        <v>0</v>
      </c>
      <c r="M79" s="21">
        <v>14</v>
      </c>
      <c r="N79" s="18">
        <v>0</v>
      </c>
      <c r="O79" s="17">
        <v>13</v>
      </c>
      <c r="P79" s="17">
        <v>0</v>
      </c>
      <c r="Q79" s="17">
        <v>0</v>
      </c>
      <c r="R79" s="17">
        <v>0</v>
      </c>
      <c r="S79" s="17">
        <v>0</v>
      </c>
      <c r="T79" s="17" t="s">
        <v>60</v>
      </c>
      <c r="U79" s="17" t="s">
        <v>60</v>
      </c>
      <c r="V79" s="17" t="s">
        <v>60</v>
      </c>
      <c r="W79" s="17" t="s">
        <v>60</v>
      </c>
      <c r="X79" s="26" t="s">
        <v>60</v>
      </c>
      <c r="Y79" s="26" t="s">
        <v>60</v>
      </c>
      <c r="Z79" s="26" t="s">
        <v>60</v>
      </c>
      <c r="AA79" s="26" t="s">
        <v>60</v>
      </c>
      <c r="AB79" s="17" t="s">
        <v>60</v>
      </c>
      <c r="AC79" s="17" t="s">
        <v>60</v>
      </c>
      <c r="AD79" s="17" t="s">
        <v>60</v>
      </c>
      <c r="AE79" s="17" t="s">
        <v>60</v>
      </c>
      <c r="AF79" s="26" t="s">
        <v>61</v>
      </c>
      <c r="AG79" s="26" t="s">
        <v>61</v>
      </c>
      <c r="AH79" s="26" t="s">
        <v>61</v>
      </c>
      <c r="AI79" s="26" t="s">
        <v>61</v>
      </c>
      <c r="AJ79" s="17">
        <v>7</v>
      </c>
      <c r="AK79" s="17">
        <v>6</v>
      </c>
      <c r="AL79" s="17">
        <v>4</v>
      </c>
      <c r="AM79" s="17">
        <v>2</v>
      </c>
      <c r="AN79" s="26">
        <v>0</v>
      </c>
      <c r="AO79" s="26">
        <v>0</v>
      </c>
      <c r="AP79" s="26">
        <v>0</v>
      </c>
      <c r="AQ79" s="26">
        <v>0</v>
      </c>
      <c r="AR79" s="31">
        <v>0</v>
      </c>
      <c r="AS79" s="31">
        <v>0</v>
      </c>
      <c r="AT79" s="31">
        <v>14</v>
      </c>
      <c r="AU79" s="18" t="s">
        <v>239</v>
      </c>
      <c r="AV79" s="32" t="s">
        <v>63</v>
      </c>
    </row>
    <row r="80" spans="1:48">
      <c r="A80" s="16" t="s">
        <v>247</v>
      </c>
      <c r="B80" s="17" t="s">
        <v>248</v>
      </c>
      <c r="C80" s="17" t="s">
        <v>249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>
        <v>6</v>
      </c>
      <c r="J80" s="18">
        <v>0</v>
      </c>
      <c r="K80" s="18">
        <v>0</v>
      </c>
      <c r="L80" s="18">
        <v>0</v>
      </c>
      <c r="M80" s="21">
        <v>6</v>
      </c>
      <c r="N80" s="18">
        <v>0</v>
      </c>
      <c r="O80" s="17">
        <v>6</v>
      </c>
      <c r="P80" s="17">
        <v>0</v>
      </c>
      <c r="Q80" s="17">
        <v>0</v>
      </c>
      <c r="R80" s="17">
        <v>0</v>
      </c>
      <c r="S80" s="17">
        <v>0</v>
      </c>
      <c r="T80" s="17" t="s">
        <v>60</v>
      </c>
      <c r="U80" s="17" t="s">
        <v>60</v>
      </c>
      <c r="V80" s="17" t="s">
        <v>60</v>
      </c>
      <c r="W80" s="17" t="s">
        <v>60</v>
      </c>
      <c r="X80" s="26" t="s">
        <v>60</v>
      </c>
      <c r="Y80" s="26" t="s">
        <v>60</v>
      </c>
      <c r="Z80" s="26" t="s">
        <v>60</v>
      </c>
      <c r="AA80" s="26" t="s">
        <v>60</v>
      </c>
      <c r="AB80" s="17" t="s">
        <v>60</v>
      </c>
      <c r="AC80" s="17" t="s">
        <v>60</v>
      </c>
      <c r="AD80" s="17" t="s">
        <v>60</v>
      </c>
      <c r="AE80" s="17" t="s">
        <v>60</v>
      </c>
      <c r="AF80" s="26" t="s">
        <v>61</v>
      </c>
      <c r="AG80" s="26" t="s">
        <v>61</v>
      </c>
      <c r="AH80" s="26" t="s">
        <v>61</v>
      </c>
      <c r="AI80" s="26" t="s">
        <v>61</v>
      </c>
      <c r="AJ80" s="17">
        <v>4</v>
      </c>
      <c r="AK80" s="17">
        <v>2</v>
      </c>
      <c r="AL80" s="17">
        <v>1</v>
      </c>
      <c r="AM80" s="17">
        <v>3</v>
      </c>
      <c r="AN80" s="26">
        <v>0</v>
      </c>
      <c r="AO80" s="26">
        <v>0</v>
      </c>
      <c r="AP80" s="26">
        <v>0</v>
      </c>
      <c r="AQ80" s="26">
        <v>0</v>
      </c>
      <c r="AR80" s="31">
        <v>0</v>
      </c>
      <c r="AS80" s="31">
        <v>0</v>
      </c>
      <c r="AT80" s="31">
        <v>6</v>
      </c>
      <c r="AU80" s="18" t="s">
        <v>250</v>
      </c>
      <c r="AV80" s="32" t="s">
        <v>63</v>
      </c>
    </row>
    <row r="81" spans="1:48">
      <c r="A81" s="16" t="s">
        <v>251</v>
      </c>
      <c r="B81" s="17" t="s">
        <v>252</v>
      </c>
      <c r="C81" s="17" t="s">
        <v>253</v>
      </c>
      <c r="D81" s="18">
        <v>0</v>
      </c>
      <c r="E81" s="18">
        <v>0</v>
      </c>
      <c r="F81" s="18">
        <v>0</v>
      </c>
      <c r="G81" s="18">
        <v>0</v>
      </c>
      <c r="H81" s="18">
        <v>0</v>
      </c>
      <c r="I81" s="18">
        <v>8</v>
      </c>
      <c r="J81" s="18">
        <v>0</v>
      </c>
      <c r="K81" s="18">
        <v>0</v>
      </c>
      <c r="L81" s="18">
        <v>0</v>
      </c>
      <c r="M81" s="21">
        <v>8</v>
      </c>
      <c r="N81" s="18">
        <v>0</v>
      </c>
      <c r="O81" s="17">
        <v>7</v>
      </c>
      <c r="P81" s="17">
        <v>0</v>
      </c>
      <c r="Q81" s="17">
        <v>0</v>
      </c>
      <c r="R81" s="17">
        <v>0</v>
      </c>
      <c r="S81" s="17">
        <v>0</v>
      </c>
      <c r="T81" s="17" t="s">
        <v>60</v>
      </c>
      <c r="U81" s="17" t="s">
        <v>60</v>
      </c>
      <c r="V81" s="17" t="s">
        <v>60</v>
      </c>
      <c r="W81" s="17" t="s">
        <v>60</v>
      </c>
      <c r="X81" s="26" t="s">
        <v>60</v>
      </c>
      <c r="Y81" s="26" t="s">
        <v>60</v>
      </c>
      <c r="Z81" s="26" t="s">
        <v>60</v>
      </c>
      <c r="AA81" s="26" t="s">
        <v>60</v>
      </c>
      <c r="AB81" s="17" t="s">
        <v>60</v>
      </c>
      <c r="AC81" s="17" t="s">
        <v>60</v>
      </c>
      <c r="AD81" s="17" t="s">
        <v>60</v>
      </c>
      <c r="AE81" s="17" t="s">
        <v>60</v>
      </c>
      <c r="AF81" s="26" t="s">
        <v>61</v>
      </c>
      <c r="AG81" s="26" t="s">
        <v>61</v>
      </c>
      <c r="AH81" s="26" t="s">
        <v>61</v>
      </c>
      <c r="AI81" s="26" t="s">
        <v>61</v>
      </c>
      <c r="AJ81" s="17">
        <v>6</v>
      </c>
      <c r="AK81" s="17">
        <v>2</v>
      </c>
      <c r="AL81" s="17">
        <v>4</v>
      </c>
      <c r="AM81" s="17">
        <v>7</v>
      </c>
      <c r="AN81" s="26">
        <v>0</v>
      </c>
      <c r="AO81" s="26">
        <v>0</v>
      </c>
      <c r="AP81" s="26">
        <v>0</v>
      </c>
      <c r="AQ81" s="26">
        <v>0</v>
      </c>
      <c r="AR81" s="31">
        <v>0</v>
      </c>
      <c r="AS81" s="31">
        <v>0</v>
      </c>
      <c r="AT81" s="31">
        <v>8</v>
      </c>
      <c r="AU81" s="18" t="s">
        <v>254</v>
      </c>
      <c r="AV81" s="32" t="s">
        <v>63</v>
      </c>
    </row>
    <row r="82" spans="1:48">
      <c r="A82" s="16" t="s">
        <v>255</v>
      </c>
      <c r="B82" s="17" t="s">
        <v>256</v>
      </c>
      <c r="C82" s="17" t="s">
        <v>257</v>
      </c>
      <c r="D82" s="18">
        <v>0</v>
      </c>
      <c r="E82" s="18">
        <v>0</v>
      </c>
      <c r="F82" s="18">
        <v>0</v>
      </c>
      <c r="G82" s="18">
        <v>0</v>
      </c>
      <c r="H82" s="18">
        <v>0</v>
      </c>
      <c r="I82" s="18">
        <v>7</v>
      </c>
      <c r="J82" s="18">
        <v>0</v>
      </c>
      <c r="K82" s="18">
        <v>0</v>
      </c>
      <c r="L82" s="18">
        <v>0</v>
      </c>
      <c r="M82" s="21">
        <v>7</v>
      </c>
      <c r="N82" s="18">
        <v>0</v>
      </c>
      <c r="O82" s="17">
        <v>7</v>
      </c>
      <c r="P82" s="17">
        <v>0</v>
      </c>
      <c r="Q82" s="17">
        <v>0</v>
      </c>
      <c r="R82" s="17">
        <v>0</v>
      </c>
      <c r="S82" s="17">
        <v>0</v>
      </c>
      <c r="T82" s="17" t="s">
        <v>60</v>
      </c>
      <c r="U82" s="17" t="s">
        <v>60</v>
      </c>
      <c r="V82" s="17" t="s">
        <v>60</v>
      </c>
      <c r="W82" s="17" t="s">
        <v>60</v>
      </c>
      <c r="X82" s="26" t="s">
        <v>60</v>
      </c>
      <c r="Y82" s="26" t="s">
        <v>60</v>
      </c>
      <c r="Z82" s="26" t="s">
        <v>60</v>
      </c>
      <c r="AA82" s="26" t="s">
        <v>60</v>
      </c>
      <c r="AB82" s="17" t="s">
        <v>60</v>
      </c>
      <c r="AC82" s="17" t="s">
        <v>60</v>
      </c>
      <c r="AD82" s="17" t="s">
        <v>60</v>
      </c>
      <c r="AE82" s="17" t="s">
        <v>60</v>
      </c>
      <c r="AF82" s="26" t="s">
        <v>61</v>
      </c>
      <c r="AG82" s="26" t="s">
        <v>61</v>
      </c>
      <c r="AH82" s="26" t="s">
        <v>61</v>
      </c>
      <c r="AI82" s="26" t="s">
        <v>61</v>
      </c>
      <c r="AJ82" s="17">
        <v>4</v>
      </c>
      <c r="AK82" s="17">
        <v>10</v>
      </c>
      <c r="AL82" s="17">
        <v>8</v>
      </c>
      <c r="AM82" s="17">
        <v>4</v>
      </c>
      <c r="AN82" s="26">
        <v>0</v>
      </c>
      <c r="AO82" s="26">
        <v>0</v>
      </c>
      <c r="AP82" s="26">
        <v>0</v>
      </c>
      <c r="AQ82" s="26">
        <v>0</v>
      </c>
      <c r="AR82" s="31">
        <v>0</v>
      </c>
      <c r="AS82" s="31">
        <v>0</v>
      </c>
      <c r="AT82" s="31">
        <v>7</v>
      </c>
      <c r="AU82" s="18" t="s">
        <v>258</v>
      </c>
      <c r="AV82" s="32" t="s">
        <v>63</v>
      </c>
    </row>
    <row r="83" spans="1:48">
      <c r="A83" s="16" t="s">
        <v>259</v>
      </c>
      <c r="B83" s="17" t="s">
        <v>260</v>
      </c>
      <c r="C83" s="17" t="s">
        <v>261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7</v>
      </c>
      <c r="J83" s="18">
        <v>0</v>
      </c>
      <c r="K83" s="18">
        <v>0</v>
      </c>
      <c r="L83" s="18">
        <v>0</v>
      </c>
      <c r="M83" s="21">
        <v>7</v>
      </c>
      <c r="N83" s="18">
        <v>0</v>
      </c>
      <c r="O83" s="17">
        <v>7</v>
      </c>
      <c r="P83" s="17">
        <v>0</v>
      </c>
      <c r="Q83" s="17">
        <v>0</v>
      </c>
      <c r="R83" s="17">
        <v>0</v>
      </c>
      <c r="S83" s="17">
        <v>0</v>
      </c>
      <c r="T83" s="17" t="s">
        <v>60</v>
      </c>
      <c r="U83" s="17" t="s">
        <v>60</v>
      </c>
      <c r="V83" s="17" t="s">
        <v>60</v>
      </c>
      <c r="W83" s="17" t="s">
        <v>60</v>
      </c>
      <c r="X83" s="26" t="s">
        <v>60</v>
      </c>
      <c r="Y83" s="26" t="s">
        <v>60</v>
      </c>
      <c r="Z83" s="26" t="s">
        <v>60</v>
      </c>
      <c r="AA83" s="26" t="s">
        <v>60</v>
      </c>
      <c r="AB83" s="17" t="s">
        <v>60</v>
      </c>
      <c r="AC83" s="17" t="s">
        <v>60</v>
      </c>
      <c r="AD83" s="17" t="s">
        <v>60</v>
      </c>
      <c r="AE83" s="17" t="s">
        <v>60</v>
      </c>
      <c r="AF83" s="26" t="s">
        <v>61</v>
      </c>
      <c r="AG83" s="26" t="s">
        <v>61</v>
      </c>
      <c r="AH83" s="26" t="s">
        <v>61</v>
      </c>
      <c r="AI83" s="26" t="s">
        <v>61</v>
      </c>
      <c r="AJ83" s="17">
        <v>4</v>
      </c>
      <c r="AK83" s="17">
        <v>3</v>
      </c>
      <c r="AL83" s="17">
        <v>10</v>
      </c>
      <c r="AM83" s="17">
        <v>10</v>
      </c>
      <c r="AN83" s="26">
        <v>0</v>
      </c>
      <c r="AO83" s="26">
        <v>0</v>
      </c>
      <c r="AP83" s="26">
        <v>0</v>
      </c>
      <c r="AQ83" s="26">
        <v>0</v>
      </c>
      <c r="AR83" s="31">
        <v>0</v>
      </c>
      <c r="AS83" s="31">
        <v>0</v>
      </c>
      <c r="AT83" s="31">
        <v>7</v>
      </c>
      <c r="AU83" s="18" t="s">
        <v>258</v>
      </c>
      <c r="AV83" s="32" t="s">
        <v>63</v>
      </c>
    </row>
    <row r="84" spans="1:48">
      <c r="A84" s="16" t="s">
        <v>262</v>
      </c>
      <c r="B84" s="17" t="s">
        <v>263</v>
      </c>
      <c r="C84" s="17" t="s">
        <v>264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7</v>
      </c>
      <c r="J84" s="18">
        <v>0</v>
      </c>
      <c r="K84" s="18">
        <v>0</v>
      </c>
      <c r="L84" s="18">
        <v>0</v>
      </c>
      <c r="M84" s="21">
        <v>7</v>
      </c>
      <c r="N84" s="18">
        <v>0</v>
      </c>
      <c r="O84" s="17">
        <v>7</v>
      </c>
      <c r="P84" s="17">
        <v>0</v>
      </c>
      <c r="Q84" s="17">
        <v>0</v>
      </c>
      <c r="R84" s="17">
        <v>0</v>
      </c>
      <c r="S84" s="17">
        <v>0</v>
      </c>
      <c r="T84" s="17" t="s">
        <v>60</v>
      </c>
      <c r="U84" s="17" t="s">
        <v>60</v>
      </c>
      <c r="V84" s="17" t="s">
        <v>60</v>
      </c>
      <c r="W84" s="17" t="s">
        <v>60</v>
      </c>
      <c r="X84" s="26" t="s">
        <v>60</v>
      </c>
      <c r="Y84" s="26" t="s">
        <v>60</v>
      </c>
      <c r="Z84" s="26" t="s">
        <v>60</v>
      </c>
      <c r="AA84" s="26" t="s">
        <v>60</v>
      </c>
      <c r="AB84" s="17" t="s">
        <v>60</v>
      </c>
      <c r="AC84" s="17" t="s">
        <v>60</v>
      </c>
      <c r="AD84" s="17" t="s">
        <v>60</v>
      </c>
      <c r="AE84" s="17" t="s">
        <v>60</v>
      </c>
      <c r="AF84" s="26" t="s">
        <v>61</v>
      </c>
      <c r="AG84" s="26" t="s">
        <v>61</v>
      </c>
      <c r="AH84" s="26" t="s">
        <v>61</v>
      </c>
      <c r="AI84" s="26" t="s">
        <v>61</v>
      </c>
      <c r="AJ84" s="17">
        <v>4</v>
      </c>
      <c r="AK84" s="17">
        <v>9</v>
      </c>
      <c r="AL84" s="17">
        <v>10</v>
      </c>
      <c r="AM84" s="17">
        <v>3</v>
      </c>
      <c r="AN84" s="26">
        <v>0</v>
      </c>
      <c r="AO84" s="26">
        <v>0</v>
      </c>
      <c r="AP84" s="26">
        <v>0</v>
      </c>
      <c r="AQ84" s="26">
        <v>0</v>
      </c>
      <c r="AR84" s="31">
        <v>0</v>
      </c>
      <c r="AS84" s="31">
        <v>0</v>
      </c>
      <c r="AT84" s="31">
        <v>7</v>
      </c>
      <c r="AU84" s="18" t="s">
        <v>258</v>
      </c>
      <c r="AV84" s="32" t="s">
        <v>63</v>
      </c>
    </row>
    <row r="85" spans="1:48">
      <c r="A85" s="16" t="s">
        <v>265</v>
      </c>
      <c r="B85" s="17" t="s">
        <v>266</v>
      </c>
      <c r="C85" s="17" t="s">
        <v>267</v>
      </c>
      <c r="D85" s="18">
        <v>0</v>
      </c>
      <c r="E85" s="18">
        <v>0</v>
      </c>
      <c r="F85" s="18">
        <v>0</v>
      </c>
      <c r="G85" s="18">
        <v>0</v>
      </c>
      <c r="H85" s="18">
        <v>0</v>
      </c>
      <c r="I85" s="18">
        <v>0</v>
      </c>
      <c r="J85" s="18">
        <v>0</v>
      </c>
      <c r="K85" s="18">
        <v>0</v>
      </c>
      <c r="L85" s="18">
        <v>0</v>
      </c>
      <c r="M85" s="21">
        <v>0</v>
      </c>
      <c r="N85" s="18">
        <v>1</v>
      </c>
      <c r="O85" s="17">
        <v>0</v>
      </c>
      <c r="P85" s="17">
        <v>0</v>
      </c>
      <c r="Q85" s="17">
        <v>0</v>
      </c>
      <c r="R85" s="17">
        <v>0</v>
      </c>
      <c r="S85" s="17">
        <v>0</v>
      </c>
      <c r="T85" s="17" t="s">
        <v>60</v>
      </c>
      <c r="U85" s="17" t="s">
        <v>60</v>
      </c>
      <c r="V85" s="17" t="s">
        <v>60</v>
      </c>
      <c r="W85" s="17" t="s">
        <v>60</v>
      </c>
      <c r="X85" s="26" t="s">
        <v>60</v>
      </c>
      <c r="Y85" s="26" t="s">
        <v>60</v>
      </c>
      <c r="Z85" s="26" t="s">
        <v>60</v>
      </c>
      <c r="AA85" s="26" t="s">
        <v>60</v>
      </c>
      <c r="AB85" s="17" t="s">
        <v>60</v>
      </c>
      <c r="AC85" s="17" t="s">
        <v>60</v>
      </c>
      <c r="AD85" s="17" t="s">
        <v>60</v>
      </c>
      <c r="AE85" s="17" t="s">
        <v>60</v>
      </c>
      <c r="AF85" s="26" t="s">
        <v>61</v>
      </c>
      <c r="AG85" s="26" t="s">
        <v>61</v>
      </c>
      <c r="AH85" s="26" t="s">
        <v>61</v>
      </c>
      <c r="AI85" s="26" t="s">
        <v>61</v>
      </c>
      <c r="AJ85" s="17" t="s">
        <v>60</v>
      </c>
      <c r="AK85" s="17" t="s">
        <v>60</v>
      </c>
      <c r="AL85" s="17" t="s">
        <v>60</v>
      </c>
      <c r="AM85" s="17" t="s">
        <v>60</v>
      </c>
      <c r="AN85" s="26" t="s">
        <v>60</v>
      </c>
      <c r="AO85" s="26" t="s">
        <v>60</v>
      </c>
      <c r="AP85" s="26" t="s">
        <v>60</v>
      </c>
      <c r="AQ85" s="26" t="s">
        <v>60</v>
      </c>
      <c r="AR85" s="31">
        <v>0</v>
      </c>
      <c r="AS85" s="31">
        <v>0</v>
      </c>
      <c r="AT85" s="31">
        <v>0</v>
      </c>
      <c r="AU85" s="18" t="s">
        <v>62</v>
      </c>
      <c r="AV85" s="32" t="s">
        <v>63</v>
      </c>
    </row>
    <row r="86" spans="1:48">
      <c r="A86" s="16" t="s">
        <v>268</v>
      </c>
      <c r="B86" s="17" t="s">
        <v>269</v>
      </c>
      <c r="C86" s="17" t="s">
        <v>270</v>
      </c>
      <c r="D86" s="18">
        <v>0</v>
      </c>
      <c r="E86" s="18">
        <v>0</v>
      </c>
      <c r="F86" s="18">
        <v>0</v>
      </c>
      <c r="G86" s="18">
        <v>0</v>
      </c>
      <c r="H86" s="18">
        <v>0</v>
      </c>
      <c r="I86" s="18">
        <v>0</v>
      </c>
      <c r="J86" s="18">
        <v>0</v>
      </c>
      <c r="K86" s="18">
        <v>0</v>
      </c>
      <c r="L86" s="18">
        <v>0</v>
      </c>
      <c r="M86" s="21">
        <v>0</v>
      </c>
      <c r="N86" s="18">
        <v>1</v>
      </c>
      <c r="O86" s="17">
        <v>0</v>
      </c>
      <c r="P86" s="17">
        <v>0</v>
      </c>
      <c r="Q86" s="17">
        <v>0</v>
      </c>
      <c r="R86" s="17">
        <v>0</v>
      </c>
      <c r="S86" s="17">
        <v>0</v>
      </c>
      <c r="T86" s="17" t="s">
        <v>60</v>
      </c>
      <c r="U86" s="17" t="s">
        <v>60</v>
      </c>
      <c r="V86" s="17" t="s">
        <v>60</v>
      </c>
      <c r="W86" s="17" t="s">
        <v>60</v>
      </c>
      <c r="X86" s="26" t="s">
        <v>60</v>
      </c>
      <c r="Y86" s="26" t="s">
        <v>60</v>
      </c>
      <c r="Z86" s="26" t="s">
        <v>60</v>
      </c>
      <c r="AA86" s="26" t="s">
        <v>60</v>
      </c>
      <c r="AB86" s="17" t="s">
        <v>60</v>
      </c>
      <c r="AC86" s="17" t="s">
        <v>60</v>
      </c>
      <c r="AD86" s="17" t="s">
        <v>60</v>
      </c>
      <c r="AE86" s="17" t="s">
        <v>60</v>
      </c>
      <c r="AF86" s="26" t="s">
        <v>61</v>
      </c>
      <c r="AG86" s="26" t="s">
        <v>61</v>
      </c>
      <c r="AH86" s="26" t="s">
        <v>61</v>
      </c>
      <c r="AI86" s="26" t="s">
        <v>61</v>
      </c>
      <c r="AJ86" s="17" t="s">
        <v>60</v>
      </c>
      <c r="AK86" s="17" t="s">
        <v>60</v>
      </c>
      <c r="AL86" s="17" t="s">
        <v>60</v>
      </c>
      <c r="AM86" s="17" t="s">
        <v>60</v>
      </c>
      <c r="AN86" s="26" t="s">
        <v>60</v>
      </c>
      <c r="AO86" s="26" t="s">
        <v>60</v>
      </c>
      <c r="AP86" s="26" t="s">
        <v>60</v>
      </c>
      <c r="AQ86" s="26" t="s">
        <v>60</v>
      </c>
      <c r="AR86" s="31">
        <v>0</v>
      </c>
      <c r="AS86" s="31">
        <v>0</v>
      </c>
      <c r="AT86" s="31">
        <v>0</v>
      </c>
      <c r="AU86" s="18" t="s">
        <v>62</v>
      </c>
      <c r="AV86" s="32" t="s">
        <v>63</v>
      </c>
    </row>
    <row r="87" spans="1:48">
      <c r="A87" s="16" t="s">
        <v>271</v>
      </c>
      <c r="B87" s="17" t="s">
        <v>272</v>
      </c>
      <c r="C87" s="17" t="s">
        <v>273</v>
      </c>
      <c r="D87" s="18">
        <v>0</v>
      </c>
      <c r="E87" s="18">
        <v>0</v>
      </c>
      <c r="F87" s="18">
        <v>1</v>
      </c>
      <c r="G87" s="18">
        <v>0</v>
      </c>
      <c r="H87" s="18">
        <v>34.39</v>
      </c>
      <c r="I87" s="18">
        <v>6</v>
      </c>
      <c r="J87" s="18">
        <v>0</v>
      </c>
      <c r="K87" s="18">
        <v>0</v>
      </c>
      <c r="L87" s="18">
        <v>0</v>
      </c>
      <c r="M87" s="21">
        <v>6</v>
      </c>
      <c r="N87" s="18">
        <v>0</v>
      </c>
      <c r="O87" s="17">
        <v>6</v>
      </c>
      <c r="P87" s="17">
        <v>0</v>
      </c>
      <c r="Q87" s="17">
        <v>0</v>
      </c>
      <c r="R87" s="17">
        <v>0</v>
      </c>
      <c r="S87" s="17">
        <v>0</v>
      </c>
      <c r="T87" s="17" t="s">
        <v>60</v>
      </c>
      <c r="U87" s="17" t="s">
        <v>60</v>
      </c>
      <c r="V87" s="17" t="s">
        <v>60</v>
      </c>
      <c r="W87" s="17" t="s">
        <v>60</v>
      </c>
      <c r="X87" s="26" t="s">
        <v>60</v>
      </c>
      <c r="Y87" s="26" t="s">
        <v>60</v>
      </c>
      <c r="Z87" s="26" t="s">
        <v>60</v>
      </c>
      <c r="AA87" s="26" t="s">
        <v>60</v>
      </c>
      <c r="AB87" s="17" t="s">
        <v>60</v>
      </c>
      <c r="AC87" s="17" t="s">
        <v>60</v>
      </c>
      <c r="AD87" s="17" t="s">
        <v>60</v>
      </c>
      <c r="AE87" s="17" t="s">
        <v>60</v>
      </c>
      <c r="AF87" s="26" t="s">
        <v>61</v>
      </c>
      <c r="AG87" s="26" t="s">
        <v>61</v>
      </c>
      <c r="AH87" s="26" t="s">
        <v>60</v>
      </c>
      <c r="AI87" s="26" t="s">
        <v>61</v>
      </c>
      <c r="AJ87" s="17">
        <v>4</v>
      </c>
      <c r="AK87" s="17">
        <v>3</v>
      </c>
      <c r="AL87" s="17">
        <v>7</v>
      </c>
      <c r="AM87" s="17">
        <v>8</v>
      </c>
      <c r="AN87" s="26">
        <v>0</v>
      </c>
      <c r="AO87" s="26">
        <v>0</v>
      </c>
      <c r="AP87" s="26">
        <v>0.142857142857143</v>
      </c>
      <c r="AQ87" s="26">
        <v>0</v>
      </c>
      <c r="AR87" s="31">
        <v>0</v>
      </c>
      <c r="AS87" s="31">
        <v>0</v>
      </c>
      <c r="AT87" s="31">
        <v>6</v>
      </c>
      <c r="AU87" s="18" t="s">
        <v>250</v>
      </c>
      <c r="AV87" s="32" t="s">
        <v>63</v>
      </c>
    </row>
    <row r="88" spans="1:48">
      <c r="A88" s="16" t="s">
        <v>274</v>
      </c>
      <c r="B88" s="17" t="s">
        <v>275</v>
      </c>
      <c r="C88" s="17" t="s">
        <v>276</v>
      </c>
      <c r="D88" s="18">
        <v>0</v>
      </c>
      <c r="E88" s="18">
        <v>0</v>
      </c>
      <c r="F88" s="18">
        <v>0</v>
      </c>
      <c r="G88" s="18">
        <v>0</v>
      </c>
      <c r="H88" s="18">
        <v>0</v>
      </c>
      <c r="I88" s="18">
        <v>7</v>
      </c>
      <c r="J88" s="18">
        <v>0</v>
      </c>
      <c r="K88" s="18">
        <v>0</v>
      </c>
      <c r="L88" s="18">
        <v>0</v>
      </c>
      <c r="M88" s="21">
        <v>7</v>
      </c>
      <c r="N88" s="18">
        <v>0</v>
      </c>
      <c r="O88" s="17">
        <v>5</v>
      </c>
      <c r="P88" s="17">
        <v>0</v>
      </c>
      <c r="Q88" s="17">
        <v>0</v>
      </c>
      <c r="R88" s="17">
        <v>0</v>
      </c>
      <c r="S88" s="17">
        <v>0</v>
      </c>
      <c r="T88" s="17" t="s">
        <v>60</v>
      </c>
      <c r="U88" s="17" t="s">
        <v>60</v>
      </c>
      <c r="V88" s="17" t="s">
        <v>60</v>
      </c>
      <c r="W88" s="17" t="s">
        <v>60</v>
      </c>
      <c r="X88" s="26" t="s">
        <v>60</v>
      </c>
      <c r="Y88" s="26" t="s">
        <v>60</v>
      </c>
      <c r="Z88" s="26" t="s">
        <v>60</v>
      </c>
      <c r="AA88" s="26" t="s">
        <v>60</v>
      </c>
      <c r="AB88" s="17" t="s">
        <v>60</v>
      </c>
      <c r="AC88" s="17" t="s">
        <v>60</v>
      </c>
      <c r="AD88" s="17" t="s">
        <v>60</v>
      </c>
      <c r="AE88" s="17" t="s">
        <v>60</v>
      </c>
      <c r="AF88" s="26" t="s">
        <v>61</v>
      </c>
      <c r="AG88" s="26" t="s">
        <v>61</v>
      </c>
      <c r="AH88" s="26" t="s">
        <v>61</v>
      </c>
      <c r="AI88" s="26" t="s">
        <v>61</v>
      </c>
      <c r="AJ88" s="17">
        <v>1</v>
      </c>
      <c r="AK88" s="17">
        <v>3</v>
      </c>
      <c r="AL88" s="17">
        <v>4</v>
      </c>
      <c r="AM88" s="17">
        <v>2</v>
      </c>
      <c r="AN88" s="26">
        <v>0</v>
      </c>
      <c r="AO88" s="26">
        <v>0</v>
      </c>
      <c r="AP88" s="26">
        <v>0</v>
      </c>
      <c r="AQ88" s="26">
        <v>0</v>
      </c>
      <c r="AR88" s="31">
        <v>0</v>
      </c>
      <c r="AS88" s="31">
        <v>0</v>
      </c>
      <c r="AT88" s="31">
        <v>7</v>
      </c>
      <c r="AU88" s="18" t="s">
        <v>258</v>
      </c>
      <c r="AV88" s="32" t="s">
        <v>63</v>
      </c>
    </row>
    <row r="89" spans="1:48">
      <c r="A89" s="16" t="s">
        <v>277</v>
      </c>
      <c r="B89" s="17" t="s">
        <v>278</v>
      </c>
      <c r="C89" s="17" t="s">
        <v>279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5</v>
      </c>
      <c r="J89" s="18">
        <v>0</v>
      </c>
      <c r="K89" s="18">
        <v>0</v>
      </c>
      <c r="L89" s="18">
        <v>0</v>
      </c>
      <c r="M89" s="21">
        <v>5</v>
      </c>
      <c r="N89" s="18">
        <v>0</v>
      </c>
      <c r="O89" s="17">
        <v>4</v>
      </c>
      <c r="P89" s="17">
        <v>0</v>
      </c>
      <c r="Q89" s="17">
        <v>0</v>
      </c>
      <c r="R89" s="17">
        <v>0</v>
      </c>
      <c r="S89" s="17">
        <v>0</v>
      </c>
      <c r="T89" s="17" t="s">
        <v>60</v>
      </c>
      <c r="U89" s="17" t="s">
        <v>60</v>
      </c>
      <c r="V89" s="17" t="s">
        <v>60</v>
      </c>
      <c r="W89" s="17" t="s">
        <v>60</v>
      </c>
      <c r="X89" s="26" t="s">
        <v>60</v>
      </c>
      <c r="Y89" s="26" t="s">
        <v>60</v>
      </c>
      <c r="Z89" s="26" t="s">
        <v>60</v>
      </c>
      <c r="AA89" s="26" t="s">
        <v>60</v>
      </c>
      <c r="AB89" s="17" t="s">
        <v>60</v>
      </c>
      <c r="AC89" s="17" t="s">
        <v>60</v>
      </c>
      <c r="AD89" s="17" t="s">
        <v>60</v>
      </c>
      <c r="AE89" s="17" t="s">
        <v>60</v>
      </c>
      <c r="AF89" s="26" t="s">
        <v>61</v>
      </c>
      <c r="AG89" s="26" t="s">
        <v>61</v>
      </c>
      <c r="AH89" s="26" t="s">
        <v>61</v>
      </c>
      <c r="AI89" s="26" t="s">
        <v>61</v>
      </c>
      <c r="AJ89" s="17">
        <v>7</v>
      </c>
      <c r="AK89" s="17">
        <v>3</v>
      </c>
      <c r="AL89" s="17">
        <v>6</v>
      </c>
      <c r="AM89" s="17">
        <v>5</v>
      </c>
      <c r="AN89" s="26">
        <v>0</v>
      </c>
      <c r="AO89" s="26">
        <v>0</v>
      </c>
      <c r="AP89" s="26">
        <v>0</v>
      </c>
      <c r="AQ89" s="26">
        <v>0</v>
      </c>
      <c r="AR89" s="31">
        <v>0</v>
      </c>
      <c r="AS89" s="31">
        <v>0</v>
      </c>
      <c r="AT89" s="31">
        <v>5</v>
      </c>
      <c r="AU89" s="18" t="s">
        <v>280</v>
      </c>
      <c r="AV89" s="32" t="s">
        <v>63</v>
      </c>
    </row>
    <row r="90" spans="1:48">
      <c r="A90" s="16" t="s">
        <v>281</v>
      </c>
      <c r="B90" s="17" t="s">
        <v>282</v>
      </c>
      <c r="C90" s="17" t="s">
        <v>283</v>
      </c>
      <c r="D90" s="18">
        <v>0</v>
      </c>
      <c r="E90" s="18">
        <v>0</v>
      </c>
      <c r="F90" s="18">
        <v>0</v>
      </c>
      <c r="G90" s="18">
        <v>0</v>
      </c>
      <c r="H90" s="18">
        <v>0</v>
      </c>
      <c r="I90" s="18">
        <v>11</v>
      </c>
      <c r="J90" s="18">
        <v>0</v>
      </c>
      <c r="K90" s="18">
        <v>0</v>
      </c>
      <c r="L90" s="18">
        <v>0</v>
      </c>
      <c r="M90" s="21">
        <v>11</v>
      </c>
      <c r="N90" s="18">
        <v>1</v>
      </c>
      <c r="O90" s="17">
        <v>11</v>
      </c>
      <c r="P90" s="17">
        <v>0</v>
      </c>
      <c r="Q90" s="17">
        <v>0</v>
      </c>
      <c r="R90" s="17">
        <v>0</v>
      </c>
      <c r="S90" s="17">
        <v>0</v>
      </c>
      <c r="T90" s="17" t="s">
        <v>60</v>
      </c>
      <c r="U90" s="17" t="s">
        <v>60</v>
      </c>
      <c r="V90" s="17" t="s">
        <v>60</v>
      </c>
      <c r="W90" s="17" t="s">
        <v>60</v>
      </c>
      <c r="X90" s="26" t="s">
        <v>60</v>
      </c>
      <c r="Y90" s="26" t="s">
        <v>60</v>
      </c>
      <c r="Z90" s="26" t="s">
        <v>60</v>
      </c>
      <c r="AA90" s="26" t="s">
        <v>60</v>
      </c>
      <c r="AB90" s="17" t="s">
        <v>60</v>
      </c>
      <c r="AC90" s="17" t="s">
        <v>60</v>
      </c>
      <c r="AD90" s="17" t="s">
        <v>60</v>
      </c>
      <c r="AE90" s="17" t="s">
        <v>60</v>
      </c>
      <c r="AF90" s="26" t="s">
        <v>61</v>
      </c>
      <c r="AG90" s="26" t="s">
        <v>61</v>
      </c>
      <c r="AH90" s="26" t="s">
        <v>61</v>
      </c>
      <c r="AI90" s="26" t="s">
        <v>61</v>
      </c>
      <c r="AJ90" s="17">
        <v>9</v>
      </c>
      <c r="AK90" s="17">
        <v>3</v>
      </c>
      <c r="AL90" s="17">
        <v>7</v>
      </c>
      <c r="AM90" s="17">
        <v>10</v>
      </c>
      <c r="AN90" s="26">
        <v>0</v>
      </c>
      <c r="AO90" s="26">
        <v>0</v>
      </c>
      <c r="AP90" s="26">
        <v>0</v>
      </c>
      <c r="AQ90" s="26">
        <v>0</v>
      </c>
      <c r="AR90" s="31">
        <v>0</v>
      </c>
      <c r="AS90" s="31">
        <v>0</v>
      </c>
      <c r="AT90" s="31">
        <v>11</v>
      </c>
      <c r="AU90" s="18" t="s">
        <v>231</v>
      </c>
      <c r="AV90" s="32" t="s">
        <v>63</v>
      </c>
    </row>
    <row r="91" spans="1:48">
      <c r="A91" s="16" t="s">
        <v>284</v>
      </c>
      <c r="B91" s="17" t="s">
        <v>285</v>
      </c>
      <c r="C91" s="17" t="s">
        <v>286</v>
      </c>
      <c r="D91" s="18">
        <v>0</v>
      </c>
      <c r="E91" s="18">
        <v>0</v>
      </c>
      <c r="F91" s="18">
        <v>0</v>
      </c>
      <c r="G91" s="18">
        <v>1</v>
      </c>
      <c r="H91" s="18">
        <v>42.99</v>
      </c>
      <c r="I91" s="18">
        <v>9</v>
      </c>
      <c r="J91" s="18">
        <v>0</v>
      </c>
      <c r="K91" s="18">
        <v>0</v>
      </c>
      <c r="L91" s="18">
        <v>0</v>
      </c>
      <c r="M91" s="21">
        <v>9</v>
      </c>
      <c r="N91" s="18">
        <v>0</v>
      </c>
      <c r="O91" s="17">
        <v>9</v>
      </c>
      <c r="P91" s="17">
        <v>0</v>
      </c>
      <c r="Q91" s="17">
        <v>0</v>
      </c>
      <c r="R91" s="17">
        <v>0</v>
      </c>
      <c r="S91" s="17">
        <v>0</v>
      </c>
      <c r="T91" s="17" t="s">
        <v>60</v>
      </c>
      <c r="U91" s="17" t="s">
        <v>60</v>
      </c>
      <c r="V91" s="17" t="s">
        <v>60</v>
      </c>
      <c r="W91" s="17" t="s">
        <v>60</v>
      </c>
      <c r="X91" s="26" t="s">
        <v>60</v>
      </c>
      <c r="Y91" s="26" t="s">
        <v>60</v>
      </c>
      <c r="Z91" s="26" t="s">
        <v>60</v>
      </c>
      <c r="AA91" s="26" t="s">
        <v>60</v>
      </c>
      <c r="AB91" s="17" t="s">
        <v>60</v>
      </c>
      <c r="AC91" s="17" t="s">
        <v>60</v>
      </c>
      <c r="AD91" s="17" t="s">
        <v>60</v>
      </c>
      <c r="AE91" s="17" t="s">
        <v>60</v>
      </c>
      <c r="AF91" s="26" t="s">
        <v>61</v>
      </c>
      <c r="AG91" s="26" t="s">
        <v>61</v>
      </c>
      <c r="AH91" s="26" t="s">
        <v>61</v>
      </c>
      <c r="AI91" s="26" t="s">
        <v>60</v>
      </c>
      <c r="AJ91" s="17">
        <v>1</v>
      </c>
      <c r="AK91" s="17">
        <v>2</v>
      </c>
      <c r="AL91" s="17">
        <v>2</v>
      </c>
      <c r="AM91" s="17">
        <v>5</v>
      </c>
      <c r="AN91" s="26">
        <v>0</v>
      </c>
      <c r="AO91" s="26">
        <v>0</v>
      </c>
      <c r="AP91" s="26">
        <v>0</v>
      </c>
      <c r="AQ91" s="26">
        <v>0.2</v>
      </c>
      <c r="AR91" s="31">
        <v>0</v>
      </c>
      <c r="AS91" s="31">
        <v>0</v>
      </c>
      <c r="AT91" s="31">
        <v>9</v>
      </c>
      <c r="AU91" s="18" t="s">
        <v>287</v>
      </c>
      <c r="AV91" s="32" t="s">
        <v>63</v>
      </c>
    </row>
    <row r="92" spans="1:48">
      <c r="A92" s="16" t="s">
        <v>288</v>
      </c>
      <c r="B92" s="17" t="s">
        <v>289</v>
      </c>
      <c r="C92" s="17" t="s">
        <v>290</v>
      </c>
      <c r="D92" s="18">
        <v>0</v>
      </c>
      <c r="E92" s="18">
        <v>0</v>
      </c>
      <c r="F92" s="18">
        <v>0</v>
      </c>
      <c r="G92" s="18">
        <v>0</v>
      </c>
      <c r="H92" s="18">
        <v>0</v>
      </c>
      <c r="I92" s="18">
        <v>13</v>
      </c>
      <c r="J92" s="18">
        <v>0</v>
      </c>
      <c r="K92" s="18">
        <v>0</v>
      </c>
      <c r="L92" s="18">
        <v>0</v>
      </c>
      <c r="M92" s="21">
        <v>13</v>
      </c>
      <c r="N92" s="18">
        <v>0</v>
      </c>
      <c r="O92" s="17">
        <v>13</v>
      </c>
      <c r="P92" s="17">
        <v>0</v>
      </c>
      <c r="Q92" s="17">
        <v>0</v>
      </c>
      <c r="R92" s="17">
        <v>0</v>
      </c>
      <c r="S92" s="17">
        <v>0</v>
      </c>
      <c r="T92" s="17" t="s">
        <v>60</v>
      </c>
      <c r="U92" s="17" t="s">
        <v>60</v>
      </c>
      <c r="V92" s="17" t="s">
        <v>60</v>
      </c>
      <c r="W92" s="17" t="s">
        <v>60</v>
      </c>
      <c r="X92" s="26" t="s">
        <v>60</v>
      </c>
      <c r="Y92" s="26" t="s">
        <v>60</v>
      </c>
      <c r="Z92" s="26" t="s">
        <v>60</v>
      </c>
      <c r="AA92" s="26" t="s">
        <v>60</v>
      </c>
      <c r="AB92" s="17" t="s">
        <v>60</v>
      </c>
      <c r="AC92" s="17" t="s">
        <v>60</v>
      </c>
      <c r="AD92" s="17" t="s">
        <v>60</v>
      </c>
      <c r="AE92" s="17" t="s">
        <v>60</v>
      </c>
      <c r="AF92" s="26" t="s">
        <v>61</v>
      </c>
      <c r="AG92" s="26" t="s">
        <v>61</v>
      </c>
      <c r="AH92" s="26" t="s">
        <v>61</v>
      </c>
      <c r="AI92" s="26" t="s">
        <v>61</v>
      </c>
      <c r="AJ92" s="17">
        <v>4</v>
      </c>
      <c r="AK92" s="17">
        <v>5</v>
      </c>
      <c r="AL92" s="17">
        <v>7</v>
      </c>
      <c r="AM92" s="17">
        <v>9</v>
      </c>
      <c r="AN92" s="26">
        <v>0</v>
      </c>
      <c r="AO92" s="26">
        <v>0</v>
      </c>
      <c r="AP92" s="26">
        <v>0</v>
      </c>
      <c r="AQ92" s="26">
        <v>0</v>
      </c>
      <c r="AR92" s="31">
        <v>0</v>
      </c>
      <c r="AS92" s="31">
        <v>0</v>
      </c>
      <c r="AT92" s="31">
        <v>13</v>
      </c>
      <c r="AU92" s="18" t="s">
        <v>243</v>
      </c>
      <c r="AV92" s="32" t="s">
        <v>63</v>
      </c>
    </row>
    <row r="93" spans="1:48">
      <c r="A93" s="16" t="s">
        <v>291</v>
      </c>
      <c r="B93" s="17" t="s">
        <v>292</v>
      </c>
      <c r="C93" s="17" t="s">
        <v>293</v>
      </c>
      <c r="D93" s="18">
        <v>0</v>
      </c>
      <c r="E93" s="18">
        <v>0</v>
      </c>
      <c r="F93" s="18">
        <v>0</v>
      </c>
      <c r="G93" s="18">
        <v>0</v>
      </c>
      <c r="H93" s="18">
        <v>0</v>
      </c>
      <c r="I93" s="18">
        <v>7</v>
      </c>
      <c r="J93" s="18">
        <v>0</v>
      </c>
      <c r="K93" s="18">
        <v>0</v>
      </c>
      <c r="L93" s="18">
        <v>0</v>
      </c>
      <c r="M93" s="21">
        <v>7</v>
      </c>
      <c r="N93" s="18">
        <v>0</v>
      </c>
      <c r="O93" s="17">
        <v>7</v>
      </c>
      <c r="P93" s="17">
        <v>0</v>
      </c>
      <c r="Q93" s="17">
        <v>0</v>
      </c>
      <c r="R93" s="17">
        <v>0</v>
      </c>
      <c r="S93" s="17">
        <v>0</v>
      </c>
      <c r="T93" s="17" t="s">
        <v>60</v>
      </c>
      <c r="U93" s="17" t="s">
        <v>60</v>
      </c>
      <c r="V93" s="17" t="s">
        <v>60</v>
      </c>
      <c r="W93" s="17" t="s">
        <v>60</v>
      </c>
      <c r="X93" s="26" t="s">
        <v>60</v>
      </c>
      <c r="Y93" s="26" t="s">
        <v>60</v>
      </c>
      <c r="Z93" s="26" t="s">
        <v>60</v>
      </c>
      <c r="AA93" s="26" t="s">
        <v>60</v>
      </c>
      <c r="AB93" s="17" t="s">
        <v>60</v>
      </c>
      <c r="AC93" s="17" t="s">
        <v>60</v>
      </c>
      <c r="AD93" s="17" t="s">
        <v>60</v>
      </c>
      <c r="AE93" s="17" t="s">
        <v>60</v>
      </c>
      <c r="AF93" s="26" t="s">
        <v>61</v>
      </c>
      <c r="AG93" s="26" t="s">
        <v>61</v>
      </c>
      <c r="AH93" s="26" t="s">
        <v>61</v>
      </c>
      <c r="AI93" s="26" t="s">
        <v>61</v>
      </c>
      <c r="AJ93" s="17">
        <v>9</v>
      </c>
      <c r="AK93" s="17">
        <v>3</v>
      </c>
      <c r="AL93" s="17">
        <v>1</v>
      </c>
      <c r="AM93" s="17">
        <v>6</v>
      </c>
      <c r="AN93" s="26">
        <v>0</v>
      </c>
      <c r="AO93" s="26">
        <v>0</v>
      </c>
      <c r="AP93" s="26">
        <v>0</v>
      </c>
      <c r="AQ93" s="26">
        <v>0</v>
      </c>
      <c r="AR93" s="31">
        <v>0</v>
      </c>
      <c r="AS93" s="31">
        <v>0</v>
      </c>
      <c r="AT93" s="31">
        <v>7</v>
      </c>
      <c r="AU93" s="18" t="s">
        <v>258</v>
      </c>
      <c r="AV93" s="32" t="s">
        <v>63</v>
      </c>
    </row>
    <row r="94" spans="1:48">
      <c r="A94" s="16" t="s">
        <v>294</v>
      </c>
      <c r="B94" s="17" t="s">
        <v>295</v>
      </c>
      <c r="C94" s="17" t="s">
        <v>296</v>
      </c>
      <c r="D94" s="18">
        <v>0</v>
      </c>
      <c r="E94" s="18">
        <v>0</v>
      </c>
      <c r="F94" s="18">
        <v>0</v>
      </c>
      <c r="G94" s="18">
        <v>0</v>
      </c>
      <c r="H94" s="18">
        <v>0</v>
      </c>
      <c r="I94" s="18">
        <v>1</v>
      </c>
      <c r="J94" s="18">
        <v>0</v>
      </c>
      <c r="K94" s="18">
        <v>0</v>
      </c>
      <c r="L94" s="18">
        <v>0</v>
      </c>
      <c r="M94" s="21">
        <v>1</v>
      </c>
      <c r="N94" s="18">
        <v>0</v>
      </c>
      <c r="O94" s="17">
        <v>0</v>
      </c>
      <c r="P94" s="17">
        <v>0</v>
      </c>
      <c r="Q94" s="17">
        <v>0</v>
      </c>
      <c r="R94" s="17">
        <v>0</v>
      </c>
      <c r="S94" s="17">
        <v>0</v>
      </c>
      <c r="T94" s="17" t="s">
        <v>60</v>
      </c>
      <c r="U94" s="17" t="s">
        <v>60</v>
      </c>
      <c r="V94" s="17" t="s">
        <v>60</v>
      </c>
      <c r="W94" s="17" t="s">
        <v>60</v>
      </c>
      <c r="X94" s="26" t="s">
        <v>60</v>
      </c>
      <c r="Y94" s="26" t="s">
        <v>60</v>
      </c>
      <c r="Z94" s="26" t="s">
        <v>60</v>
      </c>
      <c r="AA94" s="26" t="s">
        <v>60</v>
      </c>
      <c r="AB94" s="17" t="s">
        <v>60</v>
      </c>
      <c r="AC94" s="17" t="s">
        <v>60</v>
      </c>
      <c r="AD94" s="17" t="s">
        <v>60</v>
      </c>
      <c r="AE94" s="17" t="s">
        <v>60</v>
      </c>
      <c r="AF94" s="26" t="s">
        <v>61</v>
      </c>
      <c r="AG94" s="26" t="s">
        <v>61</v>
      </c>
      <c r="AH94" s="26" t="s">
        <v>61</v>
      </c>
      <c r="AI94" s="26" t="s">
        <v>61</v>
      </c>
      <c r="AJ94" s="17">
        <v>5</v>
      </c>
      <c r="AK94" s="17">
        <v>2</v>
      </c>
      <c r="AL94" s="17">
        <v>6</v>
      </c>
      <c r="AM94" s="17">
        <v>7</v>
      </c>
      <c r="AN94" s="26">
        <v>0</v>
      </c>
      <c r="AO94" s="26">
        <v>0</v>
      </c>
      <c r="AP94" s="26">
        <v>0</v>
      </c>
      <c r="AQ94" s="26">
        <v>0</v>
      </c>
      <c r="AR94" s="31">
        <v>0</v>
      </c>
      <c r="AS94" s="31">
        <v>0</v>
      </c>
      <c r="AT94" s="31">
        <v>1</v>
      </c>
      <c r="AU94" s="18" t="s">
        <v>102</v>
      </c>
      <c r="AV94" s="32" t="s">
        <v>63</v>
      </c>
    </row>
    <row r="95" spans="1:48">
      <c r="A95" s="16" t="s">
        <v>297</v>
      </c>
      <c r="B95" s="17" t="s">
        <v>298</v>
      </c>
      <c r="C95" s="17" t="s">
        <v>299</v>
      </c>
      <c r="D95" s="18">
        <v>0</v>
      </c>
      <c r="E95" s="18">
        <v>0</v>
      </c>
      <c r="F95" s="18">
        <v>0</v>
      </c>
      <c r="G95" s="18">
        <v>0</v>
      </c>
      <c r="H95" s="18">
        <v>0</v>
      </c>
      <c r="I95" s="18">
        <v>6</v>
      </c>
      <c r="J95" s="18">
        <v>0</v>
      </c>
      <c r="K95" s="18">
        <v>0</v>
      </c>
      <c r="L95" s="18">
        <v>0</v>
      </c>
      <c r="M95" s="21">
        <v>6</v>
      </c>
      <c r="N95" s="18">
        <v>0</v>
      </c>
      <c r="O95" s="17">
        <v>6</v>
      </c>
      <c r="P95" s="17">
        <v>0</v>
      </c>
      <c r="Q95" s="17">
        <v>0</v>
      </c>
      <c r="R95" s="17">
        <v>0</v>
      </c>
      <c r="S95" s="17">
        <v>0</v>
      </c>
      <c r="T95" s="17" t="s">
        <v>60</v>
      </c>
      <c r="U95" s="17" t="s">
        <v>60</v>
      </c>
      <c r="V95" s="17" t="s">
        <v>60</v>
      </c>
      <c r="W95" s="17" t="s">
        <v>60</v>
      </c>
      <c r="X95" s="26" t="s">
        <v>60</v>
      </c>
      <c r="Y95" s="26" t="s">
        <v>60</v>
      </c>
      <c r="Z95" s="26" t="s">
        <v>60</v>
      </c>
      <c r="AA95" s="26" t="s">
        <v>60</v>
      </c>
      <c r="AB95" s="17" t="s">
        <v>60</v>
      </c>
      <c r="AC95" s="17" t="s">
        <v>60</v>
      </c>
      <c r="AD95" s="17" t="s">
        <v>60</v>
      </c>
      <c r="AE95" s="17" t="s">
        <v>60</v>
      </c>
      <c r="AF95" s="26" t="s">
        <v>61</v>
      </c>
      <c r="AG95" s="26" t="s">
        <v>61</v>
      </c>
      <c r="AH95" s="26" t="s">
        <v>61</v>
      </c>
      <c r="AI95" s="26" t="s">
        <v>61</v>
      </c>
      <c r="AJ95" s="17">
        <v>8</v>
      </c>
      <c r="AK95" s="17">
        <v>3</v>
      </c>
      <c r="AL95" s="17">
        <v>5</v>
      </c>
      <c r="AM95" s="17">
        <v>11</v>
      </c>
      <c r="AN95" s="26">
        <v>0</v>
      </c>
      <c r="AO95" s="26">
        <v>0</v>
      </c>
      <c r="AP95" s="26">
        <v>0</v>
      </c>
      <c r="AQ95" s="26">
        <v>0</v>
      </c>
      <c r="AR95" s="31">
        <v>0</v>
      </c>
      <c r="AS95" s="31">
        <v>0</v>
      </c>
      <c r="AT95" s="31">
        <v>6</v>
      </c>
      <c r="AU95" s="18" t="s">
        <v>250</v>
      </c>
      <c r="AV95" s="32" t="s">
        <v>63</v>
      </c>
    </row>
    <row r="96" spans="1:48">
      <c r="A96" s="16" t="s">
        <v>300</v>
      </c>
      <c r="B96" s="17" t="s">
        <v>301</v>
      </c>
      <c r="C96" s="17" t="s">
        <v>302</v>
      </c>
      <c r="D96" s="18">
        <v>0</v>
      </c>
      <c r="E96" s="18">
        <v>0</v>
      </c>
      <c r="F96" s="18">
        <v>0</v>
      </c>
      <c r="G96" s="18">
        <v>0</v>
      </c>
      <c r="H96" s="18">
        <v>0</v>
      </c>
      <c r="I96" s="18">
        <v>6</v>
      </c>
      <c r="J96" s="18">
        <v>0</v>
      </c>
      <c r="K96" s="18">
        <v>0</v>
      </c>
      <c r="L96" s="18">
        <v>0</v>
      </c>
      <c r="M96" s="21">
        <v>6</v>
      </c>
      <c r="N96" s="18">
        <v>0</v>
      </c>
      <c r="O96" s="17">
        <v>6</v>
      </c>
      <c r="P96" s="17">
        <v>0</v>
      </c>
      <c r="Q96" s="17">
        <v>0</v>
      </c>
      <c r="R96" s="17">
        <v>0</v>
      </c>
      <c r="S96" s="17">
        <v>0</v>
      </c>
      <c r="T96" s="17" t="s">
        <v>60</v>
      </c>
      <c r="U96" s="17" t="s">
        <v>60</v>
      </c>
      <c r="V96" s="17" t="s">
        <v>60</v>
      </c>
      <c r="W96" s="17" t="s">
        <v>60</v>
      </c>
      <c r="X96" s="26" t="s">
        <v>60</v>
      </c>
      <c r="Y96" s="26" t="s">
        <v>60</v>
      </c>
      <c r="Z96" s="26" t="s">
        <v>60</v>
      </c>
      <c r="AA96" s="26" t="s">
        <v>60</v>
      </c>
      <c r="AB96" s="17" t="s">
        <v>60</v>
      </c>
      <c r="AC96" s="17" t="s">
        <v>60</v>
      </c>
      <c r="AD96" s="17" t="s">
        <v>60</v>
      </c>
      <c r="AE96" s="17" t="s">
        <v>60</v>
      </c>
      <c r="AF96" s="26" t="s">
        <v>61</v>
      </c>
      <c r="AG96" s="26" t="s">
        <v>61</v>
      </c>
      <c r="AH96" s="26" t="s">
        <v>61</v>
      </c>
      <c r="AI96" s="26" t="s">
        <v>61</v>
      </c>
      <c r="AJ96" s="17">
        <v>7</v>
      </c>
      <c r="AK96" s="17">
        <v>6</v>
      </c>
      <c r="AL96" s="17">
        <v>3</v>
      </c>
      <c r="AM96" s="17">
        <v>3</v>
      </c>
      <c r="AN96" s="26">
        <v>0</v>
      </c>
      <c r="AO96" s="26">
        <v>0</v>
      </c>
      <c r="AP96" s="26">
        <v>0</v>
      </c>
      <c r="AQ96" s="26">
        <v>0</v>
      </c>
      <c r="AR96" s="31">
        <v>0</v>
      </c>
      <c r="AS96" s="31">
        <v>0</v>
      </c>
      <c r="AT96" s="31">
        <v>6</v>
      </c>
      <c r="AU96" s="18" t="s">
        <v>250</v>
      </c>
      <c r="AV96" s="32" t="s">
        <v>63</v>
      </c>
    </row>
    <row r="97" spans="1:48">
      <c r="A97" s="16" t="s">
        <v>303</v>
      </c>
      <c r="B97" s="17" t="s">
        <v>304</v>
      </c>
      <c r="C97" s="17" t="s">
        <v>305</v>
      </c>
      <c r="D97" s="18">
        <v>0</v>
      </c>
      <c r="E97" s="18">
        <v>0</v>
      </c>
      <c r="F97" s="18">
        <v>0</v>
      </c>
      <c r="G97" s="18">
        <v>0</v>
      </c>
      <c r="H97" s="18">
        <v>0</v>
      </c>
      <c r="I97" s="18">
        <v>5</v>
      </c>
      <c r="J97" s="18">
        <v>0</v>
      </c>
      <c r="K97" s="18">
        <v>0</v>
      </c>
      <c r="L97" s="18">
        <v>0</v>
      </c>
      <c r="M97" s="21">
        <v>5</v>
      </c>
      <c r="N97" s="18">
        <v>0</v>
      </c>
      <c r="O97" s="17">
        <v>5</v>
      </c>
      <c r="P97" s="17">
        <v>0</v>
      </c>
      <c r="Q97" s="17">
        <v>0</v>
      </c>
      <c r="R97" s="17">
        <v>0</v>
      </c>
      <c r="S97" s="17">
        <v>0</v>
      </c>
      <c r="T97" s="17" t="s">
        <v>60</v>
      </c>
      <c r="U97" s="17" t="s">
        <v>60</v>
      </c>
      <c r="V97" s="17" t="s">
        <v>60</v>
      </c>
      <c r="W97" s="17" t="s">
        <v>60</v>
      </c>
      <c r="X97" s="26" t="s">
        <v>60</v>
      </c>
      <c r="Y97" s="26" t="s">
        <v>60</v>
      </c>
      <c r="Z97" s="26" t="s">
        <v>60</v>
      </c>
      <c r="AA97" s="26" t="s">
        <v>60</v>
      </c>
      <c r="AB97" s="17" t="s">
        <v>60</v>
      </c>
      <c r="AC97" s="17" t="s">
        <v>60</v>
      </c>
      <c r="AD97" s="17" t="s">
        <v>60</v>
      </c>
      <c r="AE97" s="17" t="s">
        <v>60</v>
      </c>
      <c r="AF97" s="26" t="s">
        <v>61</v>
      </c>
      <c r="AG97" s="26" t="s">
        <v>61</v>
      </c>
      <c r="AH97" s="26" t="s">
        <v>61</v>
      </c>
      <c r="AI97" s="26" t="s">
        <v>61</v>
      </c>
      <c r="AJ97" s="17">
        <v>8</v>
      </c>
      <c r="AK97" s="17">
        <v>4</v>
      </c>
      <c r="AL97" s="17">
        <v>4</v>
      </c>
      <c r="AM97" s="17">
        <v>8</v>
      </c>
      <c r="AN97" s="26">
        <v>0</v>
      </c>
      <c r="AO97" s="26">
        <v>0</v>
      </c>
      <c r="AP97" s="26">
        <v>0</v>
      </c>
      <c r="AQ97" s="26">
        <v>0</v>
      </c>
      <c r="AR97" s="31">
        <v>0</v>
      </c>
      <c r="AS97" s="31">
        <v>0</v>
      </c>
      <c r="AT97" s="31">
        <v>5</v>
      </c>
      <c r="AU97" s="18" t="s">
        <v>280</v>
      </c>
      <c r="AV97" s="32" t="s">
        <v>63</v>
      </c>
    </row>
    <row r="98" spans="1:48">
      <c r="A98" s="16" t="s">
        <v>306</v>
      </c>
      <c r="B98" s="17" t="s">
        <v>307</v>
      </c>
      <c r="C98" s="17" t="s">
        <v>308</v>
      </c>
      <c r="D98" s="18">
        <v>0</v>
      </c>
      <c r="E98" s="18">
        <v>0</v>
      </c>
      <c r="F98" s="18">
        <v>0</v>
      </c>
      <c r="G98" s="18">
        <v>0</v>
      </c>
      <c r="H98" s="18">
        <v>0</v>
      </c>
      <c r="I98" s="18">
        <v>4</v>
      </c>
      <c r="J98" s="18">
        <v>0</v>
      </c>
      <c r="K98" s="18">
        <v>0</v>
      </c>
      <c r="L98" s="18">
        <v>0</v>
      </c>
      <c r="M98" s="21">
        <v>4</v>
      </c>
      <c r="N98" s="18">
        <v>0</v>
      </c>
      <c r="O98" s="17">
        <v>4</v>
      </c>
      <c r="P98" s="17">
        <v>0</v>
      </c>
      <c r="Q98" s="17">
        <v>0</v>
      </c>
      <c r="R98" s="17">
        <v>0</v>
      </c>
      <c r="S98" s="17">
        <v>0</v>
      </c>
      <c r="T98" s="17" t="s">
        <v>60</v>
      </c>
      <c r="U98" s="17" t="s">
        <v>60</v>
      </c>
      <c r="V98" s="17" t="s">
        <v>60</v>
      </c>
      <c r="W98" s="17" t="s">
        <v>60</v>
      </c>
      <c r="X98" s="26" t="s">
        <v>60</v>
      </c>
      <c r="Y98" s="26" t="s">
        <v>60</v>
      </c>
      <c r="Z98" s="26" t="s">
        <v>60</v>
      </c>
      <c r="AA98" s="26" t="s">
        <v>60</v>
      </c>
      <c r="AB98" s="17" t="s">
        <v>60</v>
      </c>
      <c r="AC98" s="17" t="s">
        <v>60</v>
      </c>
      <c r="AD98" s="17" t="s">
        <v>60</v>
      </c>
      <c r="AE98" s="17" t="s">
        <v>60</v>
      </c>
      <c r="AF98" s="26" t="s">
        <v>61</v>
      </c>
      <c r="AG98" s="26" t="s">
        <v>61</v>
      </c>
      <c r="AH98" s="26" t="s">
        <v>61</v>
      </c>
      <c r="AI98" s="26" t="s">
        <v>61</v>
      </c>
      <c r="AJ98" s="17">
        <v>8</v>
      </c>
      <c r="AK98" s="17">
        <v>7</v>
      </c>
      <c r="AL98" s="17">
        <v>4</v>
      </c>
      <c r="AM98" s="17">
        <v>12</v>
      </c>
      <c r="AN98" s="26">
        <v>0</v>
      </c>
      <c r="AO98" s="26">
        <v>0</v>
      </c>
      <c r="AP98" s="26">
        <v>0</v>
      </c>
      <c r="AQ98" s="26">
        <v>0</v>
      </c>
      <c r="AR98" s="31">
        <v>0</v>
      </c>
      <c r="AS98" s="31">
        <v>0</v>
      </c>
      <c r="AT98" s="31">
        <v>4</v>
      </c>
      <c r="AU98" s="18" t="s">
        <v>309</v>
      </c>
      <c r="AV98" s="32" t="s">
        <v>63</v>
      </c>
    </row>
    <row r="99" spans="1:48">
      <c r="A99" s="16" t="s">
        <v>310</v>
      </c>
      <c r="B99" s="17" t="s">
        <v>311</v>
      </c>
      <c r="C99" s="17" t="s">
        <v>312</v>
      </c>
      <c r="D99" s="18">
        <v>0</v>
      </c>
      <c r="E99" s="18">
        <v>0</v>
      </c>
      <c r="F99" s="18">
        <v>0</v>
      </c>
      <c r="G99" s="18">
        <v>0</v>
      </c>
      <c r="H99" s="18">
        <v>0</v>
      </c>
      <c r="I99" s="18">
        <v>1</v>
      </c>
      <c r="J99" s="18">
        <v>0</v>
      </c>
      <c r="K99" s="18">
        <v>0</v>
      </c>
      <c r="L99" s="18">
        <v>0</v>
      </c>
      <c r="M99" s="21">
        <v>1</v>
      </c>
      <c r="N99" s="18">
        <v>0</v>
      </c>
      <c r="O99" s="17">
        <v>0</v>
      </c>
      <c r="P99" s="17">
        <v>0</v>
      </c>
      <c r="Q99" s="17">
        <v>0</v>
      </c>
      <c r="R99" s="17">
        <v>0</v>
      </c>
      <c r="S99" s="17">
        <v>0</v>
      </c>
      <c r="T99" s="17" t="s">
        <v>60</v>
      </c>
      <c r="U99" s="17" t="s">
        <v>60</v>
      </c>
      <c r="V99" s="17" t="s">
        <v>60</v>
      </c>
      <c r="W99" s="17" t="s">
        <v>60</v>
      </c>
      <c r="X99" s="26" t="s">
        <v>60</v>
      </c>
      <c r="Y99" s="26" t="s">
        <v>60</v>
      </c>
      <c r="Z99" s="26" t="s">
        <v>60</v>
      </c>
      <c r="AA99" s="26" t="s">
        <v>60</v>
      </c>
      <c r="AB99" s="17" t="s">
        <v>60</v>
      </c>
      <c r="AC99" s="17" t="s">
        <v>60</v>
      </c>
      <c r="AD99" s="17" t="s">
        <v>60</v>
      </c>
      <c r="AE99" s="17" t="s">
        <v>60</v>
      </c>
      <c r="AF99" s="26" t="s">
        <v>61</v>
      </c>
      <c r="AG99" s="26" t="s">
        <v>61</v>
      </c>
      <c r="AH99" s="26" t="s">
        <v>61</v>
      </c>
      <c r="AI99" s="26" t="s">
        <v>61</v>
      </c>
      <c r="AJ99" s="17">
        <v>2</v>
      </c>
      <c r="AK99" s="17">
        <v>5</v>
      </c>
      <c r="AL99" s="17">
        <v>5</v>
      </c>
      <c r="AM99" s="17">
        <v>9</v>
      </c>
      <c r="AN99" s="26">
        <v>0</v>
      </c>
      <c r="AO99" s="26">
        <v>0</v>
      </c>
      <c r="AP99" s="26">
        <v>0</v>
      </c>
      <c r="AQ99" s="26">
        <v>0</v>
      </c>
      <c r="AR99" s="31">
        <v>0</v>
      </c>
      <c r="AS99" s="31">
        <v>0</v>
      </c>
      <c r="AT99" s="31">
        <v>1</v>
      </c>
      <c r="AU99" s="18" t="s">
        <v>102</v>
      </c>
      <c r="AV99" s="32" t="s">
        <v>63</v>
      </c>
    </row>
    <row r="100" spans="1:48">
      <c r="A100" s="16" t="s">
        <v>313</v>
      </c>
      <c r="B100" s="17" t="s">
        <v>314</v>
      </c>
      <c r="C100" s="17" t="s">
        <v>315</v>
      </c>
      <c r="D100" s="18">
        <v>0</v>
      </c>
      <c r="E100" s="18">
        <v>0</v>
      </c>
      <c r="F100" s="18">
        <v>0</v>
      </c>
      <c r="G100" s="18">
        <v>0</v>
      </c>
      <c r="H100" s="18">
        <v>0</v>
      </c>
      <c r="I100" s="18">
        <v>1</v>
      </c>
      <c r="J100" s="18">
        <v>0</v>
      </c>
      <c r="K100" s="18">
        <v>0</v>
      </c>
      <c r="L100" s="18">
        <v>0</v>
      </c>
      <c r="M100" s="21">
        <v>1</v>
      </c>
      <c r="N100" s="18">
        <v>0</v>
      </c>
      <c r="O100" s="17">
        <v>0</v>
      </c>
      <c r="P100" s="17">
        <v>0</v>
      </c>
      <c r="Q100" s="17">
        <v>0</v>
      </c>
      <c r="R100" s="17">
        <v>0</v>
      </c>
      <c r="S100" s="17">
        <v>0</v>
      </c>
      <c r="T100" s="17" t="s">
        <v>60</v>
      </c>
      <c r="U100" s="17" t="s">
        <v>60</v>
      </c>
      <c r="V100" s="17" t="s">
        <v>60</v>
      </c>
      <c r="W100" s="17" t="s">
        <v>60</v>
      </c>
      <c r="X100" s="26" t="s">
        <v>60</v>
      </c>
      <c r="Y100" s="26" t="s">
        <v>60</v>
      </c>
      <c r="Z100" s="26" t="s">
        <v>60</v>
      </c>
      <c r="AA100" s="26" t="s">
        <v>60</v>
      </c>
      <c r="AB100" s="17" t="s">
        <v>60</v>
      </c>
      <c r="AC100" s="17" t="s">
        <v>60</v>
      </c>
      <c r="AD100" s="17" t="s">
        <v>60</v>
      </c>
      <c r="AE100" s="17" t="s">
        <v>60</v>
      </c>
      <c r="AF100" s="26" t="s">
        <v>61</v>
      </c>
      <c r="AG100" s="26" t="s">
        <v>61</v>
      </c>
      <c r="AH100" s="26" t="s">
        <v>61</v>
      </c>
      <c r="AI100" s="26" t="s">
        <v>61</v>
      </c>
      <c r="AJ100" s="17">
        <v>5</v>
      </c>
      <c r="AK100" s="17">
        <v>0</v>
      </c>
      <c r="AL100" s="17">
        <v>0</v>
      </c>
      <c r="AM100" s="17">
        <v>3</v>
      </c>
      <c r="AN100" s="26">
        <v>0</v>
      </c>
      <c r="AO100" s="26" t="s">
        <v>60</v>
      </c>
      <c r="AP100" s="26" t="s">
        <v>60</v>
      </c>
      <c r="AQ100" s="26">
        <v>0</v>
      </c>
      <c r="AR100" s="31">
        <v>0</v>
      </c>
      <c r="AS100" s="31">
        <v>0</v>
      </c>
      <c r="AT100" s="31">
        <v>1</v>
      </c>
      <c r="AU100" s="18" t="s">
        <v>102</v>
      </c>
      <c r="AV100" s="32" t="s">
        <v>63</v>
      </c>
    </row>
    <row r="101" spans="1:48">
      <c r="A101" s="16" t="s">
        <v>316</v>
      </c>
      <c r="B101" s="17" t="s">
        <v>317</v>
      </c>
      <c r="C101" s="17" t="s">
        <v>318</v>
      </c>
      <c r="D101" s="18">
        <v>0</v>
      </c>
      <c r="E101" s="18">
        <v>1</v>
      </c>
      <c r="F101" s="18">
        <v>0</v>
      </c>
      <c r="G101" s="18">
        <v>0</v>
      </c>
      <c r="H101" s="18">
        <v>42.49</v>
      </c>
      <c r="I101" s="18">
        <v>4</v>
      </c>
      <c r="J101" s="18">
        <v>0</v>
      </c>
      <c r="K101" s="18">
        <v>0</v>
      </c>
      <c r="L101" s="18">
        <v>0</v>
      </c>
      <c r="M101" s="21">
        <v>4</v>
      </c>
      <c r="N101" s="18">
        <v>0</v>
      </c>
      <c r="O101" s="17">
        <v>4</v>
      </c>
      <c r="P101" s="17">
        <v>0</v>
      </c>
      <c r="Q101" s="17">
        <v>0</v>
      </c>
      <c r="R101" s="17">
        <v>0</v>
      </c>
      <c r="S101" s="17">
        <v>0</v>
      </c>
      <c r="T101" s="17" t="s">
        <v>60</v>
      </c>
      <c r="U101" s="17" t="s">
        <v>60</v>
      </c>
      <c r="V101" s="17" t="s">
        <v>60</v>
      </c>
      <c r="W101" s="17" t="s">
        <v>60</v>
      </c>
      <c r="X101" s="26" t="s">
        <v>60</v>
      </c>
      <c r="Y101" s="26" t="s">
        <v>60</v>
      </c>
      <c r="Z101" s="26" t="s">
        <v>60</v>
      </c>
      <c r="AA101" s="26" t="s">
        <v>60</v>
      </c>
      <c r="AB101" s="17" t="s">
        <v>60</v>
      </c>
      <c r="AC101" s="17" t="s">
        <v>60</v>
      </c>
      <c r="AD101" s="17" t="s">
        <v>60</v>
      </c>
      <c r="AE101" s="17" t="s">
        <v>60</v>
      </c>
      <c r="AF101" s="26" t="s">
        <v>61</v>
      </c>
      <c r="AG101" s="26" t="s">
        <v>60</v>
      </c>
      <c r="AH101" s="26" t="s">
        <v>61</v>
      </c>
      <c r="AI101" s="26" t="s">
        <v>61</v>
      </c>
      <c r="AJ101" s="17">
        <v>6</v>
      </c>
      <c r="AK101" s="17">
        <v>7</v>
      </c>
      <c r="AL101" s="17">
        <v>5</v>
      </c>
      <c r="AM101" s="17">
        <v>8</v>
      </c>
      <c r="AN101" s="26">
        <v>0</v>
      </c>
      <c r="AO101" s="26">
        <v>0.142857142857143</v>
      </c>
      <c r="AP101" s="26">
        <v>0</v>
      </c>
      <c r="AQ101" s="26">
        <v>0</v>
      </c>
      <c r="AR101" s="31">
        <v>0</v>
      </c>
      <c r="AS101" s="31">
        <v>0</v>
      </c>
      <c r="AT101" s="31">
        <v>4</v>
      </c>
      <c r="AU101" s="18" t="s">
        <v>309</v>
      </c>
      <c r="AV101" s="32" t="s">
        <v>63</v>
      </c>
    </row>
    <row r="102" spans="1:48">
      <c r="A102" s="16" t="s">
        <v>319</v>
      </c>
      <c r="B102" s="17" t="s">
        <v>320</v>
      </c>
      <c r="C102" s="17" t="s">
        <v>321</v>
      </c>
      <c r="D102" s="18">
        <v>0</v>
      </c>
      <c r="E102" s="18">
        <v>0</v>
      </c>
      <c r="F102" s="18">
        <v>0</v>
      </c>
      <c r="G102" s="18">
        <v>0</v>
      </c>
      <c r="H102" s="18">
        <v>0</v>
      </c>
      <c r="I102" s="18">
        <v>8</v>
      </c>
      <c r="J102" s="18">
        <v>0</v>
      </c>
      <c r="K102" s="18">
        <v>0</v>
      </c>
      <c r="L102" s="18">
        <v>0</v>
      </c>
      <c r="M102" s="21">
        <v>8</v>
      </c>
      <c r="N102" s="18">
        <v>0</v>
      </c>
      <c r="O102" s="17">
        <v>8</v>
      </c>
      <c r="P102" s="17">
        <v>0</v>
      </c>
      <c r="Q102" s="17">
        <v>0</v>
      </c>
      <c r="R102" s="17">
        <v>0</v>
      </c>
      <c r="S102" s="17">
        <v>0</v>
      </c>
      <c r="T102" s="17" t="s">
        <v>60</v>
      </c>
      <c r="U102" s="17" t="s">
        <v>60</v>
      </c>
      <c r="V102" s="17" t="s">
        <v>60</v>
      </c>
      <c r="W102" s="17" t="s">
        <v>60</v>
      </c>
      <c r="X102" s="26" t="s">
        <v>60</v>
      </c>
      <c r="Y102" s="26" t="s">
        <v>60</v>
      </c>
      <c r="Z102" s="26" t="s">
        <v>60</v>
      </c>
      <c r="AA102" s="26" t="s">
        <v>60</v>
      </c>
      <c r="AB102" s="17" t="s">
        <v>60</v>
      </c>
      <c r="AC102" s="17" t="s">
        <v>60</v>
      </c>
      <c r="AD102" s="17" t="s">
        <v>60</v>
      </c>
      <c r="AE102" s="17" t="s">
        <v>60</v>
      </c>
      <c r="AF102" s="26" t="s">
        <v>61</v>
      </c>
      <c r="AG102" s="26" t="s">
        <v>61</v>
      </c>
      <c r="AH102" s="26" t="s">
        <v>61</v>
      </c>
      <c r="AI102" s="26" t="s">
        <v>61</v>
      </c>
      <c r="AJ102" s="17">
        <v>9</v>
      </c>
      <c r="AK102" s="17">
        <v>2</v>
      </c>
      <c r="AL102" s="17">
        <v>5</v>
      </c>
      <c r="AM102" s="17">
        <v>6</v>
      </c>
      <c r="AN102" s="26">
        <v>0</v>
      </c>
      <c r="AO102" s="26">
        <v>0</v>
      </c>
      <c r="AP102" s="26">
        <v>0</v>
      </c>
      <c r="AQ102" s="26">
        <v>0</v>
      </c>
      <c r="AR102" s="31">
        <v>0</v>
      </c>
      <c r="AS102" s="31">
        <v>0</v>
      </c>
      <c r="AT102" s="31">
        <v>8</v>
      </c>
      <c r="AU102" s="18" t="s">
        <v>254</v>
      </c>
      <c r="AV102" s="32" t="s">
        <v>63</v>
      </c>
    </row>
    <row r="103" spans="1:48">
      <c r="A103" s="16" t="s">
        <v>322</v>
      </c>
      <c r="B103" s="17" t="s">
        <v>323</v>
      </c>
      <c r="C103" s="17" t="s">
        <v>324</v>
      </c>
      <c r="D103" s="18">
        <v>0</v>
      </c>
      <c r="E103" s="18">
        <v>0</v>
      </c>
      <c r="F103" s="18">
        <v>0</v>
      </c>
      <c r="G103" s="18">
        <v>0</v>
      </c>
      <c r="H103" s="18">
        <v>0</v>
      </c>
      <c r="I103" s="18">
        <v>1</v>
      </c>
      <c r="J103" s="18">
        <v>0</v>
      </c>
      <c r="K103" s="18">
        <v>0</v>
      </c>
      <c r="L103" s="18">
        <v>0</v>
      </c>
      <c r="M103" s="21">
        <v>1</v>
      </c>
      <c r="N103" s="18">
        <v>0</v>
      </c>
      <c r="O103" s="17">
        <v>0</v>
      </c>
      <c r="P103" s="17">
        <v>0</v>
      </c>
      <c r="Q103" s="17">
        <v>0</v>
      </c>
      <c r="R103" s="17">
        <v>0</v>
      </c>
      <c r="S103" s="17">
        <v>0</v>
      </c>
      <c r="T103" s="17" t="s">
        <v>60</v>
      </c>
      <c r="U103" s="17" t="s">
        <v>60</v>
      </c>
      <c r="V103" s="17" t="s">
        <v>60</v>
      </c>
      <c r="W103" s="17" t="s">
        <v>60</v>
      </c>
      <c r="X103" s="26" t="s">
        <v>60</v>
      </c>
      <c r="Y103" s="26" t="s">
        <v>60</v>
      </c>
      <c r="Z103" s="26" t="s">
        <v>60</v>
      </c>
      <c r="AA103" s="26" t="s">
        <v>60</v>
      </c>
      <c r="AB103" s="17" t="s">
        <v>60</v>
      </c>
      <c r="AC103" s="17" t="s">
        <v>60</v>
      </c>
      <c r="AD103" s="17" t="s">
        <v>60</v>
      </c>
      <c r="AE103" s="17" t="s">
        <v>60</v>
      </c>
      <c r="AF103" s="26" t="s">
        <v>61</v>
      </c>
      <c r="AG103" s="26" t="s">
        <v>61</v>
      </c>
      <c r="AH103" s="26" t="s">
        <v>61</v>
      </c>
      <c r="AI103" s="26" t="s">
        <v>61</v>
      </c>
      <c r="AJ103" s="17">
        <v>8</v>
      </c>
      <c r="AK103" s="17">
        <v>3</v>
      </c>
      <c r="AL103" s="17">
        <v>3</v>
      </c>
      <c r="AM103" s="17">
        <v>6</v>
      </c>
      <c r="AN103" s="26">
        <v>0</v>
      </c>
      <c r="AO103" s="26">
        <v>0</v>
      </c>
      <c r="AP103" s="26">
        <v>0</v>
      </c>
      <c r="AQ103" s="26">
        <v>0</v>
      </c>
      <c r="AR103" s="31">
        <v>0</v>
      </c>
      <c r="AS103" s="31">
        <v>0</v>
      </c>
      <c r="AT103" s="31">
        <v>1</v>
      </c>
      <c r="AU103" s="18" t="s">
        <v>102</v>
      </c>
      <c r="AV103" s="32" t="s">
        <v>63</v>
      </c>
    </row>
    <row r="104" spans="1:48">
      <c r="A104" s="16" t="s">
        <v>325</v>
      </c>
      <c r="B104" s="17" t="s">
        <v>326</v>
      </c>
      <c r="C104" s="17" t="s">
        <v>327</v>
      </c>
      <c r="D104" s="18">
        <v>0</v>
      </c>
      <c r="E104" s="18">
        <v>0</v>
      </c>
      <c r="F104" s="18">
        <v>0</v>
      </c>
      <c r="G104" s="18">
        <v>0</v>
      </c>
      <c r="H104" s="18">
        <v>0</v>
      </c>
      <c r="I104" s="18">
        <v>0</v>
      </c>
      <c r="J104" s="18">
        <v>0</v>
      </c>
      <c r="K104" s="18">
        <v>0</v>
      </c>
      <c r="L104" s="18">
        <v>0</v>
      </c>
      <c r="M104" s="21">
        <v>0</v>
      </c>
      <c r="N104" s="18">
        <v>0</v>
      </c>
      <c r="O104" s="17">
        <v>0</v>
      </c>
      <c r="P104" s="17">
        <v>0</v>
      </c>
      <c r="Q104" s="17">
        <v>0</v>
      </c>
      <c r="R104" s="17">
        <v>0</v>
      </c>
      <c r="S104" s="17">
        <v>0</v>
      </c>
      <c r="T104" s="17" t="s">
        <v>60</v>
      </c>
      <c r="U104" s="17" t="s">
        <v>60</v>
      </c>
      <c r="V104" s="17" t="s">
        <v>60</v>
      </c>
      <c r="W104" s="17" t="s">
        <v>60</v>
      </c>
      <c r="X104" s="26" t="s">
        <v>60</v>
      </c>
      <c r="Y104" s="26" t="s">
        <v>60</v>
      </c>
      <c r="Z104" s="26" t="s">
        <v>60</v>
      </c>
      <c r="AA104" s="26" t="s">
        <v>60</v>
      </c>
      <c r="AB104" s="17" t="s">
        <v>60</v>
      </c>
      <c r="AC104" s="17" t="s">
        <v>60</v>
      </c>
      <c r="AD104" s="17" t="s">
        <v>60</v>
      </c>
      <c r="AE104" s="17" t="s">
        <v>60</v>
      </c>
      <c r="AF104" s="26" t="s">
        <v>61</v>
      </c>
      <c r="AG104" s="26" t="s">
        <v>61</v>
      </c>
      <c r="AH104" s="26" t="s">
        <v>61</v>
      </c>
      <c r="AI104" s="26" t="s">
        <v>61</v>
      </c>
      <c r="AJ104" s="17">
        <v>3</v>
      </c>
      <c r="AK104" s="17">
        <v>2</v>
      </c>
      <c r="AL104" s="17">
        <v>4</v>
      </c>
      <c r="AM104" s="17">
        <v>4</v>
      </c>
      <c r="AN104" s="26">
        <v>0</v>
      </c>
      <c r="AO104" s="26">
        <v>0</v>
      </c>
      <c r="AP104" s="26">
        <v>0</v>
      </c>
      <c r="AQ104" s="26">
        <v>0</v>
      </c>
      <c r="AR104" s="31">
        <v>0</v>
      </c>
      <c r="AS104" s="31">
        <v>0</v>
      </c>
      <c r="AT104" s="31">
        <v>0</v>
      </c>
      <c r="AU104" s="18" t="s">
        <v>62</v>
      </c>
      <c r="AV104" s="32" t="s">
        <v>63</v>
      </c>
    </row>
    <row r="105" spans="1:48">
      <c r="A105" s="16" t="s">
        <v>328</v>
      </c>
      <c r="B105" s="17" t="s">
        <v>329</v>
      </c>
      <c r="C105" s="17" t="s">
        <v>330</v>
      </c>
      <c r="D105" s="18">
        <v>0</v>
      </c>
      <c r="E105" s="18">
        <v>0</v>
      </c>
      <c r="F105" s="18">
        <v>1</v>
      </c>
      <c r="G105" s="18">
        <v>0</v>
      </c>
      <c r="H105" s="18">
        <v>39.99</v>
      </c>
      <c r="I105" s="18">
        <v>10</v>
      </c>
      <c r="J105" s="18">
        <v>0</v>
      </c>
      <c r="K105" s="18">
        <v>0</v>
      </c>
      <c r="L105" s="18">
        <v>0</v>
      </c>
      <c r="M105" s="21">
        <v>10</v>
      </c>
      <c r="N105" s="18">
        <v>0</v>
      </c>
      <c r="O105" s="17">
        <v>10</v>
      </c>
      <c r="P105" s="17">
        <v>0</v>
      </c>
      <c r="Q105" s="17">
        <v>0</v>
      </c>
      <c r="R105" s="17">
        <v>0</v>
      </c>
      <c r="S105" s="17">
        <v>0</v>
      </c>
      <c r="T105" s="17" t="s">
        <v>60</v>
      </c>
      <c r="U105" s="17" t="s">
        <v>60</v>
      </c>
      <c r="V105" s="17" t="s">
        <v>60</v>
      </c>
      <c r="W105" s="17" t="s">
        <v>60</v>
      </c>
      <c r="X105" s="26" t="s">
        <v>60</v>
      </c>
      <c r="Y105" s="26" t="s">
        <v>60</v>
      </c>
      <c r="Z105" s="26" t="s">
        <v>60</v>
      </c>
      <c r="AA105" s="26" t="s">
        <v>60</v>
      </c>
      <c r="AB105" s="17" t="s">
        <v>60</v>
      </c>
      <c r="AC105" s="17" t="s">
        <v>60</v>
      </c>
      <c r="AD105" s="17" t="s">
        <v>60</v>
      </c>
      <c r="AE105" s="17" t="s">
        <v>60</v>
      </c>
      <c r="AF105" s="26" t="s">
        <v>61</v>
      </c>
      <c r="AG105" s="26" t="s">
        <v>61</v>
      </c>
      <c r="AH105" s="26" t="s">
        <v>60</v>
      </c>
      <c r="AI105" s="26" t="s">
        <v>61</v>
      </c>
      <c r="AJ105" s="17">
        <v>7</v>
      </c>
      <c r="AK105" s="17">
        <v>1</v>
      </c>
      <c r="AL105" s="17">
        <v>5</v>
      </c>
      <c r="AM105" s="17">
        <v>3</v>
      </c>
      <c r="AN105" s="26">
        <v>0</v>
      </c>
      <c r="AO105" s="26">
        <v>0</v>
      </c>
      <c r="AP105" s="26">
        <v>0.2</v>
      </c>
      <c r="AQ105" s="26">
        <v>0</v>
      </c>
      <c r="AR105" s="31">
        <v>0</v>
      </c>
      <c r="AS105" s="31">
        <v>0</v>
      </c>
      <c r="AT105" s="31">
        <v>10</v>
      </c>
      <c r="AU105" s="18" t="s">
        <v>331</v>
      </c>
      <c r="AV105" s="32" t="s">
        <v>63</v>
      </c>
    </row>
    <row r="106" spans="1:48">
      <c r="A106" s="16" t="s">
        <v>332</v>
      </c>
      <c r="B106" s="17" t="s">
        <v>333</v>
      </c>
      <c r="C106" s="17" t="s">
        <v>334</v>
      </c>
      <c r="D106" s="18">
        <v>0</v>
      </c>
      <c r="E106" s="18">
        <v>0</v>
      </c>
      <c r="F106" s="18">
        <v>0</v>
      </c>
      <c r="G106" s="18">
        <v>0</v>
      </c>
      <c r="H106" s="18">
        <v>0</v>
      </c>
      <c r="I106" s="18">
        <v>13</v>
      </c>
      <c r="J106" s="18">
        <v>0</v>
      </c>
      <c r="K106" s="18">
        <v>0</v>
      </c>
      <c r="L106" s="18">
        <v>0</v>
      </c>
      <c r="M106" s="21">
        <v>13</v>
      </c>
      <c r="N106" s="18">
        <v>0</v>
      </c>
      <c r="O106" s="17">
        <v>12</v>
      </c>
      <c r="P106" s="17">
        <v>0</v>
      </c>
      <c r="Q106" s="17">
        <v>0</v>
      </c>
      <c r="R106" s="17">
        <v>0</v>
      </c>
      <c r="S106" s="17">
        <v>0</v>
      </c>
      <c r="T106" s="17" t="s">
        <v>60</v>
      </c>
      <c r="U106" s="17" t="s">
        <v>60</v>
      </c>
      <c r="V106" s="17" t="s">
        <v>60</v>
      </c>
      <c r="W106" s="17" t="s">
        <v>60</v>
      </c>
      <c r="X106" s="26" t="s">
        <v>60</v>
      </c>
      <c r="Y106" s="26" t="s">
        <v>60</v>
      </c>
      <c r="Z106" s="26" t="s">
        <v>60</v>
      </c>
      <c r="AA106" s="26" t="s">
        <v>60</v>
      </c>
      <c r="AB106" s="17" t="s">
        <v>60</v>
      </c>
      <c r="AC106" s="17" t="s">
        <v>60</v>
      </c>
      <c r="AD106" s="17" t="s">
        <v>60</v>
      </c>
      <c r="AE106" s="17" t="s">
        <v>60</v>
      </c>
      <c r="AF106" s="26" t="s">
        <v>61</v>
      </c>
      <c r="AG106" s="26" t="s">
        <v>61</v>
      </c>
      <c r="AH106" s="26" t="s">
        <v>61</v>
      </c>
      <c r="AI106" s="26" t="s">
        <v>61</v>
      </c>
      <c r="AJ106" s="17">
        <v>6</v>
      </c>
      <c r="AK106" s="17">
        <v>3</v>
      </c>
      <c r="AL106" s="17">
        <v>4</v>
      </c>
      <c r="AM106" s="17">
        <v>8</v>
      </c>
      <c r="AN106" s="26">
        <v>0</v>
      </c>
      <c r="AO106" s="26">
        <v>0</v>
      </c>
      <c r="AP106" s="26">
        <v>0</v>
      </c>
      <c r="AQ106" s="26">
        <v>0</v>
      </c>
      <c r="AR106" s="31">
        <v>0</v>
      </c>
      <c r="AS106" s="31">
        <v>0</v>
      </c>
      <c r="AT106" s="31">
        <v>13</v>
      </c>
      <c r="AU106" s="18" t="s">
        <v>243</v>
      </c>
      <c r="AV106" s="32" t="s">
        <v>63</v>
      </c>
    </row>
    <row r="107" spans="1:48">
      <c r="A107" s="16" t="s">
        <v>335</v>
      </c>
      <c r="B107" s="17" t="s">
        <v>336</v>
      </c>
      <c r="C107" s="17" t="s">
        <v>337</v>
      </c>
      <c r="D107" s="18">
        <v>0</v>
      </c>
      <c r="E107" s="18">
        <v>0</v>
      </c>
      <c r="F107" s="18">
        <v>0</v>
      </c>
      <c r="G107" s="18">
        <v>0</v>
      </c>
      <c r="H107" s="18">
        <v>0</v>
      </c>
      <c r="I107" s="18">
        <v>15</v>
      </c>
      <c r="J107" s="18">
        <v>0</v>
      </c>
      <c r="K107" s="18">
        <v>0</v>
      </c>
      <c r="L107" s="18">
        <v>0</v>
      </c>
      <c r="M107" s="21">
        <v>15</v>
      </c>
      <c r="N107" s="18">
        <v>0</v>
      </c>
      <c r="O107" s="17">
        <v>15</v>
      </c>
      <c r="P107" s="17">
        <v>0</v>
      </c>
      <c r="Q107" s="17">
        <v>0</v>
      </c>
      <c r="R107" s="17">
        <v>0</v>
      </c>
      <c r="S107" s="17">
        <v>0</v>
      </c>
      <c r="T107" s="17" t="s">
        <v>60</v>
      </c>
      <c r="U107" s="17" t="s">
        <v>60</v>
      </c>
      <c r="V107" s="17" t="s">
        <v>60</v>
      </c>
      <c r="W107" s="17" t="s">
        <v>60</v>
      </c>
      <c r="X107" s="26" t="s">
        <v>60</v>
      </c>
      <c r="Y107" s="26" t="s">
        <v>60</v>
      </c>
      <c r="Z107" s="26" t="s">
        <v>60</v>
      </c>
      <c r="AA107" s="26" t="s">
        <v>60</v>
      </c>
      <c r="AB107" s="17" t="s">
        <v>60</v>
      </c>
      <c r="AC107" s="17" t="s">
        <v>60</v>
      </c>
      <c r="AD107" s="17" t="s">
        <v>60</v>
      </c>
      <c r="AE107" s="17" t="s">
        <v>60</v>
      </c>
      <c r="AF107" s="26" t="s">
        <v>61</v>
      </c>
      <c r="AG107" s="26" t="s">
        <v>61</v>
      </c>
      <c r="AH107" s="26" t="s">
        <v>61</v>
      </c>
      <c r="AI107" s="26" t="s">
        <v>61</v>
      </c>
      <c r="AJ107" s="17">
        <v>7</v>
      </c>
      <c r="AK107" s="17">
        <v>3</v>
      </c>
      <c r="AL107" s="17">
        <v>6</v>
      </c>
      <c r="AM107" s="17">
        <v>11</v>
      </c>
      <c r="AN107" s="26">
        <v>0</v>
      </c>
      <c r="AO107" s="26">
        <v>0</v>
      </c>
      <c r="AP107" s="26">
        <v>0</v>
      </c>
      <c r="AQ107" s="26">
        <v>0</v>
      </c>
      <c r="AR107" s="31">
        <v>0</v>
      </c>
      <c r="AS107" s="31">
        <v>0</v>
      </c>
      <c r="AT107" s="31">
        <v>15</v>
      </c>
      <c r="AU107" s="18" t="s">
        <v>338</v>
      </c>
      <c r="AV107" s="32" t="s">
        <v>63</v>
      </c>
    </row>
    <row r="108" spans="1:48">
      <c r="A108" s="16" t="s">
        <v>339</v>
      </c>
      <c r="B108" s="17" t="s">
        <v>340</v>
      </c>
      <c r="C108" s="17" t="s">
        <v>341</v>
      </c>
      <c r="D108" s="18">
        <v>0</v>
      </c>
      <c r="E108" s="18">
        <v>0</v>
      </c>
      <c r="F108" s="18">
        <v>0</v>
      </c>
      <c r="G108" s="18">
        <v>0</v>
      </c>
      <c r="H108" s="18">
        <v>0</v>
      </c>
      <c r="I108" s="18">
        <v>15</v>
      </c>
      <c r="J108" s="18">
        <v>0</v>
      </c>
      <c r="K108" s="18">
        <v>0</v>
      </c>
      <c r="L108" s="18">
        <v>0</v>
      </c>
      <c r="M108" s="21">
        <v>15</v>
      </c>
      <c r="N108" s="18">
        <v>0</v>
      </c>
      <c r="O108" s="17">
        <v>14</v>
      </c>
      <c r="P108" s="17">
        <v>0</v>
      </c>
      <c r="Q108" s="17">
        <v>0</v>
      </c>
      <c r="R108" s="17">
        <v>0</v>
      </c>
      <c r="S108" s="17">
        <v>0</v>
      </c>
      <c r="T108" s="17" t="s">
        <v>60</v>
      </c>
      <c r="U108" s="17" t="s">
        <v>60</v>
      </c>
      <c r="V108" s="17" t="s">
        <v>60</v>
      </c>
      <c r="W108" s="17" t="s">
        <v>60</v>
      </c>
      <c r="X108" s="26" t="s">
        <v>60</v>
      </c>
      <c r="Y108" s="26" t="s">
        <v>60</v>
      </c>
      <c r="Z108" s="26" t="s">
        <v>60</v>
      </c>
      <c r="AA108" s="26" t="s">
        <v>60</v>
      </c>
      <c r="AB108" s="17" t="s">
        <v>60</v>
      </c>
      <c r="AC108" s="17" t="s">
        <v>60</v>
      </c>
      <c r="AD108" s="17" t="s">
        <v>60</v>
      </c>
      <c r="AE108" s="17" t="s">
        <v>60</v>
      </c>
      <c r="AF108" s="26" t="s">
        <v>61</v>
      </c>
      <c r="AG108" s="26" t="s">
        <v>61</v>
      </c>
      <c r="AH108" s="26" t="s">
        <v>61</v>
      </c>
      <c r="AI108" s="26" t="s">
        <v>61</v>
      </c>
      <c r="AJ108" s="17">
        <v>10</v>
      </c>
      <c r="AK108" s="17">
        <v>7</v>
      </c>
      <c r="AL108" s="17">
        <v>7</v>
      </c>
      <c r="AM108" s="17">
        <v>8</v>
      </c>
      <c r="AN108" s="26">
        <v>0</v>
      </c>
      <c r="AO108" s="26">
        <v>0</v>
      </c>
      <c r="AP108" s="26">
        <v>0</v>
      </c>
      <c r="AQ108" s="26">
        <v>0</v>
      </c>
      <c r="AR108" s="31">
        <v>0</v>
      </c>
      <c r="AS108" s="31">
        <v>0</v>
      </c>
      <c r="AT108" s="31">
        <v>15</v>
      </c>
      <c r="AU108" s="18" t="s">
        <v>338</v>
      </c>
      <c r="AV108" s="32" t="s">
        <v>63</v>
      </c>
    </row>
    <row r="109" spans="1:48">
      <c r="A109" s="16" t="s">
        <v>342</v>
      </c>
      <c r="B109" s="17" t="s">
        <v>343</v>
      </c>
      <c r="C109" s="17" t="s">
        <v>344</v>
      </c>
      <c r="D109" s="18">
        <v>0</v>
      </c>
      <c r="E109" s="18">
        <v>0</v>
      </c>
      <c r="F109" s="18">
        <v>0</v>
      </c>
      <c r="G109" s="18">
        <v>0</v>
      </c>
      <c r="H109" s="18">
        <v>0</v>
      </c>
      <c r="I109" s="18">
        <v>12</v>
      </c>
      <c r="J109" s="18">
        <v>0</v>
      </c>
      <c r="K109" s="18">
        <v>0</v>
      </c>
      <c r="L109" s="18">
        <v>0</v>
      </c>
      <c r="M109" s="21">
        <v>12</v>
      </c>
      <c r="N109" s="18">
        <v>0</v>
      </c>
      <c r="O109" s="17">
        <v>11</v>
      </c>
      <c r="P109" s="17">
        <v>0</v>
      </c>
      <c r="Q109" s="17">
        <v>0</v>
      </c>
      <c r="R109" s="17">
        <v>0</v>
      </c>
      <c r="S109" s="17">
        <v>0</v>
      </c>
      <c r="T109" s="17" t="s">
        <v>60</v>
      </c>
      <c r="U109" s="17" t="s">
        <v>60</v>
      </c>
      <c r="V109" s="17" t="s">
        <v>60</v>
      </c>
      <c r="W109" s="17" t="s">
        <v>60</v>
      </c>
      <c r="X109" s="26" t="s">
        <v>60</v>
      </c>
      <c r="Y109" s="26" t="s">
        <v>60</v>
      </c>
      <c r="Z109" s="26" t="s">
        <v>60</v>
      </c>
      <c r="AA109" s="26" t="s">
        <v>60</v>
      </c>
      <c r="AB109" s="17" t="s">
        <v>60</v>
      </c>
      <c r="AC109" s="17" t="s">
        <v>60</v>
      </c>
      <c r="AD109" s="17" t="s">
        <v>60</v>
      </c>
      <c r="AE109" s="17" t="s">
        <v>60</v>
      </c>
      <c r="AF109" s="26" t="s">
        <v>61</v>
      </c>
      <c r="AG109" s="26" t="s">
        <v>61</v>
      </c>
      <c r="AH109" s="26" t="s">
        <v>61</v>
      </c>
      <c r="AI109" s="26" t="s">
        <v>61</v>
      </c>
      <c r="AJ109" s="17">
        <v>6</v>
      </c>
      <c r="AK109" s="17">
        <v>3</v>
      </c>
      <c r="AL109" s="17">
        <v>9</v>
      </c>
      <c r="AM109" s="17">
        <v>2</v>
      </c>
      <c r="AN109" s="26">
        <v>0</v>
      </c>
      <c r="AO109" s="26">
        <v>0</v>
      </c>
      <c r="AP109" s="26">
        <v>0</v>
      </c>
      <c r="AQ109" s="26">
        <v>0</v>
      </c>
      <c r="AR109" s="31">
        <v>0</v>
      </c>
      <c r="AS109" s="31">
        <v>0</v>
      </c>
      <c r="AT109" s="31">
        <v>12</v>
      </c>
      <c r="AU109" s="18" t="s">
        <v>235</v>
      </c>
      <c r="AV109" s="32" t="s">
        <v>63</v>
      </c>
    </row>
    <row r="110" spans="1:48">
      <c r="A110" s="16" t="s">
        <v>345</v>
      </c>
      <c r="B110" s="17" t="s">
        <v>346</v>
      </c>
      <c r="C110" s="17" t="s">
        <v>347</v>
      </c>
      <c r="D110" s="18">
        <v>0</v>
      </c>
      <c r="E110" s="18">
        <v>0</v>
      </c>
      <c r="F110" s="18">
        <v>0</v>
      </c>
      <c r="G110" s="18">
        <v>0</v>
      </c>
      <c r="H110" s="18">
        <v>0</v>
      </c>
      <c r="I110" s="18">
        <v>8</v>
      </c>
      <c r="J110" s="18">
        <v>0</v>
      </c>
      <c r="K110" s="18">
        <v>0</v>
      </c>
      <c r="L110" s="18">
        <v>0</v>
      </c>
      <c r="M110" s="21">
        <v>8</v>
      </c>
      <c r="N110" s="18">
        <v>0</v>
      </c>
      <c r="O110" s="17">
        <v>8</v>
      </c>
      <c r="P110" s="17">
        <v>0</v>
      </c>
      <c r="Q110" s="17">
        <v>0</v>
      </c>
      <c r="R110" s="17">
        <v>0</v>
      </c>
      <c r="S110" s="17">
        <v>0</v>
      </c>
      <c r="T110" s="17" t="s">
        <v>60</v>
      </c>
      <c r="U110" s="17" t="s">
        <v>60</v>
      </c>
      <c r="V110" s="17" t="s">
        <v>60</v>
      </c>
      <c r="W110" s="17" t="s">
        <v>60</v>
      </c>
      <c r="X110" s="26" t="s">
        <v>60</v>
      </c>
      <c r="Y110" s="26" t="s">
        <v>60</v>
      </c>
      <c r="Z110" s="26" t="s">
        <v>60</v>
      </c>
      <c r="AA110" s="26" t="s">
        <v>60</v>
      </c>
      <c r="AB110" s="17" t="s">
        <v>60</v>
      </c>
      <c r="AC110" s="17" t="s">
        <v>60</v>
      </c>
      <c r="AD110" s="17" t="s">
        <v>60</v>
      </c>
      <c r="AE110" s="17" t="s">
        <v>60</v>
      </c>
      <c r="AF110" s="26" t="s">
        <v>61</v>
      </c>
      <c r="AG110" s="26" t="s">
        <v>61</v>
      </c>
      <c r="AH110" s="26" t="s">
        <v>61</v>
      </c>
      <c r="AI110" s="26" t="s">
        <v>61</v>
      </c>
      <c r="AJ110" s="17">
        <v>12</v>
      </c>
      <c r="AK110" s="17">
        <v>4</v>
      </c>
      <c r="AL110" s="17">
        <v>4</v>
      </c>
      <c r="AM110" s="17">
        <v>8</v>
      </c>
      <c r="AN110" s="26">
        <v>0</v>
      </c>
      <c r="AO110" s="26">
        <v>0</v>
      </c>
      <c r="AP110" s="26">
        <v>0</v>
      </c>
      <c r="AQ110" s="26">
        <v>0</v>
      </c>
      <c r="AR110" s="31">
        <v>0</v>
      </c>
      <c r="AS110" s="31">
        <v>0</v>
      </c>
      <c r="AT110" s="31">
        <v>8</v>
      </c>
      <c r="AU110" s="18" t="s">
        <v>254</v>
      </c>
      <c r="AV110" s="32" t="s">
        <v>63</v>
      </c>
    </row>
    <row r="111" spans="1:48">
      <c r="A111" s="16" t="s">
        <v>348</v>
      </c>
      <c r="B111" s="17" t="s">
        <v>349</v>
      </c>
      <c r="C111" s="17" t="s">
        <v>350</v>
      </c>
      <c r="D111" s="18">
        <v>0</v>
      </c>
      <c r="E111" s="18">
        <v>0</v>
      </c>
      <c r="F111" s="18">
        <v>0</v>
      </c>
      <c r="G111" s="18">
        <v>0</v>
      </c>
      <c r="H111" s="18">
        <v>0</v>
      </c>
      <c r="I111" s="18">
        <v>6</v>
      </c>
      <c r="J111" s="18">
        <v>0</v>
      </c>
      <c r="K111" s="18">
        <v>0</v>
      </c>
      <c r="L111" s="18">
        <v>0</v>
      </c>
      <c r="M111" s="21">
        <v>6</v>
      </c>
      <c r="N111" s="18">
        <v>0</v>
      </c>
      <c r="O111" s="17">
        <v>6</v>
      </c>
      <c r="P111" s="17">
        <v>0</v>
      </c>
      <c r="Q111" s="17">
        <v>0</v>
      </c>
      <c r="R111" s="17">
        <v>0</v>
      </c>
      <c r="S111" s="17">
        <v>0</v>
      </c>
      <c r="T111" s="17" t="s">
        <v>60</v>
      </c>
      <c r="U111" s="17" t="s">
        <v>60</v>
      </c>
      <c r="V111" s="17" t="s">
        <v>60</v>
      </c>
      <c r="W111" s="17" t="s">
        <v>60</v>
      </c>
      <c r="X111" s="26" t="s">
        <v>60</v>
      </c>
      <c r="Y111" s="26" t="s">
        <v>60</v>
      </c>
      <c r="Z111" s="26" t="s">
        <v>60</v>
      </c>
      <c r="AA111" s="26" t="s">
        <v>60</v>
      </c>
      <c r="AB111" s="17" t="s">
        <v>60</v>
      </c>
      <c r="AC111" s="17" t="s">
        <v>60</v>
      </c>
      <c r="AD111" s="17" t="s">
        <v>60</v>
      </c>
      <c r="AE111" s="17" t="s">
        <v>60</v>
      </c>
      <c r="AF111" s="26" t="s">
        <v>61</v>
      </c>
      <c r="AG111" s="26" t="s">
        <v>61</v>
      </c>
      <c r="AH111" s="26" t="s">
        <v>61</v>
      </c>
      <c r="AI111" s="26" t="s">
        <v>61</v>
      </c>
      <c r="AJ111" s="17">
        <v>3</v>
      </c>
      <c r="AK111" s="17">
        <v>2</v>
      </c>
      <c r="AL111" s="17">
        <v>6</v>
      </c>
      <c r="AM111" s="17">
        <v>5</v>
      </c>
      <c r="AN111" s="26">
        <v>0</v>
      </c>
      <c r="AO111" s="26">
        <v>0</v>
      </c>
      <c r="AP111" s="26">
        <v>0</v>
      </c>
      <c r="AQ111" s="26">
        <v>0</v>
      </c>
      <c r="AR111" s="31">
        <v>0</v>
      </c>
      <c r="AS111" s="31">
        <v>0</v>
      </c>
      <c r="AT111" s="31">
        <v>6</v>
      </c>
      <c r="AU111" s="18" t="s">
        <v>250</v>
      </c>
      <c r="AV111" s="32" t="s">
        <v>63</v>
      </c>
    </row>
    <row r="112" spans="1:48">
      <c r="A112" s="16" t="s">
        <v>351</v>
      </c>
      <c r="B112" s="17" t="s">
        <v>352</v>
      </c>
      <c r="C112" s="17" t="s">
        <v>353</v>
      </c>
      <c r="D112" s="18">
        <v>0</v>
      </c>
      <c r="E112" s="18">
        <v>0</v>
      </c>
      <c r="F112" s="18">
        <v>0</v>
      </c>
      <c r="G112" s="18">
        <v>0</v>
      </c>
      <c r="H112" s="18">
        <v>0</v>
      </c>
      <c r="I112" s="18">
        <v>7</v>
      </c>
      <c r="J112" s="18">
        <v>0</v>
      </c>
      <c r="K112" s="18">
        <v>0</v>
      </c>
      <c r="L112" s="18">
        <v>0</v>
      </c>
      <c r="M112" s="21">
        <v>7</v>
      </c>
      <c r="N112" s="18">
        <v>0</v>
      </c>
      <c r="O112" s="17">
        <v>7</v>
      </c>
      <c r="P112" s="17">
        <v>0</v>
      </c>
      <c r="Q112" s="17">
        <v>0</v>
      </c>
      <c r="R112" s="17">
        <v>0</v>
      </c>
      <c r="S112" s="17">
        <v>0</v>
      </c>
      <c r="T112" s="17" t="s">
        <v>60</v>
      </c>
      <c r="U112" s="17" t="s">
        <v>60</v>
      </c>
      <c r="V112" s="17" t="s">
        <v>60</v>
      </c>
      <c r="W112" s="17" t="s">
        <v>60</v>
      </c>
      <c r="X112" s="26" t="s">
        <v>60</v>
      </c>
      <c r="Y112" s="26" t="s">
        <v>60</v>
      </c>
      <c r="Z112" s="26" t="s">
        <v>60</v>
      </c>
      <c r="AA112" s="26" t="s">
        <v>60</v>
      </c>
      <c r="AB112" s="17" t="s">
        <v>60</v>
      </c>
      <c r="AC112" s="17" t="s">
        <v>60</v>
      </c>
      <c r="AD112" s="17" t="s">
        <v>60</v>
      </c>
      <c r="AE112" s="17" t="s">
        <v>60</v>
      </c>
      <c r="AF112" s="26" t="s">
        <v>61</v>
      </c>
      <c r="AG112" s="26" t="s">
        <v>61</v>
      </c>
      <c r="AH112" s="26" t="s">
        <v>61</v>
      </c>
      <c r="AI112" s="26" t="s">
        <v>61</v>
      </c>
      <c r="AJ112" s="17">
        <v>5</v>
      </c>
      <c r="AK112" s="17">
        <v>4</v>
      </c>
      <c r="AL112" s="17">
        <v>3</v>
      </c>
      <c r="AM112" s="17">
        <v>4</v>
      </c>
      <c r="AN112" s="26">
        <v>0</v>
      </c>
      <c r="AO112" s="26">
        <v>0</v>
      </c>
      <c r="AP112" s="26">
        <v>0</v>
      </c>
      <c r="AQ112" s="26">
        <v>0</v>
      </c>
      <c r="AR112" s="31">
        <v>0</v>
      </c>
      <c r="AS112" s="31">
        <v>0</v>
      </c>
      <c r="AT112" s="31">
        <v>7</v>
      </c>
      <c r="AU112" s="18" t="s">
        <v>258</v>
      </c>
      <c r="AV112" s="32" t="s">
        <v>63</v>
      </c>
    </row>
    <row r="113" spans="1:48">
      <c r="A113" s="16" t="s">
        <v>354</v>
      </c>
      <c r="B113" s="17" t="s">
        <v>355</v>
      </c>
      <c r="C113" s="17" t="s">
        <v>356</v>
      </c>
      <c r="D113" s="18">
        <v>0</v>
      </c>
      <c r="E113" s="18">
        <v>0</v>
      </c>
      <c r="F113" s="18">
        <v>0</v>
      </c>
      <c r="G113" s="18">
        <v>0</v>
      </c>
      <c r="H113" s="18">
        <v>0</v>
      </c>
      <c r="I113" s="18">
        <v>8</v>
      </c>
      <c r="J113" s="18">
        <v>0</v>
      </c>
      <c r="K113" s="18">
        <v>0</v>
      </c>
      <c r="L113" s="18">
        <v>0</v>
      </c>
      <c r="M113" s="21">
        <v>8</v>
      </c>
      <c r="N113" s="18">
        <v>0</v>
      </c>
      <c r="O113" s="17">
        <v>8</v>
      </c>
      <c r="P113" s="17">
        <v>0</v>
      </c>
      <c r="Q113" s="17">
        <v>0</v>
      </c>
      <c r="R113" s="17">
        <v>0</v>
      </c>
      <c r="S113" s="17">
        <v>0</v>
      </c>
      <c r="T113" s="17" t="s">
        <v>60</v>
      </c>
      <c r="U113" s="17" t="s">
        <v>60</v>
      </c>
      <c r="V113" s="17" t="s">
        <v>60</v>
      </c>
      <c r="W113" s="17" t="s">
        <v>60</v>
      </c>
      <c r="X113" s="26" t="s">
        <v>60</v>
      </c>
      <c r="Y113" s="26" t="s">
        <v>60</v>
      </c>
      <c r="Z113" s="26" t="s">
        <v>60</v>
      </c>
      <c r="AA113" s="26" t="s">
        <v>60</v>
      </c>
      <c r="AB113" s="17" t="s">
        <v>60</v>
      </c>
      <c r="AC113" s="17" t="s">
        <v>60</v>
      </c>
      <c r="AD113" s="17" t="s">
        <v>60</v>
      </c>
      <c r="AE113" s="17" t="s">
        <v>60</v>
      </c>
      <c r="AF113" s="26" t="s">
        <v>61</v>
      </c>
      <c r="AG113" s="26" t="s">
        <v>61</v>
      </c>
      <c r="AH113" s="26" t="s">
        <v>61</v>
      </c>
      <c r="AI113" s="26" t="s">
        <v>61</v>
      </c>
      <c r="AJ113" s="17">
        <v>4</v>
      </c>
      <c r="AK113" s="17">
        <v>4</v>
      </c>
      <c r="AL113" s="17">
        <v>6</v>
      </c>
      <c r="AM113" s="17">
        <v>7</v>
      </c>
      <c r="AN113" s="26">
        <v>0</v>
      </c>
      <c r="AO113" s="26">
        <v>0</v>
      </c>
      <c r="AP113" s="26">
        <v>0</v>
      </c>
      <c r="AQ113" s="26">
        <v>0</v>
      </c>
      <c r="AR113" s="31">
        <v>0</v>
      </c>
      <c r="AS113" s="31">
        <v>0</v>
      </c>
      <c r="AT113" s="31">
        <v>8</v>
      </c>
      <c r="AU113" s="18" t="s">
        <v>254</v>
      </c>
      <c r="AV113" s="32" t="s">
        <v>63</v>
      </c>
    </row>
    <row r="114" spans="1:48">
      <c r="A114" s="16" t="s">
        <v>357</v>
      </c>
      <c r="B114" s="17" t="s">
        <v>358</v>
      </c>
      <c r="C114" s="17" t="s">
        <v>359</v>
      </c>
      <c r="D114" s="18">
        <v>0</v>
      </c>
      <c r="E114" s="18">
        <v>0</v>
      </c>
      <c r="F114" s="18">
        <v>0</v>
      </c>
      <c r="G114" s="18">
        <v>0</v>
      </c>
      <c r="H114" s="18">
        <v>0</v>
      </c>
      <c r="I114" s="18">
        <v>6</v>
      </c>
      <c r="J114" s="18">
        <v>0</v>
      </c>
      <c r="K114" s="18">
        <v>0</v>
      </c>
      <c r="L114" s="18">
        <v>0</v>
      </c>
      <c r="M114" s="21">
        <v>6</v>
      </c>
      <c r="N114" s="18">
        <v>0</v>
      </c>
      <c r="O114" s="17">
        <v>6</v>
      </c>
      <c r="P114" s="17">
        <v>0</v>
      </c>
      <c r="Q114" s="17">
        <v>0</v>
      </c>
      <c r="R114" s="17">
        <v>0</v>
      </c>
      <c r="S114" s="17">
        <v>0</v>
      </c>
      <c r="T114" s="17" t="s">
        <v>60</v>
      </c>
      <c r="U114" s="17" t="s">
        <v>60</v>
      </c>
      <c r="V114" s="17" t="s">
        <v>60</v>
      </c>
      <c r="W114" s="17" t="s">
        <v>60</v>
      </c>
      <c r="X114" s="26" t="s">
        <v>60</v>
      </c>
      <c r="Y114" s="26" t="s">
        <v>60</v>
      </c>
      <c r="Z114" s="26" t="s">
        <v>60</v>
      </c>
      <c r="AA114" s="26" t="s">
        <v>60</v>
      </c>
      <c r="AB114" s="17" t="s">
        <v>60</v>
      </c>
      <c r="AC114" s="17" t="s">
        <v>60</v>
      </c>
      <c r="AD114" s="17" t="s">
        <v>60</v>
      </c>
      <c r="AE114" s="17" t="s">
        <v>60</v>
      </c>
      <c r="AF114" s="26" t="s">
        <v>61</v>
      </c>
      <c r="AG114" s="26" t="s">
        <v>61</v>
      </c>
      <c r="AH114" s="26" t="s">
        <v>61</v>
      </c>
      <c r="AI114" s="26" t="s">
        <v>61</v>
      </c>
      <c r="AJ114" s="17">
        <v>13</v>
      </c>
      <c r="AK114" s="17">
        <v>3</v>
      </c>
      <c r="AL114" s="17">
        <v>5</v>
      </c>
      <c r="AM114" s="17">
        <v>7</v>
      </c>
      <c r="AN114" s="26">
        <v>0</v>
      </c>
      <c r="AO114" s="26">
        <v>0</v>
      </c>
      <c r="AP114" s="26">
        <v>0</v>
      </c>
      <c r="AQ114" s="26">
        <v>0</v>
      </c>
      <c r="AR114" s="31">
        <v>0</v>
      </c>
      <c r="AS114" s="31">
        <v>0</v>
      </c>
      <c r="AT114" s="31">
        <v>6</v>
      </c>
      <c r="AU114" s="18" t="s">
        <v>250</v>
      </c>
      <c r="AV114" s="32" t="s">
        <v>63</v>
      </c>
    </row>
    <row r="115" spans="1:48">
      <c r="A115" s="16" t="s">
        <v>360</v>
      </c>
      <c r="B115" s="17" t="s">
        <v>361</v>
      </c>
      <c r="C115" s="17" t="s">
        <v>362</v>
      </c>
      <c r="D115" s="18">
        <v>0</v>
      </c>
      <c r="E115" s="18">
        <v>0</v>
      </c>
      <c r="F115" s="18">
        <v>0</v>
      </c>
      <c r="G115" s="18">
        <v>0</v>
      </c>
      <c r="H115" s="18">
        <v>0</v>
      </c>
      <c r="I115" s="18">
        <v>8</v>
      </c>
      <c r="J115" s="18">
        <v>0</v>
      </c>
      <c r="K115" s="18">
        <v>0</v>
      </c>
      <c r="L115" s="18">
        <v>0</v>
      </c>
      <c r="M115" s="21">
        <v>8</v>
      </c>
      <c r="N115" s="18">
        <v>0</v>
      </c>
      <c r="O115" s="17">
        <v>8</v>
      </c>
      <c r="P115" s="17">
        <v>0</v>
      </c>
      <c r="Q115" s="17">
        <v>0</v>
      </c>
      <c r="R115" s="17">
        <v>0</v>
      </c>
      <c r="S115" s="17">
        <v>0</v>
      </c>
      <c r="T115" s="17" t="s">
        <v>60</v>
      </c>
      <c r="U115" s="17" t="s">
        <v>60</v>
      </c>
      <c r="V115" s="17" t="s">
        <v>60</v>
      </c>
      <c r="W115" s="17" t="s">
        <v>60</v>
      </c>
      <c r="X115" s="26" t="s">
        <v>60</v>
      </c>
      <c r="Y115" s="26" t="s">
        <v>60</v>
      </c>
      <c r="Z115" s="26" t="s">
        <v>60</v>
      </c>
      <c r="AA115" s="26" t="s">
        <v>60</v>
      </c>
      <c r="AB115" s="17" t="s">
        <v>60</v>
      </c>
      <c r="AC115" s="17" t="s">
        <v>60</v>
      </c>
      <c r="AD115" s="17" t="s">
        <v>60</v>
      </c>
      <c r="AE115" s="17" t="s">
        <v>60</v>
      </c>
      <c r="AF115" s="26" t="s">
        <v>61</v>
      </c>
      <c r="AG115" s="26" t="s">
        <v>61</v>
      </c>
      <c r="AH115" s="26" t="s">
        <v>61</v>
      </c>
      <c r="AI115" s="26" t="s">
        <v>61</v>
      </c>
      <c r="AJ115" s="17">
        <v>7</v>
      </c>
      <c r="AK115" s="17">
        <v>5</v>
      </c>
      <c r="AL115" s="17">
        <v>4</v>
      </c>
      <c r="AM115" s="17">
        <v>0</v>
      </c>
      <c r="AN115" s="26">
        <v>0</v>
      </c>
      <c r="AO115" s="26">
        <v>0</v>
      </c>
      <c r="AP115" s="26">
        <v>0</v>
      </c>
      <c r="AQ115" s="26" t="s">
        <v>60</v>
      </c>
      <c r="AR115" s="31">
        <v>0</v>
      </c>
      <c r="AS115" s="31">
        <v>0</v>
      </c>
      <c r="AT115" s="31">
        <v>8</v>
      </c>
      <c r="AU115" s="18" t="s">
        <v>254</v>
      </c>
      <c r="AV115" s="32" t="s">
        <v>63</v>
      </c>
    </row>
    <row r="116" spans="1:48">
      <c r="A116" s="16" t="s">
        <v>363</v>
      </c>
      <c r="B116" s="17" t="s">
        <v>364</v>
      </c>
      <c r="C116" s="17" t="s">
        <v>365</v>
      </c>
      <c r="D116" s="18">
        <v>0</v>
      </c>
      <c r="E116" s="18">
        <v>0</v>
      </c>
      <c r="F116" s="18">
        <v>0</v>
      </c>
      <c r="G116" s="18">
        <v>0</v>
      </c>
      <c r="H116" s="18">
        <v>0</v>
      </c>
      <c r="I116" s="18">
        <v>6</v>
      </c>
      <c r="J116" s="18">
        <v>0</v>
      </c>
      <c r="K116" s="18">
        <v>0</v>
      </c>
      <c r="L116" s="18">
        <v>0</v>
      </c>
      <c r="M116" s="21">
        <v>6</v>
      </c>
      <c r="N116" s="18">
        <v>0</v>
      </c>
      <c r="O116" s="17">
        <v>6</v>
      </c>
      <c r="P116" s="17">
        <v>0</v>
      </c>
      <c r="Q116" s="17">
        <v>0</v>
      </c>
      <c r="R116" s="17">
        <v>0</v>
      </c>
      <c r="S116" s="17">
        <v>0</v>
      </c>
      <c r="T116" s="17" t="s">
        <v>60</v>
      </c>
      <c r="U116" s="17" t="s">
        <v>60</v>
      </c>
      <c r="V116" s="17" t="s">
        <v>60</v>
      </c>
      <c r="W116" s="17" t="s">
        <v>60</v>
      </c>
      <c r="X116" s="26" t="s">
        <v>60</v>
      </c>
      <c r="Y116" s="26" t="s">
        <v>60</v>
      </c>
      <c r="Z116" s="26" t="s">
        <v>60</v>
      </c>
      <c r="AA116" s="26" t="s">
        <v>60</v>
      </c>
      <c r="AB116" s="17" t="s">
        <v>60</v>
      </c>
      <c r="AC116" s="17" t="s">
        <v>60</v>
      </c>
      <c r="AD116" s="17" t="s">
        <v>60</v>
      </c>
      <c r="AE116" s="17" t="s">
        <v>60</v>
      </c>
      <c r="AF116" s="26" t="s">
        <v>61</v>
      </c>
      <c r="AG116" s="26" t="s">
        <v>61</v>
      </c>
      <c r="AH116" s="26" t="s">
        <v>61</v>
      </c>
      <c r="AI116" s="26" t="s">
        <v>61</v>
      </c>
      <c r="AJ116" s="17">
        <v>5</v>
      </c>
      <c r="AK116" s="17">
        <v>3</v>
      </c>
      <c r="AL116" s="17">
        <v>4</v>
      </c>
      <c r="AM116" s="17">
        <v>3</v>
      </c>
      <c r="AN116" s="26">
        <v>0</v>
      </c>
      <c r="AO116" s="26">
        <v>0</v>
      </c>
      <c r="AP116" s="26">
        <v>0</v>
      </c>
      <c r="AQ116" s="26">
        <v>0</v>
      </c>
      <c r="AR116" s="31">
        <v>0</v>
      </c>
      <c r="AS116" s="31">
        <v>0</v>
      </c>
      <c r="AT116" s="31">
        <v>6</v>
      </c>
      <c r="AU116" s="18" t="s">
        <v>250</v>
      </c>
      <c r="AV116" s="32" t="s">
        <v>63</v>
      </c>
    </row>
    <row r="117" spans="1:48">
      <c r="A117" s="16" t="s">
        <v>366</v>
      </c>
      <c r="B117" s="17" t="s">
        <v>367</v>
      </c>
      <c r="C117" s="17" t="s">
        <v>368</v>
      </c>
      <c r="D117" s="18">
        <v>0</v>
      </c>
      <c r="E117" s="18">
        <v>0</v>
      </c>
      <c r="F117" s="18">
        <v>0</v>
      </c>
      <c r="G117" s="18">
        <v>0</v>
      </c>
      <c r="H117" s="18">
        <v>0</v>
      </c>
      <c r="I117" s="18">
        <v>8</v>
      </c>
      <c r="J117" s="18">
        <v>0</v>
      </c>
      <c r="K117" s="18">
        <v>0</v>
      </c>
      <c r="L117" s="18">
        <v>0</v>
      </c>
      <c r="M117" s="21">
        <v>8</v>
      </c>
      <c r="N117" s="18">
        <v>0</v>
      </c>
      <c r="O117" s="17">
        <v>8</v>
      </c>
      <c r="P117" s="17">
        <v>0</v>
      </c>
      <c r="Q117" s="17">
        <v>0</v>
      </c>
      <c r="R117" s="17">
        <v>0</v>
      </c>
      <c r="S117" s="17">
        <v>0</v>
      </c>
      <c r="T117" s="17" t="s">
        <v>60</v>
      </c>
      <c r="U117" s="17" t="s">
        <v>60</v>
      </c>
      <c r="V117" s="17" t="s">
        <v>60</v>
      </c>
      <c r="W117" s="17" t="s">
        <v>60</v>
      </c>
      <c r="X117" s="26" t="s">
        <v>60</v>
      </c>
      <c r="Y117" s="26" t="s">
        <v>60</v>
      </c>
      <c r="Z117" s="26" t="s">
        <v>60</v>
      </c>
      <c r="AA117" s="26" t="s">
        <v>60</v>
      </c>
      <c r="AB117" s="17" t="s">
        <v>60</v>
      </c>
      <c r="AC117" s="17" t="s">
        <v>60</v>
      </c>
      <c r="AD117" s="17" t="s">
        <v>60</v>
      </c>
      <c r="AE117" s="17" t="s">
        <v>60</v>
      </c>
      <c r="AF117" s="26" t="s">
        <v>61</v>
      </c>
      <c r="AG117" s="26" t="s">
        <v>61</v>
      </c>
      <c r="AH117" s="26" t="s">
        <v>61</v>
      </c>
      <c r="AI117" s="26" t="s">
        <v>61</v>
      </c>
      <c r="AJ117" s="17">
        <v>7</v>
      </c>
      <c r="AK117" s="17">
        <v>7</v>
      </c>
      <c r="AL117" s="17">
        <v>5</v>
      </c>
      <c r="AM117" s="17">
        <v>1</v>
      </c>
      <c r="AN117" s="26">
        <v>0</v>
      </c>
      <c r="AO117" s="26">
        <v>0</v>
      </c>
      <c r="AP117" s="26">
        <v>0</v>
      </c>
      <c r="AQ117" s="26">
        <v>0</v>
      </c>
      <c r="AR117" s="31">
        <v>0</v>
      </c>
      <c r="AS117" s="31">
        <v>0</v>
      </c>
      <c r="AT117" s="31">
        <v>8</v>
      </c>
      <c r="AU117" s="18" t="s">
        <v>254</v>
      </c>
      <c r="AV117" s="32" t="s">
        <v>63</v>
      </c>
    </row>
    <row r="118" spans="1:48">
      <c r="A118" s="16" t="s">
        <v>369</v>
      </c>
      <c r="B118" s="17" t="s">
        <v>370</v>
      </c>
      <c r="C118" s="17" t="s">
        <v>371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1</v>
      </c>
      <c r="J118" s="18">
        <v>0</v>
      </c>
      <c r="K118" s="18">
        <v>0</v>
      </c>
      <c r="L118" s="18">
        <v>0</v>
      </c>
      <c r="M118" s="21">
        <v>1</v>
      </c>
      <c r="N118" s="18">
        <v>0</v>
      </c>
      <c r="O118" s="17">
        <v>0</v>
      </c>
      <c r="P118" s="17">
        <v>0</v>
      </c>
      <c r="Q118" s="17">
        <v>0</v>
      </c>
      <c r="R118" s="17">
        <v>0</v>
      </c>
      <c r="S118" s="17">
        <v>0</v>
      </c>
      <c r="T118" s="17" t="s">
        <v>60</v>
      </c>
      <c r="U118" s="17" t="s">
        <v>60</v>
      </c>
      <c r="V118" s="17" t="s">
        <v>60</v>
      </c>
      <c r="W118" s="17" t="s">
        <v>60</v>
      </c>
      <c r="X118" s="26" t="s">
        <v>60</v>
      </c>
      <c r="Y118" s="26" t="s">
        <v>60</v>
      </c>
      <c r="Z118" s="26" t="s">
        <v>60</v>
      </c>
      <c r="AA118" s="26" t="s">
        <v>60</v>
      </c>
      <c r="AB118" s="17" t="s">
        <v>60</v>
      </c>
      <c r="AC118" s="17" t="s">
        <v>60</v>
      </c>
      <c r="AD118" s="17" t="s">
        <v>60</v>
      </c>
      <c r="AE118" s="17" t="s">
        <v>60</v>
      </c>
      <c r="AF118" s="26" t="s">
        <v>61</v>
      </c>
      <c r="AG118" s="26" t="s">
        <v>61</v>
      </c>
      <c r="AH118" s="26" t="s">
        <v>61</v>
      </c>
      <c r="AI118" s="26" t="s">
        <v>61</v>
      </c>
      <c r="AJ118" s="17">
        <v>5</v>
      </c>
      <c r="AK118" s="17">
        <v>8</v>
      </c>
      <c r="AL118" s="17">
        <v>5</v>
      </c>
      <c r="AM118" s="17">
        <v>7</v>
      </c>
      <c r="AN118" s="26">
        <v>0</v>
      </c>
      <c r="AO118" s="26">
        <v>0</v>
      </c>
      <c r="AP118" s="26">
        <v>0</v>
      </c>
      <c r="AQ118" s="26">
        <v>0</v>
      </c>
      <c r="AR118" s="31">
        <v>0</v>
      </c>
      <c r="AS118" s="31">
        <v>0</v>
      </c>
      <c r="AT118" s="31">
        <v>1</v>
      </c>
      <c r="AU118" s="18" t="s">
        <v>102</v>
      </c>
      <c r="AV118" s="32" t="s">
        <v>63</v>
      </c>
    </row>
    <row r="119" spans="1:48">
      <c r="A119" s="16" t="s">
        <v>372</v>
      </c>
      <c r="B119" s="17" t="s">
        <v>89</v>
      </c>
      <c r="C119" s="17">
        <v>0</v>
      </c>
      <c r="D119" s="18">
        <v>0</v>
      </c>
      <c r="E119" s="18">
        <v>0</v>
      </c>
      <c r="F119" s="18">
        <v>0</v>
      </c>
      <c r="G119" s="18">
        <v>0</v>
      </c>
      <c r="H119" s="18">
        <v>0</v>
      </c>
      <c r="I119" s="18">
        <v>0</v>
      </c>
      <c r="J119" s="18">
        <v>0</v>
      </c>
      <c r="K119" s="18">
        <v>0</v>
      </c>
      <c r="L119" s="18">
        <v>0</v>
      </c>
      <c r="M119" s="21">
        <v>0</v>
      </c>
      <c r="N119" s="18">
        <v>0</v>
      </c>
      <c r="O119" s="17">
        <v>0</v>
      </c>
      <c r="P119" s="17">
        <v>0</v>
      </c>
      <c r="Q119" s="17">
        <v>0</v>
      </c>
      <c r="R119" s="17">
        <v>0</v>
      </c>
      <c r="S119" s="17">
        <v>0</v>
      </c>
      <c r="T119" s="17" t="s">
        <v>60</v>
      </c>
      <c r="U119" s="17" t="s">
        <v>60</v>
      </c>
      <c r="V119" s="17" t="s">
        <v>60</v>
      </c>
      <c r="W119" s="17" t="s">
        <v>60</v>
      </c>
      <c r="X119" s="26" t="s">
        <v>60</v>
      </c>
      <c r="Y119" s="26" t="s">
        <v>60</v>
      </c>
      <c r="Z119" s="26" t="s">
        <v>60</v>
      </c>
      <c r="AA119" s="26" t="s">
        <v>60</v>
      </c>
      <c r="AB119" s="17" t="s">
        <v>60</v>
      </c>
      <c r="AC119" s="17" t="s">
        <v>60</v>
      </c>
      <c r="AD119" s="17" t="s">
        <v>60</v>
      </c>
      <c r="AE119" s="17" t="s">
        <v>60</v>
      </c>
      <c r="AF119" s="26" t="s">
        <v>61</v>
      </c>
      <c r="AG119" s="26" t="s">
        <v>61</v>
      </c>
      <c r="AH119" s="26" t="s">
        <v>61</v>
      </c>
      <c r="AI119" s="26" t="s">
        <v>61</v>
      </c>
      <c r="AJ119" s="17" t="s">
        <v>60</v>
      </c>
      <c r="AK119" s="17" t="s">
        <v>60</v>
      </c>
      <c r="AL119" s="17" t="s">
        <v>60</v>
      </c>
      <c r="AM119" s="17" t="s">
        <v>60</v>
      </c>
      <c r="AN119" s="26" t="s">
        <v>60</v>
      </c>
      <c r="AO119" s="26" t="s">
        <v>60</v>
      </c>
      <c r="AP119" s="26" t="s">
        <v>60</v>
      </c>
      <c r="AQ119" s="26" t="s">
        <v>60</v>
      </c>
      <c r="AR119" s="31">
        <v>0</v>
      </c>
      <c r="AS119" s="31">
        <v>0</v>
      </c>
      <c r="AT119" s="31">
        <v>0</v>
      </c>
      <c r="AU119" s="18" t="s">
        <v>62</v>
      </c>
      <c r="AV119" s="32" t="s">
        <v>63</v>
      </c>
    </row>
    <row r="120" spans="1:48">
      <c r="A120" s="16" t="s">
        <v>373</v>
      </c>
      <c r="B120" s="17" t="s">
        <v>89</v>
      </c>
      <c r="C120" s="17">
        <v>0</v>
      </c>
      <c r="D120" s="18">
        <v>0</v>
      </c>
      <c r="E120" s="18">
        <v>0</v>
      </c>
      <c r="F120" s="18">
        <v>0</v>
      </c>
      <c r="G120" s="18">
        <v>0</v>
      </c>
      <c r="H120" s="18">
        <v>0</v>
      </c>
      <c r="I120" s="18">
        <v>0</v>
      </c>
      <c r="J120" s="18">
        <v>0</v>
      </c>
      <c r="K120" s="18">
        <v>0</v>
      </c>
      <c r="L120" s="18">
        <v>0</v>
      </c>
      <c r="M120" s="21">
        <v>0</v>
      </c>
      <c r="N120" s="18">
        <v>0</v>
      </c>
      <c r="O120" s="17">
        <v>0</v>
      </c>
      <c r="P120" s="17">
        <v>0</v>
      </c>
      <c r="Q120" s="17">
        <v>0</v>
      </c>
      <c r="R120" s="17">
        <v>0</v>
      </c>
      <c r="S120" s="17">
        <v>0</v>
      </c>
      <c r="T120" s="17" t="s">
        <v>60</v>
      </c>
      <c r="U120" s="17" t="s">
        <v>60</v>
      </c>
      <c r="V120" s="17" t="s">
        <v>60</v>
      </c>
      <c r="W120" s="17" t="s">
        <v>60</v>
      </c>
      <c r="X120" s="26" t="s">
        <v>60</v>
      </c>
      <c r="Y120" s="26" t="s">
        <v>60</v>
      </c>
      <c r="Z120" s="26" t="s">
        <v>60</v>
      </c>
      <c r="AA120" s="26" t="s">
        <v>60</v>
      </c>
      <c r="AB120" s="17" t="s">
        <v>60</v>
      </c>
      <c r="AC120" s="17" t="s">
        <v>60</v>
      </c>
      <c r="AD120" s="17" t="s">
        <v>60</v>
      </c>
      <c r="AE120" s="17" t="s">
        <v>60</v>
      </c>
      <c r="AF120" s="26" t="s">
        <v>61</v>
      </c>
      <c r="AG120" s="26" t="s">
        <v>61</v>
      </c>
      <c r="AH120" s="26" t="s">
        <v>61</v>
      </c>
      <c r="AI120" s="26" t="s">
        <v>61</v>
      </c>
      <c r="AJ120" s="17" t="s">
        <v>60</v>
      </c>
      <c r="AK120" s="17" t="s">
        <v>60</v>
      </c>
      <c r="AL120" s="17" t="s">
        <v>60</v>
      </c>
      <c r="AM120" s="17" t="s">
        <v>60</v>
      </c>
      <c r="AN120" s="26" t="s">
        <v>60</v>
      </c>
      <c r="AO120" s="26" t="s">
        <v>60</v>
      </c>
      <c r="AP120" s="26" t="s">
        <v>60</v>
      </c>
      <c r="AQ120" s="26" t="s">
        <v>60</v>
      </c>
      <c r="AR120" s="31">
        <v>0</v>
      </c>
      <c r="AS120" s="31">
        <v>0</v>
      </c>
      <c r="AT120" s="31">
        <v>0</v>
      </c>
      <c r="AU120" s="18" t="s">
        <v>62</v>
      </c>
      <c r="AV120" s="32" t="s">
        <v>63</v>
      </c>
    </row>
    <row r="121" spans="1:48">
      <c r="A121" s="16" t="s">
        <v>374</v>
      </c>
      <c r="B121" s="17" t="s">
        <v>375</v>
      </c>
      <c r="C121" s="17" t="s">
        <v>376</v>
      </c>
      <c r="D121" s="18">
        <v>0</v>
      </c>
      <c r="E121" s="18">
        <v>1</v>
      </c>
      <c r="F121" s="18">
        <v>1</v>
      </c>
      <c r="G121" s="18">
        <v>2</v>
      </c>
      <c r="H121" s="18">
        <v>50.6</v>
      </c>
      <c r="I121" s="18">
        <v>101</v>
      </c>
      <c r="J121" s="18">
        <v>0</v>
      </c>
      <c r="K121" s="18">
        <v>0</v>
      </c>
      <c r="L121" s="18">
        <v>0</v>
      </c>
      <c r="M121" s="21">
        <v>101</v>
      </c>
      <c r="N121" s="18">
        <v>0</v>
      </c>
      <c r="O121" s="17">
        <v>98</v>
      </c>
      <c r="P121" s="17">
        <v>0</v>
      </c>
      <c r="Q121" s="17">
        <v>0</v>
      </c>
      <c r="R121" s="17">
        <v>0</v>
      </c>
      <c r="S121" s="17">
        <v>0</v>
      </c>
      <c r="T121" s="17" t="s">
        <v>60</v>
      </c>
      <c r="U121" s="17" t="s">
        <v>60</v>
      </c>
      <c r="V121" s="17" t="s">
        <v>60</v>
      </c>
      <c r="W121" s="17" t="s">
        <v>60</v>
      </c>
      <c r="X121" s="26" t="s">
        <v>60</v>
      </c>
      <c r="Y121" s="26" t="s">
        <v>60</v>
      </c>
      <c r="Z121" s="26" t="s">
        <v>60</v>
      </c>
      <c r="AA121" s="26" t="s">
        <v>60</v>
      </c>
      <c r="AB121" s="17" t="s">
        <v>60</v>
      </c>
      <c r="AC121" s="17" t="s">
        <v>60</v>
      </c>
      <c r="AD121" s="17" t="s">
        <v>60</v>
      </c>
      <c r="AE121" s="17" t="s">
        <v>60</v>
      </c>
      <c r="AF121" s="26" t="s">
        <v>61</v>
      </c>
      <c r="AG121" s="26" t="s">
        <v>60</v>
      </c>
      <c r="AH121" s="26" t="s">
        <v>60</v>
      </c>
      <c r="AI121" s="26" t="s">
        <v>60</v>
      </c>
      <c r="AJ121" s="17">
        <v>27</v>
      </c>
      <c r="AK121" s="17">
        <v>18</v>
      </c>
      <c r="AL121" s="17">
        <v>32</v>
      </c>
      <c r="AM121" s="17">
        <v>22</v>
      </c>
      <c r="AN121" s="26">
        <v>0</v>
      </c>
      <c r="AO121" s="26">
        <v>0.0555555555555556</v>
      </c>
      <c r="AP121" s="26">
        <v>0.03125</v>
      </c>
      <c r="AQ121" s="26">
        <v>0.0909090909090909</v>
      </c>
      <c r="AR121" s="31">
        <v>0</v>
      </c>
      <c r="AS121" s="31">
        <v>0</v>
      </c>
      <c r="AT121" s="31">
        <v>101</v>
      </c>
      <c r="AU121" s="18" t="s">
        <v>377</v>
      </c>
      <c r="AV121" s="32" t="s">
        <v>63</v>
      </c>
    </row>
    <row r="122" spans="1:48">
      <c r="A122" s="16" t="s">
        <v>378</v>
      </c>
      <c r="B122" s="17" t="s">
        <v>379</v>
      </c>
      <c r="C122" s="17" t="s">
        <v>380</v>
      </c>
      <c r="D122" s="18">
        <v>0</v>
      </c>
      <c r="E122" s="18">
        <v>0</v>
      </c>
      <c r="F122" s="18">
        <v>0</v>
      </c>
      <c r="G122" s="18">
        <v>0</v>
      </c>
      <c r="H122" s="18">
        <v>0</v>
      </c>
      <c r="I122" s="18">
        <v>0</v>
      </c>
      <c r="J122" s="18">
        <v>0</v>
      </c>
      <c r="K122" s="18">
        <v>0</v>
      </c>
      <c r="L122" s="18">
        <v>0</v>
      </c>
      <c r="M122" s="21">
        <v>0</v>
      </c>
      <c r="N122" s="18">
        <v>0</v>
      </c>
      <c r="O122" s="17">
        <v>0</v>
      </c>
      <c r="P122" s="17">
        <v>0</v>
      </c>
      <c r="Q122" s="17">
        <v>0</v>
      </c>
      <c r="R122" s="17">
        <v>0</v>
      </c>
      <c r="S122" s="17">
        <v>0</v>
      </c>
      <c r="T122" s="17" t="s">
        <v>60</v>
      </c>
      <c r="U122" s="17" t="s">
        <v>60</v>
      </c>
      <c r="V122" s="17" t="s">
        <v>60</v>
      </c>
      <c r="W122" s="17" t="s">
        <v>60</v>
      </c>
      <c r="X122" s="26" t="s">
        <v>60</v>
      </c>
      <c r="Y122" s="26" t="s">
        <v>60</v>
      </c>
      <c r="Z122" s="26" t="s">
        <v>60</v>
      </c>
      <c r="AA122" s="26" t="s">
        <v>60</v>
      </c>
      <c r="AB122" s="17" t="s">
        <v>60</v>
      </c>
      <c r="AC122" s="17" t="s">
        <v>60</v>
      </c>
      <c r="AD122" s="17" t="s">
        <v>60</v>
      </c>
      <c r="AE122" s="17" t="s">
        <v>60</v>
      </c>
      <c r="AF122" s="26" t="s">
        <v>61</v>
      </c>
      <c r="AG122" s="26" t="s">
        <v>61</v>
      </c>
      <c r="AH122" s="26" t="s">
        <v>61</v>
      </c>
      <c r="AI122" s="26" t="s">
        <v>61</v>
      </c>
      <c r="AJ122" s="17" t="s">
        <v>60</v>
      </c>
      <c r="AK122" s="17" t="s">
        <v>60</v>
      </c>
      <c r="AL122" s="17" t="s">
        <v>60</v>
      </c>
      <c r="AM122" s="17" t="s">
        <v>60</v>
      </c>
      <c r="AN122" s="26" t="s">
        <v>60</v>
      </c>
      <c r="AO122" s="26" t="s">
        <v>60</v>
      </c>
      <c r="AP122" s="26" t="s">
        <v>60</v>
      </c>
      <c r="AQ122" s="26" t="s">
        <v>60</v>
      </c>
      <c r="AR122" s="31">
        <v>0</v>
      </c>
      <c r="AS122" s="31">
        <v>0</v>
      </c>
      <c r="AT122" s="31">
        <v>0</v>
      </c>
      <c r="AU122" s="18" t="s">
        <v>62</v>
      </c>
      <c r="AV122" s="32" t="s">
        <v>63</v>
      </c>
    </row>
    <row r="123" spans="1:48">
      <c r="A123" s="16" t="s">
        <v>381</v>
      </c>
      <c r="B123" s="17" t="s">
        <v>382</v>
      </c>
      <c r="C123" s="17" t="s">
        <v>383</v>
      </c>
      <c r="D123" s="18">
        <v>0</v>
      </c>
      <c r="E123" s="18">
        <v>0</v>
      </c>
      <c r="F123" s="18">
        <v>0</v>
      </c>
      <c r="G123" s="18">
        <v>0</v>
      </c>
      <c r="H123" s="18">
        <v>0</v>
      </c>
      <c r="I123" s="18">
        <v>6</v>
      </c>
      <c r="J123" s="18">
        <v>0</v>
      </c>
      <c r="K123" s="18">
        <v>0</v>
      </c>
      <c r="L123" s="18">
        <v>0</v>
      </c>
      <c r="M123" s="21">
        <v>6</v>
      </c>
      <c r="N123" s="18">
        <v>0</v>
      </c>
      <c r="O123" s="17">
        <v>6</v>
      </c>
      <c r="P123" s="17">
        <v>0</v>
      </c>
      <c r="Q123" s="17">
        <v>0</v>
      </c>
      <c r="R123" s="17">
        <v>0</v>
      </c>
      <c r="S123" s="17">
        <v>0</v>
      </c>
      <c r="T123" s="17" t="s">
        <v>60</v>
      </c>
      <c r="U123" s="17" t="s">
        <v>60</v>
      </c>
      <c r="V123" s="17" t="s">
        <v>60</v>
      </c>
      <c r="W123" s="17" t="s">
        <v>60</v>
      </c>
      <c r="X123" s="26" t="s">
        <v>60</v>
      </c>
      <c r="Y123" s="26" t="s">
        <v>60</v>
      </c>
      <c r="Z123" s="26" t="s">
        <v>60</v>
      </c>
      <c r="AA123" s="26" t="s">
        <v>60</v>
      </c>
      <c r="AB123" s="17" t="s">
        <v>60</v>
      </c>
      <c r="AC123" s="17" t="s">
        <v>60</v>
      </c>
      <c r="AD123" s="17" t="s">
        <v>60</v>
      </c>
      <c r="AE123" s="17" t="s">
        <v>60</v>
      </c>
      <c r="AF123" s="26" t="s">
        <v>61</v>
      </c>
      <c r="AG123" s="26" t="s">
        <v>61</v>
      </c>
      <c r="AH123" s="26" t="s">
        <v>61</v>
      </c>
      <c r="AI123" s="26" t="s">
        <v>61</v>
      </c>
      <c r="AJ123" s="17" t="s">
        <v>60</v>
      </c>
      <c r="AK123" s="17" t="s">
        <v>60</v>
      </c>
      <c r="AL123" s="17" t="s">
        <v>60</v>
      </c>
      <c r="AM123" s="17" t="s">
        <v>60</v>
      </c>
      <c r="AN123" s="26" t="s">
        <v>60</v>
      </c>
      <c r="AO123" s="26" t="s">
        <v>60</v>
      </c>
      <c r="AP123" s="26" t="s">
        <v>60</v>
      </c>
      <c r="AQ123" s="26" t="s">
        <v>60</v>
      </c>
      <c r="AR123" s="31">
        <v>0</v>
      </c>
      <c r="AS123" s="31">
        <v>0</v>
      </c>
      <c r="AT123" s="31">
        <v>6</v>
      </c>
      <c r="AU123" s="18" t="s">
        <v>250</v>
      </c>
      <c r="AV123" s="32" t="s">
        <v>63</v>
      </c>
    </row>
    <row r="124" spans="1:48">
      <c r="A124" s="16" t="s">
        <v>384</v>
      </c>
      <c r="B124" s="17" t="s">
        <v>385</v>
      </c>
      <c r="C124" s="17" t="s">
        <v>386</v>
      </c>
      <c r="D124" s="18">
        <v>7</v>
      </c>
      <c r="E124" s="18">
        <v>3</v>
      </c>
      <c r="F124" s="18">
        <v>1</v>
      </c>
      <c r="G124" s="18">
        <v>3</v>
      </c>
      <c r="H124" s="18">
        <v>19.99</v>
      </c>
      <c r="I124" s="18">
        <v>111</v>
      </c>
      <c r="J124" s="18">
        <v>0</v>
      </c>
      <c r="K124" s="18">
        <v>0</v>
      </c>
      <c r="L124" s="18">
        <v>1</v>
      </c>
      <c r="M124" s="21">
        <v>112</v>
      </c>
      <c r="N124" s="18">
        <v>0</v>
      </c>
      <c r="O124" s="17">
        <v>117</v>
      </c>
      <c r="P124" s="17">
        <v>543</v>
      </c>
      <c r="Q124" s="17">
        <v>2790</v>
      </c>
      <c r="R124" s="17">
        <v>11489</v>
      </c>
      <c r="S124" s="17">
        <v>489</v>
      </c>
      <c r="T124" s="17">
        <v>3</v>
      </c>
      <c r="U124" s="17">
        <v>6</v>
      </c>
      <c r="V124" s="17">
        <v>17</v>
      </c>
      <c r="W124" s="17">
        <v>3</v>
      </c>
      <c r="X124" s="26">
        <v>0.00552486187845304</v>
      </c>
      <c r="Y124" s="26">
        <v>0.0021505376344086</v>
      </c>
      <c r="Z124" s="26">
        <v>0.0014796762120289</v>
      </c>
      <c r="AA124" s="26">
        <v>0.00613496932515337</v>
      </c>
      <c r="AB124" s="17">
        <v>3.58</v>
      </c>
      <c r="AC124" s="17">
        <v>5.87</v>
      </c>
      <c r="AD124" s="17">
        <v>14.42</v>
      </c>
      <c r="AE124" s="17">
        <v>1.77</v>
      </c>
      <c r="AF124" s="26">
        <v>0.0255842206817695</v>
      </c>
      <c r="AG124" s="26">
        <v>0.0978822744705686</v>
      </c>
      <c r="AH124" s="26">
        <v>0.72136068034017</v>
      </c>
      <c r="AI124" s="26">
        <v>0.0295147573786893</v>
      </c>
      <c r="AJ124" s="17">
        <v>21</v>
      </c>
      <c r="AK124" s="17">
        <v>17</v>
      </c>
      <c r="AL124" s="17">
        <v>12</v>
      </c>
      <c r="AM124" s="17">
        <v>18</v>
      </c>
      <c r="AN124" s="26">
        <v>0.333333333333333</v>
      </c>
      <c r="AO124" s="26">
        <v>0.176470588235294</v>
      </c>
      <c r="AP124" s="26">
        <v>0.0833333333333333</v>
      </c>
      <c r="AQ124" s="26">
        <v>0.166666666666667</v>
      </c>
      <c r="AR124" s="31">
        <v>1</v>
      </c>
      <c r="AS124" s="31">
        <v>60</v>
      </c>
      <c r="AT124" s="31">
        <v>52</v>
      </c>
      <c r="AU124" s="18">
        <v>112</v>
      </c>
      <c r="AV124" s="32">
        <v>43437</v>
      </c>
    </row>
    <row r="125" spans="1:48">
      <c r="A125" s="16" t="s">
        <v>387</v>
      </c>
      <c r="B125" s="17" t="s">
        <v>388</v>
      </c>
      <c r="C125" s="17" t="s">
        <v>389</v>
      </c>
      <c r="D125" s="18">
        <v>11</v>
      </c>
      <c r="E125" s="18">
        <v>4</v>
      </c>
      <c r="F125" s="18">
        <v>4</v>
      </c>
      <c r="G125" s="18">
        <v>5</v>
      </c>
      <c r="H125" s="18">
        <v>19.6716666666667</v>
      </c>
      <c r="I125" s="18">
        <v>34</v>
      </c>
      <c r="J125" s="18">
        <v>0</v>
      </c>
      <c r="K125" s="18">
        <v>0</v>
      </c>
      <c r="L125" s="18">
        <v>0</v>
      </c>
      <c r="M125" s="21">
        <v>34</v>
      </c>
      <c r="N125" s="18">
        <v>0</v>
      </c>
      <c r="O125" s="17">
        <v>33</v>
      </c>
      <c r="P125" s="17">
        <v>519</v>
      </c>
      <c r="Q125" s="17">
        <v>1825</v>
      </c>
      <c r="R125" s="17">
        <v>2176</v>
      </c>
      <c r="S125" s="17">
        <v>401</v>
      </c>
      <c r="T125" s="17">
        <v>0</v>
      </c>
      <c r="U125" s="17">
        <v>3</v>
      </c>
      <c r="V125" s="17">
        <v>9</v>
      </c>
      <c r="W125" s="17">
        <v>2</v>
      </c>
      <c r="X125" s="26">
        <v>0</v>
      </c>
      <c r="Y125" s="26">
        <v>0.00164383561643836</v>
      </c>
      <c r="Z125" s="26">
        <v>0.00413602941176471</v>
      </c>
      <c r="AA125" s="26">
        <v>0.00498753117206983</v>
      </c>
      <c r="AB125" s="17">
        <v>0</v>
      </c>
      <c r="AC125" s="17">
        <v>5.65</v>
      </c>
      <c r="AD125" s="17">
        <v>13.61</v>
      </c>
      <c r="AE125" s="17">
        <v>0.47</v>
      </c>
      <c r="AF125" s="26">
        <v>0</v>
      </c>
      <c r="AG125" s="26">
        <v>0.0718037787003303</v>
      </c>
      <c r="AH125" s="26">
        <v>0.172964500550707</v>
      </c>
      <c r="AI125" s="26">
        <v>0.00477844615775649</v>
      </c>
      <c r="AJ125" s="17">
        <v>29</v>
      </c>
      <c r="AK125" s="17">
        <v>34</v>
      </c>
      <c r="AL125" s="17">
        <v>25</v>
      </c>
      <c r="AM125" s="17">
        <v>26</v>
      </c>
      <c r="AN125" s="26">
        <v>0.379310344827586</v>
      </c>
      <c r="AO125" s="26">
        <v>0.117647058823529</v>
      </c>
      <c r="AP125" s="26">
        <v>0.16</v>
      </c>
      <c r="AQ125" s="26">
        <v>0.192307692307692</v>
      </c>
      <c r="AR125" s="31">
        <v>1.57142857142857</v>
      </c>
      <c r="AS125" s="31">
        <v>94.2857142857143</v>
      </c>
      <c r="AT125" s="31">
        <v>-60.2857142857143</v>
      </c>
      <c r="AU125" s="18">
        <v>21</v>
      </c>
      <c r="AV125" s="32">
        <v>43346</v>
      </c>
    </row>
    <row r="126" spans="1:48">
      <c r="A126" s="16" t="s">
        <v>390</v>
      </c>
      <c r="B126" s="17" t="s">
        <v>65</v>
      </c>
      <c r="C126" s="17" t="s">
        <v>66</v>
      </c>
      <c r="D126" s="18">
        <v>3</v>
      </c>
      <c r="E126" s="18">
        <v>3</v>
      </c>
      <c r="F126" s="18">
        <v>13</v>
      </c>
      <c r="G126" s="18">
        <v>12</v>
      </c>
      <c r="H126" s="18">
        <v>10.2806451612903</v>
      </c>
      <c r="I126" s="18">
        <v>116</v>
      </c>
      <c r="J126" s="18">
        <v>0</v>
      </c>
      <c r="K126" s="18">
        <v>0</v>
      </c>
      <c r="L126" s="18">
        <v>0</v>
      </c>
      <c r="M126" s="21">
        <v>116</v>
      </c>
      <c r="N126" s="18">
        <v>0</v>
      </c>
      <c r="O126" s="17">
        <v>118</v>
      </c>
      <c r="P126" s="17">
        <v>170</v>
      </c>
      <c r="Q126" s="17">
        <v>1285</v>
      </c>
      <c r="R126" s="17">
        <v>1493</v>
      </c>
      <c r="S126" s="17">
        <v>90</v>
      </c>
      <c r="T126" s="17">
        <v>0</v>
      </c>
      <c r="U126" s="17">
        <v>1</v>
      </c>
      <c r="V126" s="17">
        <v>3</v>
      </c>
      <c r="W126" s="17">
        <v>0</v>
      </c>
      <c r="X126" s="26">
        <v>0</v>
      </c>
      <c r="Y126" s="26">
        <v>0.000778210116731518</v>
      </c>
      <c r="Z126" s="26">
        <v>0.00200937709310114</v>
      </c>
      <c r="AA126" s="26">
        <v>0</v>
      </c>
      <c r="AB126" s="17">
        <v>0</v>
      </c>
      <c r="AC126" s="17">
        <v>2.59</v>
      </c>
      <c r="AD126" s="17">
        <v>3.33</v>
      </c>
      <c r="AE126" s="17">
        <v>0</v>
      </c>
      <c r="AF126" s="26">
        <v>0</v>
      </c>
      <c r="AG126" s="26">
        <v>0.0839765714883382</v>
      </c>
      <c r="AH126" s="26">
        <v>0.02491612560643</v>
      </c>
      <c r="AI126" s="26">
        <v>0</v>
      </c>
      <c r="AJ126" s="17">
        <v>47</v>
      </c>
      <c r="AK126" s="17">
        <v>31</v>
      </c>
      <c r="AL126" s="17">
        <v>28</v>
      </c>
      <c r="AM126" s="17">
        <v>19</v>
      </c>
      <c r="AN126" s="26">
        <v>0.0638297872340425</v>
      </c>
      <c r="AO126" s="26">
        <v>0.0967741935483871</v>
      </c>
      <c r="AP126" s="26">
        <v>0.464285714285714</v>
      </c>
      <c r="AQ126" s="26">
        <v>0.631578947368421</v>
      </c>
      <c r="AR126" s="31">
        <v>0.428571428571429</v>
      </c>
      <c r="AS126" s="31">
        <v>25.7142857142857</v>
      </c>
      <c r="AT126" s="31">
        <v>90.2857142857143</v>
      </c>
      <c r="AU126" s="18">
        <v>270</v>
      </c>
      <c r="AV126" s="32">
        <v>43595</v>
      </c>
    </row>
    <row r="127" spans="1:48">
      <c r="A127" s="16" t="s">
        <v>391</v>
      </c>
      <c r="B127" s="17" t="s">
        <v>392</v>
      </c>
      <c r="C127" s="17" t="s">
        <v>393</v>
      </c>
      <c r="D127" s="18">
        <v>2</v>
      </c>
      <c r="E127" s="18">
        <v>0</v>
      </c>
      <c r="F127" s="18">
        <v>0</v>
      </c>
      <c r="G127" s="18">
        <v>0</v>
      </c>
      <c r="H127" s="18">
        <v>28.99</v>
      </c>
      <c r="I127" s="18">
        <v>1</v>
      </c>
      <c r="J127" s="18">
        <v>0</v>
      </c>
      <c r="K127" s="18">
        <v>0</v>
      </c>
      <c r="L127" s="18">
        <v>0</v>
      </c>
      <c r="M127" s="21">
        <v>1</v>
      </c>
      <c r="N127" s="18">
        <v>0</v>
      </c>
      <c r="O127" s="17">
        <v>3</v>
      </c>
      <c r="P127" s="17">
        <v>0</v>
      </c>
      <c r="Q127" s="17">
        <v>0</v>
      </c>
      <c r="R127" s="17">
        <v>0</v>
      </c>
      <c r="S127" s="17">
        <v>0</v>
      </c>
      <c r="T127" s="17" t="s">
        <v>60</v>
      </c>
      <c r="U127" s="17" t="s">
        <v>60</v>
      </c>
      <c r="V127" s="17" t="s">
        <v>60</v>
      </c>
      <c r="W127" s="17" t="s">
        <v>60</v>
      </c>
      <c r="X127" s="26" t="s">
        <v>60</v>
      </c>
      <c r="Y127" s="26" t="s">
        <v>60</v>
      </c>
      <c r="Z127" s="26" t="s">
        <v>60</v>
      </c>
      <c r="AA127" s="26" t="s">
        <v>60</v>
      </c>
      <c r="AB127" s="17" t="s">
        <v>60</v>
      </c>
      <c r="AC127" s="17" t="s">
        <v>60</v>
      </c>
      <c r="AD127" s="17" t="s">
        <v>60</v>
      </c>
      <c r="AE127" s="17" t="s">
        <v>60</v>
      </c>
      <c r="AF127" s="26" t="s">
        <v>60</v>
      </c>
      <c r="AG127" s="26" t="s">
        <v>61</v>
      </c>
      <c r="AH127" s="26" t="s">
        <v>61</v>
      </c>
      <c r="AI127" s="26" t="s">
        <v>61</v>
      </c>
      <c r="AJ127" s="17">
        <v>40</v>
      </c>
      <c r="AK127" s="17">
        <v>8</v>
      </c>
      <c r="AL127" s="17">
        <v>0</v>
      </c>
      <c r="AM127" s="17">
        <v>0</v>
      </c>
      <c r="AN127" s="26">
        <v>0.05</v>
      </c>
      <c r="AO127" s="26">
        <v>0</v>
      </c>
      <c r="AP127" s="26" t="s">
        <v>60</v>
      </c>
      <c r="AQ127" s="26" t="s">
        <v>60</v>
      </c>
      <c r="AR127" s="31">
        <v>0.285714285714286</v>
      </c>
      <c r="AS127" s="31">
        <v>17.1428571428571</v>
      </c>
      <c r="AT127" s="31">
        <v>-16.1428571428571</v>
      </c>
      <c r="AU127" s="18">
        <v>3</v>
      </c>
      <c r="AV127" s="32">
        <v>43328</v>
      </c>
    </row>
    <row r="128" spans="1:48">
      <c r="A128" s="16" t="s">
        <v>394</v>
      </c>
      <c r="B128" s="17" t="s">
        <v>89</v>
      </c>
      <c r="C128" s="17">
        <v>0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>
        <v>0</v>
      </c>
      <c r="J128" s="18">
        <v>0</v>
      </c>
      <c r="K128" s="18">
        <v>0</v>
      </c>
      <c r="L128" s="18">
        <v>0</v>
      </c>
      <c r="M128" s="21">
        <v>0</v>
      </c>
      <c r="N128" s="18">
        <v>0</v>
      </c>
      <c r="O128" s="17">
        <v>0</v>
      </c>
      <c r="P128" s="17">
        <v>0</v>
      </c>
      <c r="Q128" s="17">
        <v>0</v>
      </c>
      <c r="R128" s="17">
        <v>0</v>
      </c>
      <c r="S128" s="17">
        <v>0</v>
      </c>
      <c r="T128" s="17" t="s">
        <v>60</v>
      </c>
      <c r="U128" s="17" t="s">
        <v>60</v>
      </c>
      <c r="V128" s="17" t="s">
        <v>60</v>
      </c>
      <c r="W128" s="17" t="s">
        <v>60</v>
      </c>
      <c r="X128" s="26" t="s">
        <v>60</v>
      </c>
      <c r="Y128" s="26" t="s">
        <v>60</v>
      </c>
      <c r="Z128" s="26" t="s">
        <v>60</v>
      </c>
      <c r="AA128" s="26" t="s">
        <v>60</v>
      </c>
      <c r="AB128" s="17" t="s">
        <v>60</v>
      </c>
      <c r="AC128" s="17" t="s">
        <v>60</v>
      </c>
      <c r="AD128" s="17" t="s">
        <v>60</v>
      </c>
      <c r="AE128" s="17" t="s">
        <v>60</v>
      </c>
      <c r="AF128" s="26" t="s">
        <v>61</v>
      </c>
      <c r="AG128" s="26" t="s">
        <v>61</v>
      </c>
      <c r="AH128" s="26" t="s">
        <v>61</v>
      </c>
      <c r="AI128" s="26" t="s">
        <v>61</v>
      </c>
      <c r="AJ128" s="17" t="s">
        <v>60</v>
      </c>
      <c r="AK128" s="17" t="s">
        <v>60</v>
      </c>
      <c r="AL128" s="17" t="s">
        <v>60</v>
      </c>
      <c r="AM128" s="17" t="s">
        <v>60</v>
      </c>
      <c r="AN128" s="26" t="s">
        <v>60</v>
      </c>
      <c r="AO128" s="26" t="s">
        <v>60</v>
      </c>
      <c r="AP128" s="26" t="s">
        <v>60</v>
      </c>
      <c r="AQ128" s="26" t="s">
        <v>60</v>
      </c>
      <c r="AR128" s="31">
        <v>0</v>
      </c>
      <c r="AS128" s="31">
        <v>0</v>
      </c>
      <c r="AT128" s="31">
        <v>0</v>
      </c>
      <c r="AU128" s="18" t="s">
        <v>62</v>
      </c>
      <c r="AV128" s="32" t="s">
        <v>63</v>
      </c>
    </row>
    <row r="129" spans="1:48">
      <c r="A129" s="16" t="s">
        <v>395</v>
      </c>
      <c r="B129" s="17" t="s">
        <v>168</v>
      </c>
      <c r="C129" s="17">
        <v>0</v>
      </c>
      <c r="D129" s="18">
        <v>0</v>
      </c>
      <c r="E129" s="18">
        <v>0</v>
      </c>
      <c r="F129" s="18">
        <v>0</v>
      </c>
      <c r="G129" s="18">
        <v>0</v>
      </c>
      <c r="H129" s="18">
        <v>0</v>
      </c>
      <c r="I129" s="18">
        <v>0</v>
      </c>
      <c r="J129" s="18">
        <v>0</v>
      </c>
      <c r="K129" s="18">
        <v>0</v>
      </c>
      <c r="L129" s="18">
        <v>0</v>
      </c>
      <c r="M129" s="21">
        <v>0</v>
      </c>
      <c r="N129" s="18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0</v>
      </c>
      <c r="T129" s="17" t="s">
        <v>60</v>
      </c>
      <c r="U129" s="17" t="s">
        <v>60</v>
      </c>
      <c r="V129" s="17" t="s">
        <v>60</v>
      </c>
      <c r="W129" s="17" t="s">
        <v>60</v>
      </c>
      <c r="X129" s="26" t="s">
        <v>60</v>
      </c>
      <c r="Y129" s="26" t="s">
        <v>60</v>
      </c>
      <c r="Z129" s="26" t="s">
        <v>60</v>
      </c>
      <c r="AA129" s="26" t="s">
        <v>60</v>
      </c>
      <c r="AB129" s="17" t="s">
        <v>60</v>
      </c>
      <c r="AC129" s="17" t="s">
        <v>60</v>
      </c>
      <c r="AD129" s="17" t="s">
        <v>60</v>
      </c>
      <c r="AE129" s="17" t="s">
        <v>60</v>
      </c>
      <c r="AF129" s="26" t="s">
        <v>61</v>
      </c>
      <c r="AG129" s="26" t="s">
        <v>61</v>
      </c>
      <c r="AH129" s="26" t="s">
        <v>61</v>
      </c>
      <c r="AI129" s="26" t="s">
        <v>61</v>
      </c>
      <c r="AJ129" s="17" t="s">
        <v>60</v>
      </c>
      <c r="AK129" s="17" t="s">
        <v>60</v>
      </c>
      <c r="AL129" s="17" t="s">
        <v>60</v>
      </c>
      <c r="AM129" s="17" t="s">
        <v>60</v>
      </c>
      <c r="AN129" s="26" t="s">
        <v>60</v>
      </c>
      <c r="AO129" s="26" t="s">
        <v>60</v>
      </c>
      <c r="AP129" s="26" t="s">
        <v>60</v>
      </c>
      <c r="AQ129" s="26" t="s">
        <v>60</v>
      </c>
      <c r="AR129" s="31">
        <v>0</v>
      </c>
      <c r="AS129" s="31">
        <v>0</v>
      </c>
      <c r="AT129" s="31">
        <v>0</v>
      </c>
      <c r="AU129" s="18" t="s">
        <v>62</v>
      </c>
      <c r="AV129" s="32" t="s">
        <v>63</v>
      </c>
    </row>
    <row r="130" spans="1:48">
      <c r="A130" s="16" t="s">
        <v>396</v>
      </c>
      <c r="B130" s="17" t="s">
        <v>397</v>
      </c>
      <c r="C130" s="17" t="s">
        <v>398</v>
      </c>
      <c r="D130" s="18">
        <v>0</v>
      </c>
      <c r="E130" s="18">
        <v>1</v>
      </c>
      <c r="F130" s="18">
        <v>5</v>
      </c>
      <c r="G130" s="18">
        <v>2</v>
      </c>
      <c r="H130" s="18">
        <v>38.39</v>
      </c>
      <c r="I130" s="18">
        <v>0</v>
      </c>
      <c r="J130" s="18">
        <v>0</v>
      </c>
      <c r="K130" s="18">
        <v>0</v>
      </c>
      <c r="L130" s="18">
        <v>0</v>
      </c>
      <c r="M130" s="21">
        <v>0</v>
      </c>
      <c r="N130" s="18">
        <v>0</v>
      </c>
      <c r="O130" s="17">
        <v>0</v>
      </c>
      <c r="P130" s="17">
        <v>0</v>
      </c>
      <c r="Q130" s="17">
        <v>3732</v>
      </c>
      <c r="R130" s="17">
        <v>44916</v>
      </c>
      <c r="S130" s="17">
        <v>16172</v>
      </c>
      <c r="T130" s="17">
        <v>0</v>
      </c>
      <c r="U130" s="17">
        <v>8</v>
      </c>
      <c r="V130" s="17">
        <v>24</v>
      </c>
      <c r="W130" s="17">
        <v>27</v>
      </c>
      <c r="X130" s="26" t="s">
        <v>60</v>
      </c>
      <c r="Y130" s="26">
        <v>0.00214362272240086</v>
      </c>
      <c r="Z130" s="26">
        <v>0.000534330750734705</v>
      </c>
      <c r="AA130" s="26">
        <v>0.00166955231263913</v>
      </c>
      <c r="AB130" s="17">
        <v>0</v>
      </c>
      <c r="AC130" s="17">
        <v>7.78</v>
      </c>
      <c r="AD130" s="17">
        <v>39.17</v>
      </c>
      <c r="AE130" s="17">
        <v>22.1</v>
      </c>
      <c r="AF130" s="26" t="s">
        <v>60</v>
      </c>
      <c r="AG130" s="26">
        <v>0.202656941911956</v>
      </c>
      <c r="AH130" s="26">
        <v>0.204063558218286</v>
      </c>
      <c r="AI130" s="26">
        <v>0.287835373795259</v>
      </c>
      <c r="AJ130" s="17">
        <v>0</v>
      </c>
      <c r="AK130" s="17">
        <v>14</v>
      </c>
      <c r="AL130" s="17">
        <v>39</v>
      </c>
      <c r="AM130" s="17">
        <v>50</v>
      </c>
      <c r="AN130" s="26" t="s">
        <v>60</v>
      </c>
      <c r="AO130" s="26">
        <v>0.0714285714285714</v>
      </c>
      <c r="AP130" s="26">
        <v>0.128205128205128</v>
      </c>
      <c r="AQ130" s="26">
        <v>0.04</v>
      </c>
      <c r="AR130" s="31">
        <v>0</v>
      </c>
      <c r="AS130" s="31">
        <v>0</v>
      </c>
      <c r="AT130" s="31">
        <v>0</v>
      </c>
      <c r="AU130" s="18" t="s">
        <v>62</v>
      </c>
      <c r="AV130" s="32" t="s">
        <v>63</v>
      </c>
    </row>
    <row r="131" spans="1:48">
      <c r="A131" s="16" t="s">
        <v>399</v>
      </c>
      <c r="B131" s="17" t="s">
        <v>129</v>
      </c>
      <c r="C131" s="17" t="s">
        <v>130</v>
      </c>
      <c r="D131" s="18">
        <v>0</v>
      </c>
      <c r="E131" s="18">
        <v>0</v>
      </c>
      <c r="F131" s="18">
        <v>0</v>
      </c>
      <c r="G131" s="18">
        <v>0</v>
      </c>
      <c r="H131" s="18">
        <v>0</v>
      </c>
      <c r="I131" s="18">
        <v>0</v>
      </c>
      <c r="J131" s="18">
        <v>0</v>
      </c>
      <c r="K131" s="18">
        <v>0</v>
      </c>
      <c r="L131" s="18">
        <v>0</v>
      </c>
      <c r="M131" s="21">
        <v>0</v>
      </c>
      <c r="N131" s="18">
        <v>0</v>
      </c>
      <c r="O131" s="17">
        <v>0</v>
      </c>
      <c r="P131" s="17">
        <v>0</v>
      </c>
      <c r="Q131" s="17">
        <v>0</v>
      </c>
      <c r="R131" s="17">
        <v>0</v>
      </c>
      <c r="S131" s="17">
        <v>0</v>
      </c>
      <c r="T131" s="17" t="s">
        <v>60</v>
      </c>
      <c r="U131" s="17" t="s">
        <v>60</v>
      </c>
      <c r="V131" s="17" t="s">
        <v>60</v>
      </c>
      <c r="W131" s="17" t="s">
        <v>60</v>
      </c>
      <c r="X131" s="26" t="s">
        <v>60</v>
      </c>
      <c r="Y131" s="26" t="s">
        <v>60</v>
      </c>
      <c r="Z131" s="26" t="s">
        <v>60</v>
      </c>
      <c r="AA131" s="26" t="s">
        <v>60</v>
      </c>
      <c r="AB131" s="17" t="s">
        <v>60</v>
      </c>
      <c r="AC131" s="17" t="s">
        <v>60</v>
      </c>
      <c r="AD131" s="17" t="s">
        <v>60</v>
      </c>
      <c r="AE131" s="17" t="s">
        <v>60</v>
      </c>
      <c r="AF131" s="26" t="s">
        <v>61</v>
      </c>
      <c r="AG131" s="26" t="s">
        <v>61</v>
      </c>
      <c r="AH131" s="26" t="s">
        <v>61</v>
      </c>
      <c r="AI131" s="26" t="s">
        <v>61</v>
      </c>
      <c r="AJ131" s="17">
        <v>244</v>
      </c>
      <c r="AK131" s="17">
        <v>166</v>
      </c>
      <c r="AL131" s="17">
        <v>173</v>
      </c>
      <c r="AM131" s="17">
        <v>107</v>
      </c>
      <c r="AN131" s="26">
        <v>0</v>
      </c>
      <c r="AO131" s="26">
        <v>0</v>
      </c>
      <c r="AP131" s="26">
        <v>0</v>
      </c>
      <c r="AQ131" s="26">
        <v>0</v>
      </c>
      <c r="AR131" s="31">
        <v>0</v>
      </c>
      <c r="AS131" s="31">
        <v>0</v>
      </c>
      <c r="AT131" s="31">
        <v>0</v>
      </c>
      <c r="AU131" s="18" t="s">
        <v>62</v>
      </c>
      <c r="AV131" s="32" t="s">
        <v>63</v>
      </c>
    </row>
    <row r="132" spans="1:48">
      <c r="A132" s="16"/>
      <c r="B132" s="17"/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21"/>
      <c r="N132" s="18"/>
      <c r="O132" s="17"/>
      <c r="P132" s="17"/>
      <c r="Q132" s="17"/>
      <c r="R132" s="17"/>
      <c r="S132" s="17"/>
      <c r="T132" s="17"/>
      <c r="U132" s="17"/>
      <c r="V132" s="17"/>
      <c r="W132" s="17"/>
      <c r="X132" s="26"/>
      <c r="Y132" s="26"/>
      <c r="Z132" s="26"/>
      <c r="AA132" s="26"/>
      <c r="AB132" s="17"/>
      <c r="AC132" s="17"/>
      <c r="AD132" s="17"/>
      <c r="AE132" s="17"/>
      <c r="AF132" s="26"/>
      <c r="AG132" s="26"/>
      <c r="AH132" s="26"/>
      <c r="AI132" s="26"/>
      <c r="AJ132" s="17"/>
      <c r="AK132" s="17"/>
      <c r="AL132" s="17"/>
      <c r="AM132" s="17"/>
      <c r="AN132" s="26"/>
      <c r="AO132" s="26"/>
      <c r="AP132" s="26"/>
      <c r="AQ132" s="26"/>
      <c r="AR132" s="31"/>
      <c r="AS132" s="31"/>
      <c r="AT132" s="31"/>
      <c r="AU132" s="18"/>
      <c r="AV132" s="32"/>
    </row>
    <row r="133" spans="1:48">
      <c r="A133" s="16"/>
      <c r="B133" s="17"/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21"/>
      <c r="N133" s="18"/>
      <c r="O133" s="17"/>
      <c r="P133" s="17"/>
      <c r="Q133" s="17"/>
      <c r="R133" s="17"/>
      <c r="S133" s="17"/>
      <c r="T133" s="17"/>
      <c r="U133" s="17"/>
      <c r="V133" s="17"/>
      <c r="W133" s="17"/>
      <c r="X133" s="26"/>
      <c r="Y133" s="26"/>
      <c r="Z133" s="26"/>
      <c r="AA133" s="26"/>
      <c r="AB133" s="17"/>
      <c r="AC133" s="17"/>
      <c r="AD133" s="17"/>
      <c r="AE133" s="17"/>
      <c r="AF133" s="26"/>
      <c r="AG133" s="26"/>
      <c r="AH133" s="26"/>
      <c r="AI133" s="26"/>
      <c r="AJ133" s="17"/>
      <c r="AK133" s="17"/>
      <c r="AL133" s="17"/>
      <c r="AM133" s="17"/>
      <c r="AN133" s="26"/>
      <c r="AO133" s="26"/>
      <c r="AP133" s="26"/>
      <c r="AQ133" s="26"/>
      <c r="AR133" s="31"/>
      <c r="AS133" s="31"/>
      <c r="AT133" s="31"/>
      <c r="AU133" s="18"/>
      <c r="AV133" s="32"/>
    </row>
    <row r="134" spans="1:48">
      <c r="A134" s="16"/>
      <c r="B134" s="17"/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21"/>
      <c r="N134" s="18"/>
      <c r="O134" s="17"/>
      <c r="P134" s="17"/>
      <c r="Q134" s="17"/>
      <c r="R134" s="17"/>
      <c r="S134" s="17"/>
      <c r="T134" s="17"/>
      <c r="U134" s="17"/>
      <c r="V134" s="17"/>
      <c r="W134" s="17"/>
      <c r="X134" s="26"/>
      <c r="Y134" s="26"/>
      <c r="Z134" s="26"/>
      <c r="AA134" s="26"/>
      <c r="AB134" s="17"/>
      <c r="AC134" s="17"/>
      <c r="AD134" s="17"/>
      <c r="AE134" s="17"/>
      <c r="AF134" s="26"/>
      <c r="AG134" s="26"/>
      <c r="AH134" s="26"/>
      <c r="AI134" s="26"/>
      <c r="AJ134" s="17"/>
      <c r="AK134" s="17"/>
      <c r="AL134" s="17"/>
      <c r="AM134" s="17"/>
      <c r="AN134" s="26"/>
      <c r="AO134" s="26"/>
      <c r="AP134" s="26"/>
      <c r="AQ134" s="26"/>
      <c r="AR134" s="31"/>
      <c r="AS134" s="31"/>
      <c r="AT134" s="31"/>
      <c r="AU134" s="18"/>
      <c r="AV134" s="32"/>
    </row>
    <row r="135" spans="1:48">
      <c r="A135" s="16"/>
      <c r="B135" s="17"/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21"/>
      <c r="N135" s="18"/>
      <c r="O135" s="17"/>
      <c r="P135" s="17"/>
      <c r="Q135" s="17"/>
      <c r="R135" s="17"/>
      <c r="S135" s="17"/>
      <c r="T135" s="17"/>
      <c r="U135" s="17"/>
      <c r="V135" s="17"/>
      <c r="W135" s="17"/>
      <c r="X135" s="26"/>
      <c r="Y135" s="26"/>
      <c r="Z135" s="26"/>
      <c r="AA135" s="26"/>
      <c r="AB135" s="17"/>
      <c r="AC135" s="17"/>
      <c r="AD135" s="17"/>
      <c r="AE135" s="17"/>
      <c r="AF135" s="26"/>
      <c r="AG135" s="26"/>
      <c r="AH135" s="26"/>
      <c r="AI135" s="26"/>
      <c r="AJ135" s="17"/>
      <c r="AK135" s="17"/>
      <c r="AL135" s="17"/>
      <c r="AM135" s="17"/>
      <c r="AN135" s="26"/>
      <c r="AO135" s="26"/>
      <c r="AP135" s="26"/>
      <c r="AQ135" s="26"/>
      <c r="AR135" s="31"/>
      <c r="AS135" s="31"/>
      <c r="AT135" s="31"/>
      <c r="AU135" s="18"/>
      <c r="AV135" s="32"/>
    </row>
    <row r="136" spans="1:48">
      <c r="A136" s="33"/>
      <c r="B136" s="17"/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21"/>
      <c r="N136" s="18"/>
      <c r="O136" s="17"/>
      <c r="P136" s="17"/>
      <c r="Q136" s="17"/>
      <c r="R136" s="17"/>
      <c r="S136" s="17"/>
      <c r="T136" s="17"/>
      <c r="U136" s="17"/>
      <c r="V136" s="17"/>
      <c r="W136" s="17"/>
      <c r="X136" s="26"/>
      <c r="Y136" s="26"/>
      <c r="Z136" s="26"/>
      <c r="AA136" s="26"/>
      <c r="AB136" s="17"/>
      <c r="AC136" s="17"/>
      <c r="AD136" s="17"/>
      <c r="AE136" s="17"/>
      <c r="AF136" s="26"/>
      <c r="AG136" s="26"/>
      <c r="AH136" s="26"/>
      <c r="AI136" s="26"/>
      <c r="AJ136" s="17"/>
      <c r="AK136" s="17"/>
      <c r="AL136" s="17"/>
      <c r="AM136" s="17"/>
      <c r="AN136" s="26"/>
      <c r="AO136" s="26"/>
      <c r="AP136" s="26"/>
      <c r="AQ136" s="26"/>
      <c r="AR136" s="31"/>
      <c r="AS136" s="31"/>
      <c r="AT136" s="31"/>
      <c r="AU136" s="18"/>
      <c r="AV136" s="32"/>
    </row>
    <row r="137" spans="1:48">
      <c r="A137" s="16"/>
      <c r="B137" s="17"/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21"/>
      <c r="N137" s="18"/>
      <c r="O137" s="17"/>
      <c r="P137" s="17"/>
      <c r="Q137" s="17"/>
      <c r="R137" s="17"/>
      <c r="S137" s="17"/>
      <c r="T137" s="17"/>
      <c r="U137" s="17"/>
      <c r="V137" s="17"/>
      <c r="W137" s="17"/>
      <c r="X137" s="26"/>
      <c r="Y137" s="26"/>
      <c r="Z137" s="26"/>
      <c r="AA137" s="26"/>
      <c r="AB137" s="17"/>
      <c r="AC137" s="17"/>
      <c r="AD137" s="17"/>
      <c r="AE137" s="17"/>
      <c r="AF137" s="26"/>
      <c r="AG137" s="26"/>
      <c r="AH137" s="26"/>
      <c r="AI137" s="26"/>
      <c r="AJ137" s="17"/>
      <c r="AK137" s="17"/>
      <c r="AL137" s="17"/>
      <c r="AM137" s="17"/>
      <c r="AN137" s="26"/>
      <c r="AO137" s="26"/>
      <c r="AP137" s="26"/>
      <c r="AQ137" s="26"/>
      <c r="AR137" s="31"/>
      <c r="AS137" s="31"/>
      <c r="AT137" s="31"/>
      <c r="AU137" s="18"/>
      <c r="AV137" s="32"/>
    </row>
    <row r="138" spans="1:48">
      <c r="A138" s="16"/>
      <c r="B138" s="17"/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21"/>
      <c r="N138" s="18"/>
      <c r="O138" s="17"/>
      <c r="P138" s="17"/>
      <c r="Q138" s="17"/>
      <c r="R138" s="17"/>
      <c r="S138" s="17"/>
      <c r="T138" s="17"/>
      <c r="U138" s="17"/>
      <c r="V138" s="17"/>
      <c r="W138" s="17"/>
      <c r="X138" s="26"/>
      <c r="Y138" s="26"/>
      <c r="Z138" s="26"/>
      <c r="AA138" s="26"/>
      <c r="AB138" s="17"/>
      <c r="AC138" s="17"/>
      <c r="AD138" s="17"/>
      <c r="AE138" s="17"/>
      <c r="AF138" s="26"/>
      <c r="AG138" s="26"/>
      <c r="AH138" s="26"/>
      <c r="AI138" s="26"/>
      <c r="AJ138" s="17"/>
      <c r="AK138" s="17"/>
      <c r="AL138" s="17"/>
      <c r="AM138" s="17"/>
      <c r="AN138" s="26"/>
      <c r="AO138" s="26"/>
      <c r="AP138" s="26"/>
      <c r="AQ138" s="26"/>
      <c r="AR138" s="31"/>
      <c r="AS138" s="31"/>
      <c r="AT138" s="31"/>
      <c r="AU138" s="18"/>
      <c r="AV138" s="32"/>
    </row>
    <row r="139" spans="1:48">
      <c r="A139" s="16"/>
      <c r="B139" s="17"/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21"/>
      <c r="N139" s="18"/>
      <c r="O139" s="17"/>
      <c r="P139" s="17"/>
      <c r="Q139" s="17"/>
      <c r="R139" s="17"/>
      <c r="S139" s="17"/>
      <c r="T139" s="17"/>
      <c r="U139" s="17"/>
      <c r="V139" s="17"/>
      <c r="W139" s="17"/>
      <c r="X139" s="26"/>
      <c r="Y139" s="26"/>
      <c r="Z139" s="26"/>
      <c r="AA139" s="26"/>
      <c r="AB139" s="17"/>
      <c r="AC139" s="17"/>
      <c r="AD139" s="17"/>
      <c r="AE139" s="17"/>
      <c r="AF139" s="26"/>
      <c r="AG139" s="26"/>
      <c r="AH139" s="26"/>
      <c r="AI139" s="26"/>
      <c r="AJ139" s="17"/>
      <c r="AK139" s="17"/>
      <c r="AL139" s="17"/>
      <c r="AM139" s="17"/>
      <c r="AN139" s="26"/>
      <c r="AO139" s="26"/>
      <c r="AP139" s="26"/>
      <c r="AQ139" s="26"/>
      <c r="AR139" s="31"/>
      <c r="AS139" s="31"/>
      <c r="AT139" s="31"/>
      <c r="AU139" s="18"/>
      <c r="AV139" s="32"/>
    </row>
    <row r="140" spans="1:48">
      <c r="A140" s="16"/>
      <c r="B140" s="17"/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21"/>
      <c r="N140" s="18"/>
      <c r="O140" s="17"/>
      <c r="P140" s="17"/>
      <c r="Q140" s="17"/>
      <c r="R140" s="17"/>
      <c r="S140" s="17"/>
      <c r="T140" s="17"/>
      <c r="U140" s="17"/>
      <c r="V140" s="17"/>
      <c r="W140" s="17"/>
      <c r="X140" s="26"/>
      <c r="Y140" s="26"/>
      <c r="Z140" s="26"/>
      <c r="AA140" s="26"/>
      <c r="AB140" s="17"/>
      <c r="AC140" s="17"/>
      <c r="AD140" s="17"/>
      <c r="AE140" s="17"/>
      <c r="AF140" s="26"/>
      <c r="AG140" s="26"/>
      <c r="AH140" s="26"/>
      <c r="AI140" s="26"/>
      <c r="AJ140" s="17"/>
      <c r="AK140" s="17"/>
      <c r="AL140" s="17"/>
      <c r="AM140" s="17"/>
      <c r="AN140" s="26"/>
      <c r="AO140" s="26"/>
      <c r="AP140" s="26"/>
      <c r="AQ140" s="26"/>
      <c r="AR140" s="31"/>
      <c r="AS140" s="31"/>
      <c r="AT140" s="31"/>
      <c r="AU140" s="18"/>
      <c r="AV140" s="32"/>
    </row>
    <row r="141" spans="1:48">
      <c r="A141" s="34"/>
      <c r="B141" s="17"/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21"/>
      <c r="N141" s="18"/>
      <c r="O141" s="17"/>
      <c r="P141" s="17"/>
      <c r="Q141" s="17"/>
      <c r="R141" s="17"/>
      <c r="S141" s="17"/>
      <c r="T141" s="17"/>
      <c r="U141" s="17"/>
      <c r="V141" s="17"/>
      <c r="W141" s="17"/>
      <c r="X141" s="26"/>
      <c r="Y141" s="26"/>
      <c r="Z141" s="26"/>
      <c r="AA141" s="26"/>
      <c r="AB141" s="17"/>
      <c r="AC141" s="17"/>
      <c r="AD141" s="17"/>
      <c r="AE141" s="17"/>
      <c r="AF141" s="26"/>
      <c r="AG141" s="26"/>
      <c r="AH141" s="26"/>
      <c r="AI141" s="26"/>
      <c r="AJ141" s="17"/>
      <c r="AK141" s="17"/>
      <c r="AL141" s="17"/>
      <c r="AM141" s="17"/>
      <c r="AN141" s="26"/>
      <c r="AO141" s="26"/>
      <c r="AP141" s="26"/>
      <c r="AQ141" s="26"/>
      <c r="AR141" s="31"/>
      <c r="AS141" s="31"/>
      <c r="AT141" s="31"/>
      <c r="AU141" s="18"/>
      <c r="AV141" s="32"/>
    </row>
    <row r="142" spans="1:48">
      <c r="A142" s="34"/>
      <c r="B142" s="17"/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21"/>
      <c r="N142" s="18"/>
      <c r="O142" s="17"/>
      <c r="P142" s="17"/>
      <c r="Q142" s="17"/>
      <c r="R142" s="17"/>
      <c r="S142" s="17"/>
      <c r="T142" s="17"/>
      <c r="U142" s="17"/>
      <c r="V142" s="17"/>
      <c r="W142" s="17"/>
      <c r="X142" s="26"/>
      <c r="Y142" s="26"/>
      <c r="Z142" s="26"/>
      <c r="AA142" s="26"/>
      <c r="AB142" s="17"/>
      <c r="AC142" s="17"/>
      <c r="AD142" s="17"/>
      <c r="AE142" s="17"/>
      <c r="AF142" s="26"/>
      <c r="AG142" s="26"/>
      <c r="AH142" s="26"/>
      <c r="AI142" s="26"/>
      <c r="AJ142" s="17"/>
      <c r="AK142" s="17"/>
      <c r="AL142" s="17"/>
      <c r="AM142" s="17"/>
      <c r="AN142" s="26"/>
      <c r="AO142" s="26"/>
      <c r="AP142" s="26"/>
      <c r="AQ142" s="26"/>
      <c r="AR142" s="31"/>
      <c r="AS142" s="31"/>
      <c r="AT142" s="31"/>
      <c r="AU142" s="18"/>
      <c r="AV142" s="32"/>
    </row>
    <row r="143" spans="1:48">
      <c r="A143" s="34"/>
      <c r="B143" s="17"/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21"/>
      <c r="N143" s="18"/>
      <c r="O143" s="17"/>
      <c r="P143" s="17"/>
      <c r="Q143" s="17"/>
      <c r="R143" s="17"/>
      <c r="S143" s="17"/>
      <c r="T143" s="17"/>
      <c r="U143" s="17"/>
      <c r="V143" s="17"/>
      <c r="W143" s="17"/>
      <c r="X143" s="26"/>
      <c r="Y143" s="26"/>
      <c r="Z143" s="26"/>
      <c r="AA143" s="26"/>
      <c r="AB143" s="17"/>
      <c r="AC143" s="17"/>
      <c r="AD143" s="17"/>
      <c r="AE143" s="17"/>
      <c r="AF143" s="26"/>
      <c r="AG143" s="26"/>
      <c r="AH143" s="26"/>
      <c r="AI143" s="26"/>
      <c r="AJ143" s="17"/>
      <c r="AK143" s="17"/>
      <c r="AL143" s="17"/>
      <c r="AM143" s="17"/>
      <c r="AN143" s="26"/>
      <c r="AO143" s="26"/>
      <c r="AP143" s="26"/>
      <c r="AQ143" s="26"/>
      <c r="AR143" s="31"/>
      <c r="AS143" s="31"/>
      <c r="AT143" s="31"/>
      <c r="AU143" s="18"/>
      <c r="AV143" s="32"/>
    </row>
    <row r="144" spans="1:48">
      <c r="A144" s="34"/>
      <c r="B144" s="17"/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21"/>
      <c r="N144" s="18"/>
      <c r="O144" s="17"/>
      <c r="P144" s="17"/>
      <c r="Q144" s="17"/>
      <c r="R144" s="17"/>
      <c r="S144" s="17"/>
      <c r="T144" s="17"/>
      <c r="U144" s="17"/>
      <c r="V144" s="17"/>
      <c r="W144" s="17"/>
      <c r="X144" s="26"/>
      <c r="Y144" s="26"/>
      <c r="Z144" s="26"/>
      <c r="AA144" s="26"/>
      <c r="AB144" s="17"/>
      <c r="AC144" s="17"/>
      <c r="AD144" s="17"/>
      <c r="AE144" s="17"/>
      <c r="AF144" s="26"/>
      <c r="AG144" s="26"/>
      <c r="AH144" s="26"/>
      <c r="AI144" s="26"/>
      <c r="AJ144" s="17"/>
      <c r="AK144" s="17"/>
      <c r="AL144" s="17"/>
      <c r="AM144" s="17"/>
      <c r="AN144" s="26"/>
      <c r="AO144" s="26"/>
      <c r="AP144" s="26"/>
      <c r="AQ144" s="26"/>
      <c r="AR144" s="31"/>
      <c r="AS144" s="31"/>
      <c r="AT144" s="31"/>
      <c r="AU144" s="18"/>
      <c r="AV144" s="32"/>
    </row>
    <row r="145" spans="1:48">
      <c r="A145" s="34"/>
      <c r="B145" s="17"/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21"/>
      <c r="N145" s="18"/>
      <c r="O145" s="17"/>
      <c r="P145" s="17"/>
      <c r="Q145" s="17"/>
      <c r="R145" s="17"/>
      <c r="S145" s="17"/>
      <c r="T145" s="17"/>
      <c r="U145" s="17"/>
      <c r="V145" s="17"/>
      <c r="W145" s="17"/>
      <c r="X145" s="26"/>
      <c r="Y145" s="26"/>
      <c r="Z145" s="26"/>
      <c r="AA145" s="26"/>
      <c r="AB145" s="17"/>
      <c r="AC145" s="17"/>
      <c r="AD145" s="17"/>
      <c r="AE145" s="17"/>
      <c r="AF145" s="26"/>
      <c r="AG145" s="26"/>
      <c r="AH145" s="26"/>
      <c r="AI145" s="26"/>
      <c r="AJ145" s="17"/>
      <c r="AK145" s="17"/>
      <c r="AL145" s="17"/>
      <c r="AM145" s="17"/>
      <c r="AN145" s="26"/>
      <c r="AO145" s="26"/>
      <c r="AP145" s="26"/>
      <c r="AQ145" s="26"/>
      <c r="AR145" s="31"/>
      <c r="AS145" s="31"/>
      <c r="AT145" s="31"/>
      <c r="AU145" s="18"/>
      <c r="AV145" s="32"/>
    </row>
    <row r="146" spans="1:48">
      <c r="A146" s="33"/>
      <c r="B146" s="17"/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21"/>
      <c r="N146" s="18"/>
      <c r="O146" s="17"/>
      <c r="P146" s="17"/>
      <c r="Q146" s="17"/>
      <c r="R146" s="17"/>
      <c r="S146" s="17"/>
      <c r="T146" s="17"/>
      <c r="U146" s="17"/>
      <c r="V146" s="17"/>
      <c r="W146" s="17"/>
      <c r="X146" s="26"/>
      <c r="Y146" s="26"/>
      <c r="Z146" s="26"/>
      <c r="AA146" s="26"/>
      <c r="AB146" s="17"/>
      <c r="AC146" s="17"/>
      <c r="AD146" s="17"/>
      <c r="AE146" s="17"/>
      <c r="AF146" s="26"/>
      <c r="AG146" s="26"/>
      <c r="AH146" s="26"/>
      <c r="AI146" s="26"/>
      <c r="AJ146" s="17"/>
      <c r="AK146" s="17"/>
      <c r="AL146" s="17"/>
      <c r="AM146" s="17"/>
      <c r="AN146" s="26"/>
      <c r="AO146" s="26"/>
      <c r="AP146" s="26"/>
      <c r="AQ146" s="26"/>
      <c r="AR146" s="31"/>
      <c r="AS146" s="31"/>
      <c r="AT146" s="31"/>
      <c r="AU146" s="18"/>
      <c r="AV146" s="32"/>
    </row>
    <row r="147" spans="1:48">
      <c r="A147" s="33"/>
      <c r="B147" s="17"/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21"/>
      <c r="N147" s="18"/>
      <c r="O147" s="17"/>
      <c r="P147" s="17"/>
      <c r="Q147" s="17"/>
      <c r="R147" s="17"/>
      <c r="S147" s="17"/>
      <c r="T147" s="17"/>
      <c r="U147" s="17"/>
      <c r="V147" s="17"/>
      <c r="W147" s="17"/>
      <c r="X147" s="26"/>
      <c r="Y147" s="26"/>
      <c r="Z147" s="26"/>
      <c r="AA147" s="26"/>
      <c r="AB147" s="17"/>
      <c r="AC147" s="17"/>
      <c r="AD147" s="17"/>
      <c r="AE147" s="17"/>
      <c r="AF147" s="26"/>
      <c r="AG147" s="26"/>
      <c r="AH147" s="26"/>
      <c r="AI147" s="26"/>
      <c r="AJ147" s="17"/>
      <c r="AK147" s="17"/>
      <c r="AL147" s="17"/>
      <c r="AM147" s="17"/>
      <c r="AN147" s="26"/>
      <c r="AO147" s="26"/>
      <c r="AP147" s="26"/>
      <c r="AQ147" s="26"/>
      <c r="AR147" s="31"/>
      <c r="AS147" s="31"/>
      <c r="AT147" s="31"/>
      <c r="AU147" s="18"/>
      <c r="AV147" s="32"/>
    </row>
    <row r="148" spans="1:48">
      <c r="A148" s="16"/>
      <c r="B148" s="17"/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21"/>
      <c r="N148" s="18"/>
      <c r="O148" s="17"/>
      <c r="P148" s="17"/>
      <c r="Q148" s="17"/>
      <c r="R148" s="17"/>
      <c r="S148" s="17"/>
      <c r="T148" s="17"/>
      <c r="U148" s="17"/>
      <c r="V148" s="17"/>
      <c r="W148" s="17"/>
      <c r="X148" s="26"/>
      <c r="Y148" s="26"/>
      <c r="Z148" s="26"/>
      <c r="AA148" s="26"/>
      <c r="AB148" s="17"/>
      <c r="AC148" s="17"/>
      <c r="AD148" s="17"/>
      <c r="AE148" s="17"/>
      <c r="AF148" s="26"/>
      <c r="AG148" s="26"/>
      <c r="AH148" s="26"/>
      <c r="AI148" s="26"/>
      <c r="AJ148" s="17"/>
      <c r="AK148" s="17"/>
      <c r="AL148" s="17"/>
      <c r="AM148" s="17"/>
      <c r="AN148" s="26"/>
      <c r="AO148" s="26"/>
      <c r="AP148" s="26"/>
      <c r="AQ148" s="26"/>
      <c r="AR148" s="31"/>
      <c r="AS148" s="31"/>
      <c r="AT148" s="31"/>
      <c r="AU148" s="18"/>
      <c r="AV148" s="32"/>
    </row>
    <row r="149" spans="1:48">
      <c r="A149" s="16"/>
      <c r="B149" s="17"/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21"/>
      <c r="N149" s="18"/>
      <c r="O149" s="17"/>
      <c r="P149" s="17"/>
      <c r="Q149" s="17"/>
      <c r="R149" s="17"/>
      <c r="S149" s="17"/>
      <c r="T149" s="17"/>
      <c r="U149" s="17"/>
      <c r="V149" s="17"/>
      <c r="W149" s="17"/>
      <c r="X149" s="26"/>
      <c r="Y149" s="26"/>
      <c r="Z149" s="26"/>
      <c r="AA149" s="26"/>
      <c r="AB149" s="17"/>
      <c r="AC149" s="17"/>
      <c r="AD149" s="17"/>
      <c r="AE149" s="17"/>
      <c r="AF149" s="26"/>
      <c r="AG149" s="26"/>
      <c r="AH149" s="26"/>
      <c r="AI149" s="26"/>
      <c r="AJ149" s="17"/>
      <c r="AK149" s="17"/>
      <c r="AL149" s="17"/>
      <c r="AM149" s="17"/>
      <c r="AN149" s="26"/>
      <c r="AO149" s="26"/>
      <c r="AP149" s="26"/>
      <c r="AQ149" s="26"/>
      <c r="AR149" s="31"/>
      <c r="AS149" s="31"/>
      <c r="AT149" s="31"/>
      <c r="AU149" s="18"/>
      <c r="AV149" s="32"/>
    </row>
    <row r="150" spans="1:48">
      <c r="A150" s="16"/>
      <c r="B150" s="17"/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21"/>
      <c r="N150" s="18"/>
      <c r="O150" s="17"/>
      <c r="P150" s="17"/>
      <c r="Q150" s="17"/>
      <c r="R150" s="17"/>
      <c r="S150" s="17"/>
      <c r="T150" s="17"/>
      <c r="U150" s="17"/>
      <c r="V150" s="17"/>
      <c r="W150" s="17"/>
      <c r="X150" s="26"/>
      <c r="Y150" s="26"/>
      <c r="Z150" s="26"/>
      <c r="AA150" s="26"/>
      <c r="AB150" s="17"/>
      <c r="AC150" s="17"/>
      <c r="AD150" s="17"/>
      <c r="AE150" s="17"/>
      <c r="AF150" s="26"/>
      <c r="AG150" s="26"/>
      <c r="AH150" s="26"/>
      <c r="AI150" s="26"/>
      <c r="AJ150" s="17"/>
      <c r="AK150" s="17"/>
      <c r="AL150" s="17"/>
      <c r="AM150" s="17"/>
      <c r="AN150" s="26"/>
      <c r="AO150" s="26"/>
      <c r="AP150" s="26"/>
      <c r="AQ150" s="26"/>
      <c r="AR150" s="31"/>
      <c r="AS150" s="31"/>
      <c r="AT150" s="31"/>
      <c r="AU150" s="18"/>
      <c r="AV150" s="32"/>
    </row>
    <row r="151" spans="1:48">
      <c r="A151" s="16"/>
      <c r="B151" s="17"/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21"/>
      <c r="N151" s="18"/>
      <c r="O151" s="17"/>
      <c r="P151" s="17"/>
      <c r="Q151" s="17"/>
      <c r="R151" s="17"/>
      <c r="S151" s="17"/>
      <c r="T151" s="17"/>
      <c r="U151" s="17"/>
      <c r="V151" s="17"/>
      <c r="W151" s="17"/>
      <c r="X151" s="26"/>
      <c r="Y151" s="26"/>
      <c r="Z151" s="26"/>
      <c r="AA151" s="26"/>
      <c r="AB151" s="17"/>
      <c r="AC151" s="17"/>
      <c r="AD151" s="17"/>
      <c r="AE151" s="17"/>
      <c r="AF151" s="26"/>
      <c r="AG151" s="26"/>
      <c r="AH151" s="26"/>
      <c r="AI151" s="26"/>
      <c r="AJ151" s="17"/>
      <c r="AK151" s="17"/>
      <c r="AL151" s="17"/>
      <c r="AM151" s="17"/>
      <c r="AN151" s="26"/>
      <c r="AO151" s="26"/>
      <c r="AP151" s="26"/>
      <c r="AQ151" s="26"/>
      <c r="AR151" s="31"/>
      <c r="AS151" s="31"/>
      <c r="AT151" s="31"/>
      <c r="AU151" s="18"/>
      <c r="AV151" s="32"/>
    </row>
    <row r="152" spans="1:48">
      <c r="A152" s="16"/>
      <c r="B152" s="17"/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21"/>
      <c r="N152" s="18"/>
      <c r="O152" s="17"/>
      <c r="P152" s="17"/>
      <c r="Q152" s="17"/>
      <c r="R152" s="17"/>
      <c r="S152" s="17"/>
      <c r="T152" s="17"/>
      <c r="U152" s="17"/>
      <c r="V152" s="17"/>
      <c r="W152" s="17"/>
      <c r="X152" s="26"/>
      <c r="Y152" s="26"/>
      <c r="Z152" s="26"/>
      <c r="AA152" s="26"/>
      <c r="AB152" s="17"/>
      <c r="AC152" s="17"/>
      <c r="AD152" s="17"/>
      <c r="AE152" s="17"/>
      <c r="AF152" s="26"/>
      <c r="AG152" s="26"/>
      <c r="AH152" s="26"/>
      <c r="AI152" s="26"/>
      <c r="AJ152" s="17"/>
      <c r="AK152" s="17"/>
      <c r="AL152" s="17"/>
      <c r="AM152" s="17"/>
      <c r="AN152" s="26"/>
      <c r="AO152" s="26"/>
      <c r="AP152" s="26"/>
      <c r="AQ152" s="26"/>
      <c r="AR152" s="31"/>
      <c r="AS152" s="31"/>
      <c r="AT152" s="31"/>
      <c r="AU152" s="18"/>
      <c r="AV152" s="32"/>
    </row>
    <row r="153" spans="1:48">
      <c r="A153" s="16"/>
      <c r="B153" s="17"/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21"/>
      <c r="N153" s="18"/>
      <c r="O153" s="17"/>
      <c r="P153" s="17"/>
      <c r="Q153" s="17"/>
      <c r="R153" s="17"/>
      <c r="S153" s="17"/>
      <c r="T153" s="17"/>
      <c r="U153" s="17"/>
      <c r="V153" s="17"/>
      <c r="W153" s="17"/>
      <c r="X153" s="26"/>
      <c r="Y153" s="26"/>
      <c r="Z153" s="26"/>
      <c r="AA153" s="26"/>
      <c r="AB153" s="17"/>
      <c r="AC153" s="17"/>
      <c r="AD153" s="17"/>
      <c r="AE153" s="17"/>
      <c r="AF153" s="26"/>
      <c r="AG153" s="26"/>
      <c r="AH153" s="26"/>
      <c r="AI153" s="26"/>
      <c r="AJ153" s="17"/>
      <c r="AK153" s="17"/>
      <c r="AL153" s="17"/>
      <c r="AM153" s="17"/>
      <c r="AN153" s="26"/>
      <c r="AO153" s="26"/>
      <c r="AP153" s="26"/>
      <c r="AQ153" s="26"/>
      <c r="AR153" s="31"/>
      <c r="AS153" s="31"/>
      <c r="AT153" s="31"/>
      <c r="AU153" s="18"/>
      <c r="AV153" s="32"/>
    </row>
    <row r="154" spans="1:48">
      <c r="A154" s="16"/>
      <c r="B154" s="17"/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21"/>
      <c r="N154" s="18"/>
      <c r="O154" s="17"/>
      <c r="P154" s="17"/>
      <c r="Q154" s="17"/>
      <c r="R154" s="17"/>
      <c r="S154" s="17"/>
      <c r="T154" s="17"/>
      <c r="U154" s="17"/>
      <c r="V154" s="17"/>
      <c r="W154" s="17"/>
      <c r="X154" s="26"/>
      <c r="Y154" s="26"/>
      <c r="Z154" s="26"/>
      <c r="AA154" s="26"/>
      <c r="AB154" s="17"/>
      <c r="AC154" s="17"/>
      <c r="AD154" s="17"/>
      <c r="AE154" s="17"/>
      <c r="AF154" s="26"/>
      <c r="AG154" s="26"/>
      <c r="AH154" s="26"/>
      <c r="AI154" s="26"/>
      <c r="AJ154" s="17"/>
      <c r="AK154" s="17"/>
      <c r="AL154" s="17"/>
      <c r="AM154" s="17"/>
      <c r="AN154" s="26"/>
      <c r="AO154" s="26"/>
      <c r="AP154" s="26"/>
      <c r="AQ154" s="26"/>
      <c r="AR154" s="31"/>
      <c r="AS154" s="31"/>
      <c r="AT154" s="31"/>
      <c r="AU154" s="18"/>
      <c r="AV154" s="32"/>
    </row>
    <row r="155" spans="1:48">
      <c r="A155" s="16"/>
      <c r="B155" s="17"/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21"/>
      <c r="N155" s="18"/>
      <c r="O155" s="17"/>
      <c r="P155" s="17"/>
      <c r="Q155" s="17"/>
      <c r="R155" s="17"/>
      <c r="S155" s="17"/>
      <c r="T155" s="17"/>
      <c r="U155" s="17"/>
      <c r="V155" s="17"/>
      <c r="W155" s="17"/>
      <c r="X155" s="26"/>
      <c r="Y155" s="26"/>
      <c r="Z155" s="26"/>
      <c r="AA155" s="26"/>
      <c r="AB155" s="17"/>
      <c r="AC155" s="17"/>
      <c r="AD155" s="17"/>
      <c r="AE155" s="17"/>
      <c r="AF155" s="26"/>
      <c r="AG155" s="26"/>
      <c r="AH155" s="26"/>
      <c r="AI155" s="26"/>
      <c r="AJ155" s="17"/>
      <c r="AK155" s="17"/>
      <c r="AL155" s="17"/>
      <c r="AM155" s="17"/>
      <c r="AN155" s="26"/>
      <c r="AO155" s="26"/>
      <c r="AP155" s="26"/>
      <c r="AQ155" s="26"/>
      <c r="AR155" s="31"/>
      <c r="AS155" s="31"/>
      <c r="AT155" s="31"/>
      <c r="AU155" s="18"/>
      <c r="AV155" s="32"/>
    </row>
    <row r="156" spans="1:48">
      <c r="A156" s="34"/>
      <c r="B156" s="17"/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21"/>
      <c r="N156" s="18"/>
      <c r="O156" s="17"/>
      <c r="P156" s="17"/>
      <c r="Q156" s="17"/>
      <c r="R156" s="17"/>
      <c r="S156" s="17"/>
      <c r="T156" s="17"/>
      <c r="U156" s="17"/>
      <c r="V156" s="17"/>
      <c r="W156" s="17"/>
      <c r="X156" s="26"/>
      <c r="Y156" s="26"/>
      <c r="Z156" s="26"/>
      <c r="AA156" s="26"/>
      <c r="AB156" s="17"/>
      <c r="AC156" s="17"/>
      <c r="AD156" s="17"/>
      <c r="AE156" s="17"/>
      <c r="AF156" s="26"/>
      <c r="AG156" s="26"/>
      <c r="AH156" s="26"/>
      <c r="AI156" s="26"/>
      <c r="AJ156" s="17"/>
      <c r="AK156" s="17"/>
      <c r="AL156" s="17"/>
      <c r="AM156" s="17"/>
      <c r="AN156" s="26"/>
      <c r="AO156" s="26"/>
      <c r="AP156" s="26"/>
      <c r="AQ156" s="26"/>
      <c r="AR156" s="31"/>
      <c r="AS156" s="31"/>
      <c r="AT156" s="31"/>
      <c r="AU156" s="18"/>
      <c r="AV156" s="32"/>
    </row>
    <row r="157" spans="1:48">
      <c r="A157" s="34"/>
      <c r="B157" s="17"/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21"/>
      <c r="N157" s="18"/>
      <c r="O157" s="17"/>
      <c r="P157" s="17"/>
      <c r="Q157" s="17"/>
      <c r="R157" s="17"/>
      <c r="S157" s="17"/>
      <c r="T157" s="17"/>
      <c r="U157" s="17"/>
      <c r="V157" s="17"/>
      <c r="W157" s="17"/>
      <c r="X157" s="26"/>
      <c r="Y157" s="26"/>
      <c r="Z157" s="26"/>
      <c r="AA157" s="26"/>
      <c r="AB157" s="17"/>
      <c r="AC157" s="17"/>
      <c r="AD157" s="17"/>
      <c r="AE157" s="17"/>
      <c r="AF157" s="26"/>
      <c r="AG157" s="26"/>
      <c r="AH157" s="26"/>
      <c r="AI157" s="26"/>
      <c r="AJ157" s="17"/>
      <c r="AK157" s="17"/>
      <c r="AL157" s="17"/>
      <c r="AM157" s="17"/>
      <c r="AN157" s="26"/>
      <c r="AO157" s="26"/>
      <c r="AP157" s="26"/>
      <c r="AQ157" s="26"/>
      <c r="AR157" s="31"/>
      <c r="AS157" s="31"/>
      <c r="AT157" s="31"/>
      <c r="AU157" s="18"/>
      <c r="AV157" s="32"/>
    </row>
    <row r="158" spans="1:48">
      <c r="A158" s="34"/>
      <c r="B158" s="17"/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21"/>
      <c r="N158" s="18"/>
      <c r="O158" s="17"/>
      <c r="P158" s="17"/>
      <c r="Q158" s="17"/>
      <c r="R158" s="17"/>
      <c r="S158" s="17"/>
      <c r="T158" s="17"/>
      <c r="U158" s="17"/>
      <c r="V158" s="17"/>
      <c r="W158" s="17"/>
      <c r="X158" s="26"/>
      <c r="Y158" s="26"/>
      <c r="Z158" s="26"/>
      <c r="AA158" s="26"/>
      <c r="AB158" s="17"/>
      <c r="AC158" s="17"/>
      <c r="AD158" s="17"/>
      <c r="AE158" s="17"/>
      <c r="AF158" s="26"/>
      <c r="AG158" s="26"/>
      <c r="AH158" s="26"/>
      <c r="AI158" s="26"/>
      <c r="AJ158" s="17"/>
      <c r="AK158" s="17"/>
      <c r="AL158" s="17"/>
      <c r="AM158" s="17"/>
      <c r="AN158" s="26"/>
      <c r="AO158" s="26"/>
      <c r="AP158" s="26"/>
      <c r="AQ158" s="26"/>
      <c r="AR158" s="31"/>
      <c r="AS158" s="31"/>
      <c r="AT158" s="31"/>
      <c r="AU158" s="18"/>
      <c r="AV158" s="32"/>
    </row>
    <row r="159" spans="1:48">
      <c r="A159" s="34"/>
      <c r="B159" s="17"/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21"/>
      <c r="N159" s="18"/>
      <c r="O159" s="17"/>
      <c r="P159" s="17"/>
      <c r="Q159" s="17"/>
      <c r="R159" s="17"/>
      <c r="S159" s="17"/>
      <c r="T159" s="17"/>
      <c r="U159" s="17"/>
      <c r="V159" s="17"/>
      <c r="W159" s="17"/>
      <c r="X159" s="26"/>
      <c r="Y159" s="26"/>
      <c r="Z159" s="26"/>
      <c r="AA159" s="26"/>
      <c r="AB159" s="17"/>
      <c r="AC159" s="17"/>
      <c r="AD159" s="17"/>
      <c r="AE159" s="17"/>
      <c r="AF159" s="26"/>
      <c r="AG159" s="26"/>
      <c r="AH159" s="26"/>
      <c r="AI159" s="26"/>
      <c r="AJ159" s="17"/>
      <c r="AK159" s="17"/>
      <c r="AL159" s="17"/>
      <c r="AM159" s="17"/>
      <c r="AN159" s="26"/>
      <c r="AO159" s="26"/>
      <c r="AP159" s="26"/>
      <c r="AQ159" s="26"/>
      <c r="AR159" s="31"/>
      <c r="AS159" s="31"/>
      <c r="AT159" s="31"/>
      <c r="AU159" s="18"/>
      <c r="AV159" s="32"/>
    </row>
    <row r="160" spans="1:48">
      <c r="A160" s="34"/>
      <c r="B160" s="17"/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21"/>
      <c r="N160" s="18"/>
      <c r="O160" s="17"/>
      <c r="P160" s="17"/>
      <c r="Q160" s="17"/>
      <c r="R160" s="17"/>
      <c r="S160" s="17"/>
      <c r="T160" s="17"/>
      <c r="U160" s="17"/>
      <c r="V160" s="17"/>
      <c r="W160" s="17"/>
      <c r="X160" s="26"/>
      <c r="Y160" s="26"/>
      <c r="Z160" s="26"/>
      <c r="AA160" s="26"/>
      <c r="AB160" s="17"/>
      <c r="AC160" s="17"/>
      <c r="AD160" s="17"/>
      <c r="AE160" s="17"/>
      <c r="AF160" s="26"/>
      <c r="AG160" s="26"/>
      <c r="AH160" s="26"/>
      <c r="AI160" s="26"/>
      <c r="AJ160" s="17"/>
      <c r="AK160" s="17"/>
      <c r="AL160" s="17"/>
      <c r="AM160" s="17"/>
      <c r="AN160" s="26"/>
      <c r="AO160" s="26"/>
      <c r="AP160" s="26"/>
      <c r="AQ160" s="26"/>
      <c r="AR160" s="31"/>
      <c r="AS160" s="31"/>
      <c r="AT160" s="31"/>
      <c r="AU160" s="18"/>
      <c r="AV160" s="32"/>
    </row>
    <row r="161" spans="1:48">
      <c r="A161" s="34"/>
      <c r="B161" s="17"/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21"/>
      <c r="N161" s="18"/>
      <c r="O161" s="17"/>
      <c r="P161" s="17"/>
      <c r="Q161" s="17"/>
      <c r="R161" s="17"/>
      <c r="S161" s="17"/>
      <c r="T161" s="17"/>
      <c r="U161" s="17"/>
      <c r="V161" s="17"/>
      <c r="W161" s="17"/>
      <c r="X161" s="26"/>
      <c r="Y161" s="26"/>
      <c r="Z161" s="26"/>
      <c r="AA161" s="26"/>
      <c r="AB161" s="17"/>
      <c r="AC161" s="17"/>
      <c r="AD161" s="17"/>
      <c r="AE161" s="17"/>
      <c r="AF161" s="26"/>
      <c r="AG161" s="26"/>
      <c r="AH161" s="26"/>
      <c r="AI161" s="26"/>
      <c r="AJ161" s="17"/>
      <c r="AK161" s="17"/>
      <c r="AL161" s="17"/>
      <c r="AM161" s="17"/>
      <c r="AN161" s="26"/>
      <c r="AO161" s="26"/>
      <c r="AP161" s="26"/>
      <c r="AQ161" s="26"/>
      <c r="AR161" s="31"/>
      <c r="AS161" s="31"/>
      <c r="AT161" s="31"/>
      <c r="AU161" s="18"/>
      <c r="AV161" s="32"/>
    </row>
    <row r="162" spans="1:48">
      <c r="A162" s="34"/>
      <c r="B162" s="17"/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21"/>
      <c r="N162" s="18"/>
      <c r="O162" s="17"/>
      <c r="P162" s="17"/>
      <c r="Q162" s="17"/>
      <c r="R162" s="17"/>
      <c r="S162" s="17"/>
      <c r="T162" s="17"/>
      <c r="U162" s="17"/>
      <c r="V162" s="17"/>
      <c r="W162" s="17"/>
      <c r="X162" s="26"/>
      <c r="Y162" s="26"/>
      <c r="Z162" s="26"/>
      <c r="AA162" s="26"/>
      <c r="AB162" s="17"/>
      <c r="AC162" s="17"/>
      <c r="AD162" s="17"/>
      <c r="AE162" s="17"/>
      <c r="AF162" s="26"/>
      <c r="AG162" s="26"/>
      <c r="AH162" s="26"/>
      <c r="AI162" s="26"/>
      <c r="AJ162" s="17"/>
      <c r="AK162" s="17"/>
      <c r="AL162" s="17"/>
      <c r="AM162" s="17"/>
      <c r="AN162" s="26"/>
      <c r="AO162" s="26"/>
      <c r="AP162" s="26"/>
      <c r="AQ162" s="26"/>
      <c r="AR162" s="31"/>
      <c r="AS162" s="31"/>
      <c r="AT162" s="31"/>
      <c r="AU162" s="18"/>
      <c r="AV162" s="32"/>
    </row>
    <row r="163" spans="1:48">
      <c r="A163" s="34"/>
      <c r="B163" s="17"/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21"/>
      <c r="N163" s="18"/>
      <c r="O163" s="17"/>
      <c r="P163" s="17"/>
      <c r="Q163" s="17"/>
      <c r="R163" s="17"/>
      <c r="S163" s="17"/>
      <c r="T163" s="17"/>
      <c r="U163" s="17"/>
      <c r="V163" s="17"/>
      <c r="W163" s="17"/>
      <c r="X163" s="26"/>
      <c r="Y163" s="26"/>
      <c r="Z163" s="26"/>
      <c r="AA163" s="26"/>
      <c r="AB163" s="17"/>
      <c r="AC163" s="17"/>
      <c r="AD163" s="17"/>
      <c r="AE163" s="17"/>
      <c r="AF163" s="26"/>
      <c r="AG163" s="26"/>
      <c r="AH163" s="26"/>
      <c r="AI163" s="26"/>
      <c r="AJ163" s="17"/>
      <c r="AK163" s="17"/>
      <c r="AL163" s="17"/>
      <c r="AM163" s="17"/>
      <c r="AN163" s="26"/>
      <c r="AO163" s="26"/>
      <c r="AP163" s="26"/>
      <c r="AQ163" s="26"/>
      <c r="AR163" s="31"/>
      <c r="AS163" s="31"/>
      <c r="AT163" s="31"/>
      <c r="AU163" s="18"/>
      <c r="AV163" s="32"/>
    </row>
    <row r="164" spans="1:48">
      <c r="A164" s="33"/>
      <c r="B164" s="17"/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21"/>
      <c r="N164" s="18"/>
      <c r="O164" s="17"/>
      <c r="P164" s="17"/>
      <c r="Q164" s="17"/>
      <c r="R164" s="17"/>
      <c r="S164" s="17"/>
      <c r="T164" s="17"/>
      <c r="U164" s="17"/>
      <c r="V164" s="17"/>
      <c r="W164" s="17"/>
      <c r="X164" s="26"/>
      <c r="Y164" s="26"/>
      <c r="Z164" s="26"/>
      <c r="AA164" s="26"/>
      <c r="AB164" s="17"/>
      <c r="AC164" s="17"/>
      <c r="AD164" s="17"/>
      <c r="AE164" s="17"/>
      <c r="AF164" s="26"/>
      <c r="AG164" s="26"/>
      <c r="AH164" s="26"/>
      <c r="AI164" s="26"/>
      <c r="AJ164" s="17"/>
      <c r="AK164" s="17"/>
      <c r="AL164" s="17"/>
      <c r="AM164" s="17"/>
      <c r="AN164" s="26"/>
      <c r="AO164" s="26"/>
      <c r="AP164" s="26"/>
      <c r="AQ164" s="26"/>
      <c r="AR164" s="31"/>
      <c r="AS164" s="31"/>
      <c r="AT164" s="31"/>
      <c r="AU164" s="18"/>
      <c r="AV164" s="32"/>
    </row>
    <row r="165" spans="1:48">
      <c r="A165" s="33"/>
      <c r="B165" s="17"/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21"/>
      <c r="N165" s="18"/>
      <c r="O165" s="17"/>
      <c r="P165" s="17"/>
      <c r="Q165" s="17"/>
      <c r="R165" s="17"/>
      <c r="S165" s="17"/>
      <c r="T165" s="17"/>
      <c r="U165" s="17"/>
      <c r="V165" s="17"/>
      <c r="W165" s="17"/>
      <c r="X165" s="26"/>
      <c r="Y165" s="26"/>
      <c r="Z165" s="26"/>
      <c r="AA165" s="26"/>
      <c r="AB165" s="17"/>
      <c r="AC165" s="17"/>
      <c r="AD165" s="17"/>
      <c r="AE165" s="17"/>
      <c r="AF165" s="26"/>
      <c r="AG165" s="26"/>
      <c r="AH165" s="26"/>
      <c r="AI165" s="26"/>
      <c r="AJ165" s="17"/>
      <c r="AK165" s="17"/>
      <c r="AL165" s="17"/>
      <c r="AM165" s="17"/>
      <c r="AN165" s="26"/>
      <c r="AO165" s="26"/>
      <c r="AP165" s="26"/>
      <c r="AQ165" s="26"/>
      <c r="AR165" s="31"/>
      <c r="AS165" s="31"/>
      <c r="AT165" s="31"/>
      <c r="AU165" s="18"/>
      <c r="AV165" s="32"/>
    </row>
    <row r="166" spans="1:48">
      <c r="A166" s="35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6"/>
      <c r="Y166" s="26"/>
      <c r="Z166" s="26"/>
      <c r="AA166" s="26"/>
      <c r="AB166" s="17"/>
      <c r="AC166" s="17"/>
      <c r="AD166" s="17"/>
      <c r="AE166" s="17"/>
      <c r="AF166" s="26"/>
      <c r="AG166" s="26"/>
      <c r="AH166" s="26"/>
      <c r="AI166" s="26"/>
      <c r="AJ166" s="17"/>
      <c r="AK166" s="17"/>
      <c r="AL166" s="17"/>
      <c r="AM166" s="17"/>
      <c r="AN166" s="26"/>
      <c r="AO166" s="26"/>
      <c r="AP166" s="26"/>
      <c r="AQ166" s="26"/>
      <c r="AR166" s="31"/>
      <c r="AS166" s="31"/>
      <c r="AT166" s="31"/>
      <c r="AU166" s="18"/>
      <c r="AV166" s="32"/>
    </row>
    <row r="167" spans="1:48">
      <c r="A167" s="35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6"/>
      <c r="Y167" s="26"/>
      <c r="Z167" s="26"/>
      <c r="AA167" s="26"/>
      <c r="AB167" s="17"/>
      <c r="AC167" s="17"/>
      <c r="AD167" s="17"/>
      <c r="AE167" s="17"/>
      <c r="AF167" s="26"/>
      <c r="AG167" s="26"/>
      <c r="AH167" s="26"/>
      <c r="AI167" s="26"/>
      <c r="AJ167" s="17"/>
      <c r="AK167" s="17"/>
      <c r="AL167" s="17"/>
      <c r="AM167" s="17"/>
      <c r="AN167" s="26"/>
      <c r="AO167" s="26"/>
      <c r="AP167" s="26"/>
      <c r="AQ167" s="26"/>
      <c r="AR167" s="31"/>
      <c r="AS167" s="31"/>
      <c r="AT167" s="31"/>
      <c r="AU167" s="18"/>
      <c r="AV167" s="32"/>
    </row>
    <row r="168" spans="1:48">
      <c r="A168" s="35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5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6"/>
      <c r="D170" s="12"/>
      <c r="E170" s="12"/>
      <c r="F170" s="12"/>
      <c r="G170" s="12"/>
      <c r="H170" s="37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8"/>
      <c r="D171" s="12"/>
      <c r="E171" s="12"/>
      <c r="F171" s="12"/>
      <c r="G171" s="12"/>
      <c r="H171" s="37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6"/>
      <c r="D172" s="12"/>
      <c r="E172" s="12"/>
      <c r="F172" s="12"/>
      <c r="G172" s="12"/>
      <c r="H172" s="37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8"/>
      <c r="D173" s="12"/>
      <c r="E173" s="12"/>
      <c r="F173" s="12"/>
      <c r="G173" s="12"/>
      <c r="H173" s="37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6"/>
      <c r="D174" s="12"/>
      <c r="E174" s="12"/>
      <c r="F174" s="12"/>
      <c r="G174" s="12"/>
      <c r="H174" s="37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8"/>
      <c r="D175" s="12"/>
      <c r="E175" s="12"/>
      <c r="F175" s="12"/>
      <c r="G175" s="12"/>
      <c r="H175" s="37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6"/>
      <c r="D176" s="12"/>
      <c r="E176" s="12"/>
      <c r="F176" s="12"/>
      <c r="G176" s="12"/>
      <c r="H176" s="37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8"/>
      <c r="D177" s="12"/>
      <c r="E177" s="12"/>
      <c r="F177" s="12"/>
      <c r="G177" s="12"/>
      <c r="H177" s="37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6"/>
      <c r="D178" s="12"/>
      <c r="E178" s="12"/>
      <c r="F178" s="12"/>
      <c r="G178" s="12"/>
      <c r="H178" s="37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8"/>
      <c r="D179" s="12"/>
      <c r="E179" s="12"/>
      <c r="F179" s="12"/>
      <c r="G179" s="12"/>
      <c r="H179" s="37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6"/>
      <c r="D180" s="12"/>
      <c r="E180" s="12"/>
      <c r="F180" s="12"/>
      <c r="G180" s="12"/>
      <c r="H180" s="37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8"/>
      <c r="D181" s="12"/>
      <c r="E181" s="12"/>
      <c r="F181" s="12"/>
      <c r="G181" s="12"/>
      <c r="H181" s="37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6"/>
      <c r="D182" s="12"/>
      <c r="E182" s="12"/>
      <c r="F182" s="12"/>
      <c r="G182" s="12"/>
      <c r="H182" s="37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8"/>
      <c r="D183" s="12"/>
      <c r="E183" s="12"/>
      <c r="F183" s="12"/>
      <c r="G183" s="12"/>
      <c r="H183" s="37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6"/>
      <c r="D184" s="12"/>
      <c r="E184" s="12"/>
      <c r="F184" s="12"/>
      <c r="G184" s="12"/>
      <c r="H184" s="37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8"/>
      <c r="D185" s="12"/>
      <c r="E185" s="12"/>
      <c r="F185" s="12"/>
      <c r="G185" s="12"/>
      <c r="H185" s="37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6"/>
      <c r="D186" s="12"/>
      <c r="E186" s="12"/>
      <c r="F186" s="12"/>
      <c r="G186" s="12"/>
      <c r="H186" s="37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8"/>
      <c r="D187" s="12"/>
      <c r="E187" s="12"/>
      <c r="F187" s="12"/>
      <c r="G187" s="12"/>
      <c r="H187" s="37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6"/>
      <c r="D188" s="12"/>
      <c r="E188" s="12"/>
      <c r="F188" s="12"/>
      <c r="G188" s="12"/>
      <c r="H188" s="37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8"/>
      <c r="D189" s="12"/>
      <c r="E189" s="12"/>
      <c r="F189" s="12"/>
      <c r="G189" s="12"/>
      <c r="H189" s="37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6"/>
      <c r="D190" s="12"/>
      <c r="E190" s="12"/>
      <c r="F190" s="12"/>
      <c r="G190" s="12"/>
      <c r="H190" s="37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8"/>
      <c r="D191" s="12"/>
      <c r="E191" s="12"/>
      <c r="F191" s="12"/>
      <c r="G191" s="12"/>
      <c r="H191" s="37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6"/>
      <c r="D192" s="12"/>
      <c r="E192" s="12"/>
      <c r="F192" s="12"/>
      <c r="G192" s="12"/>
      <c r="H192" s="37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8"/>
      <c r="D193" s="12"/>
      <c r="E193" s="12"/>
      <c r="F193" s="12"/>
      <c r="G193" s="12"/>
      <c r="H193" s="37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6"/>
      <c r="D194" s="12"/>
      <c r="E194" s="12"/>
      <c r="F194" s="12"/>
      <c r="G194" s="12"/>
      <c r="H194" s="37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8"/>
      <c r="D195" s="12"/>
      <c r="E195" s="12"/>
      <c r="F195" s="12"/>
      <c r="G195" s="12"/>
      <c r="H195" s="37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6"/>
      <c r="D196" s="12"/>
      <c r="E196" s="12"/>
      <c r="F196" s="12"/>
      <c r="G196" s="12"/>
      <c r="H196" s="37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8"/>
      <c r="D197" s="12"/>
      <c r="E197" s="12"/>
      <c r="F197" s="12"/>
      <c r="G197" s="12"/>
      <c r="H197" s="37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6"/>
      <c r="D198" s="12"/>
      <c r="E198" s="12"/>
      <c r="F198" s="12"/>
      <c r="G198" s="12"/>
      <c r="H198" s="37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8"/>
      <c r="D199" s="12"/>
      <c r="E199" s="12"/>
      <c r="F199" s="12"/>
      <c r="G199" s="12"/>
      <c r="H199" s="37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6"/>
      <c r="D200" s="12"/>
      <c r="E200" s="12"/>
      <c r="F200" s="12"/>
      <c r="G200" s="12"/>
      <c r="H200" s="37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8"/>
      <c r="D201" s="12"/>
      <c r="E201" s="12"/>
      <c r="F201" s="12"/>
      <c r="G201" s="12"/>
      <c r="H201" s="37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6"/>
      <c r="D202" s="12"/>
      <c r="E202" s="12"/>
      <c r="F202" s="12"/>
      <c r="G202" s="12"/>
      <c r="H202" s="37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8"/>
      <c r="D203" s="12"/>
      <c r="E203" s="12"/>
      <c r="F203" s="12"/>
      <c r="G203" s="12"/>
      <c r="H203" s="37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6"/>
      <c r="D204" s="12"/>
      <c r="E204" s="12"/>
      <c r="F204" s="12"/>
      <c r="G204" s="12"/>
      <c r="H204" s="37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8"/>
      <c r="D205" s="12"/>
      <c r="E205" s="12"/>
      <c r="F205" s="12"/>
      <c r="G205" s="12"/>
      <c r="H205" s="37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6"/>
      <c r="D206" s="12"/>
      <c r="E206" s="12"/>
      <c r="F206" s="12"/>
      <c r="G206" s="12"/>
      <c r="H206" s="37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8"/>
      <c r="D207" s="12"/>
      <c r="E207" s="12"/>
      <c r="F207" s="12"/>
      <c r="G207" s="12"/>
      <c r="H207" s="37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6"/>
      <c r="D208" s="12"/>
      <c r="E208" s="12"/>
      <c r="F208" s="12"/>
      <c r="G208" s="12"/>
      <c r="H208" s="37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8"/>
      <c r="D209" s="12"/>
      <c r="E209" s="12"/>
      <c r="F209" s="12"/>
      <c r="G209" s="12"/>
      <c r="H209" s="37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6"/>
      <c r="D210" s="12"/>
      <c r="E210" s="12"/>
      <c r="F210" s="12"/>
      <c r="G210" s="12"/>
      <c r="H210" s="37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8"/>
      <c r="D211" s="12"/>
      <c r="E211" s="12"/>
      <c r="F211" s="12"/>
      <c r="G211" s="12"/>
      <c r="H211" s="37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6"/>
      <c r="D212" s="12"/>
      <c r="E212" s="12"/>
      <c r="F212" s="12"/>
      <c r="G212" s="12"/>
      <c r="H212" s="37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8"/>
      <c r="D213" s="12"/>
      <c r="E213" s="12"/>
      <c r="F213" s="12"/>
      <c r="G213" s="12"/>
      <c r="H213" s="37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6"/>
      <c r="D214" s="12"/>
      <c r="E214" s="12"/>
      <c r="F214" s="12"/>
      <c r="G214" s="12"/>
      <c r="H214" s="37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8"/>
      <c r="D215" s="12"/>
      <c r="E215" s="12"/>
      <c r="F215" s="12"/>
      <c r="G215" s="12"/>
      <c r="H215" s="37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6"/>
      <c r="D216" s="12"/>
      <c r="E216" s="12"/>
      <c r="F216" s="12"/>
      <c r="G216" s="12"/>
      <c r="H216" s="37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8"/>
      <c r="D217" s="12"/>
      <c r="E217" s="12"/>
      <c r="F217" s="12"/>
      <c r="G217" s="12"/>
      <c r="H217" s="37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6"/>
      <c r="D218" s="12"/>
      <c r="E218" s="12"/>
      <c r="F218" s="12"/>
      <c r="G218" s="12"/>
      <c r="H218" s="37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8"/>
      <c r="D219" s="12"/>
      <c r="E219" s="12"/>
      <c r="F219" s="12"/>
      <c r="G219" s="12"/>
      <c r="H219" s="37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6"/>
      <c r="D220" s="12"/>
      <c r="E220" s="12"/>
      <c r="F220" s="12"/>
      <c r="G220" s="12"/>
      <c r="H220" s="37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8"/>
      <c r="D221" s="12"/>
      <c r="E221" s="12"/>
      <c r="F221" s="12"/>
      <c r="G221" s="12"/>
      <c r="H221" s="37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6"/>
      <c r="D222" s="12"/>
      <c r="E222" s="12"/>
      <c r="F222" s="12"/>
      <c r="G222" s="12"/>
      <c r="H222" s="37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8"/>
      <c r="D223" s="12"/>
      <c r="E223" s="12"/>
      <c r="F223" s="12"/>
      <c r="G223" s="12"/>
      <c r="H223" s="37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8"/>
      <c r="D224" s="12"/>
      <c r="E224" s="12"/>
      <c r="F224" s="12"/>
      <c r="G224" s="12"/>
      <c r="H224" s="37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8"/>
      <c r="D225" s="12"/>
      <c r="E225" s="12"/>
      <c r="F225" s="12"/>
      <c r="G225" s="12"/>
      <c r="H225" s="37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8"/>
      <c r="D226" s="12"/>
      <c r="E226" s="12"/>
      <c r="F226" s="12"/>
      <c r="G226" s="12"/>
      <c r="H226" s="37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6"/>
      <c r="D227" s="12"/>
      <c r="E227" s="12"/>
      <c r="F227" s="12"/>
      <c r="G227" s="12"/>
      <c r="H227" s="37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8"/>
      <c r="D228" s="12"/>
      <c r="E228" s="12"/>
      <c r="F228" s="12"/>
      <c r="G228" s="12"/>
      <c r="H228" s="37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6"/>
      <c r="D229" s="12"/>
      <c r="E229" s="12"/>
      <c r="F229" s="12"/>
      <c r="G229" s="12"/>
      <c r="H229" s="37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6"/>
      <c r="D230" s="12"/>
      <c r="E230" s="12"/>
      <c r="F230" s="12"/>
      <c r="G230" s="12"/>
      <c r="H230" s="37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8"/>
      <c r="D231" s="12"/>
      <c r="E231" s="12"/>
      <c r="F231" s="12"/>
      <c r="G231" s="12"/>
      <c r="H231" s="37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8"/>
      <c r="D232" s="12"/>
      <c r="E232" s="12"/>
      <c r="F232" s="12"/>
      <c r="G232" s="12"/>
      <c r="H232" s="37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6"/>
      <c r="D233" s="12"/>
      <c r="E233" s="12"/>
      <c r="F233" s="12"/>
      <c r="G233" s="12"/>
      <c r="H233" s="37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8"/>
      <c r="D234" s="12"/>
      <c r="E234" s="12"/>
      <c r="F234" s="12"/>
      <c r="G234" s="12"/>
      <c r="H234" s="37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6"/>
      <c r="D235" s="12"/>
      <c r="E235" s="12"/>
      <c r="F235" s="12"/>
      <c r="G235" s="12"/>
      <c r="H235" s="37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8"/>
      <c r="D236" s="12"/>
      <c r="E236" s="12"/>
      <c r="F236" s="12"/>
      <c r="G236" s="12"/>
      <c r="H236" s="37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8"/>
      <c r="D237" s="12"/>
      <c r="E237" s="12"/>
      <c r="F237" s="12"/>
      <c r="G237" s="12"/>
      <c r="H237" s="37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6"/>
      <c r="D238" s="12"/>
      <c r="E238" s="12"/>
      <c r="F238" s="12"/>
      <c r="G238" s="12"/>
      <c r="H238" s="37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6"/>
      <c r="D239" s="12"/>
      <c r="E239" s="12"/>
      <c r="F239" s="12"/>
      <c r="G239" s="12"/>
      <c r="H239" s="37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8"/>
      <c r="D240" s="12"/>
      <c r="E240" s="12"/>
      <c r="F240" s="12"/>
      <c r="G240" s="12"/>
      <c r="H240" s="37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6"/>
      <c r="D241" s="12"/>
      <c r="E241" s="12"/>
      <c r="F241" s="12"/>
      <c r="G241" s="12"/>
      <c r="H241" s="37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6"/>
      <c r="D242" s="12"/>
      <c r="E242" s="12"/>
      <c r="F242" s="12"/>
      <c r="G242" s="12"/>
      <c r="H242" s="37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8"/>
      <c r="D243" s="12"/>
      <c r="E243" s="12"/>
      <c r="F243" s="12"/>
      <c r="G243" s="12"/>
      <c r="H243" s="37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6"/>
      <c r="D244" s="12"/>
      <c r="E244" s="12"/>
      <c r="F244" s="12"/>
      <c r="G244" s="12"/>
      <c r="H244" s="37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6"/>
      <c r="D245" s="12"/>
      <c r="E245" s="12"/>
      <c r="F245" s="12"/>
      <c r="G245" s="12"/>
      <c r="H245" s="37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8"/>
      <c r="D246" s="12"/>
      <c r="E246" s="12"/>
      <c r="F246" s="12"/>
      <c r="G246" s="12"/>
      <c r="H246" s="37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7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7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7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7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7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7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7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7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7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7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7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7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7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7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5" t="s">
        <v>163</v>
      </c>
      <c r="D261" s="12"/>
      <c r="E261" s="12"/>
      <c r="F261" s="12"/>
      <c r="G261" s="12"/>
      <c r="H261" s="37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5" t="s">
        <v>199</v>
      </c>
      <c r="D262" s="12"/>
      <c r="E262" s="12"/>
      <c r="F262" s="12"/>
      <c r="G262" s="12"/>
      <c r="H262" s="37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5" t="s">
        <v>153</v>
      </c>
      <c r="D263" s="12"/>
      <c r="E263" s="12"/>
      <c r="F263" s="12"/>
      <c r="G263" s="12"/>
      <c r="H263" s="37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3" t="s">
        <v>90</v>
      </c>
      <c r="D264" s="12"/>
      <c r="E264" s="12"/>
      <c r="F264" s="12"/>
      <c r="G264" s="12"/>
      <c r="H264" s="37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7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7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7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7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7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7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7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7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7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7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7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7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7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7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7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7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7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7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7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7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7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7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7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7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7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7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7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7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7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7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7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7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7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7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7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7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7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7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7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7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7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7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7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7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7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7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7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7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7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7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7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7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7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7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7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7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7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7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7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7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7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7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7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7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7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7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7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7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7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7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7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7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7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7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7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7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7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7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7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7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7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7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7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7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7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7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7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7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7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7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7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7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7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7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7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7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7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7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7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7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7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7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7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7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7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7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7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7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7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7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7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7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7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7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7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7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7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7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7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7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7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7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7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7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7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7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7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7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7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7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7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7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7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7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7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7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7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7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7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7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7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7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7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7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7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7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7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7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7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7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7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7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7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7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7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7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7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7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7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7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7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7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7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7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7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7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7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7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7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7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7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7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7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7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7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7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7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7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7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7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7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7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7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7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7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7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7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7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7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7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7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7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7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7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7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7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7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7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7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7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7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7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7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7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7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7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7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7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7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7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7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7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7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7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7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7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7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7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7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7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7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7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7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7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7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7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7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7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7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7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7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7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7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7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7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7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7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7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7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7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7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7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7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7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7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7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7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7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7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7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7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7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7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7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7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7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7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7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7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7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7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7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7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7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7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7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7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7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7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7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7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7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7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7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7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7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7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7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7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7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7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7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7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7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7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7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7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7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7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7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7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7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7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7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7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7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7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7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7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7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7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7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7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7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7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7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7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7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7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7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7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7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7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7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7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7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7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7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7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7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7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7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7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7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7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7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7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7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7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7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7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7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7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7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7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7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7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7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7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7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7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7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7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7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7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7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7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7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7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7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7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7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7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7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7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7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7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7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7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7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7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7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7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7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7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7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7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7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7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7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7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7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7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7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7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7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7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7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7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7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7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7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7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7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7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7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7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7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7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7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7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7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7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7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7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7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7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7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7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7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7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7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7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7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7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7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7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7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7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7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7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7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7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7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7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7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7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7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7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7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7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7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7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7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7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7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7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7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7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7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7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7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7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7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7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7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7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7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7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7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7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7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7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7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7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7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7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7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7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7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7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7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7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7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7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7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7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7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7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7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7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7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7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7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7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7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7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7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7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7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7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7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7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7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7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7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7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7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7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7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7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7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7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7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7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7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7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7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7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7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7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7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7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7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7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7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7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7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7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7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7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7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7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7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7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7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7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7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7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7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7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7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7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7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7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7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7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7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7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7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7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7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7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7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7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7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7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7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7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7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7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7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7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7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7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7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7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7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7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7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7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7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7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7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7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7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7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7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7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7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7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7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7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7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7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7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7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7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7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7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7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7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7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7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7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7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7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7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7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7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7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7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7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7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7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7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7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7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7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7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7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7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7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7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7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7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7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7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7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7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7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7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7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7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7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7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7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7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7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7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7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7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7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7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7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7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7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7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7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7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7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7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7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7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7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7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7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7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7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7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7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7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7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7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7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7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7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7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7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7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7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7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7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7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7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7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7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7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7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7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7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7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7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7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7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7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7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7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7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7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7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7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7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7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7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7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7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7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7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7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7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7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7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7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7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7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7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7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7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7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7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7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7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7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7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7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7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7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7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7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7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7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7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7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7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7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7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7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7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7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7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7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7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7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7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7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7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7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7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7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7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7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7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7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7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7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7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7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7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7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7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7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7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7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7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7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7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7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7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7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7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7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7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7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7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7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7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7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7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7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7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7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7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7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7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7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7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7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7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7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7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7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7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7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7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7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7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7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7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7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7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7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7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7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7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7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7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7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7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7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7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7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7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7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7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7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7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7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7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7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7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7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7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7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7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7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7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7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7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7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7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7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7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7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7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7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7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7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7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7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7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7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7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7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7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7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7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7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7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7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7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7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7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7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7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7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7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7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7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7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7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7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7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7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7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7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7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7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7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7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7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7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7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7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7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7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7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7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7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7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7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7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7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7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7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7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7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7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7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7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7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7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7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7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7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7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7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7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7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7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7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7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7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7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7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7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7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7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7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7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7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7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7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7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7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7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7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7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7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7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7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7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7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7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7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7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7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7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7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7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7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7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7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7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7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7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7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7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7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7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7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7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7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7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7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7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7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7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7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7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7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7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7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7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7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7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7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7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7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7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7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7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7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7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7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7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7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7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7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7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7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7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7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7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7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7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7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7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7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7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7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7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7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7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7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7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7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7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7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7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7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7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7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7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7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7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7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7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7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7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7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7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7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7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7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7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7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7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7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7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7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7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7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7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7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7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7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7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7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7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7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7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7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7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7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7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7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7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7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7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7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7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7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7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7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7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7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7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7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7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7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7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7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7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7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7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7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7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7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7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7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7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7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7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7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7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7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7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7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7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7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7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7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7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7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7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7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7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7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7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7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7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7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7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7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7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7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7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7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7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7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7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7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7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7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7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7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7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7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7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7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7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7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7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7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7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7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7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7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7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7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7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7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7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7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7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7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7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7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7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7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7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7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7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7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7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7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7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7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7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7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7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7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7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7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7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7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7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7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7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7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7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7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7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7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7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7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7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7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7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7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7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7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7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7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7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7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7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7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7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7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7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7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7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7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7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7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7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7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7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7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7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7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7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7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7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7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7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7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7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7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7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7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7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7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7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7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7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7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7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7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7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7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7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7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7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7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7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7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7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7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7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7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7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7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7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7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7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7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7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7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7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7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7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7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7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7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7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7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7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7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7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7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7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7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7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7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7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7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7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7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7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7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7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7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7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7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7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7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7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7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7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7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7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7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7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7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7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7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7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7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7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7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7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7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7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7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7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7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7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7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7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7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7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7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7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7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7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7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7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7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7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7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7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7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7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7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7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7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7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7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7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7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7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7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7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7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7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7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7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7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7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7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7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7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7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7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7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7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7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7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7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7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7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7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7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7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7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7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7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7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7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7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7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7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7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7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7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7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7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7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7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7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7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7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7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7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7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7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7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7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7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7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7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7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7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7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7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7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7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7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7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7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7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7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7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7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7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7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7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7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7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7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7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7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7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7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7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7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7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7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7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7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7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7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7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7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7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7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7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7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7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7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7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7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7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7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7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7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7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7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7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7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7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7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7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7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7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7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7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7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7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7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7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7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7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7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7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7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7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7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7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7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7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7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7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7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7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7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7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7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7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7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7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7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7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7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7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7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7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7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7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7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7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7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7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7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7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7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7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7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7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7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7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9"/>
      <c r="D1639" s="12"/>
      <c r="E1639" s="12"/>
      <c r="F1639" s="12"/>
      <c r="G1639" s="12"/>
      <c r="H1639" s="37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9"/>
      <c r="D1640" s="12"/>
      <c r="E1640" s="12"/>
      <c r="F1640" s="12"/>
      <c r="G1640" s="12"/>
      <c r="H1640" s="37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9"/>
      <c r="D1641" s="12"/>
      <c r="E1641" s="12"/>
      <c r="F1641" s="12"/>
      <c r="G1641" s="12"/>
      <c r="H1641" s="37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9"/>
      <c r="D1642" s="12"/>
      <c r="E1642" s="12"/>
      <c r="F1642" s="12"/>
      <c r="G1642" s="12"/>
      <c r="H1642" s="37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9"/>
      <c r="D1643" s="12"/>
      <c r="E1643" s="12"/>
      <c r="F1643" s="12"/>
      <c r="G1643" s="12"/>
      <c r="H1643" s="37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9"/>
      <c r="D1644" s="12"/>
      <c r="E1644" s="12"/>
      <c r="F1644" s="12"/>
      <c r="G1644" s="12"/>
      <c r="H1644" s="37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9"/>
      <c r="D1645" s="12"/>
      <c r="E1645" s="12"/>
      <c r="F1645" s="12"/>
      <c r="G1645" s="12"/>
      <c r="H1645" s="37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9"/>
      <c r="D1646" s="12"/>
      <c r="E1646" s="12"/>
      <c r="F1646" s="12"/>
      <c r="G1646" s="12"/>
      <c r="H1646" s="37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9"/>
      <c r="D1647" s="12"/>
      <c r="E1647" s="12"/>
      <c r="F1647" s="12"/>
      <c r="G1647" s="12"/>
      <c r="H1647" s="37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9"/>
      <c r="D1648" s="12"/>
      <c r="E1648" s="12"/>
      <c r="F1648" s="12"/>
      <c r="G1648" s="12"/>
      <c r="H1648" s="37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9"/>
      <c r="D1649" s="12"/>
      <c r="E1649" s="12"/>
      <c r="F1649" s="12"/>
      <c r="G1649" s="12"/>
      <c r="H1649" s="37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7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7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7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7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7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7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7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7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7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7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7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7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7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7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7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7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7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7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7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7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7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7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7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7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7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7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7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7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7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7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7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7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7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7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7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7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7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7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7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7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7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7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7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7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7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7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7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7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7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7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7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7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7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7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7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7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7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7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7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7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7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7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7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7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7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7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7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7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7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7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7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7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7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7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7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7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7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7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7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7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7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7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7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7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7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7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7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7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7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7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7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7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7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7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7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7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7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7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7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7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7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7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7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7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7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7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7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7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7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7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7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7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7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7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7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7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7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7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7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7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7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7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7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7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7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7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7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7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7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7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7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7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7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7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7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7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7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7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7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7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7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7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7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7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7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7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7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7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7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7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7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7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7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7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7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7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7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7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7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7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7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7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7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7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7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7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7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7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7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7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7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7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7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7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7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7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7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7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7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7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7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7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7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7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7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7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7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7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7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7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7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7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7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7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7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7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7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7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7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7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7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7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7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7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7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7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7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7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7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7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7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7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7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7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7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7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7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7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7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7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7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7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7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7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7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7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7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7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7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7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7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7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7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7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7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7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7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7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7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7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7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7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7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7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7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7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7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7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7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7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7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7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7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7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7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7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7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7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7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7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7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7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7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7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7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7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7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7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7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7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7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7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7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7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7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7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7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7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7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7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7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7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7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7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7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7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7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7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7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7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7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7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7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7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7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7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7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7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7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7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7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7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7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7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7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7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7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7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7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7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7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7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7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7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7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7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7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7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7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7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7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7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7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7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7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7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7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7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7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7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7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7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7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7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7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7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7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7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7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7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7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7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7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7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7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7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7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7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7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7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7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7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7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7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7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7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7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7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7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7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7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7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7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7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7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7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7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7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7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7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7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7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7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7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7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7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7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7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7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7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7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7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7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7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7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7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7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7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7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7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7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7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7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7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7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7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7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7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7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7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7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7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7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7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7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7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7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7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7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7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7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7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7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7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7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7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7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7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7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7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7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7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7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7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7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7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7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7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7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7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7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7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7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7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7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7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7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7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7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7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7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7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7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7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7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7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7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7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7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E17" sqref="E17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400</v>
      </c>
      <c r="B1" s="1">
        <f>B12</f>
        <v>43297</v>
      </c>
    </row>
    <row r="2" spans="1:2">
      <c r="A2" t="s">
        <v>401</v>
      </c>
      <c r="B2" s="1">
        <v>43324</v>
      </c>
    </row>
    <row r="4" spans="1:2">
      <c r="A4" t="s">
        <v>402</v>
      </c>
      <c r="B4" s="2">
        <f>B2+1</f>
        <v>43325</v>
      </c>
    </row>
    <row r="5" spans="1:2">
      <c r="A5" t="s">
        <v>403</v>
      </c>
      <c r="B5" s="3">
        <f>B2</f>
        <v>43324</v>
      </c>
    </row>
    <row r="6" spans="1:2">
      <c r="A6" t="s">
        <v>404</v>
      </c>
      <c r="B6" s="2">
        <f>B5-6</f>
        <v>43318</v>
      </c>
    </row>
    <row r="7" spans="1:2">
      <c r="A7" t="s">
        <v>405</v>
      </c>
      <c r="B7" s="2">
        <f>B5-7</f>
        <v>43317</v>
      </c>
    </row>
    <row r="8" spans="1:2">
      <c r="A8" t="s">
        <v>406</v>
      </c>
      <c r="B8" s="2">
        <f>B5-13</f>
        <v>43311</v>
      </c>
    </row>
    <row r="9" spans="1:2">
      <c r="A9" t="s">
        <v>407</v>
      </c>
      <c r="B9" s="2">
        <f>B5-14</f>
        <v>43310</v>
      </c>
    </row>
    <row r="10" spans="1:2">
      <c r="A10" t="s">
        <v>408</v>
      </c>
      <c r="B10" s="2">
        <f>B5-20</f>
        <v>43304</v>
      </c>
    </row>
    <row r="11" spans="1:2">
      <c r="A11" t="s">
        <v>409</v>
      </c>
      <c r="B11" s="2">
        <f>B5-21</f>
        <v>43303</v>
      </c>
    </row>
    <row r="12" spans="1:2">
      <c r="A12" t="s">
        <v>410</v>
      </c>
      <c r="B12" s="2">
        <f>B5-27</f>
        <v>43297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2018-08-14T06:21:03Z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